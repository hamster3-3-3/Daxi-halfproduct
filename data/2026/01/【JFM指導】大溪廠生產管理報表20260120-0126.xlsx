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" activeTab="1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'報廢20大－原因別分析'!#REF!</definedName>
    <definedName name="_xlnm._FilterDatabase" localSheetId="33" hidden="1">'超用20大－原因別分析'!#REF!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(週)'!$A$1:$M$59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8-5(週報廢)'!$A$1:$Q$86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'!$A$1:$P$86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3" l="1"/>
  <c r="Q7" i="3"/>
  <c r="L30" i="56" l="1"/>
  <c r="L31" i="56"/>
  <c r="L32" i="56"/>
  <c r="L33" i="56"/>
  <c r="L34" i="56"/>
  <c r="L35" i="56"/>
  <c r="L36" i="56"/>
  <c r="J30" i="56"/>
  <c r="J31" i="56"/>
  <c r="J32" i="56"/>
  <c r="J33" i="56"/>
  <c r="J34" i="56"/>
  <c r="J35" i="56"/>
  <c r="J36" i="56"/>
  <c r="H30" i="56"/>
  <c r="H31" i="56"/>
  <c r="H32" i="56"/>
  <c r="H33" i="56"/>
  <c r="H34" i="56"/>
  <c r="H35" i="56"/>
  <c r="H36" i="56"/>
  <c r="F30" i="56"/>
  <c r="F31" i="56"/>
  <c r="F32" i="56"/>
  <c r="F33" i="56"/>
  <c r="F34" i="56"/>
  <c r="F35" i="56"/>
  <c r="F36" i="56"/>
  <c r="D31" i="56"/>
  <c r="D32" i="56"/>
  <c r="U27" i="5"/>
  <c r="U28" i="5"/>
  <c r="U29" i="5"/>
  <c r="U30" i="5"/>
  <c r="U31" i="5"/>
  <c r="U32" i="5"/>
  <c r="U26" i="5"/>
  <c r="J123" i="22"/>
  <c r="J114" i="22"/>
  <c r="J113" i="22"/>
  <c r="J112" i="22"/>
  <c r="J131" i="23"/>
  <c r="J130" i="23"/>
  <c r="J129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25" i="24"/>
  <c r="J124" i="24"/>
  <c r="J123" i="24"/>
  <c r="J112" i="24"/>
  <c r="J114" i="25"/>
  <c r="J113" i="25"/>
  <c r="J112" i="25"/>
  <c r="J132" i="15"/>
  <c r="J131" i="15"/>
  <c r="J130" i="15"/>
  <c r="J129" i="15"/>
  <c r="J128" i="15"/>
  <c r="J127" i="15"/>
  <c r="J126" i="15"/>
  <c r="J125" i="15"/>
  <c r="J124" i="15"/>
  <c r="J123" i="15"/>
  <c r="J120" i="15"/>
  <c r="J119" i="15"/>
  <c r="J118" i="15"/>
  <c r="J117" i="15"/>
  <c r="J116" i="15"/>
  <c r="J115" i="15"/>
  <c r="J114" i="15"/>
  <c r="J113" i="15"/>
  <c r="J112" i="15"/>
  <c r="B112" i="25" l="1"/>
  <c r="A112" i="25"/>
  <c r="AW69" i="52"/>
  <c r="AW68" i="52"/>
  <c r="AW67" i="52"/>
  <c r="AR69" i="52"/>
  <c r="AR68" i="52"/>
  <c r="AR67" i="52"/>
  <c r="AM69" i="52"/>
  <c r="AM68" i="52"/>
  <c r="AM67" i="52"/>
  <c r="AN67" i="52"/>
  <c r="AH69" i="52"/>
  <c r="AH68" i="52"/>
  <c r="AH67" i="52"/>
  <c r="AC67" i="52"/>
  <c r="AC69" i="52"/>
  <c r="AC68" i="52"/>
  <c r="X69" i="52"/>
  <c r="X68" i="52"/>
  <c r="X67" i="52"/>
  <c r="AH121" i="44"/>
  <c r="S68" i="52"/>
  <c r="S69" i="52"/>
  <c r="S67" i="52"/>
  <c r="M68" i="52"/>
  <c r="M69" i="52"/>
  <c r="M67" i="52"/>
  <c r="AV69" i="52"/>
  <c r="AQ69" i="52"/>
  <c r="AL69" i="52"/>
  <c r="AG69" i="52"/>
  <c r="AB69" i="52"/>
  <c r="W69" i="52"/>
  <c r="R69" i="52"/>
  <c r="J69" i="52"/>
  <c r="I69" i="52"/>
  <c r="G69" i="52"/>
  <c r="H67" i="52" s="1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S67" i="52"/>
  <c r="AQ67" i="52"/>
  <c r="AL67" i="52"/>
  <c r="AI67" i="52"/>
  <c r="AG67" i="52"/>
  <c r="AB67" i="52"/>
  <c r="AD67" i="52" s="1"/>
  <c r="Y67" i="52"/>
  <c r="W67" i="52"/>
  <c r="R67" i="52"/>
  <c r="K67" i="52" s="1"/>
  <c r="J67" i="52"/>
  <c r="I67" i="52"/>
  <c r="G67" i="52"/>
  <c r="M68" i="51"/>
  <c r="M69" i="51"/>
  <c r="M70" i="51"/>
  <c r="M67" i="51"/>
  <c r="AW70" i="51"/>
  <c r="AW69" i="51"/>
  <c r="AW68" i="51"/>
  <c r="AW67" i="51"/>
  <c r="AR70" i="51"/>
  <c r="AR69" i="51"/>
  <c r="AR68" i="51"/>
  <c r="AR67" i="51"/>
  <c r="AM70" i="51"/>
  <c r="AM69" i="51"/>
  <c r="AM68" i="51"/>
  <c r="AM67" i="51"/>
  <c r="AH70" i="51"/>
  <c r="AH69" i="51"/>
  <c r="AH68" i="51"/>
  <c r="AH67" i="51"/>
  <c r="AC70" i="51"/>
  <c r="AC69" i="51"/>
  <c r="AC68" i="51"/>
  <c r="AC67" i="51"/>
  <c r="X70" i="51"/>
  <c r="X69" i="51"/>
  <c r="X68" i="51"/>
  <c r="X67" i="51"/>
  <c r="S68" i="51"/>
  <c r="S69" i="51"/>
  <c r="S70" i="51"/>
  <c r="S67" i="51"/>
  <c r="AV70" i="51"/>
  <c r="AQ70" i="51"/>
  <c r="AL70" i="51"/>
  <c r="AG70" i="51"/>
  <c r="AB70" i="51"/>
  <c r="W70" i="51"/>
  <c r="R70" i="51"/>
  <c r="K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X67" i="51"/>
  <c r="AV67" i="51"/>
  <c r="AS67" i="51"/>
  <c r="AQ67" i="51"/>
  <c r="AL67" i="51"/>
  <c r="AG67" i="51"/>
  <c r="AB67" i="51"/>
  <c r="Y67" i="51"/>
  <c r="W67" i="51"/>
  <c r="R67" i="51"/>
  <c r="J67" i="51"/>
  <c r="I67" i="51"/>
  <c r="G67" i="51"/>
  <c r="H67" i="51" s="1"/>
  <c r="AW67" i="50"/>
  <c r="AR67" i="50"/>
  <c r="AM67" i="50"/>
  <c r="AH67" i="50"/>
  <c r="M67" i="50"/>
  <c r="AV67" i="50"/>
  <c r="AX67" i="50" s="1"/>
  <c r="AQ67" i="50"/>
  <c r="AS67" i="50" s="1"/>
  <c r="AL67" i="50"/>
  <c r="AN67" i="50" s="1"/>
  <c r="AG67" i="50"/>
  <c r="AB67" i="50"/>
  <c r="AC67" i="50" s="1"/>
  <c r="W67" i="50"/>
  <c r="K67" i="50" s="1"/>
  <c r="T67" i="50"/>
  <c r="S67" i="50"/>
  <c r="R67" i="50"/>
  <c r="J67" i="50"/>
  <c r="I67" i="50"/>
  <c r="G67" i="50"/>
  <c r="H67" i="50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K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W73" i="49"/>
  <c r="R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AL67" i="49"/>
  <c r="AG67" i="49"/>
  <c r="AI67" i="49" s="1"/>
  <c r="AB67" i="49"/>
  <c r="AD67" i="49" s="1"/>
  <c r="W67" i="49"/>
  <c r="Y67" i="49" s="1"/>
  <c r="R67" i="49"/>
  <c r="T67" i="49" s="1"/>
  <c r="J67" i="49"/>
  <c r="I67" i="49"/>
  <c r="G67" i="49"/>
  <c r="H67" i="49" s="1"/>
  <c r="AM67" i="47"/>
  <c r="AW67" i="48"/>
  <c r="AW74" i="48"/>
  <c r="AW73" i="48"/>
  <c r="AW72" i="48"/>
  <c r="AW71" i="48"/>
  <c r="AW70" i="48"/>
  <c r="AW69" i="48"/>
  <c r="AW68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68" i="48"/>
  <c r="AH69" i="48"/>
  <c r="AH70" i="48"/>
  <c r="AH71" i="48"/>
  <c r="AH72" i="48"/>
  <c r="AH73" i="48"/>
  <c r="AH74" i="48"/>
  <c r="AH67" i="48"/>
  <c r="AC68" i="48"/>
  <c r="AC69" i="48"/>
  <c r="AC70" i="48"/>
  <c r="AC71" i="48"/>
  <c r="AC72" i="48"/>
  <c r="AC73" i="48"/>
  <c r="AC74" i="48"/>
  <c r="AC67" i="48"/>
  <c r="X68" i="48"/>
  <c r="X69" i="48"/>
  <c r="X70" i="48"/>
  <c r="X71" i="48"/>
  <c r="X72" i="48"/>
  <c r="X73" i="48"/>
  <c r="X74" i="48"/>
  <c r="X67" i="48"/>
  <c r="S68" i="48"/>
  <c r="S69" i="48"/>
  <c r="S70" i="48"/>
  <c r="S71" i="48"/>
  <c r="S72" i="48"/>
  <c r="S73" i="48"/>
  <c r="S74" i="48"/>
  <c r="S67" i="48"/>
  <c r="AW69" i="46"/>
  <c r="AW68" i="46"/>
  <c r="AW67" i="46"/>
  <c r="AR69" i="46"/>
  <c r="AR68" i="46"/>
  <c r="AR67" i="46"/>
  <c r="AM69" i="46"/>
  <c r="AM68" i="46"/>
  <c r="AM67" i="46"/>
  <c r="AH69" i="46"/>
  <c r="AH68" i="46"/>
  <c r="AH67" i="46"/>
  <c r="AC69" i="46"/>
  <c r="AC68" i="46"/>
  <c r="AC67" i="46"/>
  <c r="X69" i="46"/>
  <c r="X68" i="46"/>
  <c r="X67" i="46"/>
  <c r="S68" i="46"/>
  <c r="S69" i="46"/>
  <c r="S67" i="46"/>
  <c r="S67" i="45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K74" i="48"/>
  <c r="J74" i="48"/>
  <c r="I74" i="48"/>
  <c r="G74" i="48"/>
  <c r="H67" i="48" s="1"/>
  <c r="AV73" i="48"/>
  <c r="AQ73" i="48"/>
  <c r="AL73" i="48"/>
  <c r="AG73" i="48"/>
  <c r="AB73" i="48"/>
  <c r="W73" i="48"/>
  <c r="R73" i="48"/>
  <c r="K73" i="48"/>
  <c r="J73" i="48"/>
  <c r="I73" i="48"/>
  <c r="G73" i="48"/>
  <c r="AV72" i="48"/>
  <c r="K72" i="48" s="1"/>
  <c r="AQ72" i="48"/>
  <c r="AL72" i="48"/>
  <c r="AG72" i="48"/>
  <c r="AB72" i="48"/>
  <c r="W72" i="48"/>
  <c r="R72" i="48"/>
  <c r="J72" i="48"/>
  <c r="I72" i="48"/>
  <c r="G72" i="48"/>
  <c r="AV71" i="48"/>
  <c r="K71" i="48" s="1"/>
  <c r="AQ71" i="48"/>
  <c r="AL71" i="48"/>
  <c r="AG71" i="48"/>
  <c r="AB71" i="48"/>
  <c r="W71" i="48"/>
  <c r="R71" i="48"/>
  <c r="J71" i="48"/>
  <c r="I71" i="48"/>
  <c r="G71" i="48"/>
  <c r="AV70" i="48"/>
  <c r="AQ70" i="48"/>
  <c r="K70" i="48" s="1"/>
  <c r="AL70" i="48"/>
  <c r="AG70" i="48"/>
  <c r="AB70" i="48"/>
  <c r="W70" i="48"/>
  <c r="R70" i="48"/>
  <c r="J70" i="48"/>
  <c r="I70" i="48"/>
  <c r="G70" i="48"/>
  <c r="AV69" i="48"/>
  <c r="AQ69" i="48"/>
  <c r="K69" i="48" s="1"/>
  <c r="AL69" i="48"/>
  <c r="AG69" i="48"/>
  <c r="AB69" i="48"/>
  <c r="W69" i="48"/>
  <c r="R69" i="48"/>
  <c r="J69" i="48"/>
  <c r="I69" i="48"/>
  <c r="G69" i="48"/>
  <c r="AV68" i="48"/>
  <c r="AQ68" i="48"/>
  <c r="AL68" i="48"/>
  <c r="K68" i="48" s="1"/>
  <c r="AG68" i="48"/>
  <c r="AB68" i="48"/>
  <c r="W68" i="48"/>
  <c r="R68" i="48"/>
  <c r="J68" i="48"/>
  <c r="I68" i="48"/>
  <c r="G68" i="48"/>
  <c r="AV67" i="48"/>
  <c r="AX67" i="48" s="1"/>
  <c r="AQ67" i="48"/>
  <c r="K67" i="48" s="1"/>
  <c r="AN67" i="48"/>
  <c r="AL67" i="48"/>
  <c r="AG67" i="48"/>
  <c r="AI67" i="48" s="1"/>
  <c r="AB67" i="48"/>
  <c r="AD67" i="48" s="1"/>
  <c r="W67" i="48"/>
  <c r="R67" i="48"/>
  <c r="T67" i="48" s="1"/>
  <c r="J67" i="48"/>
  <c r="I67" i="48"/>
  <c r="G67" i="48"/>
  <c r="AW67" i="47"/>
  <c r="AR67" i="47"/>
  <c r="AQ67" i="47"/>
  <c r="AH67" i="47"/>
  <c r="AC67" i="47"/>
  <c r="X67" i="47"/>
  <c r="S67" i="47"/>
  <c r="AX67" i="47"/>
  <c r="AV67" i="47"/>
  <c r="AS67" i="47"/>
  <c r="AN67" i="47"/>
  <c r="AL67" i="47"/>
  <c r="AG67" i="47"/>
  <c r="AI67" i="47" s="1"/>
  <c r="AB67" i="47"/>
  <c r="AD67" i="47" s="1"/>
  <c r="W67" i="47"/>
  <c r="K67" i="47" s="1"/>
  <c r="M67" i="47" s="1"/>
  <c r="T67" i="47"/>
  <c r="R67" i="47"/>
  <c r="J67" i="47"/>
  <c r="I67" i="47"/>
  <c r="G67" i="47"/>
  <c r="H67" i="47" s="1"/>
  <c r="M68" i="46"/>
  <c r="M69" i="46"/>
  <c r="M67" i="46"/>
  <c r="AV69" i="46"/>
  <c r="AQ69" i="46"/>
  <c r="AL69" i="46"/>
  <c r="AG69" i="46"/>
  <c r="AB69" i="46"/>
  <c r="W69" i="46"/>
  <c r="R69" i="46"/>
  <c r="K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X67" i="46" s="1"/>
  <c r="AS67" i="46"/>
  <c r="AQ67" i="46"/>
  <c r="AL67" i="46"/>
  <c r="AN67" i="46" s="1"/>
  <c r="AI67" i="46"/>
  <c r="AG67" i="46"/>
  <c r="AB67" i="46"/>
  <c r="W67" i="46"/>
  <c r="Y67" i="46" s="1"/>
  <c r="R67" i="46"/>
  <c r="K67" i="46" s="1"/>
  <c r="J67" i="46"/>
  <c r="I67" i="46"/>
  <c r="G67" i="46"/>
  <c r="H67" i="46" s="1"/>
  <c r="AW76" i="45"/>
  <c r="AW75" i="45"/>
  <c r="AW74" i="45"/>
  <c r="AW72" i="45"/>
  <c r="AW71" i="45"/>
  <c r="AW70" i="45"/>
  <c r="AW69" i="45"/>
  <c r="AW68" i="45"/>
  <c r="AW67" i="45"/>
  <c r="AR76" i="45"/>
  <c r="AR75" i="45"/>
  <c r="AR74" i="45"/>
  <c r="AR72" i="45"/>
  <c r="AR71" i="45"/>
  <c r="AR70" i="45"/>
  <c r="AR69" i="45"/>
  <c r="AR68" i="45"/>
  <c r="AR67" i="45"/>
  <c r="AM76" i="45"/>
  <c r="AM75" i="45"/>
  <c r="AM74" i="45"/>
  <c r="AM72" i="45"/>
  <c r="AM71" i="45"/>
  <c r="AM70" i="45"/>
  <c r="AM69" i="45"/>
  <c r="AM68" i="45"/>
  <c r="AM67" i="45"/>
  <c r="AC76" i="45"/>
  <c r="AC75" i="45"/>
  <c r="AC74" i="45"/>
  <c r="AC72" i="45"/>
  <c r="AC71" i="45"/>
  <c r="AC70" i="45"/>
  <c r="AC69" i="45"/>
  <c r="AC68" i="45"/>
  <c r="AC67" i="45"/>
  <c r="X76" i="45"/>
  <c r="X75" i="45"/>
  <c r="X74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H76" i="45" s="1"/>
  <c r="AB76" i="45"/>
  <c r="W76" i="45"/>
  <c r="R76" i="45"/>
  <c r="K76" i="45"/>
  <c r="J76" i="45"/>
  <c r="I76" i="45"/>
  <c r="G76" i="45"/>
  <c r="AV75" i="45"/>
  <c r="AQ75" i="45"/>
  <c r="AL75" i="45"/>
  <c r="AG75" i="45"/>
  <c r="AH75" i="45" s="1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H74" i="45" s="1"/>
  <c r="AB74" i="45"/>
  <c r="W74" i="45"/>
  <c r="R74" i="45"/>
  <c r="J74" i="45"/>
  <c r="I74" i="45"/>
  <c r="G74" i="45"/>
  <c r="R73" i="45"/>
  <c r="K73" i="45" s="1"/>
  <c r="J73" i="45"/>
  <c r="I73" i="45"/>
  <c r="G73" i="45"/>
  <c r="AV72" i="45"/>
  <c r="AQ72" i="45"/>
  <c r="AL72" i="45"/>
  <c r="AG72" i="45"/>
  <c r="AH72" i="45" s="1"/>
  <c r="AB72" i="45"/>
  <c r="W72" i="45"/>
  <c r="R72" i="45"/>
  <c r="K72" i="45"/>
  <c r="J72" i="45"/>
  <c r="I72" i="45"/>
  <c r="G72" i="45"/>
  <c r="AV71" i="45"/>
  <c r="AQ71" i="45"/>
  <c r="AL71" i="45"/>
  <c r="AG71" i="45"/>
  <c r="AH71" i="45" s="1"/>
  <c r="AB71" i="45"/>
  <c r="W71" i="45"/>
  <c r="R71" i="45"/>
  <c r="K71" i="45"/>
  <c r="J71" i="45"/>
  <c r="I71" i="45"/>
  <c r="G71" i="45"/>
  <c r="AV70" i="45"/>
  <c r="AQ70" i="45"/>
  <c r="AL70" i="45"/>
  <c r="AG70" i="45"/>
  <c r="AH70" i="45" s="1"/>
  <c r="AB70" i="45"/>
  <c r="W70" i="45"/>
  <c r="R70" i="45"/>
  <c r="K70" i="45"/>
  <c r="J70" i="45"/>
  <c r="I70" i="45"/>
  <c r="G70" i="45"/>
  <c r="AV69" i="45"/>
  <c r="AQ69" i="45"/>
  <c r="AL69" i="45"/>
  <c r="AG69" i="45"/>
  <c r="AH69" i="45" s="1"/>
  <c r="AB69" i="45"/>
  <c r="W69" i="45"/>
  <c r="R69" i="45"/>
  <c r="K69" i="45"/>
  <c r="J69" i="45"/>
  <c r="I69" i="45"/>
  <c r="G69" i="45"/>
  <c r="AV68" i="45"/>
  <c r="AQ68" i="45"/>
  <c r="AL68" i="45"/>
  <c r="AG68" i="45"/>
  <c r="AH68" i="45" s="1"/>
  <c r="AB68" i="45"/>
  <c r="W68" i="45"/>
  <c r="R68" i="45"/>
  <c r="K68" i="45"/>
  <c r="J68" i="45"/>
  <c r="I68" i="45"/>
  <c r="G68" i="45"/>
  <c r="AX67" i="45"/>
  <c r="AV67" i="45"/>
  <c r="AQ67" i="45"/>
  <c r="AS67" i="45" s="1"/>
  <c r="AL67" i="45"/>
  <c r="AN67" i="45" s="1"/>
  <c r="AG67" i="45"/>
  <c r="AI67" i="45" s="1"/>
  <c r="AB67" i="45"/>
  <c r="AD67" i="45" s="1"/>
  <c r="W67" i="45"/>
  <c r="Y67" i="45" s="1"/>
  <c r="R67" i="45"/>
  <c r="K67" i="45" s="1"/>
  <c r="J67" i="45"/>
  <c r="I67" i="45"/>
  <c r="G67" i="45"/>
  <c r="H67" i="45" s="1"/>
  <c r="AW138" i="44"/>
  <c r="AW139" i="44"/>
  <c r="AW140" i="44"/>
  <c r="AW141" i="44"/>
  <c r="AW142" i="44"/>
  <c r="AW143" i="44"/>
  <c r="AW144" i="44"/>
  <c r="AW145" i="44"/>
  <c r="AW146" i="44"/>
  <c r="AW147" i="44"/>
  <c r="AW148" i="44"/>
  <c r="AW149" i="44"/>
  <c r="AW150" i="44"/>
  <c r="AW151" i="44"/>
  <c r="AW152" i="44"/>
  <c r="AW153" i="44"/>
  <c r="AW137" i="44"/>
  <c r="AW131" i="44"/>
  <c r="AW132" i="44"/>
  <c r="AW133" i="44"/>
  <c r="AW134" i="44"/>
  <c r="AW135" i="44"/>
  <c r="AW130" i="44"/>
  <c r="AW128" i="44"/>
  <c r="AW127" i="44"/>
  <c r="AW126" i="44"/>
  <c r="AW125" i="44"/>
  <c r="AW124" i="44"/>
  <c r="AW123" i="44"/>
  <c r="AW122" i="44"/>
  <c r="AW121" i="44"/>
  <c r="AR131" i="44"/>
  <c r="AR132" i="44"/>
  <c r="AR133" i="44"/>
  <c r="AR134" i="44"/>
  <c r="AR135" i="44"/>
  <c r="AR136" i="44"/>
  <c r="AR137" i="44"/>
  <c r="AR138" i="44"/>
  <c r="AR139" i="44"/>
  <c r="AR140" i="44"/>
  <c r="AR141" i="44"/>
  <c r="AR142" i="44"/>
  <c r="AR143" i="44"/>
  <c r="AR144" i="44"/>
  <c r="AR145" i="44"/>
  <c r="AR146" i="44"/>
  <c r="AR147" i="44"/>
  <c r="AR148" i="44"/>
  <c r="AR149" i="44"/>
  <c r="AR150" i="44"/>
  <c r="AR151" i="44"/>
  <c r="AR152" i="44"/>
  <c r="AR153" i="44"/>
  <c r="AR130" i="44"/>
  <c r="AR128" i="44"/>
  <c r="AR127" i="44"/>
  <c r="AR126" i="44"/>
  <c r="AR125" i="44"/>
  <c r="AR124" i="44"/>
  <c r="AR123" i="44"/>
  <c r="AR122" i="44"/>
  <c r="AR121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8" i="44"/>
  <c r="AM127" i="44"/>
  <c r="AM126" i="44"/>
  <c r="AM125" i="44"/>
  <c r="AM124" i="44"/>
  <c r="AM123" i="44"/>
  <c r="AM122" i="44"/>
  <c r="AM121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21" i="44"/>
  <c r="M137" i="44"/>
  <c r="AV153" i="44"/>
  <c r="AQ153" i="44"/>
  <c r="AL153" i="44"/>
  <c r="AG153" i="44"/>
  <c r="AB153" i="44"/>
  <c r="W153" i="44"/>
  <c r="R153" i="44"/>
  <c r="K153" i="44"/>
  <c r="J153" i="44"/>
  <c r="I153" i="44"/>
  <c r="G153" i="44"/>
  <c r="AV152" i="44"/>
  <c r="AQ152" i="44"/>
  <c r="AL152" i="44"/>
  <c r="AG152" i="44"/>
  <c r="AB152" i="44"/>
  <c r="W152" i="44"/>
  <c r="R152" i="44"/>
  <c r="K152" i="44"/>
  <c r="J152" i="44"/>
  <c r="I152" i="44"/>
  <c r="G152" i="44"/>
  <c r="AV151" i="44"/>
  <c r="K151" i="44" s="1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K144" i="44" s="1"/>
  <c r="AB144" i="44"/>
  <c r="W144" i="44"/>
  <c r="R144" i="44"/>
  <c r="J144" i="44"/>
  <c r="I144" i="44"/>
  <c r="G144" i="44"/>
  <c r="AV143" i="44"/>
  <c r="AQ143" i="44"/>
  <c r="AL143" i="44"/>
  <c r="AG143" i="44"/>
  <c r="AB143" i="44"/>
  <c r="K143" i="44" s="1"/>
  <c r="W143" i="44"/>
  <c r="R143" i="44"/>
  <c r="J143" i="44"/>
  <c r="I143" i="44"/>
  <c r="G143" i="44"/>
  <c r="AV142" i="44"/>
  <c r="AQ142" i="44"/>
  <c r="AL142" i="44"/>
  <c r="AG142" i="44"/>
  <c r="AB142" i="44"/>
  <c r="K142" i="44" s="1"/>
  <c r="W142" i="44"/>
  <c r="R142" i="44"/>
  <c r="J142" i="44"/>
  <c r="I142" i="44"/>
  <c r="G142" i="44"/>
  <c r="AV141" i="44"/>
  <c r="AQ141" i="44"/>
  <c r="AL141" i="44"/>
  <c r="AG141" i="44"/>
  <c r="AB141" i="44"/>
  <c r="W141" i="44"/>
  <c r="K141" i="44" s="1"/>
  <c r="R141" i="44"/>
  <c r="J141" i="44"/>
  <c r="I141" i="44"/>
  <c r="G141" i="44"/>
  <c r="AV140" i="44"/>
  <c r="AQ140" i="44"/>
  <c r="AL140" i="44"/>
  <c r="AG140" i="44"/>
  <c r="AB140" i="44"/>
  <c r="W140" i="44"/>
  <c r="R140" i="44"/>
  <c r="K140" i="44" s="1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 s="1"/>
  <c r="J138" i="44"/>
  <c r="I138" i="44"/>
  <c r="G138" i="44"/>
  <c r="AV137" i="44"/>
  <c r="AQ137" i="44"/>
  <c r="AL137" i="44"/>
  <c r="AG137" i="44"/>
  <c r="AB137" i="44"/>
  <c r="W137" i="44"/>
  <c r="R137" i="44"/>
  <c r="K137" i="44"/>
  <c r="J137" i="44"/>
  <c r="I137" i="44"/>
  <c r="G137" i="44"/>
  <c r="AQ136" i="44"/>
  <c r="AL136" i="44"/>
  <c r="AG136" i="44"/>
  <c r="AB136" i="44"/>
  <c r="W136" i="44"/>
  <c r="R136" i="44"/>
  <c r="K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V134" i="44"/>
  <c r="AQ134" i="44"/>
  <c r="AL134" i="44"/>
  <c r="AG134" i="44"/>
  <c r="AB134" i="44"/>
  <c r="W134" i="44"/>
  <c r="R134" i="44"/>
  <c r="K134" i="44"/>
  <c r="J134" i="44"/>
  <c r="I134" i="44"/>
  <c r="G134" i="44"/>
  <c r="AV133" i="44"/>
  <c r="K133" i="44" s="1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K131" i="44" s="1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G129" i="44"/>
  <c r="AB129" i="44"/>
  <c r="W129" i="44"/>
  <c r="K129" i="44" s="1"/>
  <c r="M138" i="44" s="1"/>
  <c r="R129" i="44"/>
  <c r="J129" i="44"/>
  <c r="I129" i="44"/>
  <c r="G129" i="44"/>
  <c r="AV128" i="44"/>
  <c r="AQ128" i="44"/>
  <c r="AL128" i="44"/>
  <c r="AG128" i="44"/>
  <c r="AB128" i="44"/>
  <c r="W128" i="44"/>
  <c r="R128" i="44"/>
  <c r="K128" i="44" s="1"/>
  <c r="J128" i="44"/>
  <c r="I128" i="44"/>
  <c r="G128" i="44"/>
  <c r="AV127" i="44"/>
  <c r="AQ127" i="44"/>
  <c r="AL127" i="44"/>
  <c r="AG127" i="44"/>
  <c r="AB127" i="44"/>
  <c r="W127" i="44"/>
  <c r="R127" i="44"/>
  <c r="K127" i="44" s="1"/>
  <c r="J127" i="44"/>
  <c r="I127" i="44"/>
  <c r="G127" i="44"/>
  <c r="AV126" i="44"/>
  <c r="AQ126" i="44"/>
  <c r="AL126" i="44"/>
  <c r="AG126" i="44"/>
  <c r="AB126" i="44"/>
  <c r="W126" i="44"/>
  <c r="R126" i="44"/>
  <c r="K126" i="44" s="1"/>
  <c r="J126" i="44"/>
  <c r="I126" i="44"/>
  <c r="G126" i="44"/>
  <c r="AV125" i="44"/>
  <c r="AQ125" i="44"/>
  <c r="AL125" i="44"/>
  <c r="AG125" i="44"/>
  <c r="AB125" i="44"/>
  <c r="W125" i="44"/>
  <c r="R125" i="44"/>
  <c r="K125" i="44"/>
  <c r="J125" i="44"/>
  <c r="I125" i="44"/>
  <c r="G125" i="44"/>
  <c r="AV124" i="44"/>
  <c r="AQ124" i="44"/>
  <c r="AL124" i="44"/>
  <c r="AG124" i="44"/>
  <c r="AB124" i="44"/>
  <c r="W124" i="44"/>
  <c r="R124" i="44"/>
  <c r="K124" i="44"/>
  <c r="J124" i="44"/>
  <c r="I124" i="44"/>
  <c r="G124" i="44"/>
  <c r="AV123" i="44"/>
  <c r="AQ123" i="44"/>
  <c r="AL123" i="44"/>
  <c r="AG123" i="44"/>
  <c r="AB123" i="44"/>
  <c r="W123" i="44"/>
  <c r="R123" i="44"/>
  <c r="K123" i="44"/>
  <c r="J123" i="44"/>
  <c r="I123" i="44"/>
  <c r="G123" i="44"/>
  <c r="AV122" i="44"/>
  <c r="AQ122" i="44"/>
  <c r="AL122" i="44"/>
  <c r="AG122" i="44"/>
  <c r="AB122" i="44"/>
  <c r="W122" i="44"/>
  <c r="R122" i="44"/>
  <c r="K122" i="44"/>
  <c r="J122" i="44"/>
  <c r="I122" i="44"/>
  <c r="G122" i="44"/>
  <c r="AV121" i="44"/>
  <c r="AQ121" i="44"/>
  <c r="AL121" i="44"/>
  <c r="AG121" i="44"/>
  <c r="AB121" i="44"/>
  <c r="W121" i="44"/>
  <c r="T121" i="44"/>
  <c r="R121" i="44"/>
  <c r="J121" i="44"/>
  <c r="I121" i="44"/>
  <c r="G121" i="44"/>
  <c r="G28" i="6"/>
  <c r="B28" i="6"/>
  <c r="AC34" i="6"/>
  <c r="F34" i="6" s="1"/>
  <c r="AB34" i="6"/>
  <c r="Z34" i="6"/>
  <c r="S34" i="6"/>
  <c r="T34" i="6" s="1"/>
  <c r="M34" i="6"/>
  <c r="N34" i="6" s="1"/>
  <c r="AC33" i="6"/>
  <c r="F33" i="6" s="1"/>
  <c r="AB33" i="6"/>
  <c r="Z33" i="6"/>
  <c r="S33" i="6"/>
  <c r="T33" i="6" s="1"/>
  <c r="M33" i="6"/>
  <c r="N33" i="6" s="1"/>
  <c r="AC32" i="6"/>
  <c r="F32" i="6" s="1"/>
  <c r="AB32" i="6"/>
  <c r="Z32" i="6"/>
  <c r="S32" i="6"/>
  <c r="T32" i="6" s="1"/>
  <c r="M32" i="6"/>
  <c r="N32" i="6" s="1"/>
  <c r="AC31" i="6"/>
  <c r="F31" i="6" s="1"/>
  <c r="S31" i="6"/>
  <c r="M31" i="6"/>
  <c r="AC30" i="6"/>
  <c r="F30" i="6" s="1"/>
  <c r="AB30" i="6"/>
  <c r="Z30" i="6"/>
  <c r="S30" i="6"/>
  <c r="T30" i="6" s="1"/>
  <c r="M30" i="6"/>
  <c r="N30" i="6" s="1"/>
  <c r="AC29" i="6"/>
  <c r="F29" i="6" s="1"/>
  <c r="AB29" i="6"/>
  <c r="Z29" i="6"/>
  <c r="S29" i="6"/>
  <c r="T29" i="6" s="1"/>
  <c r="M29" i="6"/>
  <c r="N29" i="6" s="1"/>
  <c r="AC28" i="6"/>
  <c r="F28" i="6" s="1"/>
  <c r="AB28" i="6"/>
  <c r="Z28" i="6"/>
  <c r="S28" i="6"/>
  <c r="T28" i="6" s="1"/>
  <c r="M28" i="6"/>
  <c r="N28" i="6" s="1"/>
  <c r="B28" i="7"/>
  <c r="AL34" i="7"/>
  <c r="AJ34" i="7"/>
  <c r="AC34" i="7"/>
  <c r="S34" i="7"/>
  <c r="M34" i="7"/>
  <c r="F34" i="7"/>
  <c r="AC33" i="7"/>
  <c r="S33" i="7"/>
  <c r="M33" i="7"/>
  <c r="F33" i="7"/>
  <c r="AC32" i="7"/>
  <c r="S32" i="7"/>
  <c r="M32" i="7"/>
  <c r="F32" i="7"/>
  <c r="AC31" i="7"/>
  <c r="S31" i="7"/>
  <c r="M31" i="7"/>
  <c r="F31" i="7"/>
  <c r="AC30" i="7"/>
  <c r="S30" i="7"/>
  <c r="M30" i="7"/>
  <c r="F30" i="7"/>
  <c r="AL29" i="7"/>
  <c r="AJ29" i="7"/>
  <c r="AC29" i="7"/>
  <c r="AD29" i="7" s="1"/>
  <c r="S29" i="7"/>
  <c r="M29" i="7"/>
  <c r="F29" i="7"/>
  <c r="AC28" i="7"/>
  <c r="S28" i="7"/>
  <c r="M28" i="7"/>
  <c r="F28" i="7"/>
  <c r="T67" i="52" l="1"/>
  <c r="K69" i="52"/>
  <c r="K68" i="52"/>
  <c r="K67" i="51"/>
  <c r="T67" i="51"/>
  <c r="K69" i="51"/>
  <c r="K68" i="51"/>
  <c r="AD67" i="51"/>
  <c r="AI67" i="51"/>
  <c r="AN67" i="51"/>
  <c r="L67" i="50"/>
  <c r="AI67" i="50"/>
  <c r="X67" i="50"/>
  <c r="Y67" i="50"/>
  <c r="AD67" i="50"/>
  <c r="K67" i="49"/>
  <c r="AN67" i="49"/>
  <c r="AS67" i="49"/>
  <c r="L67" i="48"/>
  <c r="AS67" i="48"/>
  <c r="Y67" i="48"/>
  <c r="L67" i="47"/>
  <c r="Y67" i="47"/>
  <c r="T67" i="46"/>
  <c r="AD67" i="46"/>
  <c r="K68" i="46"/>
  <c r="L67" i="45"/>
  <c r="T67" i="45"/>
  <c r="AH67" i="45"/>
  <c r="M133" i="44"/>
  <c r="M132" i="44"/>
  <c r="M134" i="44"/>
  <c r="M129" i="44"/>
  <c r="M122" i="44"/>
  <c r="M135" i="44"/>
  <c r="M153" i="44"/>
  <c r="M147" i="44"/>
  <c r="M146" i="44"/>
  <c r="M140" i="44"/>
  <c r="M136" i="44"/>
  <c r="M121" i="44"/>
  <c r="M151" i="44"/>
  <c r="M150" i="44"/>
  <c r="M149" i="44"/>
  <c r="M148" i="44"/>
  <c r="M127" i="44"/>
  <c r="M125" i="44"/>
  <c r="M144" i="44"/>
  <c r="M123" i="44"/>
  <c r="M142" i="44"/>
  <c r="M139" i="44"/>
  <c r="M152" i="44"/>
  <c r="M131" i="44"/>
  <c r="M130" i="44"/>
  <c r="M128" i="44"/>
  <c r="M126" i="44"/>
  <c r="M145" i="44"/>
  <c r="M124" i="44"/>
  <c r="M143" i="44"/>
  <c r="M141" i="44"/>
  <c r="AN121" i="44"/>
  <c r="AD121" i="44"/>
  <c r="K149" i="44"/>
  <c r="K121" i="44"/>
  <c r="Y121" i="44"/>
  <c r="H121" i="44"/>
  <c r="AX121" i="44"/>
  <c r="AI121" i="44"/>
  <c r="K139" i="44"/>
  <c r="K132" i="44"/>
  <c r="K150" i="44"/>
  <c r="K130" i="44"/>
  <c r="K148" i="44"/>
  <c r="K147" i="44"/>
  <c r="K146" i="44"/>
  <c r="K145" i="44"/>
  <c r="AS121" i="44"/>
  <c r="X31" i="6"/>
  <c r="V31" i="6"/>
  <c r="R31" i="6"/>
  <c r="P31" i="6"/>
  <c r="L31" i="6"/>
  <c r="J31" i="6"/>
  <c r="AL31" i="6"/>
  <c r="AJ31" i="6"/>
  <c r="AD31" i="6"/>
  <c r="AF31" i="6"/>
  <c r="AH31" i="6"/>
  <c r="X29" i="6"/>
  <c r="V29" i="6"/>
  <c r="R29" i="6"/>
  <c r="P29" i="6"/>
  <c r="L29" i="6"/>
  <c r="J29" i="6"/>
  <c r="AL29" i="6"/>
  <c r="AJ29" i="6"/>
  <c r="X34" i="6"/>
  <c r="V34" i="6"/>
  <c r="R34" i="6"/>
  <c r="P34" i="6"/>
  <c r="L34" i="6"/>
  <c r="J34" i="6"/>
  <c r="AL34" i="6"/>
  <c r="AJ34" i="6"/>
  <c r="AH34" i="6"/>
  <c r="AD29" i="6"/>
  <c r="AD34" i="6"/>
  <c r="AF29" i="6"/>
  <c r="AF34" i="6"/>
  <c r="AH29" i="6"/>
  <c r="X32" i="6"/>
  <c r="V32" i="6"/>
  <c r="R32" i="6"/>
  <c r="P32" i="6"/>
  <c r="L32" i="6"/>
  <c r="J32" i="6"/>
  <c r="AL32" i="6"/>
  <c r="AJ32" i="6"/>
  <c r="AD32" i="6"/>
  <c r="AF32" i="6"/>
  <c r="AH32" i="6"/>
  <c r="X30" i="6"/>
  <c r="V30" i="6"/>
  <c r="R30" i="6"/>
  <c r="P30" i="6"/>
  <c r="L30" i="6"/>
  <c r="J30" i="6"/>
  <c r="AL30" i="6"/>
  <c r="AJ30" i="6"/>
  <c r="AD30" i="6"/>
  <c r="AF30" i="6"/>
  <c r="AH30" i="6"/>
  <c r="X28" i="6"/>
  <c r="V28" i="6"/>
  <c r="R28" i="6"/>
  <c r="P28" i="6"/>
  <c r="L28" i="6"/>
  <c r="J28" i="6"/>
  <c r="AL28" i="6"/>
  <c r="AJ28" i="6"/>
  <c r="N31" i="6"/>
  <c r="X33" i="6"/>
  <c r="V33" i="6"/>
  <c r="R33" i="6"/>
  <c r="P33" i="6"/>
  <c r="L33" i="6"/>
  <c r="J33" i="6"/>
  <c r="AL33" i="6"/>
  <c r="AJ33" i="6"/>
  <c r="AD28" i="6"/>
  <c r="T31" i="6"/>
  <c r="AD33" i="6"/>
  <c r="AF28" i="6"/>
  <c r="Z31" i="6"/>
  <c r="AF33" i="6"/>
  <c r="AH28" i="6"/>
  <c r="AB31" i="6"/>
  <c r="AH33" i="6"/>
  <c r="AH32" i="7"/>
  <c r="AF32" i="7"/>
  <c r="AB32" i="7"/>
  <c r="Z32" i="7"/>
  <c r="X32" i="7"/>
  <c r="V32" i="7"/>
  <c r="R32" i="7"/>
  <c r="P32" i="7"/>
  <c r="L32" i="7"/>
  <c r="J32" i="7"/>
  <c r="N32" i="7"/>
  <c r="T32" i="7"/>
  <c r="AH30" i="7"/>
  <c r="AF30" i="7"/>
  <c r="AB30" i="7"/>
  <c r="Z30" i="7"/>
  <c r="X30" i="7"/>
  <c r="V30" i="7"/>
  <c r="R30" i="7"/>
  <c r="P30" i="7"/>
  <c r="L30" i="7"/>
  <c r="AD32" i="7"/>
  <c r="J30" i="7"/>
  <c r="AJ32" i="7"/>
  <c r="N30" i="7"/>
  <c r="AL32" i="7"/>
  <c r="AH28" i="7"/>
  <c r="AF28" i="7"/>
  <c r="AB28" i="7"/>
  <c r="Z28" i="7"/>
  <c r="X28" i="7"/>
  <c r="V28" i="7"/>
  <c r="R28" i="7"/>
  <c r="P28" i="7"/>
  <c r="L28" i="7"/>
  <c r="T30" i="7"/>
  <c r="G28" i="7"/>
  <c r="AD30" i="7"/>
  <c r="AH33" i="7"/>
  <c r="AF33" i="7"/>
  <c r="AB33" i="7"/>
  <c r="Z33" i="7"/>
  <c r="X33" i="7"/>
  <c r="V33" i="7"/>
  <c r="R33" i="7"/>
  <c r="P33" i="7"/>
  <c r="L33" i="7"/>
  <c r="J28" i="7"/>
  <c r="AJ30" i="7"/>
  <c r="J33" i="7"/>
  <c r="N28" i="7"/>
  <c r="AL30" i="7"/>
  <c r="N33" i="7"/>
  <c r="T28" i="7"/>
  <c r="T33" i="7"/>
  <c r="AD28" i="7"/>
  <c r="AH31" i="7"/>
  <c r="AF31" i="7"/>
  <c r="AB31" i="7"/>
  <c r="Z31" i="7"/>
  <c r="X31" i="7"/>
  <c r="V31" i="7"/>
  <c r="R31" i="7"/>
  <c r="P31" i="7"/>
  <c r="L31" i="7"/>
  <c r="AD33" i="7"/>
  <c r="AJ28" i="7"/>
  <c r="J31" i="7"/>
  <c r="AJ33" i="7"/>
  <c r="AL28" i="7"/>
  <c r="N31" i="7"/>
  <c r="AL33" i="7"/>
  <c r="T31" i="7"/>
  <c r="AH29" i="7"/>
  <c r="AF29" i="7"/>
  <c r="AB29" i="7"/>
  <c r="Z29" i="7"/>
  <c r="X29" i="7"/>
  <c r="V29" i="7"/>
  <c r="R29" i="7"/>
  <c r="P29" i="7"/>
  <c r="L29" i="7"/>
  <c r="AD31" i="7"/>
  <c r="AH34" i="7"/>
  <c r="AF34" i="7"/>
  <c r="AB34" i="7"/>
  <c r="Z34" i="7"/>
  <c r="X34" i="7"/>
  <c r="V34" i="7"/>
  <c r="R34" i="7"/>
  <c r="P34" i="7"/>
  <c r="L34" i="7"/>
  <c r="J34" i="7"/>
  <c r="J29" i="7"/>
  <c r="AJ31" i="7"/>
  <c r="N34" i="7"/>
  <c r="N29" i="7"/>
  <c r="AL31" i="7"/>
  <c r="T34" i="7"/>
  <c r="T29" i="7"/>
  <c r="AD34" i="7"/>
  <c r="L67" i="52" l="1"/>
  <c r="L67" i="51"/>
  <c r="L67" i="49"/>
  <c r="L67" i="46"/>
  <c r="L121" i="44"/>
  <c r="B36" i="39" l="1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AC103" i="64"/>
  <c r="AC105" i="64" s="1"/>
  <c r="I54" i="41" s="1"/>
  <c r="AD103" i="64"/>
  <c r="AD105" i="64" s="1"/>
  <c r="K54" i="41" s="1"/>
  <c r="AE103" i="64"/>
  <c r="AE105" i="64" s="1"/>
  <c r="M54" i="41" s="1"/>
  <c r="AF103" i="64"/>
  <c r="AF105" i="64" s="1"/>
  <c r="G59" i="41" s="1"/>
  <c r="AG103" i="64"/>
  <c r="AG105" i="64" s="1"/>
  <c r="I59" i="41" s="1"/>
  <c r="AH103" i="64"/>
  <c r="AH105" i="64" s="1"/>
  <c r="K59" i="41" s="1"/>
  <c r="AC104" i="64"/>
  <c r="H54" i="41" s="1"/>
  <c r="AD104" i="64"/>
  <c r="J54" i="41" s="1"/>
  <c r="AE104" i="64"/>
  <c r="L54" i="41" s="1"/>
  <c r="AF104" i="64"/>
  <c r="F59" i="41" s="1"/>
  <c r="AG104" i="64"/>
  <c r="H59" i="41" s="1"/>
  <c r="AH104" i="64"/>
  <c r="J59" i="41" s="1"/>
  <c r="AB104" i="64"/>
  <c r="F54" i="41" s="1"/>
  <c r="AB103" i="64"/>
  <c r="AB105" i="64" s="1"/>
  <c r="G54" i="41" s="1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AA103" i="64"/>
  <c r="R103" i="64"/>
  <c r="S103" i="64" s="1"/>
  <c r="Q103" i="64"/>
  <c r="P103" i="64"/>
  <c r="M103" i="64"/>
  <c r="K103" i="64"/>
  <c r="I103" i="64"/>
  <c r="AC103" i="63"/>
  <c r="AC105" i="63" s="1"/>
  <c r="I53" i="41" s="1"/>
  <c r="AD103" i="63"/>
  <c r="AD105" i="63" s="1"/>
  <c r="K53" i="41" s="1"/>
  <c r="AE103" i="63"/>
  <c r="AE105" i="63" s="1"/>
  <c r="M53" i="41" s="1"/>
  <c r="AF103" i="63"/>
  <c r="AF105" i="63" s="1"/>
  <c r="G58" i="41" s="1"/>
  <c r="AG103" i="63"/>
  <c r="AG105" i="63" s="1"/>
  <c r="I58" i="41" s="1"/>
  <c r="AH103" i="63"/>
  <c r="AH105" i="63" s="1"/>
  <c r="K58" i="41" s="1"/>
  <c r="AC104" i="63"/>
  <c r="H53" i="41" s="1"/>
  <c r="AD104" i="63"/>
  <c r="J53" i="41" s="1"/>
  <c r="AE104" i="63"/>
  <c r="L53" i="41" s="1"/>
  <c r="AF104" i="63"/>
  <c r="F58" i="41" s="1"/>
  <c r="AG104" i="63"/>
  <c r="H58" i="41" s="1"/>
  <c r="AH104" i="63"/>
  <c r="J58" i="41" s="1"/>
  <c r="AB104" i="63"/>
  <c r="F53" i="41" s="1"/>
  <c r="AB103" i="63"/>
  <c r="AB105" i="63" s="1"/>
  <c r="G53" i="41" s="1"/>
  <c r="Q122" i="63"/>
  <c r="S122" i="63" s="1"/>
  <c r="P122" i="63"/>
  <c r="M122" i="63"/>
  <c r="K122" i="63"/>
  <c r="I122" i="63"/>
  <c r="Q121" i="63"/>
  <c r="R121" i="63" s="1"/>
  <c r="P121" i="63"/>
  <c r="M121" i="63"/>
  <c r="K121" i="63"/>
  <c r="I121" i="63"/>
  <c r="Q120" i="63"/>
  <c r="S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R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S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S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Q104" i="63"/>
  <c r="R104" i="63" s="1"/>
  <c r="P104" i="63"/>
  <c r="M104" i="63"/>
  <c r="K104" i="63"/>
  <c r="I104" i="63"/>
  <c r="AA103" i="63"/>
  <c r="Q103" i="63"/>
  <c r="S103" i="63" s="1"/>
  <c r="P103" i="63"/>
  <c r="M103" i="63"/>
  <c r="K103" i="63"/>
  <c r="I103" i="63"/>
  <c r="K38" i="20"/>
  <c r="K30" i="20"/>
  <c r="K14" i="20"/>
  <c r="K22" i="20"/>
  <c r="R108" i="63" l="1"/>
  <c r="S104" i="63"/>
  <c r="S117" i="63"/>
  <c r="R120" i="63"/>
  <c r="R111" i="63"/>
  <c r="R114" i="63"/>
  <c r="R103" i="63"/>
  <c r="R106" i="63"/>
  <c r="R109" i="63"/>
  <c r="R112" i="63"/>
  <c r="R115" i="63"/>
  <c r="R118" i="63"/>
  <c r="R105" i="63"/>
  <c r="S121" i="63"/>
  <c r="R107" i="63"/>
  <c r="R110" i="63"/>
  <c r="R113" i="63"/>
  <c r="R116" i="63"/>
  <c r="R119" i="63"/>
  <c r="R122" i="63"/>
  <c r="M85" i="62"/>
  <c r="M84" i="62"/>
  <c r="M83" i="62"/>
  <c r="M82" i="62"/>
  <c r="M81" i="62"/>
  <c r="M86" i="62" s="1"/>
  <c r="K86" i="62" s="1"/>
  <c r="M77" i="62"/>
  <c r="M76" i="62"/>
  <c r="M75" i="62"/>
  <c r="M74" i="62"/>
  <c r="M73" i="62"/>
  <c r="M78" i="62" s="1"/>
  <c r="K78" i="62" s="1"/>
  <c r="M69" i="62"/>
  <c r="M68" i="62"/>
  <c r="M67" i="62"/>
  <c r="M66" i="62"/>
  <c r="M65" i="62"/>
  <c r="K78" i="19"/>
  <c r="M85" i="19"/>
  <c r="M84" i="19"/>
  <c r="M83" i="19"/>
  <c r="M82" i="19"/>
  <c r="M81" i="19"/>
  <c r="M86" i="19" s="1"/>
  <c r="K86" i="19" s="1"/>
  <c r="M77" i="19"/>
  <c r="M76" i="19"/>
  <c r="M75" i="19"/>
  <c r="M74" i="19"/>
  <c r="M73" i="19"/>
  <c r="M78" i="19" s="1"/>
  <c r="M69" i="19"/>
  <c r="M68" i="19"/>
  <c r="M67" i="19"/>
  <c r="M66" i="19"/>
  <c r="M65" i="19"/>
  <c r="M70" i="62" l="1"/>
  <c r="K70" i="62" s="1"/>
  <c r="M70" i="19"/>
  <c r="K70" i="19" s="1"/>
  <c r="L21" i="56" l="1"/>
  <c r="L22" i="56"/>
  <c r="L23" i="56"/>
  <c r="L24" i="56"/>
  <c r="L25" i="56"/>
  <c r="L26" i="56"/>
  <c r="L27" i="56"/>
  <c r="L28" i="56"/>
  <c r="L29" i="56"/>
  <c r="J22" i="56"/>
  <c r="J23" i="56"/>
  <c r="J24" i="56"/>
  <c r="J25" i="56"/>
  <c r="J26" i="56"/>
  <c r="J27" i="56"/>
  <c r="J28" i="56"/>
  <c r="J29" i="56"/>
  <c r="H22" i="56"/>
  <c r="H23" i="56"/>
  <c r="H24" i="56"/>
  <c r="H25" i="56"/>
  <c r="H26" i="56"/>
  <c r="H27" i="56"/>
  <c r="H28" i="56"/>
  <c r="H29" i="56"/>
  <c r="F21" i="56"/>
  <c r="F22" i="56"/>
  <c r="F23" i="56"/>
  <c r="F24" i="56"/>
  <c r="F25" i="56"/>
  <c r="F26" i="56"/>
  <c r="F27" i="56"/>
  <c r="F28" i="56"/>
  <c r="F29" i="56"/>
  <c r="D21" i="56"/>
  <c r="D22" i="56"/>
  <c r="D23" i="56"/>
  <c r="D24" i="56"/>
  <c r="D25" i="56"/>
  <c r="D26" i="56"/>
  <c r="D27" i="56"/>
  <c r="D28" i="56"/>
  <c r="D29" i="56"/>
  <c r="D30" i="56"/>
  <c r="D33" i="56"/>
  <c r="D34" i="56"/>
  <c r="D35" i="56"/>
  <c r="D36" i="56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Q47" i="51"/>
  <c r="AS47" i="51" s="1"/>
  <c r="AL47" i="51"/>
  <c r="AG47" i="51"/>
  <c r="AI47" i="51" s="1"/>
  <c r="AB47" i="51"/>
  <c r="AD47" i="51" s="1"/>
  <c r="W47" i="51"/>
  <c r="R47" i="51"/>
  <c r="T47" i="51" s="1"/>
  <c r="J47" i="51"/>
  <c r="I47" i="51"/>
  <c r="G47" i="51"/>
  <c r="H47" i="51" s="1"/>
  <c r="AN47" i="51" l="1"/>
  <c r="Y47" i="51"/>
  <c r="K47" i="51"/>
  <c r="L47" i="51" l="1"/>
  <c r="K47" i="41" l="1"/>
  <c r="J47" i="41"/>
  <c r="I47" i="41"/>
  <c r="H47" i="41"/>
  <c r="G47" i="41"/>
  <c r="F47" i="41"/>
  <c r="M93" i="63"/>
  <c r="B43" i="41" l="1"/>
  <c r="B42" i="41"/>
  <c r="J88" i="25"/>
  <c r="J87" i="25"/>
  <c r="J86" i="25"/>
  <c r="J99" i="24"/>
  <c r="J98" i="24"/>
  <c r="J97" i="24"/>
  <c r="J87" i="24"/>
  <c r="J86" i="24"/>
  <c r="J103" i="23"/>
  <c r="J102" i="23"/>
  <c r="J101" i="23"/>
  <c r="J100" i="23"/>
  <c r="J99" i="23"/>
  <c r="J98" i="23"/>
  <c r="J97" i="23"/>
  <c r="J104" i="23"/>
  <c r="J93" i="23"/>
  <c r="J92" i="23"/>
  <c r="J91" i="23"/>
  <c r="J90" i="23"/>
  <c r="J89" i="23"/>
  <c r="J88" i="23"/>
  <c r="J87" i="23"/>
  <c r="J86" i="23"/>
  <c r="J97" i="22"/>
  <c r="J88" i="22"/>
  <c r="J87" i="22"/>
  <c r="J86" i="22"/>
  <c r="J106" i="15"/>
  <c r="J105" i="15"/>
  <c r="J104" i="15"/>
  <c r="J103" i="15"/>
  <c r="J102" i="15"/>
  <c r="J101" i="15"/>
  <c r="J100" i="15"/>
  <c r="J99" i="15"/>
  <c r="J98" i="15"/>
  <c r="J97" i="15"/>
  <c r="J95" i="15"/>
  <c r="J94" i="15"/>
  <c r="J92" i="15"/>
  <c r="J91" i="15"/>
  <c r="J90" i="15"/>
  <c r="J89" i="15"/>
  <c r="J88" i="15"/>
  <c r="J87" i="15"/>
  <c r="J86" i="15"/>
  <c r="B86" i="25"/>
  <c r="A86" i="25"/>
  <c r="AW49" i="52"/>
  <c r="AW48" i="52"/>
  <c r="AW47" i="52"/>
  <c r="AR49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V49" i="52"/>
  <c r="K49" i="52" s="1"/>
  <c r="AQ49" i="52"/>
  <c r="AL49" i="52"/>
  <c r="AG49" i="52"/>
  <c r="AB49" i="52"/>
  <c r="W49" i="52"/>
  <c r="R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W47" i="52"/>
  <c r="Y47" i="52" s="1"/>
  <c r="R47" i="52"/>
  <c r="T47" i="52" s="1"/>
  <c r="K47" i="52"/>
  <c r="J47" i="52"/>
  <c r="I47" i="52"/>
  <c r="G47" i="52"/>
  <c r="H47" i="52" s="1"/>
  <c r="P62" i="52"/>
  <c r="P63" i="52" s="1"/>
  <c r="U62" i="52"/>
  <c r="U63" i="52" s="1"/>
  <c r="Z62" i="52"/>
  <c r="Z63" i="52" s="1"/>
  <c r="L47" i="52" l="1"/>
  <c r="AE62" i="52"/>
  <c r="X48" i="50"/>
  <c r="X47" i="50"/>
  <c r="S48" i="50"/>
  <c r="S47" i="50"/>
  <c r="M48" i="50"/>
  <c r="M47" i="50"/>
  <c r="AV48" i="50"/>
  <c r="AW48" i="50" s="1"/>
  <c r="AQ48" i="50"/>
  <c r="AR48" i="50" s="1"/>
  <c r="AL48" i="50"/>
  <c r="AM48" i="50" s="1"/>
  <c r="AH48" i="50"/>
  <c r="AG48" i="50"/>
  <c r="AB48" i="50"/>
  <c r="AC48" i="50" s="1"/>
  <c r="W48" i="50"/>
  <c r="R48" i="50"/>
  <c r="K48" i="50"/>
  <c r="J48" i="50"/>
  <c r="I48" i="50"/>
  <c r="G48" i="50"/>
  <c r="AX47" i="50"/>
  <c r="AV47" i="50"/>
  <c r="AW47" i="50" s="1"/>
  <c r="AQ47" i="50"/>
  <c r="AR47" i="50" s="1"/>
  <c r="AN47" i="50"/>
  <c r="AM47" i="50"/>
  <c r="AL47" i="50"/>
  <c r="AG47" i="50"/>
  <c r="AI47" i="50" s="1"/>
  <c r="AB47" i="50"/>
  <c r="AD47" i="50" s="1"/>
  <c r="W47" i="50"/>
  <c r="R47" i="50"/>
  <c r="K47" i="50" s="1"/>
  <c r="J47" i="50"/>
  <c r="I47" i="50"/>
  <c r="G47" i="50"/>
  <c r="H47" i="50" s="1"/>
  <c r="AC54" i="49"/>
  <c r="AC53" i="49"/>
  <c r="AC52" i="49"/>
  <c r="AC51" i="49"/>
  <c r="AC50" i="49"/>
  <c r="AC49" i="49"/>
  <c r="AC48" i="49"/>
  <c r="AC47" i="49"/>
  <c r="AH54" i="49"/>
  <c r="AH53" i="49"/>
  <c r="AH52" i="49"/>
  <c r="AH51" i="49"/>
  <c r="AH50" i="49"/>
  <c r="AH49" i="49"/>
  <c r="AH48" i="49"/>
  <c r="AH47" i="49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48" i="49"/>
  <c r="AM49" i="49"/>
  <c r="AM50" i="49"/>
  <c r="AM51" i="49"/>
  <c r="AM52" i="49"/>
  <c r="AM53" i="49"/>
  <c r="AM54" i="49"/>
  <c r="AM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K52" i="49" s="1"/>
  <c r="AQ52" i="49"/>
  <c r="AL52" i="49"/>
  <c r="AG52" i="49"/>
  <c r="AB52" i="49"/>
  <c r="W52" i="49"/>
  <c r="R52" i="49"/>
  <c r="J52" i="49"/>
  <c r="I52" i="49"/>
  <c r="G52" i="49"/>
  <c r="AV51" i="49"/>
  <c r="K51" i="49" s="1"/>
  <c r="AQ51" i="49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K49" i="49" s="1"/>
  <c r="AL49" i="49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B47" i="49"/>
  <c r="W47" i="49"/>
  <c r="Y47" i="49" s="1"/>
  <c r="R47" i="49"/>
  <c r="T47" i="49" s="1"/>
  <c r="J47" i="49"/>
  <c r="I47" i="49"/>
  <c r="H47" i="49"/>
  <c r="G47" i="49"/>
  <c r="C1" i="48"/>
  <c r="AM52" i="48"/>
  <c r="AC54" i="48"/>
  <c r="AC53" i="48"/>
  <c r="AC52" i="48"/>
  <c r="AC51" i="48"/>
  <c r="AC50" i="48"/>
  <c r="AC49" i="48"/>
  <c r="AC48" i="48"/>
  <c r="X50" i="48"/>
  <c r="X49" i="48"/>
  <c r="X48" i="48"/>
  <c r="S53" i="48"/>
  <c r="S54" i="48"/>
  <c r="S47" i="48"/>
  <c r="AV54" i="48"/>
  <c r="AW54" i="48" s="1"/>
  <c r="AQ54" i="48"/>
  <c r="AR54" i="48" s="1"/>
  <c r="AL54" i="48"/>
  <c r="K54" i="48" s="1"/>
  <c r="AG54" i="48"/>
  <c r="AB54" i="48"/>
  <c r="W54" i="48"/>
  <c r="X54" i="48" s="1"/>
  <c r="R54" i="48"/>
  <c r="J54" i="48"/>
  <c r="I54" i="48"/>
  <c r="G54" i="48"/>
  <c r="AV53" i="48"/>
  <c r="AW53" i="48" s="1"/>
  <c r="AQ53" i="48"/>
  <c r="AR53" i="48" s="1"/>
  <c r="AL53" i="48"/>
  <c r="AM53" i="48" s="1"/>
  <c r="AG53" i="48"/>
  <c r="K53" i="48" s="1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X52" i="48" s="1"/>
  <c r="R52" i="48"/>
  <c r="S52" i="48" s="1"/>
  <c r="J52" i="48"/>
  <c r="I52" i="48"/>
  <c r="G52" i="48"/>
  <c r="AV51" i="48"/>
  <c r="AQ51" i="48"/>
  <c r="AR51" i="48" s="1"/>
  <c r="AL51" i="48"/>
  <c r="AM51" i="48" s="1"/>
  <c r="AG51" i="48"/>
  <c r="AH51" i="48" s="1"/>
  <c r="AB51" i="48"/>
  <c r="W51" i="48"/>
  <c r="R51" i="48"/>
  <c r="J51" i="48"/>
  <c r="I51" i="48"/>
  <c r="G51" i="48"/>
  <c r="AV50" i="48"/>
  <c r="AW50" i="48" s="1"/>
  <c r="AQ50" i="48"/>
  <c r="AL50" i="48"/>
  <c r="AM50" i="48" s="1"/>
  <c r="AG50" i="48"/>
  <c r="AH50" i="48" s="1"/>
  <c r="AB50" i="48"/>
  <c r="W50" i="48"/>
  <c r="R50" i="48"/>
  <c r="S50" i="48" s="1"/>
  <c r="J50" i="48"/>
  <c r="I50" i="48"/>
  <c r="G50" i="48"/>
  <c r="AV49" i="48"/>
  <c r="AW49" i="48" s="1"/>
  <c r="AQ49" i="48"/>
  <c r="AR49" i="48" s="1"/>
  <c r="AL49" i="48"/>
  <c r="AM49" i="48" s="1"/>
  <c r="AG49" i="48"/>
  <c r="AB49" i="48"/>
  <c r="W49" i="48"/>
  <c r="R49" i="48"/>
  <c r="S49" i="48" s="1"/>
  <c r="J49" i="48"/>
  <c r="I49" i="48"/>
  <c r="G49" i="48"/>
  <c r="AV48" i="48"/>
  <c r="AW48" i="48" s="1"/>
  <c r="AQ48" i="48"/>
  <c r="AL48" i="48"/>
  <c r="AG48" i="48"/>
  <c r="AH49" i="48" s="1"/>
  <c r="AB48" i="48"/>
  <c r="W48" i="48"/>
  <c r="X51" i="48" s="1"/>
  <c r="R48" i="48"/>
  <c r="S48" i="48" s="1"/>
  <c r="J48" i="48"/>
  <c r="I48" i="48"/>
  <c r="G48" i="48"/>
  <c r="H47" i="48" s="1"/>
  <c r="AV47" i="48"/>
  <c r="AW47" i="48" s="1"/>
  <c r="AQ47" i="48"/>
  <c r="AS47" i="48" s="1"/>
  <c r="AL47" i="48"/>
  <c r="AG47" i="48"/>
  <c r="AB47" i="48"/>
  <c r="W47" i="48"/>
  <c r="X47" i="48" s="1"/>
  <c r="R47" i="48"/>
  <c r="J47" i="48"/>
  <c r="I47" i="48"/>
  <c r="G47" i="48"/>
  <c r="AV47" i="47"/>
  <c r="AX47" i="47" s="1"/>
  <c r="AQ47" i="47"/>
  <c r="AS47" i="47" s="1"/>
  <c r="AL47" i="47"/>
  <c r="AN47" i="47" s="1"/>
  <c r="AG47" i="47"/>
  <c r="AI47" i="47" s="1"/>
  <c r="AB47" i="47"/>
  <c r="AD47" i="47" s="1"/>
  <c r="W47" i="47"/>
  <c r="Y47" i="47" s="1"/>
  <c r="T47" i="47"/>
  <c r="S47" i="47"/>
  <c r="R47" i="47"/>
  <c r="J47" i="47"/>
  <c r="I47" i="47"/>
  <c r="G47" i="47"/>
  <c r="H47" i="47" s="1"/>
  <c r="AV49" i="46"/>
  <c r="AW49" i="46" s="1"/>
  <c r="AQ49" i="46"/>
  <c r="AL49" i="46"/>
  <c r="AM49" i="46" s="1"/>
  <c r="AG49" i="46"/>
  <c r="AH49" i="46" s="1"/>
  <c r="AB49" i="46"/>
  <c r="AC49" i="46" s="1"/>
  <c r="W49" i="46"/>
  <c r="X49" i="46" s="1"/>
  <c r="R49" i="46"/>
  <c r="S49" i="46" s="1"/>
  <c r="K49" i="46"/>
  <c r="J49" i="46"/>
  <c r="I49" i="46"/>
  <c r="G49" i="46"/>
  <c r="AW48" i="46"/>
  <c r="AV48" i="46"/>
  <c r="AQ48" i="46"/>
  <c r="AR48" i="46" s="1"/>
  <c r="AL48" i="46"/>
  <c r="AM48" i="46" s="1"/>
  <c r="AG48" i="46"/>
  <c r="AH48" i="46" s="1"/>
  <c r="AB48" i="46"/>
  <c r="W48" i="46"/>
  <c r="X48" i="46" s="1"/>
  <c r="R48" i="46"/>
  <c r="S48" i="46" s="1"/>
  <c r="K48" i="46"/>
  <c r="M48" i="46" s="1"/>
  <c r="J48" i="46"/>
  <c r="I48" i="46"/>
  <c r="G48" i="46"/>
  <c r="AX47" i="46"/>
  <c r="AW47" i="46"/>
  <c r="AV47" i="46"/>
  <c r="AR47" i="46"/>
  <c r="AQ47" i="46"/>
  <c r="AL47" i="46"/>
  <c r="AN47" i="46" s="1"/>
  <c r="AG47" i="46"/>
  <c r="AI47" i="46" s="1"/>
  <c r="AB47" i="46"/>
  <c r="AC48" i="46" s="1"/>
  <c r="W47" i="46"/>
  <c r="X47" i="46" s="1"/>
  <c r="R47" i="46"/>
  <c r="K47" i="46" s="1"/>
  <c r="J47" i="46"/>
  <c r="I47" i="46"/>
  <c r="G47" i="46"/>
  <c r="H47" i="46" s="1"/>
  <c r="K47" i="45"/>
  <c r="AV56" i="45"/>
  <c r="AW56" i="45" s="1"/>
  <c r="AQ56" i="45"/>
  <c r="AR56" i="45" s="1"/>
  <c r="AL56" i="45"/>
  <c r="AM56" i="45" s="1"/>
  <c r="AG56" i="45"/>
  <c r="AH56" i="45" s="1"/>
  <c r="AB56" i="45"/>
  <c r="AC56" i="45" s="1"/>
  <c r="W56" i="45"/>
  <c r="X56" i="45" s="1"/>
  <c r="R56" i="45"/>
  <c r="S56" i="45" s="1"/>
  <c r="K56" i="45"/>
  <c r="J56" i="45"/>
  <c r="I56" i="45"/>
  <c r="G56" i="45"/>
  <c r="AW55" i="45"/>
  <c r="AV55" i="45"/>
  <c r="AQ55" i="45"/>
  <c r="AR55" i="45" s="1"/>
  <c r="AL55" i="45"/>
  <c r="AM55" i="45" s="1"/>
  <c r="AG55" i="45"/>
  <c r="AH55" i="45" s="1"/>
  <c r="AB55" i="45"/>
  <c r="AC55" i="45" s="1"/>
  <c r="W55" i="45"/>
  <c r="X55" i="45" s="1"/>
  <c r="R55" i="45"/>
  <c r="S55" i="45" s="1"/>
  <c r="K55" i="45"/>
  <c r="J55" i="45"/>
  <c r="I55" i="45"/>
  <c r="G55" i="45"/>
  <c r="AV54" i="45"/>
  <c r="AW54" i="45" s="1"/>
  <c r="AQ54" i="45"/>
  <c r="AR54" i="45" s="1"/>
  <c r="AL54" i="45"/>
  <c r="AM54" i="45" s="1"/>
  <c r="AG54" i="45"/>
  <c r="AH54" i="45" s="1"/>
  <c r="AB54" i="45"/>
  <c r="AC54" i="45" s="1"/>
  <c r="W54" i="45"/>
  <c r="X54" i="45" s="1"/>
  <c r="R54" i="45"/>
  <c r="S54" i="45" s="1"/>
  <c r="J54" i="45"/>
  <c r="I54" i="45"/>
  <c r="G54" i="45"/>
  <c r="AV53" i="45"/>
  <c r="K53" i="45" s="1"/>
  <c r="AR53" i="45"/>
  <c r="AQ53" i="45"/>
  <c r="AL53" i="45"/>
  <c r="AM53" i="45" s="1"/>
  <c r="AG53" i="45"/>
  <c r="AH53" i="45" s="1"/>
  <c r="AB53" i="45"/>
  <c r="AC53" i="45" s="1"/>
  <c r="W53" i="45"/>
  <c r="X53" i="45" s="1"/>
  <c r="R53" i="45"/>
  <c r="S53" i="45" s="1"/>
  <c r="J53" i="45"/>
  <c r="I53" i="45"/>
  <c r="G53" i="45"/>
  <c r="AV52" i="45"/>
  <c r="AW52" i="45" s="1"/>
  <c r="AQ52" i="45"/>
  <c r="K52" i="45" s="1"/>
  <c r="AL52" i="45"/>
  <c r="AM52" i="45" s="1"/>
  <c r="AG52" i="45"/>
  <c r="AH52" i="45" s="1"/>
  <c r="AB52" i="45"/>
  <c r="AC52" i="45" s="1"/>
  <c r="W52" i="45"/>
  <c r="X52" i="45" s="1"/>
  <c r="R52" i="45"/>
  <c r="S52" i="45" s="1"/>
  <c r="J52" i="45"/>
  <c r="I52" i="45"/>
  <c r="G52" i="45"/>
  <c r="AV51" i="45"/>
  <c r="AW51" i="45" s="1"/>
  <c r="AQ51" i="45"/>
  <c r="K51" i="45" s="1"/>
  <c r="AL51" i="45"/>
  <c r="AG51" i="45"/>
  <c r="AH51" i="45" s="1"/>
  <c r="AB51" i="45"/>
  <c r="AC51" i="45" s="1"/>
  <c r="W51" i="45"/>
  <c r="X51" i="45" s="1"/>
  <c r="R51" i="45"/>
  <c r="S51" i="45" s="1"/>
  <c r="J51" i="45"/>
  <c r="I51" i="45"/>
  <c r="G51" i="45"/>
  <c r="AV50" i="45"/>
  <c r="AW50" i="45" s="1"/>
  <c r="AQ50" i="45"/>
  <c r="AR50" i="45" s="1"/>
  <c r="AL50" i="45"/>
  <c r="AM50" i="45" s="1"/>
  <c r="AG50" i="45"/>
  <c r="AH50" i="45" s="1"/>
  <c r="AB50" i="45"/>
  <c r="AC50" i="45" s="1"/>
  <c r="W50" i="45"/>
  <c r="X50" i="45" s="1"/>
  <c r="R50" i="45"/>
  <c r="S50" i="45" s="1"/>
  <c r="J50" i="45"/>
  <c r="I50" i="45"/>
  <c r="G50" i="45"/>
  <c r="AV49" i="45"/>
  <c r="AW49" i="45" s="1"/>
  <c r="AQ49" i="45"/>
  <c r="AR49" i="45" s="1"/>
  <c r="AL49" i="45"/>
  <c r="K49" i="45" s="1"/>
  <c r="AG49" i="45"/>
  <c r="AB49" i="45"/>
  <c r="AC49" i="45" s="1"/>
  <c r="W49" i="45"/>
  <c r="X49" i="45" s="1"/>
  <c r="R49" i="45"/>
  <c r="S49" i="45" s="1"/>
  <c r="J49" i="45"/>
  <c r="I49" i="45"/>
  <c r="G49" i="45"/>
  <c r="AV48" i="45"/>
  <c r="AW48" i="45" s="1"/>
  <c r="AQ48" i="45"/>
  <c r="AR48" i="45" s="1"/>
  <c r="AL48" i="45"/>
  <c r="AM48" i="45" s="1"/>
  <c r="AG48" i="45"/>
  <c r="K48" i="45" s="1"/>
  <c r="AB48" i="45"/>
  <c r="AC48" i="45" s="1"/>
  <c r="W48" i="45"/>
  <c r="X48" i="45" s="1"/>
  <c r="R48" i="45"/>
  <c r="S48" i="45" s="1"/>
  <c r="J48" i="45"/>
  <c r="I48" i="45"/>
  <c r="G48" i="45"/>
  <c r="AV47" i="45"/>
  <c r="AX47" i="45" s="1"/>
  <c r="AQ47" i="45"/>
  <c r="AR47" i="45" s="1"/>
  <c r="AL47" i="45"/>
  <c r="AG47" i="45"/>
  <c r="AI47" i="45" s="1"/>
  <c r="AB47" i="45"/>
  <c r="AD47" i="45" s="1"/>
  <c r="W47" i="45"/>
  <c r="Y47" i="45" s="1"/>
  <c r="R47" i="45"/>
  <c r="T47" i="45" s="1"/>
  <c r="J47" i="45"/>
  <c r="I47" i="45"/>
  <c r="G47" i="45"/>
  <c r="H47" i="45" s="1"/>
  <c r="P62" i="45"/>
  <c r="P63" i="45" s="1"/>
  <c r="U62" i="45"/>
  <c r="U63" i="45" s="1"/>
  <c r="Z62" i="45"/>
  <c r="Z63" i="45" s="1"/>
  <c r="AE62" i="45"/>
  <c r="AE63" i="45" s="1"/>
  <c r="AJ62" i="45"/>
  <c r="AJ63" i="45" s="1"/>
  <c r="AO62" i="45"/>
  <c r="AT62" i="45" s="1"/>
  <c r="AT63" i="45" s="1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83" i="44"/>
  <c r="AV114" i="44"/>
  <c r="AQ114" i="44"/>
  <c r="AL114" i="44"/>
  <c r="AG114" i="44"/>
  <c r="AB114" i="44"/>
  <c r="W114" i="44"/>
  <c r="R114" i="44"/>
  <c r="K114" i="44"/>
  <c r="J114" i="44"/>
  <c r="I114" i="44"/>
  <c r="G114" i="44"/>
  <c r="AV113" i="44"/>
  <c r="AQ113" i="44"/>
  <c r="AL113" i="44"/>
  <c r="AG113" i="44"/>
  <c r="AB113" i="44"/>
  <c r="W113" i="44"/>
  <c r="R113" i="44"/>
  <c r="K113" i="44"/>
  <c r="J113" i="44"/>
  <c r="I113" i="44"/>
  <c r="G113" i="44"/>
  <c r="AV112" i="44"/>
  <c r="K112" i="44" s="1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B111" i="44"/>
  <c r="W111" i="44"/>
  <c r="R111" i="44"/>
  <c r="J111" i="44"/>
  <c r="I111" i="44"/>
  <c r="G111" i="44"/>
  <c r="AV110" i="44"/>
  <c r="AQ110" i="44"/>
  <c r="K110" i="44" s="1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K108" i="44" s="1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K106" i="44" s="1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K104" i="44" s="1"/>
  <c r="W104" i="44"/>
  <c r="R104" i="44"/>
  <c r="J104" i="44"/>
  <c r="I104" i="44"/>
  <c r="G104" i="44"/>
  <c r="AV103" i="44"/>
  <c r="AQ103" i="44"/>
  <c r="AL103" i="44"/>
  <c r="AG103" i="44"/>
  <c r="AB103" i="44"/>
  <c r="K103" i="44" s="1"/>
  <c r="W103" i="44"/>
  <c r="R103" i="44"/>
  <c r="J103" i="44"/>
  <c r="I103" i="44"/>
  <c r="G103" i="44"/>
  <c r="AV102" i="44"/>
  <c r="AQ102" i="44"/>
  <c r="AL102" i="44"/>
  <c r="AG102" i="44"/>
  <c r="AB102" i="44"/>
  <c r="W102" i="44"/>
  <c r="K102" i="44" s="1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K100" i="44" s="1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K98" i="44"/>
  <c r="J98" i="44"/>
  <c r="I98" i="44"/>
  <c r="G98" i="44"/>
  <c r="AV97" i="44"/>
  <c r="AQ97" i="44"/>
  <c r="AL97" i="44"/>
  <c r="AG97" i="44"/>
  <c r="AB97" i="44"/>
  <c r="W97" i="44"/>
  <c r="R97" i="44"/>
  <c r="K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K92" i="44" s="1"/>
  <c r="AQ92" i="44"/>
  <c r="AL92" i="44"/>
  <c r="AG92" i="44"/>
  <c r="AB92" i="44"/>
  <c r="W92" i="44"/>
  <c r="R92" i="44"/>
  <c r="J92" i="44"/>
  <c r="I92" i="44"/>
  <c r="G92" i="44"/>
  <c r="AV91" i="44"/>
  <c r="K91" i="44" s="1"/>
  <c r="AQ91" i="44"/>
  <c r="AL91" i="44"/>
  <c r="AG91" i="44"/>
  <c r="AB91" i="44"/>
  <c r="W91" i="44"/>
  <c r="R91" i="44"/>
  <c r="J91" i="44"/>
  <c r="I91" i="44"/>
  <c r="G91" i="44"/>
  <c r="AV90" i="44"/>
  <c r="AQ90" i="44"/>
  <c r="K90" i="44" s="1"/>
  <c r="AL90" i="44"/>
  <c r="AG90" i="44"/>
  <c r="AB90" i="44"/>
  <c r="W90" i="44"/>
  <c r="R90" i="44"/>
  <c r="J90" i="44"/>
  <c r="I90" i="44"/>
  <c r="G90" i="44"/>
  <c r="AV89" i="44"/>
  <c r="AQ89" i="44"/>
  <c r="K89" i="44" s="1"/>
  <c r="AL89" i="44"/>
  <c r="AG89" i="44"/>
  <c r="AB89" i="44"/>
  <c r="W89" i="44"/>
  <c r="R89" i="44"/>
  <c r="J89" i="44"/>
  <c r="I89" i="44"/>
  <c r="G89" i="44"/>
  <c r="AV88" i="44"/>
  <c r="AQ88" i="44"/>
  <c r="AL88" i="44"/>
  <c r="K88" i="44" s="1"/>
  <c r="AG88" i="44"/>
  <c r="AB88" i="44"/>
  <c r="W88" i="44"/>
  <c r="R88" i="44"/>
  <c r="J88" i="44"/>
  <c r="I88" i="44"/>
  <c r="G88" i="44"/>
  <c r="AV87" i="44"/>
  <c r="AQ87" i="44"/>
  <c r="AL87" i="44"/>
  <c r="K87" i="44" s="1"/>
  <c r="AG87" i="44"/>
  <c r="AB87" i="44"/>
  <c r="W87" i="44"/>
  <c r="R87" i="44"/>
  <c r="J87" i="44"/>
  <c r="I87" i="44"/>
  <c r="G87" i="44"/>
  <c r="AV86" i="44"/>
  <c r="AQ86" i="44"/>
  <c r="AL86" i="44"/>
  <c r="AG86" i="44"/>
  <c r="K86" i="44" s="1"/>
  <c r="AB86" i="44"/>
  <c r="W86" i="44"/>
  <c r="R86" i="44"/>
  <c r="J86" i="44"/>
  <c r="I86" i="44"/>
  <c r="G86" i="44"/>
  <c r="AV85" i="44"/>
  <c r="AQ85" i="44"/>
  <c r="AL85" i="44"/>
  <c r="AG85" i="44"/>
  <c r="K85" i="44" s="1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P116" i="44"/>
  <c r="P117" i="44" s="1"/>
  <c r="B14" i="6"/>
  <c r="B21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AD21" i="6" s="1"/>
  <c r="S21" i="6"/>
  <c r="T21" i="6" s="1"/>
  <c r="M21" i="6"/>
  <c r="N21" i="6" s="1"/>
  <c r="F21" i="6"/>
  <c r="AL21" i="6" s="1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AE63" i="52" l="1"/>
  <c r="AJ62" i="52"/>
  <c r="L47" i="50"/>
  <c r="T47" i="50"/>
  <c r="Y47" i="50"/>
  <c r="AC47" i="50"/>
  <c r="AH47" i="50"/>
  <c r="AS47" i="50"/>
  <c r="K47" i="49"/>
  <c r="AD47" i="49"/>
  <c r="AI47" i="49"/>
  <c r="AR50" i="48"/>
  <c r="S51" i="48"/>
  <c r="AH47" i="48"/>
  <c r="AH48" i="48"/>
  <c r="AR52" i="48"/>
  <c r="K48" i="48"/>
  <c r="K50" i="48"/>
  <c r="AR48" i="48"/>
  <c r="AH52" i="48"/>
  <c r="AN47" i="48"/>
  <c r="AX47" i="48"/>
  <c r="AH53" i="48"/>
  <c r="K51" i="48"/>
  <c r="M51" i="48" s="1"/>
  <c r="AM54" i="48"/>
  <c r="AR47" i="48"/>
  <c r="AH54" i="48"/>
  <c r="T47" i="48"/>
  <c r="AM47" i="48"/>
  <c r="AW51" i="48"/>
  <c r="Y47" i="48"/>
  <c r="AM48" i="48"/>
  <c r="AW52" i="48"/>
  <c r="AD47" i="48"/>
  <c r="X53" i="48"/>
  <c r="AI47" i="48"/>
  <c r="AC47" i="48"/>
  <c r="K47" i="48"/>
  <c r="K49" i="48"/>
  <c r="AH47" i="47"/>
  <c r="X47" i="47"/>
  <c r="AC47" i="47"/>
  <c r="K47" i="47"/>
  <c r="AW47" i="47"/>
  <c r="AM47" i="47"/>
  <c r="AR47" i="47"/>
  <c r="L47" i="46"/>
  <c r="M47" i="46"/>
  <c r="M49" i="46"/>
  <c r="S47" i="46"/>
  <c r="Y47" i="46"/>
  <c r="AC47" i="46"/>
  <c r="AD47" i="46"/>
  <c r="AH47" i="46"/>
  <c r="AM47" i="46"/>
  <c r="T47" i="46"/>
  <c r="AR49" i="46"/>
  <c r="AS47" i="46"/>
  <c r="M47" i="45"/>
  <c r="AH49" i="45"/>
  <c r="AR52" i="45"/>
  <c r="AH48" i="45"/>
  <c r="AS47" i="45"/>
  <c r="K54" i="45"/>
  <c r="AN47" i="45"/>
  <c r="AW53" i="45"/>
  <c r="AW47" i="45"/>
  <c r="S47" i="45"/>
  <c r="K50" i="45"/>
  <c r="M50" i="45" s="1"/>
  <c r="AC47" i="45"/>
  <c r="AM51" i="45"/>
  <c r="AM47" i="45"/>
  <c r="AM49" i="45"/>
  <c r="AR51" i="45"/>
  <c r="X47" i="45"/>
  <c r="AH47" i="45"/>
  <c r="AO63" i="45"/>
  <c r="K99" i="44"/>
  <c r="K109" i="44"/>
  <c r="T83" i="44"/>
  <c r="Y83" i="44"/>
  <c r="K111" i="44"/>
  <c r="K83" i="44"/>
  <c r="AN83" i="44"/>
  <c r="K107" i="44"/>
  <c r="AD83" i="44"/>
  <c r="K84" i="44"/>
  <c r="K101" i="44"/>
  <c r="H83" i="44"/>
  <c r="K105" i="44"/>
  <c r="AI83" i="44"/>
  <c r="AS83" i="44"/>
  <c r="AX83" i="44"/>
  <c r="U116" i="44"/>
  <c r="T26" i="6"/>
  <c r="AD26" i="6"/>
  <c r="N27" i="6"/>
  <c r="T27" i="6"/>
  <c r="AD27" i="6"/>
  <c r="N23" i="6"/>
  <c r="T23" i="6"/>
  <c r="AD23" i="6"/>
  <c r="N24" i="6"/>
  <c r="T24" i="6"/>
  <c r="AD24" i="6"/>
  <c r="N25" i="6"/>
  <c r="F22" i="6"/>
  <c r="G21" i="6" s="1"/>
  <c r="F23" i="6"/>
  <c r="F24" i="6"/>
  <c r="F25" i="6"/>
  <c r="F26" i="6"/>
  <c r="F27" i="6"/>
  <c r="J21" i="6"/>
  <c r="L21" i="6"/>
  <c r="P21" i="6"/>
  <c r="R21" i="6"/>
  <c r="V21" i="6"/>
  <c r="X21" i="6"/>
  <c r="Z21" i="6"/>
  <c r="AB21" i="6"/>
  <c r="AF21" i="6"/>
  <c r="AH21" i="6"/>
  <c r="AJ21" i="6"/>
  <c r="J21" i="7"/>
  <c r="J23" i="7"/>
  <c r="J26" i="7"/>
  <c r="L21" i="7"/>
  <c r="L23" i="7"/>
  <c r="L24" i="7"/>
  <c r="L25" i="7"/>
  <c r="L26" i="7"/>
  <c r="L27" i="7"/>
  <c r="P21" i="7"/>
  <c r="P23" i="7"/>
  <c r="P26" i="7"/>
  <c r="R21" i="7"/>
  <c r="R23" i="7"/>
  <c r="R24" i="7"/>
  <c r="R26" i="7"/>
  <c r="R27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G21" i="7"/>
  <c r="J22" i="7"/>
  <c r="J24" i="7"/>
  <c r="J25" i="7"/>
  <c r="J27" i="7"/>
  <c r="L22" i="7"/>
  <c r="P22" i="7"/>
  <c r="P24" i="7"/>
  <c r="P25" i="7"/>
  <c r="P27" i="7"/>
  <c r="R22" i="7"/>
  <c r="R25" i="7"/>
  <c r="AB21" i="7"/>
  <c r="AB22" i="7"/>
  <c r="AB23" i="7"/>
  <c r="AB24" i="7"/>
  <c r="AB25" i="7"/>
  <c r="AB26" i="7"/>
  <c r="AB27" i="7"/>
  <c r="AF21" i="7"/>
  <c r="AF22" i="7"/>
  <c r="AF23" i="7"/>
  <c r="AF24" i="7"/>
  <c r="AF25" i="7"/>
  <c r="AF26" i="7"/>
  <c r="AF27" i="7"/>
  <c r="AH21" i="7"/>
  <c r="AH22" i="7"/>
  <c r="AH23" i="7"/>
  <c r="AH24" i="7"/>
  <c r="AH25" i="7"/>
  <c r="AH26" i="7"/>
  <c r="AH27" i="7"/>
  <c r="AJ21" i="7"/>
  <c r="AJ22" i="7"/>
  <c r="AJ23" i="7"/>
  <c r="AJ24" i="7"/>
  <c r="AJ25" i="7"/>
  <c r="AJ26" i="7"/>
  <c r="AJ27" i="7"/>
  <c r="AJ63" i="52" l="1"/>
  <c r="AO62" i="52"/>
  <c r="L47" i="49"/>
  <c r="M49" i="48"/>
  <c r="M47" i="48"/>
  <c r="M50" i="48"/>
  <c r="M48" i="48"/>
  <c r="M52" i="48"/>
  <c r="M54" i="48"/>
  <c r="M53" i="48"/>
  <c r="L47" i="48"/>
  <c r="L47" i="47"/>
  <c r="M47" i="47"/>
  <c r="M54" i="45"/>
  <c r="M52" i="45"/>
  <c r="M56" i="45"/>
  <c r="M48" i="45"/>
  <c r="M53" i="45"/>
  <c r="M51" i="45"/>
  <c r="M49" i="45"/>
  <c r="L47" i="45"/>
  <c r="M55" i="45"/>
  <c r="L83" i="44"/>
  <c r="U117" i="44"/>
  <c r="Z116" i="44"/>
  <c r="AL22" i="6"/>
  <c r="AJ22" i="6"/>
  <c r="AH22" i="6"/>
  <c r="AF22" i="6"/>
  <c r="AB22" i="6"/>
  <c r="Z22" i="6"/>
  <c r="X22" i="6"/>
  <c r="V22" i="6"/>
  <c r="R22" i="6"/>
  <c r="P22" i="6"/>
  <c r="L22" i="6"/>
  <c r="J22" i="6"/>
  <c r="AD22" i="6"/>
  <c r="T22" i="6"/>
  <c r="N22" i="6"/>
  <c r="AL26" i="6"/>
  <c r="AJ26" i="6"/>
  <c r="AH26" i="6"/>
  <c r="AF26" i="6"/>
  <c r="AB26" i="6"/>
  <c r="Z26" i="6"/>
  <c r="X26" i="6"/>
  <c r="V26" i="6"/>
  <c r="R26" i="6"/>
  <c r="P26" i="6"/>
  <c r="L26" i="6"/>
  <c r="J26" i="6"/>
  <c r="AL25" i="6"/>
  <c r="AJ25" i="6"/>
  <c r="AH25" i="6"/>
  <c r="AF25" i="6"/>
  <c r="AB25" i="6"/>
  <c r="Z25" i="6"/>
  <c r="X25" i="6"/>
  <c r="V25" i="6"/>
  <c r="R25" i="6"/>
  <c r="P25" i="6"/>
  <c r="L25" i="6"/>
  <c r="J25" i="6"/>
  <c r="AL24" i="6"/>
  <c r="AJ24" i="6"/>
  <c r="AH24" i="6"/>
  <c r="AF24" i="6"/>
  <c r="AB24" i="6"/>
  <c r="Z24" i="6"/>
  <c r="X24" i="6"/>
  <c r="V24" i="6"/>
  <c r="R24" i="6"/>
  <c r="P24" i="6"/>
  <c r="L24" i="6"/>
  <c r="J24" i="6"/>
  <c r="AD25" i="6"/>
  <c r="AL27" i="6"/>
  <c r="AJ27" i="6"/>
  <c r="AH27" i="6"/>
  <c r="AF27" i="6"/>
  <c r="AB27" i="6"/>
  <c r="Z27" i="6"/>
  <c r="X27" i="6"/>
  <c r="V27" i="6"/>
  <c r="R27" i="6"/>
  <c r="P27" i="6"/>
  <c r="L27" i="6"/>
  <c r="J27" i="6"/>
  <c r="N26" i="6"/>
  <c r="AL23" i="6"/>
  <c r="AJ23" i="6"/>
  <c r="AH23" i="6"/>
  <c r="AF23" i="6"/>
  <c r="AB23" i="6"/>
  <c r="Z23" i="6"/>
  <c r="X23" i="6"/>
  <c r="V23" i="6"/>
  <c r="R23" i="6"/>
  <c r="P23" i="6"/>
  <c r="L23" i="6"/>
  <c r="J23" i="6"/>
  <c r="T25" i="6"/>
  <c r="AT62" i="52" l="1"/>
  <c r="AT63" i="52" s="1"/>
  <c r="AO63" i="52"/>
  <c r="AE116" i="44"/>
  <c r="Z117" i="44"/>
  <c r="AJ116" i="44" l="1"/>
  <c r="AE117" i="44"/>
  <c r="AO116" i="44" l="1"/>
  <c r="AJ117" i="44"/>
  <c r="AT116" i="44" l="1"/>
  <c r="AT117" i="44" s="1"/>
  <c r="AO117" i="44"/>
  <c r="AG56" i="64" l="1"/>
  <c r="H37" i="41" s="1"/>
  <c r="AB80" i="63"/>
  <c r="AB32" i="64"/>
  <c r="AC80" i="64"/>
  <c r="AD80" i="64"/>
  <c r="AE80" i="64"/>
  <c r="AF80" i="64"/>
  <c r="F48" i="41" s="1"/>
  <c r="AG80" i="64"/>
  <c r="H48" i="41" s="1"/>
  <c r="AH80" i="64"/>
  <c r="J48" i="41" s="1"/>
  <c r="AB80" i="64"/>
  <c r="AB55" i="64"/>
  <c r="AC56" i="64"/>
  <c r="AD56" i="64"/>
  <c r="AE56" i="64"/>
  <c r="AF56" i="64"/>
  <c r="AB56" i="64"/>
  <c r="M57" i="62"/>
  <c r="M56" i="62"/>
  <c r="M55" i="62"/>
  <c r="M54" i="62"/>
  <c r="M53" i="62"/>
  <c r="M58" i="62" s="1"/>
  <c r="K58" i="62" s="1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50" i="19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62" l="1"/>
  <c r="K42" i="62" s="1"/>
  <c r="M42" i="19"/>
  <c r="K42" i="19" s="1"/>
  <c r="AC79" i="64" l="1"/>
  <c r="AD79" i="64"/>
  <c r="AD81" i="64" s="1"/>
  <c r="K43" i="41" s="1"/>
  <c r="AE79" i="64"/>
  <c r="AE81" i="64" s="1"/>
  <c r="M43" i="41" s="1"/>
  <c r="AF79" i="64"/>
  <c r="AF81" i="64" s="1"/>
  <c r="G48" i="41" s="1"/>
  <c r="AG79" i="64"/>
  <c r="AH79" i="64"/>
  <c r="AH81" i="64" s="1"/>
  <c r="K48" i="41" s="1"/>
  <c r="H43" i="41"/>
  <c r="J43" i="41"/>
  <c r="L43" i="41"/>
  <c r="F43" i="41"/>
  <c r="AB79" i="64"/>
  <c r="AB81" i="64" s="1"/>
  <c r="G43" i="41" s="1"/>
  <c r="F42" i="41"/>
  <c r="G63" i="6"/>
  <c r="G49" i="6"/>
  <c r="G56" i="6"/>
  <c r="G42" i="6"/>
  <c r="G35" i="6"/>
  <c r="G14" i="6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C81" i="64"/>
  <c r="I43" i="41" s="1"/>
  <c r="AA79" i="64"/>
  <c r="R79" i="64"/>
  <c r="S79" i="64" s="1"/>
  <c r="Q79" i="64"/>
  <c r="P79" i="64"/>
  <c r="M79" i="64"/>
  <c r="K79" i="64"/>
  <c r="I79" i="64"/>
  <c r="AC79" i="63"/>
  <c r="AC81" i="63" s="1"/>
  <c r="I42" i="41" s="1"/>
  <c r="AD79" i="63"/>
  <c r="AD81" i="63" s="1"/>
  <c r="K42" i="41" s="1"/>
  <c r="AE79" i="63"/>
  <c r="AE81" i="63" s="1"/>
  <c r="M42" i="41" s="1"/>
  <c r="AF79" i="63"/>
  <c r="AF81" i="63" s="1"/>
  <c r="AG79" i="63"/>
  <c r="AG81" i="63" s="1"/>
  <c r="AH79" i="63"/>
  <c r="AC80" i="63"/>
  <c r="H42" i="41" s="1"/>
  <c r="AD80" i="63"/>
  <c r="J42" i="41" s="1"/>
  <c r="AE80" i="63"/>
  <c r="L42" i="41" s="1"/>
  <c r="AF80" i="63"/>
  <c r="AG80" i="63"/>
  <c r="AH80" i="63"/>
  <c r="AB79" i="63"/>
  <c r="AB81" i="63" s="1"/>
  <c r="G42" i="41" s="1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R90" i="63" s="1"/>
  <c r="P90" i="63"/>
  <c r="M90" i="63"/>
  <c r="K90" i="63"/>
  <c r="I90" i="63"/>
  <c r="Q89" i="63"/>
  <c r="R89" i="63" s="1"/>
  <c r="P89" i="63"/>
  <c r="M89" i="63"/>
  <c r="K89" i="63"/>
  <c r="I89" i="63"/>
  <c r="Q88" i="63"/>
  <c r="R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S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R82" i="63" s="1"/>
  <c r="P82" i="63"/>
  <c r="M82" i="63"/>
  <c r="K82" i="63"/>
  <c r="I82" i="63"/>
  <c r="Q81" i="63"/>
  <c r="S81" i="63" s="1"/>
  <c r="P81" i="63"/>
  <c r="M81" i="63"/>
  <c r="K81" i="63"/>
  <c r="I81" i="63"/>
  <c r="Q80" i="63"/>
  <c r="R80" i="63" s="1"/>
  <c r="P80" i="63"/>
  <c r="M80" i="63"/>
  <c r="K80" i="63"/>
  <c r="I80" i="63"/>
  <c r="AA79" i="63"/>
  <c r="Q79" i="63"/>
  <c r="R79" i="63" s="1"/>
  <c r="P79" i="63"/>
  <c r="M79" i="63"/>
  <c r="K79" i="63"/>
  <c r="I79" i="63"/>
  <c r="L18" i="56"/>
  <c r="L19" i="56"/>
  <c r="L20" i="56"/>
  <c r="J18" i="56"/>
  <c r="J19" i="56"/>
  <c r="J20" i="56"/>
  <c r="J21" i="56"/>
  <c r="H18" i="56"/>
  <c r="H19" i="56"/>
  <c r="H20" i="56"/>
  <c r="H21" i="56"/>
  <c r="F17" i="56"/>
  <c r="F18" i="56"/>
  <c r="F19" i="56"/>
  <c r="F20" i="56"/>
  <c r="D17" i="56"/>
  <c r="D18" i="56"/>
  <c r="D19" i="56"/>
  <c r="D20" i="56"/>
  <c r="AG81" i="64" l="1"/>
  <c r="I48" i="41" s="1"/>
  <c r="AH81" i="63"/>
  <c r="S83" i="63"/>
  <c r="R87" i="63"/>
  <c r="R84" i="63"/>
  <c r="S80" i="63"/>
  <c r="S90" i="63"/>
  <c r="R93" i="63"/>
  <c r="S79" i="63"/>
  <c r="R96" i="63"/>
  <c r="S82" i="63"/>
  <c r="R85" i="63"/>
  <c r="S88" i="63"/>
  <c r="R91" i="63"/>
  <c r="R81" i="63"/>
  <c r="S97" i="63"/>
  <c r="R94" i="63"/>
  <c r="R86" i="63"/>
  <c r="S89" i="63"/>
  <c r="R92" i="63"/>
  <c r="R95" i="63"/>
  <c r="R98" i="63"/>
  <c r="B32" i="41"/>
  <c r="B31" i="41"/>
  <c r="L45" i="44"/>
  <c r="J62" i="25"/>
  <c r="J61" i="25"/>
  <c r="J60" i="25"/>
  <c r="B60" i="25"/>
  <c r="A60" i="25"/>
  <c r="J73" i="24"/>
  <c r="J72" i="24"/>
  <c r="J71" i="24"/>
  <c r="J61" i="24"/>
  <c r="J60" i="24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60" i="23"/>
  <c r="J61" i="22"/>
  <c r="J62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5" i="15"/>
  <c r="J63" i="15"/>
  <c r="J62" i="15"/>
  <c r="J61" i="15"/>
  <c r="J60" i="15"/>
  <c r="X29" i="52"/>
  <c r="S29" i="52"/>
  <c r="AV29" i="52"/>
  <c r="AQ29" i="52"/>
  <c r="AR29" i="52" s="1"/>
  <c r="AL29" i="52"/>
  <c r="AM29" i="52" s="1"/>
  <c r="AG29" i="52"/>
  <c r="AB29" i="52"/>
  <c r="W29" i="52"/>
  <c r="R29" i="52"/>
  <c r="J29" i="52"/>
  <c r="I29" i="52"/>
  <c r="G29" i="52"/>
  <c r="AV28" i="52"/>
  <c r="AQ28" i="52"/>
  <c r="AR28" i="52" s="1"/>
  <c r="AL28" i="52"/>
  <c r="AG28" i="52"/>
  <c r="AB28" i="52"/>
  <c r="AC28" i="52" s="1"/>
  <c r="W28" i="52"/>
  <c r="Y27" i="52" s="1"/>
  <c r="R28" i="52"/>
  <c r="J28" i="52"/>
  <c r="I28" i="52"/>
  <c r="G28" i="52"/>
  <c r="AV27" i="52"/>
  <c r="AW27" i="52" s="1"/>
  <c r="AQ27" i="52"/>
  <c r="AL27" i="52"/>
  <c r="AG27" i="52"/>
  <c r="AB27" i="52"/>
  <c r="W27" i="52"/>
  <c r="R27" i="52"/>
  <c r="J27" i="52"/>
  <c r="I27" i="52"/>
  <c r="G27" i="52"/>
  <c r="AW29" i="51"/>
  <c r="AW28" i="51"/>
  <c r="AW27" i="51"/>
  <c r="AR29" i="51"/>
  <c r="AR28" i="51"/>
  <c r="AR27" i="51"/>
  <c r="AM29" i="51"/>
  <c r="AM28" i="51"/>
  <c r="AM27" i="51"/>
  <c r="AH29" i="51"/>
  <c r="AH28" i="51"/>
  <c r="AH27" i="51"/>
  <c r="AC29" i="51"/>
  <c r="AC28" i="51"/>
  <c r="AC27" i="51"/>
  <c r="X29" i="51"/>
  <c r="X28" i="51"/>
  <c r="X27" i="51"/>
  <c r="S28" i="51"/>
  <c r="S29" i="51"/>
  <c r="S27" i="51"/>
  <c r="M28" i="51"/>
  <c r="M29" i="51"/>
  <c r="M27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K28" i="51"/>
  <c r="J28" i="51"/>
  <c r="I28" i="51"/>
  <c r="G28" i="51"/>
  <c r="AX27" i="51"/>
  <c r="AV27" i="51"/>
  <c r="AQ27" i="51"/>
  <c r="AS27" i="51" s="1"/>
  <c r="AL27" i="51"/>
  <c r="AN27" i="51" s="1"/>
  <c r="AG27" i="51"/>
  <c r="AI27" i="51" s="1"/>
  <c r="AB27" i="51"/>
  <c r="AD27" i="51" s="1"/>
  <c r="W27" i="51"/>
  <c r="R27" i="51"/>
  <c r="T27" i="51" s="1"/>
  <c r="J27" i="51"/>
  <c r="I27" i="51"/>
  <c r="G27" i="51"/>
  <c r="H27" i="51" s="1"/>
  <c r="AW28" i="50"/>
  <c r="AW27" i="50"/>
  <c r="AR28" i="50"/>
  <c r="AR27" i="50"/>
  <c r="AM28" i="50"/>
  <c r="AM27" i="50"/>
  <c r="AC28" i="50"/>
  <c r="AC27" i="50"/>
  <c r="X28" i="50"/>
  <c r="X27" i="50"/>
  <c r="S28" i="50"/>
  <c r="S27" i="50"/>
  <c r="M28" i="50"/>
  <c r="M27" i="50"/>
  <c r="AF41" i="50"/>
  <c r="AE41" i="50"/>
  <c r="AF40" i="50"/>
  <c r="AE40" i="50"/>
  <c r="AF39" i="50"/>
  <c r="AE39" i="50"/>
  <c r="AF38" i="50"/>
  <c r="AE38" i="50"/>
  <c r="AF37" i="50"/>
  <c r="AE37" i="50"/>
  <c r="AF36" i="50"/>
  <c r="AE36" i="50"/>
  <c r="AF35" i="50"/>
  <c r="AE35" i="50"/>
  <c r="AG34" i="50"/>
  <c r="AG33" i="50"/>
  <c r="AG32" i="50"/>
  <c r="AG31" i="50"/>
  <c r="AG30" i="50"/>
  <c r="AG29" i="50"/>
  <c r="AV28" i="50"/>
  <c r="AQ28" i="50"/>
  <c r="AL28" i="50"/>
  <c r="AG28" i="50"/>
  <c r="AB28" i="50"/>
  <c r="W28" i="50"/>
  <c r="R28" i="50"/>
  <c r="K28" i="50"/>
  <c r="J28" i="50"/>
  <c r="I28" i="50"/>
  <c r="G28" i="50"/>
  <c r="H27" i="50" s="1"/>
  <c r="AX27" i="50"/>
  <c r="AV27" i="50"/>
  <c r="AQ27" i="50"/>
  <c r="AS27" i="50" s="1"/>
  <c r="AN27" i="50"/>
  <c r="AL27" i="50"/>
  <c r="AG27" i="50"/>
  <c r="AB27" i="50"/>
  <c r="AD27" i="50" s="1"/>
  <c r="W27" i="50"/>
  <c r="Y27" i="50" s="1"/>
  <c r="R27" i="50"/>
  <c r="K27" i="50" s="1"/>
  <c r="J27" i="50"/>
  <c r="I27" i="50"/>
  <c r="G27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H35" i="49" s="1"/>
  <c r="AB35" i="49"/>
  <c r="W35" i="49"/>
  <c r="R35" i="49"/>
  <c r="K35" i="49"/>
  <c r="J35" i="49"/>
  <c r="I35" i="49"/>
  <c r="G35" i="49"/>
  <c r="AV34" i="49"/>
  <c r="AQ34" i="49"/>
  <c r="AL34" i="49"/>
  <c r="AG34" i="49"/>
  <c r="AH34" i="49" s="1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H33" i="49" s="1"/>
  <c r="AB33" i="49"/>
  <c r="W33" i="49"/>
  <c r="R33" i="49"/>
  <c r="J33" i="49"/>
  <c r="I33" i="49"/>
  <c r="G33" i="49"/>
  <c r="AV32" i="49"/>
  <c r="AQ32" i="49"/>
  <c r="AL32" i="49"/>
  <c r="AG32" i="49"/>
  <c r="AH32" i="49" s="1"/>
  <c r="AB32" i="49"/>
  <c r="W32" i="49"/>
  <c r="R32" i="49"/>
  <c r="J32" i="49"/>
  <c r="I32" i="49"/>
  <c r="G32" i="49"/>
  <c r="AV31" i="49"/>
  <c r="AQ31" i="49"/>
  <c r="AL31" i="49"/>
  <c r="AH31" i="49"/>
  <c r="AG31" i="49"/>
  <c r="AB31" i="49"/>
  <c r="W31" i="49"/>
  <c r="R31" i="49"/>
  <c r="J31" i="49"/>
  <c r="I31" i="49"/>
  <c r="G31" i="49"/>
  <c r="AV30" i="49"/>
  <c r="AQ30" i="49"/>
  <c r="AL30" i="49"/>
  <c r="AG30" i="49"/>
  <c r="AH30" i="49" s="1"/>
  <c r="AB30" i="49"/>
  <c r="W30" i="49"/>
  <c r="R30" i="49"/>
  <c r="J30" i="49"/>
  <c r="I30" i="49"/>
  <c r="G30" i="49"/>
  <c r="AV29" i="49"/>
  <c r="AQ29" i="49"/>
  <c r="AL29" i="49"/>
  <c r="AN27" i="49" s="1"/>
  <c r="AG29" i="49"/>
  <c r="AH29" i="49" s="1"/>
  <c r="AB29" i="49"/>
  <c r="W29" i="49"/>
  <c r="R29" i="49"/>
  <c r="J29" i="49"/>
  <c r="I29" i="49"/>
  <c r="G29" i="49"/>
  <c r="AV28" i="49"/>
  <c r="AQ28" i="49"/>
  <c r="AL28" i="49"/>
  <c r="AH28" i="49"/>
  <c r="AG28" i="49"/>
  <c r="AB28" i="49"/>
  <c r="W28" i="49"/>
  <c r="R28" i="49"/>
  <c r="J28" i="49"/>
  <c r="I28" i="49"/>
  <c r="G28" i="49"/>
  <c r="AV27" i="49"/>
  <c r="AQ27" i="49"/>
  <c r="AL27" i="49"/>
  <c r="AH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R33" i="48"/>
  <c r="AR32" i="48"/>
  <c r="AR30" i="48"/>
  <c r="AR29" i="48"/>
  <c r="AR28" i="48"/>
  <c r="AM28" i="48"/>
  <c r="AM27" i="48"/>
  <c r="AH35" i="48"/>
  <c r="AH34" i="48"/>
  <c r="S32" i="48"/>
  <c r="AV35" i="48"/>
  <c r="AQ35" i="48"/>
  <c r="AR35" i="48" s="1"/>
  <c r="AL35" i="48"/>
  <c r="AM35" i="48" s="1"/>
  <c r="AG35" i="48"/>
  <c r="AB35" i="48"/>
  <c r="AC35" i="48" s="1"/>
  <c r="W35" i="48"/>
  <c r="X35" i="48" s="1"/>
  <c r="R35" i="48"/>
  <c r="S35" i="48" s="1"/>
  <c r="J35" i="48"/>
  <c r="I35" i="48"/>
  <c r="G35" i="48"/>
  <c r="AV34" i="48"/>
  <c r="AQ34" i="48"/>
  <c r="AL34" i="48"/>
  <c r="AM34" i="48" s="1"/>
  <c r="AG34" i="48"/>
  <c r="AB34" i="48"/>
  <c r="W34" i="48"/>
  <c r="X34" i="48" s="1"/>
  <c r="R34" i="48"/>
  <c r="S34" i="48" s="1"/>
  <c r="J34" i="48"/>
  <c r="I34" i="48"/>
  <c r="G34" i="48"/>
  <c r="AV33" i="48"/>
  <c r="AW33" i="48" s="1"/>
  <c r="AQ33" i="48"/>
  <c r="AL33" i="48"/>
  <c r="AM33" i="48" s="1"/>
  <c r="AG33" i="48"/>
  <c r="AH33" i="48" s="1"/>
  <c r="AB33" i="48"/>
  <c r="AC33" i="48" s="1"/>
  <c r="W33" i="48"/>
  <c r="X33" i="48" s="1"/>
  <c r="R33" i="48"/>
  <c r="S31" i="48" s="1"/>
  <c r="J33" i="48"/>
  <c r="I33" i="48"/>
  <c r="G33" i="48"/>
  <c r="AV32" i="48"/>
  <c r="AQ32" i="48"/>
  <c r="AL32" i="48"/>
  <c r="AG32" i="48"/>
  <c r="AB32" i="48"/>
  <c r="AC32" i="48" s="1"/>
  <c r="W32" i="48"/>
  <c r="R32" i="48"/>
  <c r="J32" i="48"/>
  <c r="I32" i="48"/>
  <c r="G32" i="48"/>
  <c r="AB31" i="48"/>
  <c r="AC31" i="48" s="1"/>
  <c r="W31" i="48"/>
  <c r="X31" i="48" s="1"/>
  <c r="R31" i="48"/>
  <c r="K31" i="48" s="1"/>
  <c r="J31" i="48"/>
  <c r="I31" i="48"/>
  <c r="G31" i="48"/>
  <c r="AV30" i="48"/>
  <c r="AW30" i="48" s="1"/>
  <c r="AQ30" i="48"/>
  <c r="AL30" i="48"/>
  <c r="AG30" i="48"/>
  <c r="AH30" i="48" s="1"/>
  <c r="AB30" i="48"/>
  <c r="W30" i="48"/>
  <c r="X30" i="48" s="1"/>
  <c r="R30" i="48"/>
  <c r="J30" i="48"/>
  <c r="I30" i="48"/>
  <c r="G30" i="48"/>
  <c r="AV29" i="48"/>
  <c r="AW29" i="48" s="1"/>
  <c r="AQ29" i="48"/>
  <c r="AL29" i="48"/>
  <c r="AG29" i="48"/>
  <c r="AH29" i="48" s="1"/>
  <c r="AB29" i="48"/>
  <c r="AC29" i="48" s="1"/>
  <c r="W29" i="48"/>
  <c r="X29" i="48" s="1"/>
  <c r="R29" i="48"/>
  <c r="K29" i="48" s="1"/>
  <c r="J29" i="48"/>
  <c r="I29" i="48"/>
  <c r="G29" i="48"/>
  <c r="AV28" i="48"/>
  <c r="AW34" i="48" s="1"/>
  <c r="AQ28" i="48"/>
  <c r="AR27" i="48" s="1"/>
  <c r="AL28" i="48"/>
  <c r="AG28" i="48"/>
  <c r="AH28" i="48" s="1"/>
  <c r="AB28" i="48"/>
  <c r="W28" i="48"/>
  <c r="R28" i="48"/>
  <c r="K28" i="48" s="1"/>
  <c r="J28" i="48"/>
  <c r="I28" i="48"/>
  <c r="G28" i="48"/>
  <c r="AV27" i="48"/>
  <c r="AQ27" i="48"/>
  <c r="AL27" i="48"/>
  <c r="AG27" i="48"/>
  <c r="AH27" i="48" s="1"/>
  <c r="AB27" i="48"/>
  <c r="AC30" i="48" s="1"/>
  <c r="W27" i="48"/>
  <c r="X27" i="48" s="1"/>
  <c r="R27" i="48"/>
  <c r="S27" i="48" s="1"/>
  <c r="J27" i="48"/>
  <c r="I27" i="48"/>
  <c r="G27" i="48"/>
  <c r="AW27" i="47"/>
  <c r="AR27" i="47"/>
  <c r="AM27" i="47"/>
  <c r="AH27" i="47"/>
  <c r="X27" i="47"/>
  <c r="S27" i="47"/>
  <c r="M27" i="47"/>
  <c r="AV27" i="47"/>
  <c r="AX27" i="47" s="1"/>
  <c r="AQ27" i="47"/>
  <c r="AS27" i="47" s="1"/>
  <c r="AL27" i="47"/>
  <c r="AG27" i="47"/>
  <c r="AI27" i="47" s="1"/>
  <c r="AB27" i="47"/>
  <c r="AD27" i="47" s="1"/>
  <c r="W27" i="47"/>
  <c r="T27" i="47"/>
  <c r="R27" i="47"/>
  <c r="J27" i="47"/>
  <c r="I27" i="47"/>
  <c r="G27" i="47"/>
  <c r="H27" i="47" s="1"/>
  <c r="P42" i="47"/>
  <c r="P43" i="47" s="1"/>
  <c r="U42" i="47"/>
  <c r="U43" i="47" s="1"/>
  <c r="Z42" i="47"/>
  <c r="Z43" i="47" s="1"/>
  <c r="AW29" i="46"/>
  <c r="AW28" i="46"/>
  <c r="AW27" i="46"/>
  <c r="AR29" i="46"/>
  <c r="AR28" i="46"/>
  <c r="AR27" i="46"/>
  <c r="AM29" i="46"/>
  <c r="AM28" i="46"/>
  <c r="AM27" i="46"/>
  <c r="AH29" i="46"/>
  <c r="AH28" i="46"/>
  <c r="AH27" i="46"/>
  <c r="AC29" i="46"/>
  <c r="AC28" i="46"/>
  <c r="AC27" i="46"/>
  <c r="X29" i="46"/>
  <c r="X28" i="46"/>
  <c r="X27" i="46"/>
  <c r="S28" i="46"/>
  <c r="S29" i="46"/>
  <c r="S27" i="46"/>
  <c r="M28" i="46"/>
  <c r="M29" i="46"/>
  <c r="M27" i="46"/>
  <c r="AV29" i="46"/>
  <c r="AQ29" i="46"/>
  <c r="AL29" i="46"/>
  <c r="AG29" i="46"/>
  <c r="AB29" i="46"/>
  <c r="W29" i="46"/>
  <c r="R29" i="46"/>
  <c r="K29" i="46"/>
  <c r="J29" i="46"/>
  <c r="I29" i="46"/>
  <c r="G29" i="46"/>
  <c r="AV28" i="46"/>
  <c r="K28" i="46" s="1"/>
  <c r="AQ28" i="46"/>
  <c r="AL28" i="46"/>
  <c r="AG28" i="46"/>
  <c r="AB28" i="46"/>
  <c r="W28" i="46"/>
  <c r="R28" i="46"/>
  <c r="J28" i="46"/>
  <c r="I28" i="46"/>
  <c r="G28" i="46"/>
  <c r="AX27" i="46"/>
  <c r="AV27" i="46"/>
  <c r="AQ27" i="46"/>
  <c r="AS27" i="46" s="1"/>
  <c r="AL27" i="46"/>
  <c r="AN27" i="46" s="1"/>
  <c r="AG27" i="46"/>
  <c r="AI27" i="46" s="1"/>
  <c r="AB27" i="46"/>
  <c r="AD27" i="46" s="1"/>
  <c r="W27" i="46"/>
  <c r="Y27" i="46" s="1"/>
  <c r="R27" i="46"/>
  <c r="K27" i="46" s="1"/>
  <c r="J27" i="46"/>
  <c r="I27" i="46"/>
  <c r="G27" i="46"/>
  <c r="H27" i="46" s="1"/>
  <c r="AR36" i="45"/>
  <c r="AR35" i="45"/>
  <c r="AR34" i="45"/>
  <c r="AR33" i="45"/>
  <c r="AR32" i="45"/>
  <c r="AR31" i="45"/>
  <c r="AR30" i="45"/>
  <c r="AR29" i="45"/>
  <c r="AR28" i="45"/>
  <c r="AR27" i="45"/>
  <c r="AW36" i="45"/>
  <c r="AW35" i="45"/>
  <c r="AW34" i="45"/>
  <c r="AW33" i="45"/>
  <c r="AW32" i="45"/>
  <c r="AW31" i="45"/>
  <c r="AW30" i="45"/>
  <c r="AW29" i="45"/>
  <c r="AW28" i="45"/>
  <c r="AW27" i="45"/>
  <c r="AM36" i="45"/>
  <c r="AM35" i="45"/>
  <c r="AM34" i="45"/>
  <c r="AM33" i="45"/>
  <c r="AM32" i="45"/>
  <c r="AM31" i="45"/>
  <c r="AM30" i="45"/>
  <c r="AM29" i="45"/>
  <c r="AM28" i="45"/>
  <c r="AM27" i="45"/>
  <c r="AC36" i="45"/>
  <c r="AC35" i="45"/>
  <c r="AC34" i="45"/>
  <c r="AC33" i="45"/>
  <c r="AC32" i="45"/>
  <c r="AC31" i="45"/>
  <c r="AC30" i="45"/>
  <c r="AC29" i="45"/>
  <c r="AC28" i="45"/>
  <c r="AC27" i="45"/>
  <c r="AH36" i="45"/>
  <c r="AH35" i="45"/>
  <c r="AH34" i="45"/>
  <c r="AH33" i="45"/>
  <c r="AH32" i="45"/>
  <c r="AH31" i="45"/>
  <c r="AH30" i="45"/>
  <c r="AH29" i="45"/>
  <c r="AH28" i="45"/>
  <c r="AH27" i="45"/>
  <c r="X36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36" i="45"/>
  <c r="S27" i="45"/>
  <c r="M27" i="45"/>
  <c r="M28" i="45"/>
  <c r="M29" i="45"/>
  <c r="M30" i="45"/>
  <c r="M31" i="45"/>
  <c r="M32" i="45"/>
  <c r="M33" i="45"/>
  <c r="M34" i="45"/>
  <c r="M35" i="45"/>
  <c r="M36" i="45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K34" i="45" s="1"/>
  <c r="W34" i="45"/>
  <c r="R34" i="45"/>
  <c r="J34" i="45"/>
  <c r="I34" i="45"/>
  <c r="G34" i="45"/>
  <c r="AV33" i="45"/>
  <c r="AQ33" i="45"/>
  <c r="AL33" i="45"/>
  <c r="AG33" i="45"/>
  <c r="AB33" i="45"/>
  <c r="K33" i="45" s="1"/>
  <c r="W33" i="45"/>
  <c r="R33" i="45"/>
  <c r="J33" i="45"/>
  <c r="I33" i="45"/>
  <c r="G33" i="45"/>
  <c r="AV32" i="45"/>
  <c r="AQ32" i="45"/>
  <c r="AL32" i="45"/>
  <c r="AG32" i="45"/>
  <c r="AB32" i="45"/>
  <c r="W32" i="45"/>
  <c r="K32" i="45" s="1"/>
  <c r="R32" i="45"/>
  <c r="J32" i="45"/>
  <c r="I32" i="45"/>
  <c r="G32" i="45"/>
  <c r="AV31" i="45"/>
  <c r="AQ31" i="45"/>
  <c r="AL31" i="45"/>
  <c r="AG31" i="45"/>
  <c r="AB31" i="45"/>
  <c r="W31" i="45"/>
  <c r="K31" i="45" s="1"/>
  <c r="R31" i="45"/>
  <c r="J31" i="45"/>
  <c r="I31" i="45"/>
  <c r="G31" i="45"/>
  <c r="AV30" i="45"/>
  <c r="AQ30" i="45"/>
  <c r="AL30" i="45"/>
  <c r="AG30" i="45"/>
  <c r="AB30" i="45"/>
  <c r="W30" i="45"/>
  <c r="R30" i="45"/>
  <c r="K30" i="45" s="1"/>
  <c r="J30" i="45"/>
  <c r="I30" i="45"/>
  <c r="G30" i="45"/>
  <c r="AV29" i="45"/>
  <c r="AQ29" i="45"/>
  <c r="AL29" i="45"/>
  <c r="AG29" i="45"/>
  <c r="AB29" i="45"/>
  <c r="W29" i="45"/>
  <c r="R29" i="45"/>
  <c r="K29" i="45" s="1"/>
  <c r="J29" i="45"/>
  <c r="I29" i="45"/>
  <c r="G29" i="45"/>
  <c r="AV28" i="45"/>
  <c r="AQ28" i="45"/>
  <c r="AL28" i="45"/>
  <c r="AG28" i="45"/>
  <c r="AB28" i="45"/>
  <c r="W28" i="45"/>
  <c r="R28" i="45"/>
  <c r="K28" i="45"/>
  <c r="J28" i="45"/>
  <c r="I28" i="45"/>
  <c r="G28" i="45"/>
  <c r="AV27" i="45"/>
  <c r="AX27" i="45" s="1"/>
  <c r="AQ27" i="45"/>
  <c r="AS27" i="45" s="1"/>
  <c r="AL27" i="45"/>
  <c r="AN27" i="45" s="1"/>
  <c r="AG27" i="45"/>
  <c r="AI27" i="45" s="1"/>
  <c r="AB27" i="45"/>
  <c r="AD27" i="45" s="1"/>
  <c r="W27" i="45"/>
  <c r="R27" i="45"/>
  <c r="T27" i="45" s="1"/>
  <c r="J27" i="45"/>
  <c r="I27" i="45"/>
  <c r="G27" i="45"/>
  <c r="H27" i="45" s="1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46" i="44"/>
  <c r="X47" i="44"/>
  <c r="X48" i="44"/>
  <c r="X49" i="44"/>
  <c r="X50" i="44"/>
  <c r="X51" i="44"/>
  <c r="X52" i="44"/>
  <c r="X53" i="44"/>
  <c r="X54" i="44"/>
  <c r="X55" i="44"/>
  <c r="X56" i="44"/>
  <c r="X57" i="44"/>
  <c r="X58" i="44"/>
  <c r="X59" i="44"/>
  <c r="X60" i="44"/>
  <c r="X61" i="44"/>
  <c r="X62" i="44"/>
  <c r="X63" i="44"/>
  <c r="X64" i="44"/>
  <c r="X65" i="44"/>
  <c r="X66" i="44"/>
  <c r="X67" i="44"/>
  <c r="X68" i="44"/>
  <c r="X69" i="44"/>
  <c r="X70" i="44"/>
  <c r="X71" i="44"/>
  <c r="X72" i="44"/>
  <c r="X73" i="44"/>
  <c r="X74" i="44"/>
  <c r="X75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45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K73" i="44" s="1"/>
  <c r="AQ73" i="44"/>
  <c r="AL73" i="44"/>
  <c r="AG73" i="44"/>
  <c r="AB73" i="44"/>
  <c r="W73" i="44"/>
  <c r="R73" i="44"/>
  <c r="J73" i="44"/>
  <c r="I73" i="44"/>
  <c r="G73" i="44"/>
  <c r="AV72" i="44"/>
  <c r="K72" i="44" s="1"/>
  <c r="AQ72" i="44"/>
  <c r="AL72" i="44"/>
  <c r="AG72" i="44"/>
  <c r="AB72" i="44"/>
  <c r="W72" i="44"/>
  <c r="R72" i="44"/>
  <c r="J72" i="44"/>
  <c r="I72" i="44"/>
  <c r="G72" i="44"/>
  <c r="AV71" i="44"/>
  <c r="AQ71" i="44"/>
  <c r="K71" i="44" s="1"/>
  <c r="AL71" i="44"/>
  <c r="AG71" i="44"/>
  <c r="AB71" i="44"/>
  <c r="W71" i="44"/>
  <c r="R71" i="44"/>
  <c r="J71" i="44"/>
  <c r="I71" i="44"/>
  <c r="G71" i="44"/>
  <c r="AV70" i="44"/>
  <c r="AQ70" i="44"/>
  <c r="K70" i="44" s="1"/>
  <c r="AL70" i="44"/>
  <c r="AG70" i="44"/>
  <c r="AB70" i="44"/>
  <c r="W70" i="44"/>
  <c r="R70" i="44"/>
  <c r="J70" i="44"/>
  <c r="I70" i="44"/>
  <c r="G70" i="44"/>
  <c r="AV69" i="44"/>
  <c r="AQ69" i="44"/>
  <c r="AL69" i="44"/>
  <c r="K69" i="44" s="1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K66" i="44" s="1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K62" i="44" s="1"/>
  <c r="R62" i="44"/>
  <c r="J62" i="44"/>
  <c r="I62" i="44"/>
  <c r="G62" i="44"/>
  <c r="AV61" i="44"/>
  <c r="AQ61" i="44"/>
  <c r="AL61" i="44"/>
  <c r="AG61" i="44"/>
  <c r="AB61" i="44"/>
  <c r="W61" i="44"/>
  <c r="R61" i="44"/>
  <c r="K61" i="44" s="1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AG56" i="44"/>
  <c r="AB56" i="44"/>
  <c r="W56" i="44"/>
  <c r="R56" i="44"/>
  <c r="K56" i="44"/>
  <c r="J56" i="44"/>
  <c r="I56" i="44"/>
  <c r="G56" i="44"/>
  <c r="AV55" i="44"/>
  <c r="AQ55" i="44"/>
  <c r="AL55" i="44"/>
  <c r="AG55" i="44"/>
  <c r="AB55" i="44"/>
  <c r="W55" i="44"/>
  <c r="R55" i="44"/>
  <c r="K55" i="44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AD45" i="44" s="1"/>
  <c r="W52" i="44"/>
  <c r="R52" i="44"/>
  <c r="J52" i="44"/>
  <c r="I52" i="44"/>
  <c r="G52" i="44"/>
  <c r="AV51" i="44"/>
  <c r="AQ51" i="44"/>
  <c r="K51" i="44" s="1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K47" i="44" s="1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S45" i="44" s="1"/>
  <c r="AL45" i="44"/>
  <c r="AN45" i="44" s="1"/>
  <c r="AI45" i="44"/>
  <c r="AG45" i="44"/>
  <c r="AB45" i="44"/>
  <c r="W45" i="44"/>
  <c r="Y45" i="44" s="1"/>
  <c r="R45" i="44"/>
  <c r="T45" i="44" s="1"/>
  <c r="J45" i="44"/>
  <c r="I45" i="44"/>
  <c r="G45" i="44"/>
  <c r="H45" i="44" s="1"/>
  <c r="AC20" i="6"/>
  <c r="AD20" i="6" s="1"/>
  <c r="S20" i="6"/>
  <c r="T20" i="6" s="1"/>
  <c r="M20" i="6"/>
  <c r="N20" i="6" s="1"/>
  <c r="F20" i="6"/>
  <c r="AL20" i="6" s="1"/>
  <c r="AC19" i="6"/>
  <c r="AD19" i="6" s="1"/>
  <c r="S19" i="6"/>
  <c r="T19" i="6" s="1"/>
  <c r="M19" i="6"/>
  <c r="N19" i="6" s="1"/>
  <c r="F19" i="6"/>
  <c r="AL19" i="6" s="1"/>
  <c r="AC18" i="6"/>
  <c r="AD18" i="6" s="1"/>
  <c r="S18" i="6"/>
  <c r="T18" i="6" s="1"/>
  <c r="M18" i="6"/>
  <c r="N18" i="6" s="1"/>
  <c r="F18" i="6"/>
  <c r="AL18" i="6" s="1"/>
  <c r="AC17" i="6"/>
  <c r="AD17" i="6" s="1"/>
  <c r="S17" i="6"/>
  <c r="T17" i="6" s="1"/>
  <c r="M17" i="6"/>
  <c r="N17" i="6" s="1"/>
  <c r="F17" i="6"/>
  <c r="AL17" i="6" s="1"/>
  <c r="AC16" i="6"/>
  <c r="AD16" i="6" s="1"/>
  <c r="S16" i="6"/>
  <c r="T16" i="6" s="1"/>
  <c r="M16" i="6"/>
  <c r="N16" i="6" s="1"/>
  <c r="F16" i="6"/>
  <c r="AL16" i="6" s="1"/>
  <c r="AC15" i="6"/>
  <c r="AD15" i="6" s="1"/>
  <c r="S15" i="6"/>
  <c r="T15" i="6" s="1"/>
  <c r="M15" i="6"/>
  <c r="N15" i="6" s="1"/>
  <c r="F15" i="6"/>
  <c r="AL15" i="6" s="1"/>
  <c r="AC14" i="6"/>
  <c r="AD14" i="6" s="1"/>
  <c r="S14" i="6"/>
  <c r="T14" i="6" s="1"/>
  <c r="M14" i="6"/>
  <c r="N14" i="6" s="1"/>
  <c r="F14" i="6"/>
  <c r="AL14" i="6" s="1"/>
  <c r="AL20" i="7"/>
  <c r="AJ20" i="7"/>
  <c r="AC20" i="7"/>
  <c r="S20" i="7"/>
  <c r="T20" i="7" s="1"/>
  <c r="M20" i="7"/>
  <c r="N20" i="7" s="1"/>
  <c r="F20" i="7"/>
  <c r="AH20" i="7" s="1"/>
  <c r="AL19" i="7"/>
  <c r="AJ19" i="7"/>
  <c r="AC19" i="7"/>
  <c r="S19" i="7"/>
  <c r="T19" i="7" s="1"/>
  <c r="M19" i="7"/>
  <c r="N19" i="7" s="1"/>
  <c r="F19" i="7"/>
  <c r="AH19" i="7" s="1"/>
  <c r="AL18" i="7"/>
  <c r="AJ18" i="7"/>
  <c r="AC18" i="7"/>
  <c r="S18" i="7"/>
  <c r="T18" i="7" s="1"/>
  <c r="M18" i="7"/>
  <c r="N18" i="7" s="1"/>
  <c r="F18" i="7"/>
  <c r="AH18" i="7" s="1"/>
  <c r="AL17" i="7"/>
  <c r="AJ17" i="7"/>
  <c r="AC17" i="7"/>
  <c r="S17" i="7"/>
  <c r="T17" i="7" s="1"/>
  <c r="M17" i="7"/>
  <c r="N17" i="7" s="1"/>
  <c r="F17" i="7"/>
  <c r="AH17" i="7" s="1"/>
  <c r="AL16" i="7"/>
  <c r="AJ16" i="7"/>
  <c r="AC16" i="7"/>
  <c r="S16" i="7"/>
  <c r="T16" i="7" s="1"/>
  <c r="M16" i="7"/>
  <c r="N16" i="7" s="1"/>
  <c r="F16" i="7"/>
  <c r="AH16" i="7" s="1"/>
  <c r="AL15" i="7"/>
  <c r="AJ15" i="7"/>
  <c r="AC15" i="7"/>
  <c r="S15" i="7"/>
  <c r="T15" i="7" s="1"/>
  <c r="M15" i="7"/>
  <c r="N15" i="7" s="1"/>
  <c r="F15" i="7"/>
  <c r="AH15" i="7" s="1"/>
  <c r="AL14" i="7"/>
  <c r="AJ14" i="7"/>
  <c r="AC14" i="7"/>
  <c r="S14" i="7"/>
  <c r="T14" i="7" s="1"/>
  <c r="M14" i="7"/>
  <c r="N14" i="7" s="1"/>
  <c r="F14" i="7"/>
  <c r="AH14" i="7" s="1"/>
  <c r="W7" i="5"/>
  <c r="T7" i="5"/>
  <c r="Q7" i="5"/>
  <c r="AG38" i="50" l="1"/>
  <c r="AG40" i="50"/>
  <c r="AG35" i="50"/>
  <c r="AG36" i="50"/>
  <c r="AG37" i="50"/>
  <c r="AW29" i="52"/>
  <c r="X28" i="52"/>
  <c r="AM28" i="52"/>
  <c r="S27" i="52"/>
  <c r="AC29" i="52"/>
  <c r="AI27" i="52"/>
  <c r="AW28" i="52"/>
  <c r="AN27" i="52"/>
  <c r="AR27" i="52"/>
  <c r="K28" i="52"/>
  <c r="AX27" i="52"/>
  <c r="S28" i="52"/>
  <c r="X27" i="52"/>
  <c r="AC27" i="52"/>
  <c r="K27" i="52"/>
  <c r="K29" i="52"/>
  <c r="M29" i="52" s="1"/>
  <c r="AM27" i="52"/>
  <c r="H27" i="52"/>
  <c r="AC34" i="48"/>
  <c r="AH32" i="48"/>
  <c r="H27" i="48"/>
  <c r="S33" i="48"/>
  <c r="S30" i="48"/>
  <c r="S29" i="48"/>
  <c r="AM29" i="48"/>
  <c r="K33" i="48"/>
  <c r="AM30" i="48"/>
  <c r="K35" i="48"/>
  <c r="AM32" i="48"/>
  <c r="AW27" i="48"/>
  <c r="AW28" i="48"/>
  <c r="K27" i="48"/>
  <c r="M27" i="48" s="1"/>
  <c r="AR34" i="48"/>
  <c r="X28" i="48"/>
  <c r="AN27" i="48"/>
  <c r="AX27" i="48"/>
  <c r="X32" i="48"/>
  <c r="AW32" i="48"/>
  <c r="T27" i="48"/>
  <c r="AS27" i="48"/>
  <c r="Y27" i="48"/>
  <c r="S28" i="48"/>
  <c r="AD27" i="48"/>
  <c r="AC27" i="48"/>
  <c r="AC28" i="48"/>
  <c r="K30" i="48"/>
  <c r="AW35" i="48"/>
  <c r="K34" i="48"/>
  <c r="AG39" i="50"/>
  <c r="AG41" i="50"/>
  <c r="AD27" i="52"/>
  <c r="T27" i="52"/>
  <c r="AS27" i="52"/>
  <c r="Y27" i="51"/>
  <c r="K27" i="51"/>
  <c r="L27" i="50"/>
  <c r="T27" i="50"/>
  <c r="K27" i="49"/>
  <c r="AS27" i="49"/>
  <c r="AX27" i="49"/>
  <c r="K32" i="49"/>
  <c r="K31" i="49"/>
  <c r="K30" i="49"/>
  <c r="K29" i="49"/>
  <c r="K28" i="49"/>
  <c r="AI27" i="49"/>
  <c r="AI27" i="48"/>
  <c r="K32" i="48"/>
  <c r="M32" i="48" s="1"/>
  <c r="AN27" i="47"/>
  <c r="Y27" i="47"/>
  <c r="AC27" i="47"/>
  <c r="K27" i="47"/>
  <c r="AE42" i="47"/>
  <c r="L27" i="46"/>
  <c r="T27" i="46"/>
  <c r="K36" i="45"/>
  <c r="K27" i="45"/>
  <c r="K35" i="45"/>
  <c r="Y27" i="45"/>
  <c r="K45" i="44"/>
  <c r="K52" i="44"/>
  <c r="K50" i="44"/>
  <c r="K48" i="44"/>
  <c r="K68" i="44"/>
  <c r="K67" i="44"/>
  <c r="K65" i="44"/>
  <c r="K64" i="44"/>
  <c r="K63" i="44"/>
  <c r="K53" i="44"/>
  <c r="AX45" i="44"/>
  <c r="K49" i="44"/>
  <c r="K46" i="44"/>
  <c r="J14" i="6"/>
  <c r="J19" i="6"/>
  <c r="L15" i="6"/>
  <c r="L18" i="6"/>
  <c r="P14" i="6"/>
  <c r="P18" i="6"/>
  <c r="R14" i="6"/>
  <c r="R19" i="6"/>
  <c r="Z19" i="6"/>
  <c r="J20" i="6"/>
  <c r="L17" i="6"/>
  <c r="P17" i="6"/>
  <c r="R20" i="6"/>
  <c r="V16" i="6"/>
  <c r="V19" i="6"/>
  <c r="X14" i="6"/>
  <c r="X16" i="6"/>
  <c r="X17" i="6"/>
  <c r="X19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J15" i="6"/>
  <c r="J17" i="6"/>
  <c r="L14" i="6"/>
  <c r="L20" i="6"/>
  <c r="P15" i="6"/>
  <c r="P19" i="6"/>
  <c r="R16" i="6"/>
  <c r="R17" i="6"/>
  <c r="V15" i="6"/>
  <c r="V17" i="6"/>
  <c r="V18" i="6"/>
  <c r="V20" i="6"/>
  <c r="X15" i="6"/>
  <c r="X18" i="6"/>
  <c r="AJ14" i="6"/>
  <c r="AJ15" i="6"/>
  <c r="AJ16" i="6"/>
  <c r="AJ17" i="6"/>
  <c r="AJ18" i="6"/>
  <c r="AJ19" i="6"/>
  <c r="AJ20" i="6"/>
  <c r="J16" i="6"/>
  <c r="J18" i="6"/>
  <c r="L16" i="6"/>
  <c r="L19" i="6"/>
  <c r="P16" i="6"/>
  <c r="P20" i="6"/>
  <c r="R15" i="6"/>
  <c r="R18" i="6"/>
  <c r="V14" i="6"/>
  <c r="J16" i="7"/>
  <c r="J20" i="7"/>
  <c r="L15" i="7"/>
  <c r="L16" i="7"/>
  <c r="L18" i="7"/>
  <c r="L19" i="7"/>
  <c r="P14" i="7"/>
  <c r="P16" i="7"/>
  <c r="P18" i="7"/>
  <c r="P20" i="7"/>
  <c r="R15" i="7"/>
  <c r="R16" i="7"/>
  <c r="R17" i="7"/>
  <c r="R18" i="7"/>
  <c r="R20" i="7"/>
  <c r="V14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G14" i="7"/>
  <c r="J14" i="7"/>
  <c r="J15" i="7"/>
  <c r="J17" i="7"/>
  <c r="J18" i="7"/>
  <c r="J19" i="7"/>
  <c r="L14" i="7"/>
  <c r="L17" i="7"/>
  <c r="L20" i="7"/>
  <c r="P15" i="7"/>
  <c r="P17" i="7"/>
  <c r="P19" i="7"/>
  <c r="R14" i="7"/>
  <c r="R19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U14" i="5"/>
  <c r="U15" i="5"/>
  <c r="U16" i="5"/>
  <c r="U17" i="5"/>
  <c r="U18" i="5"/>
  <c r="U13" i="5"/>
  <c r="U12" i="5"/>
  <c r="AI27" i="50" l="1"/>
  <c r="AH28" i="50"/>
  <c r="M27" i="52"/>
  <c r="M28" i="52"/>
  <c r="L27" i="52"/>
  <c r="M35" i="48"/>
  <c r="M30" i="48"/>
  <c r="M34" i="48"/>
  <c r="M33" i="48"/>
  <c r="M28" i="48"/>
  <c r="M31" i="48"/>
  <c r="M29" i="48"/>
  <c r="AH27" i="50"/>
  <c r="L27" i="51"/>
  <c r="L27" i="49"/>
  <c r="L27" i="48"/>
  <c r="L27" i="47"/>
  <c r="AE43" i="47"/>
  <c r="AJ42" i="47"/>
  <c r="L27" i="45"/>
  <c r="AJ43" i="47" l="1"/>
  <c r="AO42" i="47"/>
  <c r="AT42" i="47" l="1"/>
  <c r="AT43" i="47" s="1"/>
  <c r="AO43" i="47"/>
  <c r="AC55" i="64" l="1"/>
  <c r="AC57" i="64" s="1"/>
  <c r="I32" i="41" s="1"/>
  <c r="AD55" i="64"/>
  <c r="AD57" i="64" s="1"/>
  <c r="K32" i="41" s="1"/>
  <c r="AE55" i="64"/>
  <c r="AF55" i="64"/>
  <c r="AG55" i="64"/>
  <c r="AG57" i="64" s="1"/>
  <c r="I37" i="41" s="1"/>
  <c r="AH55" i="64"/>
  <c r="AH57" i="64" s="1"/>
  <c r="K37" i="41" s="1"/>
  <c r="H32" i="41"/>
  <c r="J32" i="41"/>
  <c r="L32" i="41"/>
  <c r="F37" i="41"/>
  <c r="AH56" i="64"/>
  <c r="J37" i="41" s="1"/>
  <c r="F32" i="41"/>
  <c r="AE57" i="64"/>
  <c r="M32" i="41" s="1"/>
  <c r="AF57" i="64"/>
  <c r="G37" i="41" s="1"/>
  <c r="AB57" i="64"/>
  <c r="G32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C55" i="63"/>
  <c r="AC57" i="63" s="1"/>
  <c r="I31" i="41" s="1"/>
  <c r="AD55" i="63"/>
  <c r="AD57" i="63" s="1"/>
  <c r="K31" i="41" s="1"/>
  <c r="AE55" i="63"/>
  <c r="AE57" i="63" s="1"/>
  <c r="M31" i="41" s="1"/>
  <c r="AF55" i="63"/>
  <c r="AF57" i="63" s="1"/>
  <c r="G36" i="41" s="1"/>
  <c r="AG55" i="63"/>
  <c r="AG57" i="63" s="1"/>
  <c r="I36" i="41" s="1"/>
  <c r="AH55" i="63"/>
  <c r="AC56" i="63"/>
  <c r="H31" i="41" s="1"/>
  <c r="AD56" i="63"/>
  <c r="J31" i="41" s="1"/>
  <c r="AE56" i="63"/>
  <c r="L31" i="41" s="1"/>
  <c r="AF56" i="63"/>
  <c r="F36" i="41" s="1"/>
  <c r="AG56" i="63"/>
  <c r="H36" i="41" s="1"/>
  <c r="AH56" i="63"/>
  <c r="J36" i="41" s="1"/>
  <c r="AB56" i="63"/>
  <c r="F31" i="41" s="1"/>
  <c r="AB55" i="63"/>
  <c r="AB57" i="63" s="1"/>
  <c r="G31" i="41" s="1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R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AH57" i="63"/>
  <c r="K36" i="41" s="1"/>
  <c r="AA55" i="63"/>
  <c r="Q55" i="63"/>
  <c r="R55" i="63" s="1"/>
  <c r="P55" i="63"/>
  <c r="M55" i="63"/>
  <c r="K55" i="63"/>
  <c r="I55" i="63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D11" i="56"/>
  <c r="D12" i="56"/>
  <c r="D13" i="56"/>
  <c r="D14" i="56"/>
  <c r="D15" i="56"/>
  <c r="D16" i="56"/>
  <c r="R63" i="63" l="1"/>
  <c r="S60" i="63"/>
  <c r="R64" i="63"/>
  <c r="R69" i="63"/>
  <c r="S66" i="63"/>
  <c r="S58" i="63"/>
  <c r="R61" i="63"/>
  <c r="S55" i="63"/>
  <c r="R72" i="63"/>
  <c r="R67" i="63"/>
  <c r="R70" i="63"/>
  <c r="R73" i="63"/>
  <c r="R57" i="63"/>
  <c r="R59" i="63"/>
  <c r="R62" i="63"/>
  <c r="R65" i="63"/>
  <c r="R68" i="63"/>
  <c r="R71" i="63"/>
  <c r="R56" i="63"/>
  <c r="R74" i="63"/>
  <c r="J34" i="22" l="1"/>
  <c r="M8" i="44" l="1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AW36" i="44"/>
  <c r="AV36" i="44"/>
  <c r="K36" i="44"/>
  <c r="J36" i="44"/>
  <c r="I36" i="44"/>
  <c r="G36" i="44"/>
  <c r="U2" i="44"/>
  <c r="Z2" i="44" s="1"/>
  <c r="P3" i="44"/>
  <c r="U3" i="44"/>
  <c r="G7" i="44"/>
  <c r="I7" i="44"/>
  <c r="J7" i="44"/>
  <c r="R7" i="44"/>
  <c r="W7" i="44"/>
  <c r="X15" i="44" s="1"/>
  <c r="AB7" i="44"/>
  <c r="AC35" i="44" s="1"/>
  <c r="AG7" i="44"/>
  <c r="AH20" i="44" s="1"/>
  <c r="AL7" i="44"/>
  <c r="AM22" i="44" s="1"/>
  <c r="AQ7" i="44"/>
  <c r="AR23" i="44" s="1"/>
  <c r="AV7" i="44"/>
  <c r="AX7" i="44" s="1"/>
  <c r="AW7" i="44"/>
  <c r="G8" i="44"/>
  <c r="I8" i="44"/>
  <c r="J8" i="44"/>
  <c r="R8" i="44"/>
  <c r="S32" i="44" s="1"/>
  <c r="W8" i="44"/>
  <c r="AB8" i="44"/>
  <c r="AG8" i="44"/>
  <c r="AL8" i="44"/>
  <c r="AM20" i="44" s="1"/>
  <c r="AQ8" i="44"/>
  <c r="AR8" i="44" s="1"/>
  <c r="AV8" i="44"/>
  <c r="AW8" i="44"/>
  <c r="G9" i="44"/>
  <c r="I9" i="44"/>
  <c r="J9" i="44"/>
  <c r="R9" i="44"/>
  <c r="K9" i="44" s="1"/>
  <c r="W9" i="44"/>
  <c r="AB9" i="44"/>
  <c r="AG9" i="44"/>
  <c r="AH19" i="44" s="1"/>
  <c r="AL9" i="44"/>
  <c r="AQ9" i="44"/>
  <c r="AR9" i="44" s="1"/>
  <c r="AV9" i="44"/>
  <c r="G10" i="44"/>
  <c r="I10" i="44"/>
  <c r="J10" i="44"/>
  <c r="R10" i="44"/>
  <c r="K10" i="44" s="1"/>
  <c r="W10" i="44"/>
  <c r="X14" i="44" s="1"/>
  <c r="AB10" i="44"/>
  <c r="AG10" i="44"/>
  <c r="AL10" i="44"/>
  <c r="AQ10" i="44"/>
  <c r="AV10" i="44"/>
  <c r="AW10" i="44" s="1"/>
  <c r="G11" i="44"/>
  <c r="I11" i="44"/>
  <c r="J11" i="44"/>
  <c r="R11" i="44"/>
  <c r="K11" i="44" s="1"/>
  <c r="W11" i="44"/>
  <c r="AB11" i="44"/>
  <c r="AG11" i="44"/>
  <c r="AL11" i="44"/>
  <c r="AM11" i="44" s="1"/>
  <c r="AQ11" i="44"/>
  <c r="AV11" i="44"/>
  <c r="AW22" i="44" s="1"/>
  <c r="G12" i="44"/>
  <c r="I12" i="44"/>
  <c r="J12" i="44"/>
  <c r="R12" i="44"/>
  <c r="K12" i="44" s="1"/>
  <c r="W12" i="44"/>
  <c r="AB12" i="44"/>
  <c r="AC12" i="44" s="1"/>
  <c r="AG12" i="44"/>
  <c r="AL12" i="44"/>
  <c r="AQ12" i="44"/>
  <c r="AV12" i="44"/>
  <c r="G13" i="44"/>
  <c r="I13" i="44"/>
  <c r="J13" i="44"/>
  <c r="K13" i="44"/>
  <c r="R13" i="44"/>
  <c r="W13" i="44"/>
  <c r="AB13" i="44"/>
  <c r="AG13" i="44"/>
  <c r="AL13" i="44"/>
  <c r="AQ13" i="44"/>
  <c r="AR13" i="44" s="1"/>
  <c r="AV13" i="44"/>
  <c r="G14" i="44"/>
  <c r="I14" i="44"/>
  <c r="J14" i="44"/>
  <c r="R14" i="44"/>
  <c r="W14" i="44"/>
  <c r="AB14" i="44"/>
  <c r="AG14" i="44"/>
  <c r="AH17" i="44" s="1"/>
  <c r="AL14" i="44"/>
  <c r="AQ14" i="44"/>
  <c r="AV14" i="44"/>
  <c r="G15" i="44"/>
  <c r="I15" i="44"/>
  <c r="J15" i="44"/>
  <c r="R15" i="44"/>
  <c r="S15" i="44" s="1"/>
  <c r="W15" i="44"/>
  <c r="AB15" i="44"/>
  <c r="AG15" i="44"/>
  <c r="AL15" i="44"/>
  <c r="AQ15" i="44"/>
  <c r="AV15" i="44"/>
  <c r="AW15" i="44" s="1"/>
  <c r="G16" i="44"/>
  <c r="I16" i="44"/>
  <c r="J16" i="44"/>
  <c r="R16" i="44"/>
  <c r="W16" i="44"/>
  <c r="AB16" i="44"/>
  <c r="AG16" i="44"/>
  <c r="AL16" i="44"/>
  <c r="AM18" i="44" s="1"/>
  <c r="AQ16" i="44"/>
  <c r="AV16" i="44"/>
  <c r="G17" i="44"/>
  <c r="I17" i="44"/>
  <c r="J17" i="44"/>
  <c r="R17" i="44"/>
  <c r="W17" i="44"/>
  <c r="X17" i="44" s="1"/>
  <c r="AB17" i="44"/>
  <c r="AG17" i="44"/>
  <c r="AL17" i="44"/>
  <c r="AQ17" i="44"/>
  <c r="AV17" i="44"/>
  <c r="G18" i="44"/>
  <c r="I18" i="44"/>
  <c r="J18" i="44"/>
  <c r="R18" i="44"/>
  <c r="K18" i="44" s="1"/>
  <c r="W18" i="44"/>
  <c r="X18" i="44"/>
  <c r="AB18" i="44"/>
  <c r="AG18" i="44"/>
  <c r="AL18" i="44"/>
  <c r="AQ18" i="44"/>
  <c r="AR18" i="44" s="1"/>
  <c r="AV18" i="44"/>
  <c r="G19" i="44"/>
  <c r="I19" i="44"/>
  <c r="J19" i="44"/>
  <c r="R19" i="44"/>
  <c r="K19" i="44" s="1"/>
  <c r="W19" i="44"/>
  <c r="AB19" i="44"/>
  <c r="AC19" i="44" s="1"/>
  <c r="AG19" i="44"/>
  <c r="AL19" i="44"/>
  <c r="AQ19" i="44"/>
  <c r="AV19" i="44"/>
  <c r="G20" i="44"/>
  <c r="I20" i="44"/>
  <c r="J20" i="44"/>
  <c r="R20" i="44"/>
  <c r="K20" i="44" s="1"/>
  <c r="W20" i="44"/>
  <c r="X20" i="44" s="1"/>
  <c r="AB20" i="44"/>
  <c r="AC20" i="44"/>
  <c r="AG20" i="44"/>
  <c r="AL20" i="44"/>
  <c r="AQ20" i="44"/>
  <c r="AV20" i="44"/>
  <c r="AW20" i="44" s="1"/>
  <c r="G21" i="44"/>
  <c r="I21" i="44"/>
  <c r="J21" i="44"/>
  <c r="R21" i="44"/>
  <c r="W21" i="44"/>
  <c r="K21" i="44" s="1"/>
  <c r="AB21" i="44"/>
  <c r="AG21" i="44"/>
  <c r="AH21" i="44" s="1"/>
  <c r="AL21" i="44"/>
  <c r="AQ21" i="44"/>
  <c r="AV21" i="44"/>
  <c r="G22" i="44"/>
  <c r="I22" i="44"/>
  <c r="J22" i="44"/>
  <c r="R22" i="44"/>
  <c r="W22" i="44"/>
  <c r="K22" i="44" s="1"/>
  <c r="AB22" i="44"/>
  <c r="AC22" i="44" s="1"/>
  <c r="AG22" i="44"/>
  <c r="AH22" i="44"/>
  <c r="AL22" i="44"/>
  <c r="AQ22" i="44"/>
  <c r="AV22" i="44"/>
  <c r="G23" i="44"/>
  <c r="I23" i="44"/>
  <c r="J23" i="44"/>
  <c r="R23" i="44"/>
  <c r="K23" i="44" s="1"/>
  <c r="W23" i="44"/>
  <c r="AB23" i="44"/>
  <c r="AC23" i="44" s="1"/>
  <c r="AG23" i="44"/>
  <c r="AL23" i="44"/>
  <c r="AM23" i="44" s="1"/>
  <c r="AQ23" i="44"/>
  <c r="AV23" i="44"/>
  <c r="G24" i="44"/>
  <c r="I24" i="44"/>
  <c r="J24" i="44"/>
  <c r="R24" i="44"/>
  <c r="K24" i="44" s="1"/>
  <c r="W24" i="44"/>
  <c r="AB24" i="44"/>
  <c r="AG24" i="44"/>
  <c r="AH24" i="44" s="1"/>
  <c r="AL24" i="44"/>
  <c r="AM24" i="44"/>
  <c r="AQ24" i="44"/>
  <c r="AR24" i="44" s="1"/>
  <c r="AV24" i="44"/>
  <c r="G25" i="44"/>
  <c r="I25" i="44"/>
  <c r="J25" i="44"/>
  <c r="R25" i="44"/>
  <c r="K25" i="44" s="1"/>
  <c r="W25" i="44"/>
  <c r="X25" i="44" s="1"/>
  <c r="AB25" i="44"/>
  <c r="AG25" i="44"/>
  <c r="AH25" i="44" s="1"/>
  <c r="AL25" i="44"/>
  <c r="AQ25" i="44"/>
  <c r="AR25" i="44" s="1"/>
  <c r="AV25" i="44"/>
  <c r="G26" i="44"/>
  <c r="I26" i="44"/>
  <c r="J26" i="44"/>
  <c r="K26" i="44"/>
  <c r="R26" i="44"/>
  <c r="W26" i="44"/>
  <c r="AB26" i="44"/>
  <c r="AG26" i="44"/>
  <c r="AL26" i="44"/>
  <c r="AM26" i="44" s="1"/>
  <c r="AQ26" i="44"/>
  <c r="AR26" i="44"/>
  <c r="AV26" i="44"/>
  <c r="G27" i="44"/>
  <c r="I27" i="44"/>
  <c r="J27" i="44"/>
  <c r="R27" i="44"/>
  <c r="W27" i="44"/>
  <c r="AB27" i="44"/>
  <c r="AC27" i="44" s="1"/>
  <c r="AG27" i="44"/>
  <c r="AL27" i="44"/>
  <c r="K27" i="44" s="1"/>
  <c r="AQ27" i="44"/>
  <c r="AV27" i="44"/>
  <c r="AW27" i="44" s="1"/>
  <c r="G28" i="44"/>
  <c r="I28" i="44"/>
  <c r="J28" i="44"/>
  <c r="R28" i="44"/>
  <c r="K28" i="44" s="1"/>
  <c r="W28" i="44"/>
  <c r="AB28" i="44"/>
  <c r="AG28" i="44"/>
  <c r="AL28" i="44"/>
  <c r="AQ28" i="44"/>
  <c r="AR28" i="44" s="1"/>
  <c r="AV28" i="44"/>
  <c r="AW28" i="44"/>
  <c r="G29" i="44"/>
  <c r="I29" i="44"/>
  <c r="J29" i="44"/>
  <c r="R29" i="44"/>
  <c r="K29" i="44" s="1"/>
  <c r="W29" i="44"/>
  <c r="AB29" i="44"/>
  <c r="AG29" i="44"/>
  <c r="AH29" i="44" s="1"/>
  <c r="AL29" i="44"/>
  <c r="AQ29" i="44"/>
  <c r="AR29" i="44" s="1"/>
  <c r="AV29" i="44"/>
  <c r="G30" i="44"/>
  <c r="I30" i="44"/>
  <c r="J30" i="44"/>
  <c r="R30" i="44"/>
  <c r="K30" i="44" s="1"/>
  <c r="W30" i="44"/>
  <c r="X30" i="44" s="1"/>
  <c r="AB30" i="44"/>
  <c r="AG30" i="44"/>
  <c r="AL30" i="44"/>
  <c r="AQ30" i="44"/>
  <c r="AV30" i="44"/>
  <c r="AW30" i="44" s="1"/>
  <c r="G31" i="44"/>
  <c r="I31" i="44"/>
  <c r="J31" i="44"/>
  <c r="R31" i="44"/>
  <c r="K31" i="44" s="1"/>
  <c r="W31" i="44"/>
  <c r="AB31" i="44"/>
  <c r="AG31" i="44"/>
  <c r="AL31" i="44"/>
  <c r="AM31" i="44" s="1"/>
  <c r="AQ31" i="44"/>
  <c r="AV31" i="44"/>
  <c r="AW31" i="44" s="1"/>
  <c r="G32" i="44"/>
  <c r="I32" i="44"/>
  <c r="J32" i="44"/>
  <c r="R32" i="44"/>
  <c r="K32" i="44" s="1"/>
  <c r="W32" i="44"/>
  <c r="AB32" i="44"/>
  <c r="AC32" i="44" s="1"/>
  <c r="AG32" i="44"/>
  <c r="AL32" i="44"/>
  <c r="AQ32" i="44"/>
  <c r="AV32" i="44"/>
  <c r="G33" i="44"/>
  <c r="I33" i="44"/>
  <c r="J33" i="44"/>
  <c r="K33" i="44"/>
  <c r="R33" i="44"/>
  <c r="W33" i="44"/>
  <c r="AB33" i="44"/>
  <c r="AG33" i="44"/>
  <c r="AL33" i="44"/>
  <c r="AQ33" i="44"/>
  <c r="AR33" i="44" s="1"/>
  <c r="AV33" i="44"/>
  <c r="G34" i="44"/>
  <c r="I34" i="44"/>
  <c r="J34" i="44"/>
  <c r="R34" i="44"/>
  <c r="W34" i="44"/>
  <c r="AB34" i="44"/>
  <c r="AG34" i="44"/>
  <c r="AH34" i="44" s="1"/>
  <c r="AL34" i="44"/>
  <c r="AQ34" i="44"/>
  <c r="AV34" i="44"/>
  <c r="G35" i="44"/>
  <c r="I35" i="44"/>
  <c r="J35" i="44"/>
  <c r="R35" i="44"/>
  <c r="S35" i="44" s="1"/>
  <c r="W35" i="44"/>
  <c r="AB35" i="44"/>
  <c r="AG35" i="44"/>
  <c r="AL35" i="44"/>
  <c r="AQ35" i="44"/>
  <c r="AV35" i="44"/>
  <c r="AW35" i="44" s="1"/>
  <c r="H7" i="44" l="1"/>
  <c r="AE2" i="44"/>
  <c r="Z3" i="44"/>
  <c r="S16" i="44"/>
  <c r="K34" i="44"/>
  <c r="AW29" i="44"/>
  <c r="AR27" i="44"/>
  <c r="AM25" i="44"/>
  <c r="AH23" i="44"/>
  <c r="AC21" i="44"/>
  <c r="X19" i="44"/>
  <c r="S17" i="44"/>
  <c r="K14" i="44"/>
  <c r="AW9" i="44"/>
  <c r="K35" i="44"/>
  <c r="S18" i="44"/>
  <c r="K15" i="44"/>
  <c r="AS7" i="44"/>
  <c r="K7" i="44"/>
  <c r="AM27" i="44"/>
  <c r="X21" i="44"/>
  <c r="S19" i="44"/>
  <c r="K16" i="44"/>
  <c r="AW11" i="44"/>
  <c r="AR7" i="44"/>
  <c r="AW33" i="44"/>
  <c r="AR31" i="44"/>
  <c r="AM29" i="44"/>
  <c r="AH27" i="44"/>
  <c r="AC25" i="44"/>
  <c r="X23" i="44"/>
  <c r="S21" i="44"/>
  <c r="AW13" i="44"/>
  <c r="AR11" i="44"/>
  <c r="AM9" i="44"/>
  <c r="AN7" i="44"/>
  <c r="AW34" i="44"/>
  <c r="AR32" i="44"/>
  <c r="AM30" i="44"/>
  <c r="AH28" i="44"/>
  <c r="AC26" i="44"/>
  <c r="X24" i="44"/>
  <c r="S22" i="44"/>
  <c r="AW14" i="44"/>
  <c r="AR12" i="44"/>
  <c r="AM10" i="44"/>
  <c r="AH8" i="44"/>
  <c r="AM7" i="44"/>
  <c r="S23" i="44"/>
  <c r="AH9" i="44"/>
  <c r="AW32" i="44"/>
  <c r="AM28" i="44"/>
  <c r="AC24" i="44"/>
  <c r="X22" i="44"/>
  <c r="K17" i="44"/>
  <c r="AW12" i="44"/>
  <c r="AR10" i="44"/>
  <c r="AM32" i="44"/>
  <c r="AC28" i="44"/>
  <c r="X26" i="44"/>
  <c r="AH10" i="44"/>
  <c r="AI7" i="44"/>
  <c r="AH31" i="44"/>
  <c r="AC29" i="44"/>
  <c r="AR15" i="44"/>
  <c r="AH32" i="44"/>
  <c r="AC30" i="44"/>
  <c r="X28" i="44"/>
  <c r="S26" i="44"/>
  <c r="AW18" i="44"/>
  <c r="AM14" i="44"/>
  <c r="AH12" i="44"/>
  <c r="X8" i="44"/>
  <c r="AM35" i="44"/>
  <c r="AH33" i="44"/>
  <c r="AC31" i="44"/>
  <c r="X29" i="44"/>
  <c r="S27" i="44"/>
  <c r="AW19" i="44"/>
  <c r="AR17" i="44"/>
  <c r="AM15" i="44"/>
  <c r="AH13" i="44"/>
  <c r="AC11" i="44"/>
  <c r="X9" i="44"/>
  <c r="AD7" i="44"/>
  <c r="AR30" i="44"/>
  <c r="AH26" i="44"/>
  <c r="S20" i="44"/>
  <c r="AM8" i="44"/>
  <c r="AR34" i="44"/>
  <c r="AH30" i="44"/>
  <c r="S24" i="44"/>
  <c r="AW16" i="44"/>
  <c r="AR14" i="44"/>
  <c r="AM12" i="44"/>
  <c r="AC8" i="44"/>
  <c r="AR35" i="44"/>
  <c r="AM33" i="44"/>
  <c r="X27" i="44"/>
  <c r="S25" i="44"/>
  <c r="AW17" i="44"/>
  <c r="AM13" i="44"/>
  <c r="AH11" i="44"/>
  <c r="AC9" i="44"/>
  <c r="AH7" i="44"/>
  <c r="AM34" i="44"/>
  <c r="AR16" i="44"/>
  <c r="AC10" i="44"/>
  <c r="S28" i="44"/>
  <c r="AM16" i="44"/>
  <c r="AH14" i="44"/>
  <c r="X10" i="44"/>
  <c r="S8" i="44"/>
  <c r="AC7" i="44"/>
  <c r="AC33" i="44"/>
  <c r="S29" i="44"/>
  <c r="AR19" i="44"/>
  <c r="AH15" i="44"/>
  <c r="X11" i="44"/>
  <c r="X32" i="44"/>
  <c r="AR20" i="44"/>
  <c r="AH16" i="44"/>
  <c r="S10" i="44"/>
  <c r="Y7" i="44"/>
  <c r="S31" i="44"/>
  <c r="AW23" i="44"/>
  <c r="AR21" i="44"/>
  <c r="AC15" i="44"/>
  <c r="X13" i="44"/>
  <c r="K8" i="44"/>
  <c r="AH18" i="44"/>
  <c r="AC16" i="44"/>
  <c r="S12" i="44"/>
  <c r="S33" i="44"/>
  <c r="AM21" i="44"/>
  <c r="AC17" i="44"/>
  <c r="S13" i="44"/>
  <c r="T7" i="44"/>
  <c r="S34" i="44"/>
  <c r="AW26" i="44"/>
  <c r="AC18" i="44"/>
  <c r="X16" i="44"/>
  <c r="S14" i="44"/>
  <c r="S7" i="44"/>
  <c r="AH35" i="44"/>
  <c r="X31" i="44"/>
  <c r="AW21" i="44"/>
  <c r="AM17" i="44"/>
  <c r="AC13" i="44"/>
  <c r="S9" i="44"/>
  <c r="AC34" i="44"/>
  <c r="S30" i="44"/>
  <c r="AC14" i="44"/>
  <c r="X12" i="44"/>
  <c r="X33" i="44"/>
  <c r="AM19" i="44"/>
  <c r="S11" i="44"/>
  <c r="X7" i="44"/>
  <c r="X34" i="44"/>
  <c r="AW24" i="44"/>
  <c r="AR22" i="44"/>
  <c r="X35" i="44"/>
  <c r="AW25" i="44"/>
  <c r="L7" i="44" l="1"/>
  <c r="M7" i="44"/>
  <c r="AJ2" i="44"/>
  <c r="AE3" i="44"/>
  <c r="AO2" i="44" l="1"/>
  <c r="AJ3" i="44"/>
  <c r="AT2" i="44" l="1"/>
  <c r="AT3" i="44" s="1"/>
  <c r="AO3" i="44"/>
  <c r="I31" i="63" l="1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AB31" i="64" l="1"/>
  <c r="AC31" i="64"/>
  <c r="AD31" i="64"/>
  <c r="AE31" i="64"/>
  <c r="AF31" i="64"/>
  <c r="AG31" i="64"/>
  <c r="AH31" i="64"/>
  <c r="AC32" i="64"/>
  <c r="H21" i="41" s="1"/>
  <c r="AD32" i="64"/>
  <c r="J21" i="41" s="1"/>
  <c r="AE32" i="64"/>
  <c r="L21" i="41" s="1"/>
  <c r="AF32" i="64"/>
  <c r="F26" i="41" s="1"/>
  <c r="AG32" i="64"/>
  <c r="H26" i="41" s="1"/>
  <c r="AH32" i="64"/>
  <c r="J26" i="41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AC31" i="63"/>
  <c r="AC33" i="63" s="1"/>
  <c r="I20" i="41" s="1"/>
  <c r="AD31" i="63"/>
  <c r="AD33" i="63" s="1"/>
  <c r="K20" i="41" s="1"/>
  <c r="AE31" i="63"/>
  <c r="AE33" i="63" s="1"/>
  <c r="M20" i="41" s="1"/>
  <c r="AF31" i="63"/>
  <c r="AF33" i="63" s="1"/>
  <c r="G25" i="41" s="1"/>
  <c r="AG31" i="63"/>
  <c r="AG33" i="63" s="1"/>
  <c r="I25" i="41" s="1"/>
  <c r="AH31" i="63"/>
  <c r="AH33" i="63" s="1"/>
  <c r="K25" i="41" s="1"/>
  <c r="AC32" i="63"/>
  <c r="H20" i="41" s="1"/>
  <c r="AD32" i="63"/>
  <c r="J20" i="41" s="1"/>
  <c r="AE32" i="63"/>
  <c r="L20" i="41" s="1"/>
  <c r="AF32" i="63"/>
  <c r="F25" i="41" s="1"/>
  <c r="AG32" i="63"/>
  <c r="H25" i="41" s="1"/>
  <c r="AH32" i="63"/>
  <c r="J25" i="41" s="1"/>
  <c r="AB32" i="63"/>
  <c r="F20" i="41" s="1"/>
  <c r="AB31" i="63"/>
  <c r="AB33" i="63" s="1"/>
  <c r="G20" i="41" s="1"/>
  <c r="AA31" i="63"/>
  <c r="Q50" i="63"/>
  <c r="S50" i="63" s="1"/>
  <c r="P50" i="63"/>
  <c r="M50" i="63"/>
  <c r="K50" i="63"/>
  <c r="Q49" i="63"/>
  <c r="S49" i="63" s="1"/>
  <c r="P49" i="63"/>
  <c r="M49" i="63"/>
  <c r="K49" i="63"/>
  <c r="Q48" i="63"/>
  <c r="R48" i="63" s="1"/>
  <c r="P48" i="63"/>
  <c r="M48" i="63"/>
  <c r="K48" i="63"/>
  <c r="Q47" i="63"/>
  <c r="S47" i="63" s="1"/>
  <c r="P47" i="63"/>
  <c r="M47" i="63"/>
  <c r="K47" i="63"/>
  <c r="Q46" i="63"/>
  <c r="R46" i="63" s="1"/>
  <c r="P46" i="63"/>
  <c r="M46" i="63"/>
  <c r="K46" i="63"/>
  <c r="Q45" i="63"/>
  <c r="S45" i="63" s="1"/>
  <c r="P45" i="63"/>
  <c r="M45" i="63"/>
  <c r="K45" i="63"/>
  <c r="Q44" i="63"/>
  <c r="S44" i="63" s="1"/>
  <c r="P44" i="63"/>
  <c r="M44" i="63"/>
  <c r="K44" i="63"/>
  <c r="Q43" i="63"/>
  <c r="R43" i="63" s="1"/>
  <c r="P43" i="63"/>
  <c r="M43" i="63"/>
  <c r="K43" i="63"/>
  <c r="Q42" i="63"/>
  <c r="S42" i="63" s="1"/>
  <c r="P42" i="63"/>
  <c r="M42" i="63"/>
  <c r="K42" i="63"/>
  <c r="Q41" i="63"/>
  <c r="S41" i="63" s="1"/>
  <c r="P41" i="63"/>
  <c r="M41" i="63"/>
  <c r="K41" i="63"/>
  <c r="Q40" i="63"/>
  <c r="S40" i="63" s="1"/>
  <c r="P40" i="63"/>
  <c r="M40" i="63"/>
  <c r="K40" i="63"/>
  <c r="Q39" i="63"/>
  <c r="R39" i="63" s="1"/>
  <c r="P39" i="63"/>
  <c r="M39" i="63"/>
  <c r="K39" i="63"/>
  <c r="Q38" i="63"/>
  <c r="S38" i="63" s="1"/>
  <c r="P38" i="63"/>
  <c r="M38" i="63"/>
  <c r="K38" i="63"/>
  <c r="Q37" i="63"/>
  <c r="R37" i="63" s="1"/>
  <c r="P37" i="63"/>
  <c r="M37" i="63"/>
  <c r="K37" i="63"/>
  <c r="Q36" i="63"/>
  <c r="S36" i="63" s="1"/>
  <c r="P36" i="63"/>
  <c r="M36" i="63"/>
  <c r="K36" i="63"/>
  <c r="Q35" i="63"/>
  <c r="S35" i="63" s="1"/>
  <c r="P35" i="63"/>
  <c r="M35" i="63"/>
  <c r="K35" i="63"/>
  <c r="Q34" i="63"/>
  <c r="R34" i="63" s="1"/>
  <c r="P34" i="63"/>
  <c r="M34" i="63"/>
  <c r="K34" i="63"/>
  <c r="Q33" i="63"/>
  <c r="S33" i="63" s="1"/>
  <c r="P33" i="63"/>
  <c r="M33" i="63"/>
  <c r="K33" i="63"/>
  <c r="Q32" i="63"/>
  <c r="S32" i="63" s="1"/>
  <c r="P32" i="63"/>
  <c r="M32" i="63"/>
  <c r="K32" i="63"/>
  <c r="Q31" i="63"/>
  <c r="S31" i="63" s="1"/>
  <c r="P31" i="63"/>
  <c r="M31" i="63"/>
  <c r="K31" i="63"/>
  <c r="J34" i="25"/>
  <c r="J36" i="25"/>
  <c r="J35" i="25"/>
  <c r="J47" i="24"/>
  <c r="J46" i="24"/>
  <c r="J45" i="24"/>
  <c r="J35" i="24"/>
  <c r="J34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36" i="22"/>
  <c r="J35" i="22"/>
  <c r="M11" i="56"/>
  <c r="N11" i="56"/>
  <c r="M18" i="56"/>
  <c r="N18" i="56"/>
  <c r="M25" i="56"/>
  <c r="B53" i="41" s="1"/>
  <c r="N25" i="56"/>
  <c r="B54" i="41" s="1"/>
  <c r="M32" i="56"/>
  <c r="N32" i="56"/>
  <c r="K10" i="56"/>
  <c r="I10" i="56"/>
  <c r="G10" i="56"/>
  <c r="E10" i="56"/>
  <c r="C10" i="56"/>
  <c r="B10" i="56"/>
  <c r="K9" i="56"/>
  <c r="I9" i="56"/>
  <c r="G9" i="56"/>
  <c r="E9" i="56"/>
  <c r="C9" i="56"/>
  <c r="B9" i="56"/>
  <c r="K8" i="56"/>
  <c r="I8" i="56"/>
  <c r="G8" i="56"/>
  <c r="E8" i="56"/>
  <c r="C8" i="56"/>
  <c r="B8" i="56"/>
  <c r="K7" i="56"/>
  <c r="I7" i="56"/>
  <c r="G7" i="56"/>
  <c r="E7" i="56"/>
  <c r="C7" i="56"/>
  <c r="B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K6" i="56"/>
  <c r="I6" i="56"/>
  <c r="G6" i="56"/>
  <c r="E6" i="56"/>
  <c r="C6" i="56"/>
  <c r="B6" i="56"/>
  <c r="J54" i="15"/>
  <c r="J53" i="15"/>
  <c r="J52" i="15"/>
  <c r="J51" i="15"/>
  <c r="J50" i="15"/>
  <c r="J49" i="15"/>
  <c r="J48" i="15"/>
  <c r="J47" i="15"/>
  <c r="J46" i="15"/>
  <c r="J45" i="15"/>
  <c r="J43" i="15"/>
  <c r="J42" i="15"/>
  <c r="J41" i="15"/>
  <c r="J40" i="15"/>
  <c r="J39" i="15"/>
  <c r="J37" i="15"/>
  <c r="J36" i="15"/>
  <c r="J35" i="15"/>
  <c r="J34" i="15"/>
  <c r="B34" i="25"/>
  <c r="A34" i="25"/>
  <c r="AV101" i="52"/>
  <c r="AW101" i="52" s="1"/>
  <c r="AQ101" i="52"/>
  <c r="AR101" i="52" s="1"/>
  <c r="AL101" i="52"/>
  <c r="AM101" i="52" s="1"/>
  <c r="AG101" i="52"/>
  <c r="AH101" i="52" s="1"/>
  <c r="AB101" i="52"/>
  <c r="AC101" i="52" s="1"/>
  <c r="W101" i="52"/>
  <c r="X101" i="52" s="1"/>
  <c r="R101" i="52"/>
  <c r="S101" i="52" s="1"/>
  <c r="J101" i="52"/>
  <c r="I101" i="52"/>
  <c r="G101" i="52"/>
  <c r="AV100" i="52"/>
  <c r="AW100" i="52" s="1"/>
  <c r="AQ100" i="52"/>
  <c r="AR100" i="52" s="1"/>
  <c r="AL100" i="52"/>
  <c r="AM100" i="52" s="1"/>
  <c r="AG100" i="52"/>
  <c r="AH100" i="52" s="1"/>
  <c r="AB100" i="52"/>
  <c r="AC100" i="52" s="1"/>
  <c r="W100" i="52"/>
  <c r="X100" i="52" s="1"/>
  <c r="R100" i="52"/>
  <c r="S100" i="52" s="1"/>
  <c r="J100" i="52"/>
  <c r="I100" i="52"/>
  <c r="G100" i="52"/>
  <c r="AV99" i="52"/>
  <c r="AW99" i="52" s="1"/>
  <c r="AQ99" i="52"/>
  <c r="AR99" i="52" s="1"/>
  <c r="AL99" i="52"/>
  <c r="AM99" i="52" s="1"/>
  <c r="AG99" i="52"/>
  <c r="AH99" i="52" s="1"/>
  <c r="AB99" i="52"/>
  <c r="AC99" i="52" s="1"/>
  <c r="W99" i="52"/>
  <c r="X99" i="52" s="1"/>
  <c r="R99" i="52"/>
  <c r="S99" i="52" s="1"/>
  <c r="J99" i="52"/>
  <c r="I99" i="52"/>
  <c r="G99" i="52"/>
  <c r="AV98" i="52"/>
  <c r="AW98" i="52" s="1"/>
  <c r="AQ98" i="52"/>
  <c r="AR98" i="52" s="1"/>
  <c r="AL98" i="52"/>
  <c r="AM98" i="52" s="1"/>
  <c r="AG98" i="52"/>
  <c r="AH98" i="52" s="1"/>
  <c r="AB98" i="52"/>
  <c r="AC98" i="52" s="1"/>
  <c r="W98" i="52"/>
  <c r="X98" i="52" s="1"/>
  <c r="R98" i="52"/>
  <c r="S98" i="52" s="1"/>
  <c r="J98" i="52"/>
  <c r="I98" i="52"/>
  <c r="G98" i="52"/>
  <c r="AV97" i="52"/>
  <c r="AW97" i="52" s="1"/>
  <c r="AQ97" i="52"/>
  <c r="AR97" i="52" s="1"/>
  <c r="AL97" i="52"/>
  <c r="AM97" i="52" s="1"/>
  <c r="AG97" i="52"/>
  <c r="AH97" i="52" s="1"/>
  <c r="AB97" i="52"/>
  <c r="AC97" i="52" s="1"/>
  <c r="W97" i="52"/>
  <c r="X97" i="52" s="1"/>
  <c r="R97" i="52"/>
  <c r="S97" i="52" s="1"/>
  <c r="J97" i="52"/>
  <c r="I97" i="52"/>
  <c r="G97" i="52"/>
  <c r="AV96" i="52"/>
  <c r="AW96" i="52" s="1"/>
  <c r="AQ96" i="52"/>
  <c r="AR96" i="52" s="1"/>
  <c r="AL96" i="52"/>
  <c r="AM96" i="52" s="1"/>
  <c r="AG96" i="52"/>
  <c r="AH96" i="52" s="1"/>
  <c r="AB96" i="52"/>
  <c r="AC96" i="52" s="1"/>
  <c r="W96" i="52"/>
  <c r="X96" i="52" s="1"/>
  <c r="R96" i="52"/>
  <c r="S96" i="52" s="1"/>
  <c r="K96" i="52"/>
  <c r="M96" i="52" s="1"/>
  <c r="J96" i="52"/>
  <c r="I96" i="52"/>
  <c r="G96" i="52"/>
  <c r="AV95" i="52"/>
  <c r="AW95" i="52" s="1"/>
  <c r="AQ95" i="52"/>
  <c r="AR95" i="52" s="1"/>
  <c r="AL95" i="52"/>
  <c r="AM95" i="52" s="1"/>
  <c r="AG95" i="52"/>
  <c r="AH95" i="52" s="1"/>
  <c r="AB95" i="52"/>
  <c r="AC95" i="52" s="1"/>
  <c r="W95" i="52"/>
  <c r="X95" i="52" s="1"/>
  <c r="R95" i="52"/>
  <c r="S95" i="52" s="1"/>
  <c r="J95" i="52"/>
  <c r="I95" i="52"/>
  <c r="G95" i="52"/>
  <c r="AV94" i="52"/>
  <c r="AW94" i="52" s="1"/>
  <c r="AQ94" i="52"/>
  <c r="AR94" i="52" s="1"/>
  <c r="AL94" i="52"/>
  <c r="AM94" i="52" s="1"/>
  <c r="AG94" i="52"/>
  <c r="AH94" i="52" s="1"/>
  <c r="AB94" i="52"/>
  <c r="AC94" i="52" s="1"/>
  <c r="W94" i="52"/>
  <c r="X94" i="52" s="1"/>
  <c r="R94" i="52"/>
  <c r="S94" i="52" s="1"/>
  <c r="J94" i="52"/>
  <c r="I94" i="52"/>
  <c r="G94" i="52"/>
  <c r="AV93" i="52"/>
  <c r="AW93" i="52" s="1"/>
  <c r="AQ93" i="52"/>
  <c r="AR93" i="52" s="1"/>
  <c r="AL93" i="52"/>
  <c r="AM93" i="52" s="1"/>
  <c r="AG93" i="52"/>
  <c r="AH93" i="52" s="1"/>
  <c r="AB93" i="52"/>
  <c r="AC93" i="52" s="1"/>
  <c r="W93" i="52"/>
  <c r="X93" i="52" s="1"/>
  <c r="R93" i="52"/>
  <c r="S93" i="52" s="1"/>
  <c r="J93" i="52"/>
  <c r="I93" i="52"/>
  <c r="G93" i="52"/>
  <c r="AV92" i="52"/>
  <c r="AW92" i="52" s="1"/>
  <c r="AQ92" i="52"/>
  <c r="AR92" i="52" s="1"/>
  <c r="AL92" i="52"/>
  <c r="AM92" i="52" s="1"/>
  <c r="AG92" i="52"/>
  <c r="AH92" i="52" s="1"/>
  <c r="AB92" i="52"/>
  <c r="AC92" i="52" s="1"/>
  <c r="W92" i="52"/>
  <c r="X92" i="52" s="1"/>
  <c r="R92" i="52"/>
  <c r="S92" i="52" s="1"/>
  <c r="J92" i="52"/>
  <c r="I92" i="52"/>
  <c r="G92" i="52"/>
  <c r="AV91" i="52"/>
  <c r="AW91" i="52" s="1"/>
  <c r="AQ91" i="52"/>
  <c r="AR91" i="52" s="1"/>
  <c r="AL91" i="52"/>
  <c r="AM91" i="52" s="1"/>
  <c r="AG91" i="52"/>
  <c r="AH91" i="52" s="1"/>
  <c r="AB91" i="52"/>
  <c r="AC91" i="52" s="1"/>
  <c r="W91" i="52"/>
  <c r="X91" i="52" s="1"/>
  <c r="R91" i="52"/>
  <c r="S91" i="52" s="1"/>
  <c r="J91" i="52"/>
  <c r="I91" i="52"/>
  <c r="G91" i="52"/>
  <c r="AV90" i="52"/>
  <c r="AW90" i="52" s="1"/>
  <c r="AQ90" i="52"/>
  <c r="AR90" i="52" s="1"/>
  <c r="AL90" i="52"/>
  <c r="AM90" i="52" s="1"/>
  <c r="AG90" i="52"/>
  <c r="AH90" i="52" s="1"/>
  <c r="AB90" i="52"/>
  <c r="AC90" i="52" s="1"/>
  <c r="W90" i="52"/>
  <c r="X90" i="52" s="1"/>
  <c r="R90" i="52"/>
  <c r="S90" i="52" s="1"/>
  <c r="J90" i="52"/>
  <c r="I90" i="52"/>
  <c r="G90" i="52"/>
  <c r="AV89" i="52"/>
  <c r="AW89" i="52" s="1"/>
  <c r="AQ89" i="52"/>
  <c r="AR89" i="52" s="1"/>
  <c r="AL89" i="52"/>
  <c r="AM89" i="52" s="1"/>
  <c r="AG89" i="52"/>
  <c r="AH89" i="52" s="1"/>
  <c r="AB89" i="52"/>
  <c r="AC89" i="52" s="1"/>
  <c r="W89" i="52"/>
  <c r="X89" i="52" s="1"/>
  <c r="R89" i="52"/>
  <c r="S89" i="52" s="1"/>
  <c r="J89" i="52"/>
  <c r="I89" i="52"/>
  <c r="G89" i="52"/>
  <c r="AV88" i="52"/>
  <c r="AW88" i="52" s="1"/>
  <c r="AQ88" i="52"/>
  <c r="AR88" i="52" s="1"/>
  <c r="AL88" i="52"/>
  <c r="AM88" i="52" s="1"/>
  <c r="AG88" i="52"/>
  <c r="AH88" i="52" s="1"/>
  <c r="AB88" i="52"/>
  <c r="AC88" i="52" s="1"/>
  <c r="W88" i="52"/>
  <c r="X88" i="52" s="1"/>
  <c r="R88" i="52"/>
  <c r="S88" i="52" s="1"/>
  <c r="J88" i="52"/>
  <c r="I88" i="52"/>
  <c r="G88" i="52"/>
  <c r="AV87" i="52"/>
  <c r="AW87" i="52" s="1"/>
  <c r="AQ87" i="52"/>
  <c r="AS87" i="52" s="1"/>
  <c r="AL87" i="52"/>
  <c r="AM87" i="52" s="1"/>
  <c r="AG87" i="52"/>
  <c r="AI87" i="52" s="1"/>
  <c r="AB87" i="52"/>
  <c r="AC87" i="52" s="1"/>
  <c r="W87" i="52"/>
  <c r="Y87" i="52" s="1"/>
  <c r="R87" i="52"/>
  <c r="T87" i="52" s="1"/>
  <c r="J87" i="52"/>
  <c r="I87" i="52"/>
  <c r="G87" i="52"/>
  <c r="H87" i="52" s="1"/>
  <c r="C1" i="51"/>
  <c r="AV101" i="51"/>
  <c r="AW101" i="51" s="1"/>
  <c r="AQ101" i="51"/>
  <c r="AR101" i="51" s="1"/>
  <c r="AM101" i="51"/>
  <c r="AL101" i="51"/>
  <c r="AG101" i="51"/>
  <c r="AH101" i="51" s="1"/>
  <c r="AB101" i="51"/>
  <c r="AC101" i="51" s="1"/>
  <c r="W101" i="51"/>
  <c r="X101" i="51" s="1"/>
  <c r="R101" i="51"/>
  <c r="S101" i="51" s="1"/>
  <c r="K101" i="51"/>
  <c r="M101" i="51" s="1"/>
  <c r="J101" i="51"/>
  <c r="I101" i="51"/>
  <c r="G101" i="51"/>
  <c r="AV100" i="51"/>
  <c r="AW100" i="51" s="1"/>
  <c r="AQ100" i="51"/>
  <c r="AR100" i="51" s="1"/>
  <c r="AL100" i="51"/>
  <c r="AM100" i="51" s="1"/>
  <c r="AG100" i="51"/>
  <c r="AH100" i="51" s="1"/>
  <c r="AB100" i="51"/>
  <c r="AC100" i="51" s="1"/>
  <c r="W100" i="51"/>
  <c r="X100" i="51" s="1"/>
  <c r="R100" i="51"/>
  <c r="S100" i="51" s="1"/>
  <c r="K100" i="51"/>
  <c r="M100" i="51" s="1"/>
  <c r="J100" i="51"/>
  <c r="I100" i="51"/>
  <c r="G100" i="51"/>
  <c r="AV99" i="51"/>
  <c r="AW99" i="51" s="1"/>
  <c r="AR99" i="51"/>
  <c r="AQ99" i="51"/>
  <c r="AL99" i="51"/>
  <c r="AM99" i="51" s="1"/>
  <c r="AG99" i="51"/>
  <c r="AH99" i="51" s="1"/>
  <c r="AB99" i="51"/>
  <c r="AC99" i="51" s="1"/>
  <c r="W99" i="51"/>
  <c r="X99" i="51" s="1"/>
  <c r="R99" i="51"/>
  <c r="S99" i="51" s="1"/>
  <c r="K99" i="51"/>
  <c r="M99" i="51" s="1"/>
  <c r="J99" i="51"/>
  <c r="I99" i="51"/>
  <c r="G99" i="51"/>
  <c r="AV98" i="51"/>
  <c r="AW98" i="51" s="1"/>
  <c r="AQ98" i="51"/>
  <c r="AR98" i="51" s="1"/>
  <c r="AL98" i="51"/>
  <c r="AM98" i="51" s="1"/>
  <c r="AG98" i="51"/>
  <c r="AH98" i="51" s="1"/>
  <c r="AB98" i="51"/>
  <c r="AC98" i="51" s="1"/>
  <c r="W98" i="51"/>
  <c r="X98" i="51" s="1"/>
  <c r="R98" i="51"/>
  <c r="S98" i="51" s="1"/>
  <c r="K98" i="51"/>
  <c r="M98" i="51" s="1"/>
  <c r="J98" i="51"/>
  <c r="I98" i="51"/>
  <c r="G98" i="51"/>
  <c r="AV97" i="51"/>
  <c r="AW97" i="51" s="1"/>
  <c r="AQ97" i="51"/>
  <c r="AR97" i="51" s="1"/>
  <c r="AL97" i="51"/>
  <c r="AM97" i="51" s="1"/>
  <c r="AG97" i="51"/>
  <c r="AH97" i="51" s="1"/>
  <c r="AB97" i="51"/>
  <c r="AC97" i="51" s="1"/>
  <c r="W97" i="51"/>
  <c r="X97" i="51" s="1"/>
  <c r="R97" i="51"/>
  <c r="S97" i="51" s="1"/>
  <c r="K97" i="51"/>
  <c r="M97" i="51" s="1"/>
  <c r="J97" i="51"/>
  <c r="I97" i="51"/>
  <c r="G97" i="51"/>
  <c r="AV96" i="51"/>
  <c r="AW96" i="51" s="1"/>
  <c r="AQ96" i="51"/>
  <c r="AR96" i="51" s="1"/>
  <c r="AL96" i="51"/>
  <c r="AM96" i="51" s="1"/>
  <c r="AG96" i="51"/>
  <c r="AH96" i="51" s="1"/>
  <c r="AB96" i="51"/>
  <c r="AC96" i="51" s="1"/>
  <c r="W96" i="51"/>
  <c r="X96" i="51" s="1"/>
  <c r="R96" i="51"/>
  <c r="S96" i="51" s="1"/>
  <c r="J96" i="51"/>
  <c r="I96" i="51"/>
  <c r="G96" i="51"/>
  <c r="AV95" i="51"/>
  <c r="AW95" i="51" s="1"/>
  <c r="AQ95" i="51"/>
  <c r="AR95" i="51" s="1"/>
  <c r="AL95" i="51"/>
  <c r="AM95" i="51" s="1"/>
  <c r="AG95" i="51"/>
  <c r="AH95" i="51" s="1"/>
  <c r="AB95" i="51"/>
  <c r="AC95" i="51" s="1"/>
  <c r="W95" i="51"/>
  <c r="X95" i="51" s="1"/>
  <c r="R95" i="51"/>
  <c r="S95" i="51" s="1"/>
  <c r="J95" i="51"/>
  <c r="I95" i="51"/>
  <c r="G95" i="51"/>
  <c r="AV94" i="51"/>
  <c r="AW94" i="51" s="1"/>
  <c r="AQ94" i="51"/>
  <c r="AR94" i="51" s="1"/>
  <c r="AL94" i="51"/>
  <c r="AM94" i="51" s="1"/>
  <c r="AG94" i="51"/>
  <c r="AH94" i="51" s="1"/>
  <c r="AB94" i="51"/>
  <c r="AC94" i="51" s="1"/>
  <c r="W94" i="51"/>
  <c r="X94" i="51" s="1"/>
  <c r="R94" i="51"/>
  <c r="S94" i="51" s="1"/>
  <c r="K94" i="51"/>
  <c r="M94" i="51" s="1"/>
  <c r="J94" i="51"/>
  <c r="I94" i="51"/>
  <c r="G94" i="51"/>
  <c r="AV93" i="51"/>
  <c r="AW93" i="51" s="1"/>
  <c r="AQ93" i="51"/>
  <c r="AR93" i="51" s="1"/>
  <c r="AL93" i="51"/>
  <c r="AM93" i="51" s="1"/>
  <c r="AG93" i="51"/>
  <c r="AH93" i="51" s="1"/>
  <c r="AB93" i="51"/>
  <c r="AC93" i="51" s="1"/>
  <c r="W93" i="51"/>
  <c r="X93" i="51" s="1"/>
  <c r="R93" i="51"/>
  <c r="S93" i="51" s="1"/>
  <c r="K93" i="51"/>
  <c r="M93" i="51" s="1"/>
  <c r="J93" i="51"/>
  <c r="I93" i="51"/>
  <c r="G93" i="51"/>
  <c r="AV92" i="51"/>
  <c r="AW92" i="51" s="1"/>
  <c r="AQ92" i="51"/>
  <c r="AR92" i="51" s="1"/>
  <c r="AL92" i="51"/>
  <c r="AM92" i="51" s="1"/>
  <c r="AG92" i="51"/>
  <c r="AH92" i="51" s="1"/>
  <c r="AB92" i="51"/>
  <c r="AC92" i="51" s="1"/>
  <c r="W92" i="51"/>
  <c r="X92" i="51" s="1"/>
  <c r="R92" i="51"/>
  <c r="S92" i="51" s="1"/>
  <c r="J92" i="51"/>
  <c r="I92" i="51"/>
  <c r="G92" i="51"/>
  <c r="AV91" i="51"/>
  <c r="AW91" i="51" s="1"/>
  <c r="AQ91" i="51"/>
  <c r="AR91" i="51" s="1"/>
  <c r="AL91" i="51"/>
  <c r="AM91" i="51" s="1"/>
  <c r="AG91" i="51"/>
  <c r="AH91" i="51" s="1"/>
  <c r="AB91" i="51"/>
  <c r="AC91" i="51" s="1"/>
  <c r="W91" i="51"/>
  <c r="X91" i="51" s="1"/>
  <c r="R91" i="51"/>
  <c r="S91" i="51" s="1"/>
  <c r="J91" i="51"/>
  <c r="I91" i="51"/>
  <c r="G91" i="51"/>
  <c r="AV90" i="51"/>
  <c r="AW90" i="51" s="1"/>
  <c r="AQ90" i="51"/>
  <c r="AR90" i="51" s="1"/>
  <c r="AL90" i="51"/>
  <c r="AM90" i="51" s="1"/>
  <c r="AG90" i="51"/>
  <c r="AH90" i="51" s="1"/>
  <c r="AB90" i="51"/>
  <c r="AC90" i="51" s="1"/>
  <c r="W90" i="51"/>
  <c r="X90" i="51" s="1"/>
  <c r="R90" i="51"/>
  <c r="S90" i="51" s="1"/>
  <c r="K90" i="51"/>
  <c r="M90" i="51" s="1"/>
  <c r="J90" i="51"/>
  <c r="I90" i="51"/>
  <c r="G90" i="51"/>
  <c r="AV89" i="51"/>
  <c r="AW89" i="51" s="1"/>
  <c r="AQ89" i="51"/>
  <c r="AR89" i="51" s="1"/>
  <c r="AL89" i="51"/>
  <c r="AM89" i="51" s="1"/>
  <c r="AG89" i="51"/>
  <c r="AH89" i="51" s="1"/>
  <c r="AB89" i="51"/>
  <c r="AC89" i="51" s="1"/>
  <c r="W89" i="51"/>
  <c r="X89" i="51" s="1"/>
  <c r="R89" i="51"/>
  <c r="S89" i="51" s="1"/>
  <c r="K89" i="51"/>
  <c r="M89" i="51" s="1"/>
  <c r="J89" i="51"/>
  <c r="I89" i="51"/>
  <c r="G89" i="51"/>
  <c r="AV88" i="51"/>
  <c r="AW88" i="51" s="1"/>
  <c r="AQ88" i="51"/>
  <c r="AR88" i="51" s="1"/>
  <c r="AL88" i="51"/>
  <c r="AM88" i="51" s="1"/>
  <c r="AG88" i="51"/>
  <c r="AH88" i="51" s="1"/>
  <c r="AB88" i="51"/>
  <c r="AC88" i="51" s="1"/>
  <c r="W88" i="51"/>
  <c r="X88" i="51" s="1"/>
  <c r="R88" i="51"/>
  <c r="S88" i="51" s="1"/>
  <c r="J88" i="51"/>
  <c r="I88" i="51"/>
  <c r="G88" i="51"/>
  <c r="AV87" i="51"/>
  <c r="AX87" i="51" s="1"/>
  <c r="AQ87" i="51"/>
  <c r="AS87" i="51" s="1"/>
  <c r="AL87" i="51"/>
  <c r="AN87" i="51" s="1"/>
  <c r="AG87" i="51"/>
  <c r="AH87" i="51" s="1"/>
  <c r="AD87" i="51"/>
  <c r="AB87" i="51"/>
  <c r="AC87" i="51" s="1"/>
  <c r="W87" i="51"/>
  <c r="Y87" i="51" s="1"/>
  <c r="R87" i="51"/>
  <c r="S87" i="51" s="1"/>
  <c r="J87" i="51"/>
  <c r="I87" i="51"/>
  <c r="G87" i="51"/>
  <c r="H87" i="51" s="1"/>
  <c r="C1" i="50"/>
  <c r="AV101" i="50"/>
  <c r="AW101" i="50" s="1"/>
  <c r="AQ101" i="50"/>
  <c r="AR101" i="50" s="1"/>
  <c r="AL101" i="50"/>
  <c r="AM101" i="50" s="1"/>
  <c r="AG101" i="50"/>
  <c r="AH101" i="50" s="1"/>
  <c r="AB101" i="50"/>
  <c r="AC101" i="50" s="1"/>
  <c r="W101" i="50"/>
  <c r="X101" i="50" s="1"/>
  <c r="R101" i="50"/>
  <c r="S101" i="50" s="1"/>
  <c r="K101" i="50"/>
  <c r="M101" i="50" s="1"/>
  <c r="J101" i="50"/>
  <c r="I101" i="50"/>
  <c r="G101" i="50"/>
  <c r="AV100" i="50"/>
  <c r="AW100" i="50" s="1"/>
  <c r="AQ100" i="50"/>
  <c r="AR100" i="50" s="1"/>
  <c r="AL100" i="50"/>
  <c r="AM100" i="50" s="1"/>
  <c r="AG100" i="50"/>
  <c r="AH100" i="50" s="1"/>
  <c r="AB100" i="50"/>
  <c r="AC100" i="50" s="1"/>
  <c r="W100" i="50"/>
  <c r="X100" i="50" s="1"/>
  <c r="R100" i="50"/>
  <c r="S100" i="50" s="1"/>
  <c r="K100" i="50"/>
  <c r="M100" i="50" s="1"/>
  <c r="J100" i="50"/>
  <c r="I100" i="50"/>
  <c r="G100" i="50"/>
  <c r="AV99" i="50"/>
  <c r="AW99" i="50" s="1"/>
  <c r="AQ99" i="50"/>
  <c r="AR99" i="50" s="1"/>
  <c r="AL99" i="50"/>
  <c r="AM99" i="50" s="1"/>
  <c r="AH99" i="50"/>
  <c r="AG99" i="50"/>
  <c r="AB99" i="50"/>
  <c r="AC99" i="50" s="1"/>
  <c r="W99" i="50"/>
  <c r="X99" i="50" s="1"/>
  <c r="R99" i="50"/>
  <c r="S99" i="50" s="1"/>
  <c r="J99" i="50"/>
  <c r="I99" i="50"/>
  <c r="G99" i="50"/>
  <c r="AV98" i="50"/>
  <c r="AW98" i="50" s="1"/>
  <c r="AQ98" i="50"/>
  <c r="AR98" i="50" s="1"/>
  <c r="AL98" i="50"/>
  <c r="AM98" i="50" s="1"/>
  <c r="AG98" i="50"/>
  <c r="AH98" i="50" s="1"/>
  <c r="AB98" i="50"/>
  <c r="AC98" i="50" s="1"/>
  <c r="W98" i="50"/>
  <c r="X98" i="50" s="1"/>
  <c r="R98" i="50"/>
  <c r="S98" i="50" s="1"/>
  <c r="J98" i="50"/>
  <c r="I98" i="50"/>
  <c r="G98" i="50"/>
  <c r="AV97" i="50"/>
  <c r="AW97" i="50" s="1"/>
  <c r="AQ97" i="50"/>
  <c r="AR97" i="50" s="1"/>
  <c r="AL97" i="50"/>
  <c r="AM97" i="50" s="1"/>
  <c r="AG97" i="50"/>
  <c r="AH97" i="50" s="1"/>
  <c r="AB97" i="50"/>
  <c r="AC97" i="50" s="1"/>
  <c r="W97" i="50"/>
  <c r="X97" i="50" s="1"/>
  <c r="R97" i="50"/>
  <c r="S97" i="50" s="1"/>
  <c r="J97" i="50"/>
  <c r="I97" i="50"/>
  <c r="G97" i="50"/>
  <c r="AV96" i="50"/>
  <c r="AW96" i="50" s="1"/>
  <c r="AQ96" i="50"/>
  <c r="AR96" i="50" s="1"/>
  <c r="AL96" i="50"/>
  <c r="AM96" i="50" s="1"/>
  <c r="AG96" i="50"/>
  <c r="AH96" i="50" s="1"/>
  <c r="AB96" i="50"/>
  <c r="AC96" i="50" s="1"/>
  <c r="W96" i="50"/>
  <c r="X96" i="50" s="1"/>
  <c r="R96" i="50"/>
  <c r="S96" i="50" s="1"/>
  <c r="K96" i="50"/>
  <c r="M96" i="50" s="1"/>
  <c r="J96" i="50"/>
  <c r="I96" i="50"/>
  <c r="G96" i="50"/>
  <c r="AV95" i="50"/>
  <c r="AW95" i="50" s="1"/>
  <c r="AQ95" i="50"/>
  <c r="AR95" i="50" s="1"/>
  <c r="AL95" i="50"/>
  <c r="AM95" i="50" s="1"/>
  <c r="AG95" i="50"/>
  <c r="AH95" i="50" s="1"/>
  <c r="AB95" i="50"/>
  <c r="AC95" i="50" s="1"/>
  <c r="W95" i="50"/>
  <c r="X95" i="50" s="1"/>
  <c r="R95" i="50"/>
  <c r="S95" i="50" s="1"/>
  <c r="K95" i="50"/>
  <c r="M95" i="50" s="1"/>
  <c r="J95" i="50"/>
  <c r="I95" i="50"/>
  <c r="G95" i="50"/>
  <c r="AV94" i="50"/>
  <c r="AW94" i="50" s="1"/>
  <c r="AQ94" i="50"/>
  <c r="AR94" i="50" s="1"/>
  <c r="AL94" i="50"/>
  <c r="AM94" i="50" s="1"/>
  <c r="AG94" i="50"/>
  <c r="AH94" i="50" s="1"/>
  <c r="AB94" i="50"/>
  <c r="AC94" i="50" s="1"/>
  <c r="W94" i="50"/>
  <c r="X94" i="50" s="1"/>
  <c r="R94" i="50"/>
  <c r="S94" i="50" s="1"/>
  <c r="J94" i="50"/>
  <c r="I94" i="50"/>
  <c r="G94" i="50"/>
  <c r="AV93" i="50"/>
  <c r="AW93" i="50" s="1"/>
  <c r="AQ93" i="50"/>
  <c r="AR93" i="50" s="1"/>
  <c r="AL93" i="50"/>
  <c r="AM93" i="50" s="1"/>
  <c r="AG93" i="50"/>
  <c r="AH93" i="50" s="1"/>
  <c r="AB93" i="50"/>
  <c r="AC93" i="50" s="1"/>
  <c r="W93" i="50"/>
  <c r="X93" i="50" s="1"/>
  <c r="R93" i="50"/>
  <c r="S93" i="50" s="1"/>
  <c r="J93" i="50"/>
  <c r="I93" i="50"/>
  <c r="G93" i="50"/>
  <c r="AV92" i="50"/>
  <c r="AW92" i="50" s="1"/>
  <c r="AQ92" i="50"/>
  <c r="AR92" i="50" s="1"/>
  <c r="AL92" i="50"/>
  <c r="AM92" i="50" s="1"/>
  <c r="AG92" i="50"/>
  <c r="AH92" i="50" s="1"/>
  <c r="AB92" i="50"/>
  <c r="AC92" i="50" s="1"/>
  <c r="W92" i="50"/>
  <c r="X92" i="50" s="1"/>
  <c r="R92" i="50"/>
  <c r="S92" i="50" s="1"/>
  <c r="J92" i="50"/>
  <c r="I92" i="50"/>
  <c r="G92" i="50"/>
  <c r="AV91" i="50"/>
  <c r="AW91" i="50" s="1"/>
  <c r="AQ91" i="50"/>
  <c r="AR91" i="50" s="1"/>
  <c r="AL91" i="50"/>
  <c r="AM91" i="50" s="1"/>
  <c r="AG91" i="50"/>
  <c r="AH91" i="50" s="1"/>
  <c r="AB91" i="50"/>
  <c r="AC91" i="50" s="1"/>
  <c r="W91" i="50"/>
  <c r="X91" i="50" s="1"/>
  <c r="R91" i="50"/>
  <c r="K91" i="50" s="1"/>
  <c r="M91" i="50" s="1"/>
  <c r="J91" i="50"/>
  <c r="I91" i="50"/>
  <c r="G91" i="50"/>
  <c r="AV90" i="50"/>
  <c r="AW90" i="50" s="1"/>
  <c r="AQ90" i="50"/>
  <c r="AR90" i="50" s="1"/>
  <c r="AL90" i="50"/>
  <c r="AM90" i="50" s="1"/>
  <c r="AG90" i="50"/>
  <c r="AH90" i="50" s="1"/>
  <c r="AB90" i="50"/>
  <c r="AC90" i="50" s="1"/>
  <c r="W90" i="50"/>
  <c r="X90" i="50" s="1"/>
  <c r="R90" i="50"/>
  <c r="S90" i="50" s="1"/>
  <c r="J90" i="50"/>
  <c r="I90" i="50"/>
  <c r="G90" i="50"/>
  <c r="AV89" i="50"/>
  <c r="AW89" i="50" s="1"/>
  <c r="AQ89" i="50"/>
  <c r="AR89" i="50" s="1"/>
  <c r="AL89" i="50"/>
  <c r="AM89" i="50" s="1"/>
  <c r="AG89" i="50"/>
  <c r="AH89" i="50" s="1"/>
  <c r="AB89" i="50"/>
  <c r="AC89" i="50" s="1"/>
  <c r="W89" i="50"/>
  <c r="X89" i="50" s="1"/>
  <c r="R89" i="50"/>
  <c r="S89" i="50" s="1"/>
  <c r="J89" i="50"/>
  <c r="I89" i="50"/>
  <c r="G89" i="50"/>
  <c r="AV88" i="50"/>
  <c r="AW88" i="50" s="1"/>
  <c r="AQ88" i="50"/>
  <c r="AR88" i="50" s="1"/>
  <c r="AL88" i="50"/>
  <c r="AM88" i="50" s="1"/>
  <c r="AG88" i="50"/>
  <c r="AH88" i="50" s="1"/>
  <c r="AB88" i="50"/>
  <c r="AC88" i="50" s="1"/>
  <c r="W88" i="50"/>
  <c r="X88" i="50" s="1"/>
  <c r="R88" i="50"/>
  <c r="S88" i="50" s="1"/>
  <c r="J88" i="50"/>
  <c r="I88" i="50"/>
  <c r="G88" i="50"/>
  <c r="AV87" i="50"/>
  <c r="AX87" i="50" s="1"/>
  <c r="AQ87" i="50"/>
  <c r="AS87" i="50" s="1"/>
  <c r="AL87" i="50"/>
  <c r="AM87" i="50" s="1"/>
  <c r="AG87" i="50"/>
  <c r="AI87" i="50" s="1"/>
  <c r="AB87" i="50"/>
  <c r="AC87" i="50" s="1"/>
  <c r="W87" i="50"/>
  <c r="Y87" i="50" s="1"/>
  <c r="R87" i="50"/>
  <c r="S87" i="50" s="1"/>
  <c r="J87" i="50"/>
  <c r="I87" i="50"/>
  <c r="G87" i="50"/>
  <c r="H87" i="50" s="1"/>
  <c r="C1" i="49"/>
  <c r="P82" i="49"/>
  <c r="U82" i="49" s="1"/>
  <c r="P83" i="49"/>
  <c r="G87" i="49"/>
  <c r="H87" i="49"/>
  <c r="I87" i="49"/>
  <c r="J87" i="49"/>
  <c r="K87" i="49"/>
  <c r="M87" i="49" s="1"/>
  <c r="L87" i="49"/>
  <c r="R87" i="49"/>
  <c r="S87" i="49" s="1"/>
  <c r="T87" i="49"/>
  <c r="W87" i="49"/>
  <c r="Y87" i="49" s="1"/>
  <c r="X87" i="49"/>
  <c r="AB87" i="49"/>
  <c r="AC87" i="49"/>
  <c r="AD87" i="49"/>
  <c r="AG87" i="49"/>
  <c r="AH87" i="49"/>
  <c r="AI87" i="49"/>
  <c r="AL87" i="49"/>
  <c r="AM87" i="49"/>
  <c r="AN87" i="49"/>
  <c r="AQ87" i="49"/>
  <c r="AR87" i="49" s="1"/>
  <c r="AV87" i="49"/>
  <c r="AW87" i="49" s="1"/>
  <c r="G88" i="49"/>
  <c r="I88" i="49"/>
  <c r="J88" i="49"/>
  <c r="R88" i="49"/>
  <c r="K88" i="49" s="1"/>
  <c r="M88" i="49" s="1"/>
  <c r="S88" i="49"/>
  <c r="W88" i="49"/>
  <c r="X88" i="49" s="1"/>
  <c r="AB88" i="49"/>
  <c r="AC88" i="49"/>
  <c r="AG88" i="49"/>
  <c r="AH88" i="49"/>
  <c r="AL88" i="49"/>
  <c r="AM88" i="49"/>
  <c r="AQ88" i="49"/>
  <c r="AR88" i="49"/>
  <c r="AV88" i="49"/>
  <c r="AW88" i="49" s="1"/>
  <c r="G89" i="49"/>
  <c r="I89" i="49"/>
  <c r="J89" i="49"/>
  <c r="K89" i="49"/>
  <c r="M89" i="49"/>
  <c r="R89" i="49"/>
  <c r="S89" i="49"/>
  <c r="W89" i="49"/>
  <c r="X89" i="49"/>
  <c r="AB89" i="49"/>
  <c r="AC89" i="49"/>
  <c r="AG89" i="49"/>
  <c r="AH89" i="49"/>
  <c r="AL89" i="49"/>
  <c r="AM89" i="49"/>
  <c r="AQ89" i="49"/>
  <c r="AR89" i="49" s="1"/>
  <c r="AV89" i="49"/>
  <c r="AW89" i="49"/>
  <c r="G90" i="49"/>
  <c r="I90" i="49"/>
  <c r="J90" i="49"/>
  <c r="R90" i="49"/>
  <c r="K90" i="49" s="1"/>
  <c r="M90" i="49" s="1"/>
  <c r="W90" i="49"/>
  <c r="X90" i="49"/>
  <c r="AB90" i="49"/>
  <c r="AC90" i="49" s="1"/>
  <c r="AG90" i="49"/>
  <c r="AH90" i="49"/>
  <c r="AL90" i="49"/>
  <c r="AM90" i="49"/>
  <c r="AQ90" i="49"/>
  <c r="AR90" i="49"/>
  <c r="AV90" i="49"/>
  <c r="AW90" i="49"/>
  <c r="G91" i="49"/>
  <c r="I91" i="49"/>
  <c r="J91" i="49"/>
  <c r="R91" i="49"/>
  <c r="K91" i="49" s="1"/>
  <c r="M91" i="49" s="1"/>
  <c r="S91" i="49"/>
  <c r="W91" i="49"/>
  <c r="X91" i="49"/>
  <c r="AB91" i="49"/>
  <c r="AC91" i="49"/>
  <c r="AG91" i="49"/>
  <c r="AH91" i="49"/>
  <c r="AL91" i="49"/>
  <c r="AM91" i="49"/>
  <c r="AQ91" i="49"/>
  <c r="AR91" i="49"/>
  <c r="AV91" i="49"/>
  <c r="AW91" i="49" s="1"/>
  <c r="G92" i="49"/>
  <c r="I92" i="49"/>
  <c r="J92" i="49"/>
  <c r="R92" i="49"/>
  <c r="K92" i="49" s="1"/>
  <c r="M92" i="49" s="1"/>
  <c r="S92" i="49"/>
  <c r="W92" i="49"/>
  <c r="X92" i="49" s="1"/>
  <c r="AB92" i="49"/>
  <c r="AC92" i="49"/>
  <c r="AG92" i="49"/>
  <c r="AH92" i="49" s="1"/>
  <c r="AL92" i="49"/>
  <c r="AM92" i="49"/>
  <c r="AQ92" i="49"/>
  <c r="AR92" i="49"/>
  <c r="AV92" i="49"/>
  <c r="AW92" i="49"/>
  <c r="G93" i="49"/>
  <c r="I93" i="49"/>
  <c r="J93" i="49"/>
  <c r="R93" i="49"/>
  <c r="K93" i="49" s="1"/>
  <c r="M93" i="49" s="1"/>
  <c r="S93" i="49"/>
  <c r="W93" i="49"/>
  <c r="X93" i="49"/>
  <c r="AB93" i="49"/>
  <c r="AC93" i="49"/>
  <c r="AG93" i="49"/>
  <c r="AH93" i="49"/>
  <c r="AL93" i="49"/>
  <c r="AM93" i="49"/>
  <c r="AQ93" i="49"/>
  <c r="AR93" i="49"/>
  <c r="AV93" i="49"/>
  <c r="AW93" i="49"/>
  <c r="G94" i="49"/>
  <c r="I94" i="49"/>
  <c r="J94" i="49"/>
  <c r="K94" i="49"/>
  <c r="M94" i="49" s="1"/>
  <c r="R94" i="49"/>
  <c r="S94" i="49"/>
  <c r="W94" i="49"/>
  <c r="X94" i="49"/>
  <c r="AB94" i="49"/>
  <c r="AC94" i="49" s="1"/>
  <c r="AG94" i="49"/>
  <c r="AH94" i="49"/>
  <c r="AL94" i="49"/>
  <c r="AM94" i="49" s="1"/>
  <c r="AQ94" i="49"/>
  <c r="AR94" i="49"/>
  <c r="AV94" i="49"/>
  <c r="AW94" i="49"/>
  <c r="G95" i="49"/>
  <c r="I95" i="49"/>
  <c r="J95" i="49"/>
  <c r="K95" i="49"/>
  <c r="M95" i="49"/>
  <c r="R95" i="49"/>
  <c r="S95" i="49" s="1"/>
  <c r="W95" i="49"/>
  <c r="X95" i="49"/>
  <c r="AB95" i="49"/>
  <c r="AC95" i="49"/>
  <c r="AG95" i="49"/>
  <c r="AH95" i="49"/>
  <c r="AL95" i="49"/>
  <c r="AM95" i="49"/>
  <c r="AQ95" i="49"/>
  <c r="AR95" i="49"/>
  <c r="AV95" i="49"/>
  <c r="AW95" i="49"/>
  <c r="G96" i="49"/>
  <c r="I96" i="49"/>
  <c r="J96" i="49"/>
  <c r="R96" i="49"/>
  <c r="S96" i="49" s="1"/>
  <c r="W96" i="49"/>
  <c r="X96" i="49"/>
  <c r="AB96" i="49"/>
  <c r="AC96" i="49"/>
  <c r="AG96" i="49"/>
  <c r="AH96" i="49" s="1"/>
  <c r="AL96" i="49"/>
  <c r="AM96" i="49"/>
  <c r="AQ96" i="49"/>
  <c r="AR96" i="49" s="1"/>
  <c r="AV96" i="49"/>
  <c r="AW96" i="49"/>
  <c r="G97" i="49"/>
  <c r="I97" i="49"/>
  <c r="J97" i="49"/>
  <c r="K97" i="49"/>
  <c r="M97" i="49" s="1"/>
  <c r="R97" i="49"/>
  <c r="S97" i="49"/>
  <c r="W97" i="49"/>
  <c r="X97" i="49"/>
  <c r="AB97" i="49"/>
  <c r="AC97" i="49" s="1"/>
  <c r="AG97" i="49"/>
  <c r="AH97" i="49"/>
  <c r="AL97" i="49"/>
  <c r="AM97" i="49"/>
  <c r="AQ97" i="49"/>
  <c r="AR97" i="49"/>
  <c r="AV97" i="49"/>
  <c r="AW97" i="49"/>
  <c r="G98" i="49"/>
  <c r="I98" i="49"/>
  <c r="J98" i="49"/>
  <c r="K98" i="49"/>
  <c r="M98" i="49"/>
  <c r="R98" i="49"/>
  <c r="S98" i="49"/>
  <c r="W98" i="49"/>
  <c r="X98" i="49" s="1"/>
  <c r="AB98" i="49"/>
  <c r="AC98" i="49"/>
  <c r="AG98" i="49"/>
  <c r="AH98" i="49"/>
  <c r="AL98" i="49"/>
  <c r="AM98" i="49" s="1"/>
  <c r="AQ98" i="49"/>
  <c r="AR98" i="49"/>
  <c r="AV98" i="49"/>
  <c r="AW98" i="49" s="1"/>
  <c r="G99" i="49"/>
  <c r="I99" i="49"/>
  <c r="J99" i="49"/>
  <c r="R99" i="49"/>
  <c r="K99" i="49" s="1"/>
  <c r="M99" i="49" s="1"/>
  <c r="W99" i="49"/>
  <c r="X99" i="49"/>
  <c r="AB99" i="49"/>
  <c r="AC99" i="49"/>
  <c r="AG99" i="49"/>
  <c r="AH99" i="49"/>
  <c r="AL99" i="49"/>
  <c r="AM99" i="49"/>
  <c r="AQ99" i="49"/>
  <c r="AR99" i="49"/>
  <c r="AV99" i="49"/>
  <c r="AW99" i="49"/>
  <c r="G100" i="49"/>
  <c r="I100" i="49"/>
  <c r="J100" i="49"/>
  <c r="R100" i="49"/>
  <c r="K100" i="49" s="1"/>
  <c r="M100" i="49" s="1"/>
  <c r="S100" i="49"/>
  <c r="W100" i="49"/>
  <c r="X100" i="49"/>
  <c r="AB100" i="49"/>
  <c r="AC100" i="49" s="1"/>
  <c r="AG100" i="49"/>
  <c r="AH100" i="49"/>
  <c r="AL100" i="49"/>
  <c r="AM100" i="49"/>
  <c r="AQ100" i="49"/>
  <c r="AR100" i="49" s="1"/>
  <c r="AV100" i="49"/>
  <c r="AW100" i="49"/>
  <c r="G101" i="49"/>
  <c r="I101" i="49"/>
  <c r="J101" i="49"/>
  <c r="R101" i="49"/>
  <c r="K101" i="49" s="1"/>
  <c r="M101" i="49" s="1"/>
  <c r="S101" i="49"/>
  <c r="W101" i="49"/>
  <c r="X101" i="49" s="1"/>
  <c r="AB101" i="49"/>
  <c r="AC101" i="49"/>
  <c r="AG101" i="49"/>
  <c r="AH101" i="49" s="1"/>
  <c r="AL101" i="49"/>
  <c r="AM101" i="49" s="1"/>
  <c r="AQ101" i="49"/>
  <c r="AR101" i="49"/>
  <c r="AV101" i="49"/>
  <c r="AW101" i="49"/>
  <c r="H23" i="13"/>
  <c r="H22" i="13"/>
  <c r="H21" i="13"/>
  <c r="H20" i="13"/>
  <c r="H19" i="13"/>
  <c r="H18" i="13"/>
  <c r="H17" i="13"/>
  <c r="H16" i="13"/>
  <c r="H15" i="13"/>
  <c r="G87" i="48"/>
  <c r="H87" i="48"/>
  <c r="I87" i="48"/>
  <c r="J87" i="48"/>
  <c r="R87" i="48"/>
  <c r="K87" i="48" s="1"/>
  <c r="W87" i="48"/>
  <c r="X87" i="48" s="1"/>
  <c r="AB87" i="48"/>
  <c r="AC87" i="48"/>
  <c r="AD87" i="48"/>
  <c r="AG87" i="48"/>
  <c r="AH87" i="48" s="1"/>
  <c r="AL87" i="48"/>
  <c r="AM87" i="48"/>
  <c r="AN87" i="48"/>
  <c r="AQ87" i="48"/>
  <c r="AS87" i="48" s="1"/>
  <c r="AR87" i="48"/>
  <c r="AV87" i="48"/>
  <c r="AW87" i="48" s="1"/>
  <c r="G88" i="48"/>
  <c r="I88" i="48"/>
  <c r="J88" i="48"/>
  <c r="R88" i="48"/>
  <c r="K88" i="48" s="1"/>
  <c r="M88" i="48" s="1"/>
  <c r="S88" i="48"/>
  <c r="W88" i="48"/>
  <c r="X88" i="48" s="1"/>
  <c r="AB88" i="48"/>
  <c r="AC88" i="48"/>
  <c r="AG88" i="48"/>
  <c r="AH88" i="48" s="1"/>
  <c r="AL88" i="48"/>
  <c r="AM88" i="48"/>
  <c r="AQ88" i="48"/>
  <c r="AR88" i="48"/>
  <c r="AV88" i="48"/>
  <c r="AW88" i="48" s="1"/>
  <c r="G89" i="48"/>
  <c r="I89" i="48"/>
  <c r="J89" i="48"/>
  <c r="R89" i="48"/>
  <c r="K89" i="48" s="1"/>
  <c r="M89" i="48" s="1"/>
  <c r="S89" i="48"/>
  <c r="W89" i="48"/>
  <c r="X89" i="48"/>
  <c r="AB89" i="48"/>
  <c r="AC89" i="48" s="1"/>
  <c r="AG89" i="48"/>
  <c r="AH89" i="48"/>
  <c r="AL89" i="48"/>
  <c r="AM89" i="48" s="1"/>
  <c r="AQ89" i="48"/>
  <c r="AR89" i="48"/>
  <c r="AV89" i="48"/>
  <c r="AW89" i="48" s="1"/>
  <c r="G90" i="48"/>
  <c r="I90" i="48"/>
  <c r="J90" i="48"/>
  <c r="R90" i="48"/>
  <c r="S90" i="48" s="1"/>
  <c r="W90" i="48"/>
  <c r="X90" i="48"/>
  <c r="AB90" i="48"/>
  <c r="AC90" i="48" s="1"/>
  <c r="AG90" i="48"/>
  <c r="AH90" i="48"/>
  <c r="AL90" i="48"/>
  <c r="AM90" i="48"/>
  <c r="AQ90" i="48"/>
  <c r="AR90" i="48"/>
  <c r="AV90" i="48"/>
  <c r="AW90" i="48" s="1"/>
  <c r="G91" i="48"/>
  <c r="I91" i="48"/>
  <c r="J91" i="48"/>
  <c r="R91" i="48"/>
  <c r="K91" i="48" s="1"/>
  <c r="M91" i="48" s="1"/>
  <c r="W91" i="48"/>
  <c r="X91" i="48" s="1"/>
  <c r="AB91" i="48"/>
  <c r="AC91" i="48"/>
  <c r="AG91" i="48"/>
  <c r="AH91" i="48" s="1"/>
  <c r="AL91" i="48"/>
  <c r="AM91" i="48" s="1"/>
  <c r="AQ91" i="48"/>
  <c r="AR91" i="48"/>
  <c r="AV91" i="48"/>
  <c r="AW91" i="48"/>
  <c r="G92" i="48"/>
  <c r="I92" i="48"/>
  <c r="J92" i="48"/>
  <c r="R92" i="48"/>
  <c r="K92" i="48" s="1"/>
  <c r="M92" i="48" s="1"/>
  <c r="W92" i="48"/>
  <c r="X92" i="48" s="1"/>
  <c r="AB92" i="48"/>
  <c r="AC92" i="48"/>
  <c r="AG92" i="48"/>
  <c r="AH92" i="48" s="1"/>
  <c r="AL92" i="48"/>
  <c r="AM92" i="48" s="1"/>
  <c r="AQ92" i="48"/>
  <c r="AR92" i="48" s="1"/>
  <c r="AV92" i="48"/>
  <c r="AW92" i="48"/>
  <c r="G93" i="48"/>
  <c r="I93" i="48"/>
  <c r="J93" i="48"/>
  <c r="R93" i="48"/>
  <c r="K93" i="48" s="1"/>
  <c r="M93" i="48" s="1"/>
  <c r="S93" i="48"/>
  <c r="W93" i="48"/>
  <c r="X93" i="48"/>
  <c r="AB93" i="48"/>
  <c r="AC93" i="48" s="1"/>
  <c r="AG93" i="48"/>
  <c r="AH93" i="48"/>
  <c r="AL93" i="48"/>
  <c r="AM93" i="48" s="1"/>
  <c r="AQ93" i="48"/>
  <c r="AR93" i="48"/>
  <c r="AV93" i="48"/>
  <c r="AW93" i="48" s="1"/>
  <c r="G94" i="48"/>
  <c r="I94" i="48"/>
  <c r="J94" i="48"/>
  <c r="R94" i="48"/>
  <c r="S94" i="48" s="1"/>
  <c r="W94" i="48"/>
  <c r="X94" i="48" s="1"/>
  <c r="AB94" i="48"/>
  <c r="AC94" i="48" s="1"/>
  <c r="AG94" i="48"/>
  <c r="AH94" i="48"/>
  <c r="AL94" i="48"/>
  <c r="AM94" i="48" s="1"/>
  <c r="AQ94" i="48"/>
  <c r="AR94" i="48" s="1"/>
  <c r="AV94" i="48"/>
  <c r="AW94" i="48"/>
  <c r="G95" i="48"/>
  <c r="I95" i="48"/>
  <c r="J95" i="48"/>
  <c r="R95" i="48"/>
  <c r="K95" i="48" s="1"/>
  <c r="M95" i="48" s="1"/>
  <c r="W95" i="48"/>
  <c r="X95" i="48"/>
  <c r="AB95" i="48"/>
  <c r="AC95" i="48" s="1"/>
  <c r="AG95" i="48"/>
  <c r="AH95" i="48" s="1"/>
  <c r="AL95" i="48"/>
  <c r="AM95" i="48" s="1"/>
  <c r="AQ95" i="48"/>
  <c r="AR95" i="48" s="1"/>
  <c r="AV95" i="48"/>
  <c r="AW95" i="48" s="1"/>
  <c r="G96" i="48"/>
  <c r="I96" i="48"/>
  <c r="J96" i="48"/>
  <c r="R96" i="48"/>
  <c r="S96" i="48" s="1"/>
  <c r="W96" i="48"/>
  <c r="X96" i="48"/>
  <c r="AB96" i="48"/>
  <c r="AC96" i="48" s="1"/>
  <c r="AG96" i="48"/>
  <c r="AH96" i="48" s="1"/>
  <c r="AL96" i="48"/>
  <c r="AM96" i="48"/>
  <c r="AQ96" i="48"/>
  <c r="AR96" i="48" s="1"/>
  <c r="AV96" i="48"/>
  <c r="AW96" i="48" s="1"/>
  <c r="G97" i="48"/>
  <c r="I97" i="48"/>
  <c r="J97" i="48"/>
  <c r="R97" i="48"/>
  <c r="K97" i="48" s="1"/>
  <c r="M97" i="48" s="1"/>
  <c r="W97" i="48"/>
  <c r="X97" i="48" s="1"/>
  <c r="AB97" i="48"/>
  <c r="AC97" i="48"/>
  <c r="AG97" i="48"/>
  <c r="AH97" i="48"/>
  <c r="AL97" i="48"/>
  <c r="AM97" i="48"/>
  <c r="AQ97" i="48"/>
  <c r="AR97" i="48"/>
  <c r="AV97" i="48"/>
  <c r="AW97" i="48" s="1"/>
  <c r="G98" i="48"/>
  <c r="I98" i="48"/>
  <c r="J98" i="48"/>
  <c r="R98" i="48"/>
  <c r="K98" i="48" s="1"/>
  <c r="M98" i="48" s="1"/>
  <c r="S98" i="48"/>
  <c r="W98" i="48"/>
  <c r="X98" i="48" s="1"/>
  <c r="AB98" i="48"/>
  <c r="AC98" i="48"/>
  <c r="AG98" i="48"/>
  <c r="AH98" i="48" s="1"/>
  <c r="AL98" i="48"/>
  <c r="AM98" i="48" s="1"/>
  <c r="AQ98" i="48"/>
  <c r="AR98" i="48" s="1"/>
  <c r="AV98" i="48"/>
  <c r="AW98" i="48" s="1"/>
  <c r="G99" i="48"/>
  <c r="I99" i="48"/>
  <c r="J99" i="48"/>
  <c r="R99" i="48"/>
  <c r="K99" i="48" s="1"/>
  <c r="M99" i="48" s="1"/>
  <c r="W99" i="48"/>
  <c r="X99" i="48"/>
  <c r="AB99" i="48"/>
  <c r="AC99" i="48"/>
  <c r="AG99" i="48"/>
  <c r="AH99" i="48" s="1"/>
  <c r="AL99" i="48"/>
  <c r="AM99" i="48"/>
  <c r="AQ99" i="48"/>
  <c r="AR99" i="48"/>
  <c r="AV99" i="48"/>
  <c r="AW99" i="48" s="1"/>
  <c r="G100" i="48"/>
  <c r="I100" i="48"/>
  <c r="J100" i="48"/>
  <c r="R100" i="48"/>
  <c r="K100" i="48" s="1"/>
  <c r="M100" i="48" s="1"/>
  <c r="S100" i="48"/>
  <c r="W100" i="48"/>
  <c r="X100" i="48"/>
  <c r="AB100" i="48"/>
  <c r="AC100" i="48" s="1"/>
  <c r="AG100" i="48"/>
  <c r="AH100" i="48"/>
  <c r="AL100" i="48"/>
  <c r="AM100" i="48" s="1"/>
  <c r="AQ100" i="48"/>
  <c r="AR100" i="48" s="1"/>
  <c r="AV100" i="48"/>
  <c r="AW100" i="48" s="1"/>
  <c r="G101" i="48"/>
  <c r="I101" i="48"/>
  <c r="J101" i="48"/>
  <c r="R101" i="48"/>
  <c r="K101" i="48" s="1"/>
  <c r="M101" i="48" s="1"/>
  <c r="S101" i="48"/>
  <c r="W101" i="48"/>
  <c r="X101" i="48" s="1"/>
  <c r="AB101" i="48"/>
  <c r="AC101" i="48"/>
  <c r="AG101" i="48"/>
  <c r="AH101" i="48" s="1"/>
  <c r="AL101" i="48"/>
  <c r="AM101" i="48"/>
  <c r="AQ101" i="48"/>
  <c r="AR101" i="48"/>
  <c r="AV101" i="48"/>
  <c r="AW101" i="48"/>
  <c r="U63" i="49"/>
  <c r="U62" i="49"/>
  <c r="Z62" i="49" s="1"/>
  <c r="P62" i="49"/>
  <c r="P63" i="49" s="1"/>
  <c r="AV9" i="52"/>
  <c r="AQ9" i="52"/>
  <c r="AL9" i="52"/>
  <c r="AG9" i="52"/>
  <c r="AB9" i="52"/>
  <c r="W9" i="52"/>
  <c r="R9" i="52"/>
  <c r="J9" i="52"/>
  <c r="I9" i="52"/>
  <c r="G9" i="52"/>
  <c r="AV8" i="52"/>
  <c r="AQ8" i="52"/>
  <c r="AL8" i="52"/>
  <c r="AG8" i="52"/>
  <c r="AB8" i="52"/>
  <c r="W8" i="52"/>
  <c r="R8" i="52"/>
  <c r="J8" i="52"/>
  <c r="I8" i="52"/>
  <c r="G8" i="52"/>
  <c r="AV7" i="52"/>
  <c r="AQ7" i="52"/>
  <c r="AL7" i="52"/>
  <c r="AG7" i="52"/>
  <c r="AB7" i="52"/>
  <c r="W7" i="52"/>
  <c r="R7" i="52"/>
  <c r="J7" i="52"/>
  <c r="I7" i="52"/>
  <c r="G7" i="52"/>
  <c r="AV9" i="51"/>
  <c r="AQ9" i="51"/>
  <c r="AL9" i="51"/>
  <c r="AG9" i="51"/>
  <c r="AB9" i="51"/>
  <c r="W9" i="51"/>
  <c r="R9" i="5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Q7" i="51"/>
  <c r="AL7" i="51"/>
  <c r="AM7" i="51" s="1"/>
  <c r="AG7" i="51"/>
  <c r="AB7" i="51"/>
  <c r="AD7" i="51" s="1"/>
  <c r="W7" i="51"/>
  <c r="Y7" i="51" s="1"/>
  <c r="R7" i="51"/>
  <c r="J7" i="51"/>
  <c r="I7" i="51"/>
  <c r="G7" i="51"/>
  <c r="AV8" i="50"/>
  <c r="AQ8" i="50"/>
  <c r="AL8" i="50"/>
  <c r="AG8" i="50"/>
  <c r="AB8" i="50"/>
  <c r="W8" i="50"/>
  <c r="R8" i="50"/>
  <c r="J8" i="50"/>
  <c r="I8" i="50"/>
  <c r="G8" i="50"/>
  <c r="AV7" i="50"/>
  <c r="AQ7" i="50"/>
  <c r="AL7" i="50"/>
  <c r="AM8" i="50" s="1"/>
  <c r="AG7" i="50"/>
  <c r="AB7" i="50"/>
  <c r="AD7" i="50" s="1"/>
  <c r="W7" i="50"/>
  <c r="X8" i="50" s="1"/>
  <c r="R7" i="50"/>
  <c r="S7" i="50" s="1"/>
  <c r="J7" i="50"/>
  <c r="I7" i="50"/>
  <c r="G7" i="50"/>
  <c r="AV15" i="49"/>
  <c r="AQ15" i="49"/>
  <c r="AL15" i="49"/>
  <c r="AG15" i="49"/>
  <c r="AB15" i="49"/>
  <c r="W15" i="49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Y7" i="49" s="1"/>
  <c r="R7" i="49"/>
  <c r="T7" i="49" s="1"/>
  <c r="J7" i="49"/>
  <c r="I7" i="49"/>
  <c r="G7" i="49"/>
  <c r="AV15" i="48"/>
  <c r="AQ15" i="48"/>
  <c r="AL15" i="48"/>
  <c r="AG15" i="48"/>
  <c r="AB15" i="48"/>
  <c r="W15" i="48"/>
  <c r="R15" i="48"/>
  <c r="J15" i="48"/>
  <c r="I15" i="48"/>
  <c r="G15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L9" i="48"/>
  <c r="AM9" i="48" s="1"/>
  <c r="AG9" i="48"/>
  <c r="AB9" i="48"/>
  <c r="W9" i="48"/>
  <c r="R9" i="48"/>
  <c r="J9" i="48"/>
  <c r="I9" i="48"/>
  <c r="G9" i="48"/>
  <c r="AV8" i="48"/>
  <c r="AQ8" i="48"/>
  <c r="AL8" i="48"/>
  <c r="AG8" i="48"/>
  <c r="AB8" i="48"/>
  <c r="AC10" i="48" s="1"/>
  <c r="W8" i="48"/>
  <c r="R8" i="48"/>
  <c r="J8" i="48"/>
  <c r="I8" i="48"/>
  <c r="G8" i="48"/>
  <c r="AV7" i="48"/>
  <c r="AQ7" i="48"/>
  <c r="AL7" i="48"/>
  <c r="AG7" i="48"/>
  <c r="AB7" i="48"/>
  <c r="W7" i="48"/>
  <c r="R7" i="48"/>
  <c r="J7" i="48"/>
  <c r="I7" i="48"/>
  <c r="G7" i="48"/>
  <c r="C1" i="47"/>
  <c r="G87" i="47"/>
  <c r="H87" i="47"/>
  <c r="I87" i="47"/>
  <c r="J87" i="47"/>
  <c r="R87" i="47"/>
  <c r="K87" i="47" s="1"/>
  <c r="S87" i="47"/>
  <c r="T87" i="47"/>
  <c r="W87" i="47"/>
  <c r="X87" i="47"/>
  <c r="Y87" i="47"/>
  <c r="AB87" i="47"/>
  <c r="AC87" i="47" s="1"/>
  <c r="AG87" i="47"/>
  <c r="AH87" i="47"/>
  <c r="AI87" i="47"/>
  <c r="AL87" i="47"/>
  <c r="AM87" i="47"/>
  <c r="AN87" i="47"/>
  <c r="AQ87" i="47"/>
  <c r="AR87" i="47" s="1"/>
  <c r="AV87" i="47"/>
  <c r="AW87" i="47" s="1"/>
  <c r="G88" i="47"/>
  <c r="I88" i="47"/>
  <c r="J88" i="47"/>
  <c r="R88" i="47"/>
  <c r="K88" i="47" s="1"/>
  <c r="M88" i="47" s="1"/>
  <c r="W88" i="47"/>
  <c r="X88" i="47" s="1"/>
  <c r="AB88" i="47"/>
  <c r="AC88" i="47"/>
  <c r="AG88" i="47"/>
  <c r="AH88" i="47"/>
  <c r="AL88" i="47"/>
  <c r="AM88" i="47"/>
  <c r="AQ88" i="47"/>
  <c r="AR88" i="47"/>
  <c r="AV88" i="47"/>
  <c r="AW88" i="47" s="1"/>
  <c r="G89" i="47"/>
  <c r="I89" i="47"/>
  <c r="J89" i="47"/>
  <c r="R89" i="47"/>
  <c r="K89" i="47" s="1"/>
  <c r="M89" i="47" s="1"/>
  <c r="S89" i="47"/>
  <c r="W89" i="47"/>
  <c r="X89" i="47"/>
  <c r="AB89" i="47"/>
  <c r="AC89" i="47"/>
  <c r="AG89" i="47"/>
  <c r="AH89" i="47"/>
  <c r="AL89" i="47"/>
  <c r="AM89" i="47"/>
  <c r="AQ89" i="47"/>
  <c r="AR89" i="47" s="1"/>
  <c r="AV89" i="47"/>
  <c r="AW89" i="47"/>
  <c r="G90" i="47"/>
  <c r="I90" i="47"/>
  <c r="J90" i="47"/>
  <c r="R90" i="47"/>
  <c r="K90" i="47" s="1"/>
  <c r="M90" i="47" s="1"/>
  <c r="S90" i="47"/>
  <c r="W90" i="47"/>
  <c r="X90" i="47" s="1"/>
  <c r="AB90" i="47"/>
  <c r="AC90" i="47" s="1"/>
  <c r="AG90" i="47"/>
  <c r="AH90" i="47"/>
  <c r="AL90" i="47"/>
  <c r="AM90" i="47"/>
  <c r="AQ90" i="47"/>
  <c r="AR90" i="47"/>
  <c r="AV90" i="47"/>
  <c r="AW90" i="47"/>
  <c r="G91" i="47"/>
  <c r="I91" i="47"/>
  <c r="J91" i="47"/>
  <c r="R91" i="47"/>
  <c r="K91" i="47" s="1"/>
  <c r="M91" i="47" s="1"/>
  <c r="S91" i="47"/>
  <c r="W91" i="47"/>
  <c r="X91" i="47"/>
  <c r="AB91" i="47"/>
  <c r="AC91" i="47"/>
  <c r="AG91" i="47"/>
  <c r="AH91" i="47"/>
  <c r="AL91" i="47"/>
  <c r="AM91" i="47"/>
  <c r="AQ91" i="47"/>
  <c r="AR91" i="47" s="1"/>
  <c r="AV91" i="47"/>
  <c r="AW91" i="47" s="1"/>
  <c r="G92" i="47"/>
  <c r="I92" i="47"/>
  <c r="J92" i="47"/>
  <c r="R92" i="47"/>
  <c r="K92" i="47" s="1"/>
  <c r="M92" i="47" s="1"/>
  <c r="S92" i="47"/>
  <c r="W92" i="47"/>
  <c r="X92" i="47"/>
  <c r="AB92" i="47"/>
  <c r="AC92" i="47" s="1"/>
  <c r="AG92" i="47"/>
  <c r="AH92" i="47" s="1"/>
  <c r="AL92" i="47"/>
  <c r="AM92" i="47"/>
  <c r="AQ92" i="47"/>
  <c r="AR92" i="47"/>
  <c r="AV92" i="47"/>
  <c r="AW92" i="47"/>
  <c r="G93" i="47"/>
  <c r="I93" i="47"/>
  <c r="J93" i="47"/>
  <c r="R93" i="47"/>
  <c r="K93" i="47" s="1"/>
  <c r="M93" i="47" s="1"/>
  <c r="W93" i="47"/>
  <c r="X93" i="47" s="1"/>
  <c r="AB93" i="47"/>
  <c r="AC93" i="47"/>
  <c r="AG93" i="47"/>
  <c r="AH93" i="47"/>
  <c r="AL93" i="47"/>
  <c r="AM93" i="47"/>
  <c r="AQ93" i="47"/>
  <c r="AR93" i="47"/>
  <c r="AV93" i="47"/>
  <c r="AW93" i="47"/>
  <c r="G94" i="47"/>
  <c r="I94" i="47"/>
  <c r="J94" i="47"/>
  <c r="R94" i="47"/>
  <c r="K94" i="47" s="1"/>
  <c r="M94" i="47" s="1"/>
  <c r="S94" i="47"/>
  <c r="W94" i="47"/>
  <c r="X94" i="47" s="1"/>
  <c r="AB94" i="47"/>
  <c r="AC94" i="47" s="1"/>
  <c r="AG94" i="47"/>
  <c r="AH94" i="47" s="1"/>
  <c r="AL94" i="47"/>
  <c r="AM94" i="47" s="1"/>
  <c r="AQ94" i="47"/>
  <c r="AR94" i="47"/>
  <c r="AV94" i="47"/>
  <c r="AW94" i="47"/>
  <c r="G95" i="47"/>
  <c r="I95" i="47"/>
  <c r="J95" i="47"/>
  <c r="R95" i="47"/>
  <c r="K95" i="47" s="1"/>
  <c r="M95" i="47" s="1"/>
  <c r="S95" i="47"/>
  <c r="W95" i="47"/>
  <c r="X95" i="47" s="1"/>
  <c r="AB95" i="47"/>
  <c r="AC95" i="47"/>
  <c r="AG95" i="47"/>
  <c r="AH95" i="47" s="1"/>
  <c r="AL95" i="47"/>
  <c r="AM95" i="47" s="1"/>
  <c r="AQ95" i="47"/>
  <c r="AR95" i="47"/>
  <c r="AV95" i="47"/>
  <c r="AW95" i="47"/>
  <c r="G96" i="47"/>
  <c r="I96" i="47"/>
  <c r="J96" i="47"/>
  <c r="R96" i="47"/>
  <c r="S96" i="47" s="1"/>
  <c r="W96" i="47"/>
  <c r="X96" i="47"/>
  <c r="AB96" i="47"/>
  <c r="AC96" i="47"/>
  <c r="AG96" i="47"/>
  <c r="AH96" i="47"/>
  <c r="AL96" i="47"/>
  <c r="AM96" i="47" s="1"/>
  <c r="AQ96" i="47"/>
  <c r="AR96" i="47" s="1"/>
  <c r="AV96" i="47"/>
  <c r="AW96" i="47" s="1"/>
  <c r="G97" i="47"/>
  <c r="I97" i="47"/>
  <c r="J97" i="47"/>
  <c r="R97" i="47"/>
  <c r="K97" i="47" s="1"/>
  <c r="M97" i="47" s="1"/>
  <c r="S97" i="47"/>
  <c r="W97" i="47"/>
  <c r="X97" i="47"/>
  <c r="AB97" i="47"/>
  <c r="AC97" i="47" s="1"/>
  <c r="AG97" i="47"/>
  <c r="AH97" i="47"/>
  <c r="AL97" i="47"/>
  <c r="AM97" i="47"/>
  <c r="AQ97" i="47"/>
  <c r="AR97" i="47"/>
  <c r="AV97" i="47"/>
  <c r="AW97" i="47"/>
  <c r="G98" i="47"/>
  <c r="I98" i="47"/>
  <c r="J98" i="47"/>
  <c r="R98" i="47"/>
  <c r="K98" i="47" s="1"/>
  <c r="M98" i="47" s="1"/>
  <c r="S98" i="47"/>
  <c r="W98" i="47"/>
  <c r="X98" i="47" s="1"/>
  <c r="AB98" i="47"/>
  <c r="AC98" i="47"/>
  <c r="AG98" i="47"/>
  <c r="AH98" i="47"/>
  <c r="AL98" i="47"/>
  <c r="AM98" i="47"/>
  <c r="AQ98" i="47"/>
  <c r="AR98" i="47" s="1"/>
  <c r="AV98" i="47"/>
  <c r="AW98" i="47" s="1"/>
  <c r="G99" i="47"/>
  <c r="I99" i="47"/>
  <c r="J99" i="47"/>
  <c r="R99" i="47"/>
  <c r="K99" i="47" s="1"/>
  <c r="M99" i="47" s="1"/>
  <c r="W99" i="47"/>
  <c r="X99" i="47"/>
  <c r="AB99" i="47"/>
  <c r="AC99" i="47"/>
  <c r="AG99" i="47"/>
  <c r="AH99" i="47" s="1"/>
  <c r="AL99" i="47"/>
  <c r="AM99" i="47"/>
  <c r="AQ99" i="47"/>
  <c r="AR99" i="47"/>
  <c r="AV99" i="47"/>
  <c r="AW99" i="47"/>
  <c r="G100" i="47"/>
  <c r="I100" i="47"/>
  <c r="J100" i="47"/>
  <c r="R100" i="47"/>
  <c r="K100" i="47" s="1"/>
  <c r="M100" i="47" s="1"/>
  <c r="S100" i="47"/>
  <c r="W100" i="47"/>
  <c r="X100" i="47"/>
  <c r="AB100" i="47"/>
  <c r="AC100" i="47" s="1"/>
  <c r="AG100" i="47"/>
  <c r="AH100" i="47"/>
  <c r="AL100" i="47"/>
  <c r="AM100" i="47" s="1"/>
  <c r="AQ100" i="47"/>
  <c r="AR100" i="47" s="1"/>
  <c r="AV100" i="47"/>
  <c r="AW100" i="47" s="1"/>
  <c r="G101" i="47"/>
  <c r="I101" i="47"/>
  <c r="J101" i="47"/>
  <c r="R101" i="47"/>
  <c r="K101" i="47" s="1"/>
  <c r="M101" i="47" s="1"/>
  <c r="S101" i="47"/>
  <c r="W101" i="47"/>
  <c r="X101" i="47" s="1"/>
  <c r="AB101" i="47"/>
  <c r="AC101" i="47"/>
  <c r="AG101" i="47"/>
  <c r="AH101" i="47"/>
  <c r="AL101" i="47"/>
  <c r="AM101" i="47" s="1"/>
  <c r="AQ101" i="47"/>
  <c r="AR101" i="47"/>
  <c r="AV101" i="47"/>
  <c r="AW101" i="47"/>
  <c r="C1" i="46"/>
  <c r="G87" i="46"/>
  <c r="H87" i="46" s="1"/>
  <c r="I87" i="46"/>
  <c r="J87" i="46"/>
  <c r="R87" i="46"/>
  <c r="S87" i="46" s="1"/>
  <c r="W87" i="46"/>
  <c r="X87" i="46" s="1"/>
  <c r="AB87" i="46"/>
  <c r="AC87" i="46"/>
  <c r="AD87" i="46"/>
  <c r="AG87" i="46"/>
  <c r="AH87" i="46" s="1"/>
  <c r="AL87" i="46"/>
  <c r="AM87" i="46" s="1"/>
  <c r="AQ87" i="46"/>
  <c r="AR87" i="46"/>
  <c r="AS87" i="46"/>
  <c r="AV87" i="46"/>
  <c r="AX87" i="46" s="1"/>
  <c r="AW87" i="46"/>
  <c r="G88" i="46"/>
  <c r="I88" i="46"/>
  <c r="J88" i="46"/>
  <c r="R88" i="46"/>
  <c r="K88" i="46" s="1"/>
  <c r="M88" i="46" s="1"/>
  <c r="S88" i="46"/>
  <c r="W88" i="46"/>
  <c r="X88" i="46"/>
  <c r="AB88" i="46"/>
  <c r="AC88" i="46" s="1"/>
  <c r="AG88" i="46"/>
  <c r="AH88" i="46" s="1"/>
  <c r="AL88" i="46"/>
  <c r="AM88" i="46" s="1"/>
  <c r="AQ88" i="46"/>
  <c r="AR88" i="46"/>
  <c r="AV88" i="46"/>
  <c r="AW88" i="46" s="1"/>
  <c r="G89" i="46"/>
  <c r="I89" i="46"/>
  <c r="J89" i="46"/>
  <c r="R89" i="46"/>
  <c r="K89" i="46" s="1"/>
  <c r="M89" i="46" s="1"/>
  <c r="S89" i="46"/>
  <c r="W89" i="46"/>
  <c r="X89" i="46"/>
  <c r="AB89" i="46"/>
  <c r="AC89" i="46" s="1"/>
  <c r="AG89" i="46"/>
  <c r="AH89" i="46" s="1"/>
  <c r="AL89" i="46"/>
  <c r="AM89" i="46" s="1"/>
  <c r="AQ89" i="46"/>
  <c r="AR89" i="46"/>
  <c r="AV89" i="46"/>
  <c r="AW89" i="46"/>
  <c r="G90" i="46"/>
  <c r="I90" i="46"/>
  <c r="J90" i="46"/>
  <c r="R90" i="46"/>
  <c r="K90" i="46" s="1"/>
  <c r="M90" i="46" s="1"/>
  <c r="S90" i="46"/>
  <c r="W90" i="46"/>
  <c r="X90" i="46"/>
  <c r="AB90" i="46"/>
  <c r="AC90" i="46"/>
  <c r="AG90" i="46"/>
  <c r="AH90" i="46" s="1"/>
  <c r="AL90" i="46"/>
  <c r="AM90" i="46" s="1"/>
  <c r="AQ90" i="46"/>
  <c r="AR90" i="46" s="1"/>
  <c r="AV90" i="46"/>
  <c r="AW90" i="46" s="1"/>
  <c r="G91" i="46"/>
  <c r="I91" i="46"/>
  <c r="J91" i="46"/>
  <c r="R91" i="46"/>
  <c r="K91" i="46" s="1"/>
  <c r="M91" i="46" s="1"/>
  <c r="S91" i="46"/>
  <c r="W91" i="46"/>
  <c r="X91" i="46" s="1"/>
  <c r="AB91" i="46"/>
  <c r="AC91" i="46"/>
  <c r="AG91" i="46"/>
  <c r="AH91" i="46" s="1"/>
  <c r="AL91" i="46"/>
  <c r="AM91" i="46"/>
  <c r="AQ91" i="46"/>
  <c r="AR91" i="46"/>
  <c r="AV91" i="46"/>
  <c r="AW91" i="46"/>
  <c r="G92" i="46"/>
  <c r="I92" i="46"/>
  <c r="J92" i="46"/>
  <c r="R92" i="46"/>
  <c r="K92" i="46" s="1"/>
  <c r="M92" i="46" s="1"/>
  <c r="W92" i="46"/>
  <c r="X92" i="46" s="1"/>
  <c r="AB92" i="46"/>
  <c r="AC92" i="46" s="1"/>
  <c r="AG92" i="46"/>
  <c r="AH92" i="46"/>
  <c r="AL92" i="46"/>
  <c r="AM92" i="46" s="1"/>
  <c r="AQ92" i="46"/>
  <c r="AR92" i="46" s="1"/>
  <c r="AV92" i="46"/>
  <c r="AW92" i="46" s="1"/>
  <c r="G93" i="46"/>
  <c r="I93" i="46"/>
  <c r="J93" i="46"/>
  <c r="R93" i="46"/>
  <c r="K93" i="46" s="1"/>
  <c r="M93" i="46" s="1"/>
  <c r="S93" i="46"/>
  <c r="W93" i="46"/>
  <c r="X93" i="46"/>
  <c r="AB93" i="46"/>
  <c r="AC93" i="46"/>
  <c r="AG93" i="46"/>
  <c r="AH93" i="46"/>
  <c r="AL93" i="46"/>
  <c r="AM93" i="46" s="1"/>
  <c r="AQ93" i="46"/>
  <c r="AR93" i="46" s="1"/>
  <c r="AV93" i="46"/>
  <c r="AW93" i="46" s="1"/>
  <c r="G94" i="46"/>
  <c r="I94" i="46"/>
  <c r="J94" i="46"/>
  <c r="R94" i="46"/>
  <c r="K94" i="46" s="1"/>
  <c r="M94" i="46" s="1"/>
  <c r="S94" i="46"/>
  <c r="W94" i="46"/>
  <c r="X94" i="46" s="1"/>
  <c r="AB94" i="46"/>
  <c r="AC94" i="46" s="1"/>
  <c r="AG94" i="46"/>
  <c r="AH94" i="46" s="1"/>
  <c r="AL94" i="46"/>
  <c r="AM94" i="46" s="1"/>
  <c r="AQ94" i="46"/>
  <c r="AR94" i="46" s="1"/>
  <c r="AV94" i="46"/>
  <c r="AW94" i="46" s="1"/>
  <c r="G95" i="46"/>
  <c r="I95" i="46"/>
  <c r="J95" i="46"/>
  <c r="R95" i="46"/>
  <c r="K95" i="46" s="1"/>
  <c r="M95" i="46" s="1"/>
  <c r="W95" i="46"/>
  <c r="X95" i="46" s="1"/>
  <c r="AB95" i="46"/>
  <c r="AC95" i="46"/>
  <c r="AG95" i="46"/>
  <c r="AH95" i="46" s="1"/>
  <c r="AL95" i="46"/>
  <c r="AM95" i="46"/>
  <c r="AQ95" i="46"/>
  <c r="AR95" i="46" s="1"/>
  <c r="AV95" i="46"/>
  <c r="AW95" i="46"/>
  <c r="G96" i="46"/>
  <c r="I96" i="46"/>
  <c r="J96" i="46"/>
  <c r="R96" i="46"/>
  <c r="K96" i="46" s="1"/>
  <c r="M96" i="46" s="1"/>
  <c r="S96" i="46"/>
  <c r="W96" i="46"/>
  <c r="X96" i="46"/>
  <c r="AB96" i="46"/>
  <c r="AC96" i="46" s="1"/>
  <c r="AG96" i="46"/>
  <c r="AH96" i="46"/>
  <c r="AL96" i="46"/>
  <c r="AM96" i="46" s="1"/>
  <c r="AQ96" i="46"/>
  <c r="AR96" i="46"/>
  <c r="AV96" i="46"/>
  <c r="AW96" i="46" s="1"/>
  <c r="G97" i="46"/>
  <c r="I97" i="46"/>
  <c r="J97" i="46"/>
  <c r="R97" i="46"/>
  <c r="K97" i="46" s="1"/>
  <c r="M97" i="46" s="1"/>
  <c r="S97" i="46"/>
  <c r="W97" i="46"/>
  <c r="X97" i="46" s="1"/>
  <c r="AB97" i="46"/>
  <c r="AC97" i="46" s="1"/>
  <c r="AG97" i="46"/>
  <c r="AH97" i="46" s="1"/>
  <c r="AL97" i="46"/>
  <c r="AM97" i="46"/>
  <c r="AQ97" i="46"/>
  <c r="AR97" i="46"/>
  <c r="AV97" i="46"/>
  <c r="AW97" i="46" s="1"/>
  <c r="G98" i="46"/>
  <c r="I98" i="46"/>
  <c r="J98" i="46"/>
  <c r="R98" i="46"/>
  <c r="K98" i="46" s="1"/>
  <c r="M98" i="46" s="1"/>
  <c r="S98" i="46"/>
  <c r="W98" i="46"/>
  <c r="X98" i="46" s="1"/>
  <c r="AB98" i="46"/>
  <c r="AC98" i="46"/>
  <c r="AG98" i="46"/>
  <c r="AH98" i="46" s="1"/>
  <c r="AL98" i="46"/>
  <c r="AM98" i="46" s="1"/>
  <c r="AQ98" i="46"/>
  <c r="AR98" i="46"/>
  <c r="AV98" i="46"/>
  <c r="AW98" i="46" s="1"/>
  <c r="G99" i="46"/>
  <c r="I99" i="46"/>
  <c r="J99" i="46"/>
  <c r="R99" i="46"/>
  <c r="K99" i="46" s="1"/>
  <c r="M99" i="46" s="1"/>
  <c r="W99" i="46"/>
  <c r="X99" i="46"/>
  <c r="AB99" i="46"/>
  <c r="AC99" i="46" s="1"/>
  <c r="AG99" i="46"/>
  <c r="AH99" i="46"/>
  <c r="AL99" i="46"/>
  <c r="AM99" i="46"/>
  <c r="AQ99" i="46"/>
  <c r="AR99" i="46" s="1"/>
  <c r="AV99" i="46"/>
  <c r="AW99" i="46" s="1"/>
  <c r="G100" i="46"/>
  <c r="I100" i="46"/>
  <c r="J100" i="46"/>
  <c r="R100" i="46"/>
  <c r="S100" i="46" s="1"/>
  <c r="W100" i="46"/>
  <c r="X100" i="46" s="1"/>
  <c r="AB100" i="46"/>
  <c r="AC100" i="46" s="1"/>
  <c r="AG100" i="46"/>
  <c r="AH100" i="46"/>
  <c r="AL100" i="46"/>
  <c r="AM100" i="46" s="1"/>
  <c r="AQ100" i="46"/>
  <c r="AR100" i="46"/>
  <c r="AV100" i="46"/>
  <c r="AW100" i="46"/>
  <c r="G101" i="46"/>
  <c r="I101" i="46"/>
  <c r="J101" i="46"/>
  <c r="R101" i="46"/>
  <c r="K101" i="46" s="1"/>
  <c r="M101" i="46" s="1"/>
  <c r="W101" i="46"/>
  <c r="X101" i="46"/>
  <c r="AB101" i="46"/>
  <c r="AC101" i="46"/>
  <c r="AG101" i="46"/>
  <c r="AH101" i="46" s="1"/>
  <c r="AL101" i="46"/>
  <c r="AM101" i="46" s="1"/>
  <c r="AQ101" i="46"/>
  <c r="AR101" i="46" s="1"/>
  <c r="AV101" i="46"/>
  <c r="AW101" i="46"/>
  <c r="AV9" i="46"/>
  <c r="AQ9" i="46"/>
  <c r="AL9" i="46"/>
  <c r="AG9" i="46"/>
  <c r="AB9" i="46"/>
  <c r="W9" i="46"/>
  <c r="R9" i="46"/>
  <c r="J9" i="46"/>
  <c r="I9" i="46"/>
  <c r="G9" i="46"/>
  <c r="AV8" i="46"/>
  <c r="AQ8" i="46"/>
  <c r="AL8" i="46"/>
  <c r="AG8" i="46"/>
  <c r="AB8" i="46"/>
  <c r="W8" i="46"/>
  <c r="R8" i="46"/>
  <c r="J8" i="46"/>
  <c r="I8" i="46"/>
  <c r="G8" i="46"/>
  <c r="AV7" i="46"/>
  <c r="AQ7" i="46"/>
  <c r="AL7" i="46"/>
  <c r="AN7" i="46" s="1"/>
  <c r="AG7" i="46"/>
  <c r="AH8" i="46" s="1"/>
  <c r="AB7" i="46"/>
  <c r="W7" i="46"/>
  <c r="R7" i="46"/>
  <c r="J7" i="46"/>
  <c r="I7" i="46"/>
  <c r="G7" i="46"/>
  <c r="C1" i="45"/>
  <c r="G87" i="45"/>
  <c r="H87" i="45"/>
  <c r="I87" i="45"/>
  <c r="J87" i="45"/>
  <c r="R87" i="45"/>
  <c r="S87" i="45" s="1"/>
  <c r="W87" i="45"/>
  <c r="X87" i="45" s="1"/>
  <c r="Y87" i="45"/>
  <c r="AB87" i="45"/>
  <c r="AC87" i="45"/>
  <c r="AD87" i="45"/>
  <c r="AG87" i="45"/>
  <c r="AH87" i="45" s="1"/>
  <c r="AI87" i="45"/>
  <c r="AL87" i="45"/>
  <c r="AM87" i="45"/>
  <c r="AN87" i="45"/>
  <c r="AQ87" i="45"/>
  <c r="AR87" i="45" s="1"/>
  <c r="AS87" i="45"/>
  <c r="AV87" i="45"/>
  <c r="AW87" i="45" s="1"/>
  <c r="G88" i="45"/>
  <c r="I88" i="45"/>
  <c r="J88" i="45"/>
  <c r="R88" i="45"/>
  <c r="K88" i="45" s="1"/>
  <c r="M88" i="45" s="1"/>
  <c r="S88" i="45"/>
  <c r="W88" i="45"/>
  <c r="X88" i="45" s="1"/>
  <c r="AB88" i="45"/>
  <c r="AC88" i="45"/>
  <c r="AG88" i="45"/>
  <c r="AH88" i="45"/>
  <c r="AL88" i="45"/>
  <c r="AM88" i="45"/>
  <c r="AQ88" i="45"/>
  <c r="AR88" i="45" s="1"/>
  <c r="AV88" i="45"/>
  <c r="AW88" i="45" s="1"/>
  <c r="G89" i="45"/>
  <c r="I89" i="45"/>
  <c r="J89" i="45"/>
  <c r="R89" i="45"/>
  <c r="K89" i="45" s="1"/>
  <c r="M89" i="45" s="1"/>
  <c r="W89" i="45"/>
  <c r="X89" i="45"/>
  <c r="AB89" i="45"/>
  <c r="AC89" i="45" s="1"/>
  <c r="AG89" i="45"/>
  <c r="AH89" i="45"/>
  <c r="AL89" i="45"/>
  <c r="AM89" i="45"/>
  <c r="AQ89" i="45"/>
  <c r="AR89" i="45" s="1"/>
  <c r="AV89" i="45"/>
  <c r="AW89" i="45"/>
  <c r="G90" i="45"/>
  <c r="I90" i="45"/>
  <c r="J90" i="45"/>
  <c r="R90" i="45"/>
  <c r="K90" i="45" s="1"/>
  <c r="M90" i="45" s="1"/>
  <c r="W90" i="45"/>
  <c r="X90" i="45"/>
  <c r="AB90" i="45"/>
  <c r="AC90" i="45" s="1"/>
  <c r="AG90" i="45"/>
  <c r="AH90" i="45"/>
  <c r="AL90" i="45"/>
  <c r="AM90" i="45" s="1"/>
  <c r="AQ90" i="45"/>
  <c r="AR90" i="45" s="1"/>
  <c r="AV90" i="45"/>
  <c r="AW90" i="45"/>
  <c r="G91" i="45"/>
  <c r="I91" i="45"/>
  <c r="J91" i="45"/>
  <c r="R91" i="45"/>
  <c r="K91" i="45" s="1"/>
  <c r="M91" i="45" s="1"/>
  <c r="W91" i="45"/>
  <c r="X91" i="45" s="1"/>
  <c r="AB91" i="45"/>
  <c r="AC91" i="45"/>
  <c r="AG91" i="45"/>
  <c r="AH91" i="45" s="1"/>
  <c r="AL91" i="45"/>
  <c r="AM91" i="45" s="1"/>
  <c r="AQ91" i="45"/>
  <c r="AR91" i="45"/>
  <c r="AV91" i="45"/>
  <c r="AW91" i="45" s="1"/>
  <c r="G92" i="45"/>
  <c r="I92" i="45"/>
  <c r="J92" i="45"/>
  <c r="K92" i="45"/>
  <c r="M92" i="45" s="1"/>
  <c r="R92" i="45"/>
  <c r="S92" i="45" s="1"/>
  <c r="W92" i="45"/>
  <c r="X92" i="45" s="1"/>
  <c r="AB92" i="45"/>
  <c r="AC92" i="45"/>
  <c r="AG92" i="45"/>
  <c r="AH92" i="45" s="1"/>
  <c r="AL92" i="45"/>
  <c r="AM92" i="45"/>
  <c r="AQ92" i="45"/>
  <c r="AR92" i="45"/>
  <c r="AV92" i="45"/>
  <c r="AW92" i="45"/>
  <c r="G93" i="45"/>
  <c r="I93" i="45"/>
  <c r="J93" i="45"/>
  <c r="R93" i="45"/>
  <c r="K93" i="45" s="1"/>
  <c r="M93" i="45" s="1"/>
  <c r="S93" i="45"/>
  <c r="W93" i="45"/>
  <c r="X93" i="45" s="1"/>
  <c r="AB93" i="45"/>
  <c r="AC93" i="45" s="1"/>
  <c r="AG93" i="45"/>
  <c r="AH93" i="45" s="1"/>
  <c r="AL93" i="45"/>
  <c r="AM93" i="45" s="1"/>
  <c r="AQ93" i="45"/>
  <c r="AR93" i="45"/>
  <c r="AV93" i="45"/>
  <c r="AW93" i="45" s="1"/>
  <c r="G94" i="45"/>
  <c r="I94" i="45"/>
  <c r="J94" i="45"/>
  <c r="R94" i="45"/>
  <c r="S94" i="45" s="1"/>
  <c r="W94" i="45"/>
  <c r="X94" i="45" s="1"/>
  <c r="AB94" i="45"/>
  <c r="AC94" i="45" s="1"/>
  <c r="AG94" i="45"/>
  <c r="AH94" i="45"/>
  <c r="AL94" i="45"/>
  <c r="AM94" i="45" s="1"/>
  <c r="AQ94" i="45"/>
  <c r="AR94" i="45" s="1"/>
  <c r="AV94" i="45"/>
  <c r="AW94" i="45" s="1"/>
  <c r="G95" i="45"/>
  <c r="I95" i="45"/>
  <c r="J95" i="45"/>
  <c r="K95" i="45"/>
  <c r="M95" i="45" s="1"/>
  <c r="R95" i="45"/>
  <c r="S95" i="45"/>
  <c r="W95" i="45"/>
  <c r="X95" i="45"/>
  <c r="AB95" i="45"/>
  <c r="AC95" i="45" s="1"/>
  <c r="AG95" i="45"/>
  <c r="AH95" i="45" s="1"/>
  <c r="AL95" i="45"/>
  <c r="AM95" i="45"/>
  <c r="AQ95" i="45"/>
  <c r="AR95" i="45" s="1"/>
  <c r="AV95" i="45"/>
  <c r="AW95" i="45"/>
  <c r="G96" i="45"/>
  <c r="I96" i="45"/>
  <c r="J96" i="45"/>
  <c r="R96" i="45"/>
  <c r="S96" i="45" s="1"/>
  <c r="W96" i="45"/>
  <c r="X96" i="45" s="1"/>
  <c r="AB96" i="45"/>
  <c r="AC96" i="45"/>
  <c r="AG96" i="45"/>
  <c r="AH96" i="45" s="1"/>
  <c r="AL96" i="45"/>
  <c r="AM96" i="45"/>
  <c r="AQ96" i="45"/>
  <c r="AR96" i="45" s="1"/>
  <c r="AV96" i="45"/>
  <c r="AW96" i="45"/>
  <c r="G97" i="45"/>
  <c r="I97" i="45"/>
  <c r="J97" i="45"/>
  <c r="R97" i="45"/>
  <c r="K97" i="45" s="1"/>
  <c r="M97" i="45" s="1"/>
  <c r="S97" i="45"/>
  <c r="W97" i="45"/>
  <c r="X97" i="45"/>
  <c r="AB97" i="45"/>
  <c r="AC97" i="45" s="1"/>
  <c r="AG97" i="45"/>
  <c r="AH97" i="45" s="1"/>
  <c r="AL97" i="45"/>
  <c r="AM97" i="45" s="1"/>
  <c r="AQ97" i="45"/>
  <c r="AR97" i="45"/>
  <c r="AV97" i="45"/>
  <c r="AW97" i="45" s="1"/>
  <c r="G98" i="45"/>
  <c r="I98" i="45"/>
  <c r="J98" i="45"/>
  <c r="R98" i="45"/>
  <c r="K98" i="45" s="1"/>
  <c r="M98" i="45" s="1"/>
  <c r="S98" i="45"/>
  <c r="W98" i="45"/>
  <c r="X98" i="45" s="1"/>
  <c r="AB98" i="45"/>
  <c r="AC98" i="45" s="1"/>
  <c r="AG98" i="45"/>
  <c r="AH98" i="45"/>
  <c r="AL98" i="45"/>
  <c r="AM98" i="45" s="1"/>
  <c r="AQ98" i="45"/>
  <c r="AR98" i="45"/>
  <c r="AV98" i="45"/>
  <c r="AW98" i="45" s="1"/>
  <c r="G99" i="45"/>
  <c r="I99" i="45"/>
  <c r="J99" i="45"/>
  <c r="R99" i="45"/>
  <c r="K99" i="45" s="1"/>
  <c r="M99" i="45" s="1"/>
  <c r="W99" i="45"/>
  <c r="X99" i="45"/>
  <c r="AB99" i="45"/>
  <c r="AC99" i="45"/>
  <c r="AG99" i="45"/>
  <c r="AH99" i="45"/>
  <c r="AL99" i="45"/>
  <c r="AM99" i="45" s="1"/>
  <c r="AQ99" i="45"/>
  <c r="AR99" i="45" s="1"/>
  <c r="AV99" i="45"/>
  <c r="AW99" i="45" s="1"/>
  <c r="G100" i="45"/>
  <c r="I100" i="45"/>
  <c r="J100" i="45"/>
  <c r="R100" i="45"/>
  <c r="K100" i="45" s="1"/>
  <c r="M100" i="45" s="1"/>
  <c r="S100" i="45"/>
  <c r="W100" i="45"/>
  <c r="X100" i="45"/>
  <c r="AB100" i="45"/>
  <c r="AC100" i="45" s="1"/>
  <c r="AG100" i="45"/>
  <c r="AH100" i="45" s="1"/>
  <c r="AL100" i="45"/>
  <c r="AM100" i="45"/>
  <c r="AQ100" i="45"/>
  <c r="AR100" i="45" s="1"/>
  <c r="AV100" i="45"/>
  <c r="AW100" i="45"/>
  <c r="G101" i="45"/>
  <c r="I101" i="45"/>
  <c r="J101" i="45"/>
  <c r="R101" i="45"/>
  <c r="K101" i="45" s="1"/>
  <c r="M101" i="45" s="1"/>
  <c r="S101" i="45"/>
  <c r="W101" i="45"/>
  <c r="X101" i="45" s="1"/>
  <c r="AB101" i="45"/>
  <c r="AC101" i="45"/>
  <c r="AG101" i="45"/>
  <c r="AH101" i="45"/>
  <c r="AL101" i="45"/>
  <c r="AM101" i="45" s="1"/>
  <c r="AQ101" i="45"/>
  <c r="AR101" i="45" s="1"/>
  <c r="AV101" i="45"/>
  <c r="AW101" i="45" s="1"/>
  <c r="AV16" i="45"/>
  <c r="AW16" i="45" s="1"/>
  <c r="AQ16" i="45"/>
  <c r="AL16" i="45"/>
  <c r="AG16" i="45"/>
  <c r="AB16" i="45"/>
  <c r="W16" i="45"/>
  <c r="X16" i="45" s="1"/>
  <c r="R16" i="45"/>
  <c r="K16" i="45" s="1"/>
  <c r="J16" i="45"/>
  <c r="I16" i="45"/>
  <c r="G16" i="45"/>
  <c r="AV15" i="45"/>
  <c r="AQ15" i="45"/>
  <c r="AL15" i="45"/>
  <c r="AG15" i="45"/>
  <c r="AB15" i="45"/>
  <c r="W15" i="45"/>
  <c r="R15" i="45"/>
  <c r="J15" i="45"/>
  <c r="I15" i="45"/>
  <c r="G15" i="45"/>
  <c r="AV14" i="45"/>
  <c r="AQ14" i="45"/>
  <c r="AL14" i="45"/>
  <c r="AG14" i="45"/>
  <c r="AB14" i="45"/>
  <c r="W14" i="45"/>
  <c r="R14" i="45"/>
  <c r="J14" i="45"/>
  <c r="I14" i="45"/>
  <c r="G14" i="45"/>
  <c r="AV13" i="45"/>
  <c r="AQ13" i="45"/>
  <c r="AL13" i="45"/>
  <c r="AM13" i="45" s="1"/>
  <c r="AG13" i="45"/>
  <c r="AB13" i="45"/>
  <c r="W13" i="45"/>
  <c r="R13" i="45"/>
  <c r="J13" i="45"/>
  <c r="I13" i="45"/>
  <c r="G13" i="45"/>
  <c r="AV12" i="45"/>
  <c r="AQ12" i="45"/>
  <c r="AL12" i="45"/>
  <c r="AM12" i="45" s="1"/>
  <c r="AG12" i="45"/>
  <c r="AB12" i="45"/>
  <c r="W12" i="45"/>
  <c r="R12" i="45"/>
  <c r="J12" i="45"/>
  <c r="I12" i="45"/>
  <c r="G12" i="45"/>
  <c r="AV11" i="45"/>
  <c r="AQ11" i="45"/>
  <c r="AR11" i="45" s="1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H10" i="45" s="1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AC8" i="45" s="1"/>
  <c r="W8" i="45"/>
  <c r="R8" i="45"/>
  <c r="J8" i="45"/>
  <c r="I8" i="45"/>
  <c r="G8" i="45"/>
  <c r="AV7" i="45"/>
  <c r="AQ7" i="45"/>
  <c r="AL7" i="45"/>
  <c r="AG7" i="45"/>
  <c r="AH7" i="45" s="1"/>
  <c r="AB7" i="45"/>
  <c r="AC7" i="45" s="1"/>
  <c r="W7" i="45"/>
  <c r="R7" i="45"/>
  <c r="J7" i="45"/>
  <c r="I7" i="45"/>
  <c r="G7" i="45"/>
  <c r="C1" i="44"/>
  <c r="AV191" i="44"/>
  <c r="AW191" i="44" s="1"/>
  <c r="AQ191" i="44"/>
  <c r="AR191" i="44" s="1"/>
  <c r="AL191" i="44"/>
  <c r="AM191" i="44" s="1"/>
  <c r="AH191" i="44"/>
  <c r="AG191" i="44"/>
  <c r="AB191" i="44"/>
  <c r="AC191" i="44" s="1"/>
  <c r="W191" i="44"/>
  <c r="X191" i="44" s="1"/>
  <c r="R191" i="44"/>
  <c r="S191" i="44" s="1"/>
  <c r="K191" i="44"/>
  <c r="M191" i="44" s="1"/>
  <c r="J191" i="44"/>
  <c r="I191" i="44"/>
  <c r="G191" i="44"/>
  <c r="AW190" i="44"/>
  <c r="AV190" i="44"/>
  <c r="AR190" i="44"/>
  <c r="AQ190" i="44"/>
  <c r="AL190" i="44"/>
  <c r="AM190" i="44" s="1"/>
  <c r="AG190" i="44"/>
  <c r="AH190" i="44" s="1"/>
  <c r="AC190" i="44"/>
  <c r="AB190" i="44"/>
  <c r="W190" i="44"/>
  <c r="X190" i="44" s="1"/>
  <c r="R190" i="44"/>
  <c r="S190" i="44" s="1"/>
  <c r="K190" i="44"/>
  <c r="M190" i="44" s="1"/>
  <c r="J190" i="44"/>
  <c r="I190" i="44"/>
  <c r="G190" i="44"/>
  <c r="AV189" i="44"/>
  <c r="AW189" i="44" s="1"/>
  <c r="AQ189" i="44"/>
  <c r="AR189" i="44" s="1"/>
  <c r="AL189" i="44"/>
  <c r="AM189" i="44" s="1"/>
  <c r="AG189" i="44"/>
  <c r="AH189" i="44" s="1"/>
  <c r="AC189" i="44"/>
  <c r="AB189" i="44"/>
  <c r="W189" i="44"/>
  <c r="X189" i="44" s="1"/>
  <c r="R189" i="44"/>
  <c r="S189" i="44" s="1"/>
  <c r="K189" i="44"/>
  <c r="M189" i="44" s="1"/>
  <c r="J189" i="44"/>
  <c r="I189" i="44"/>
  <c r="G189" i="44"/>
  <c r="AW188" i="44"/>
  <c r="AV188" i="44"/>
  <c r="AR188" i="44"/>
  <c r="AQ188" i="44"/>
  <c r="AM188" i="44"/>
  <c r="AL188" i="44"/>
  <c r="AG188" i="44"/>
  <c r="AH188" i="44" s="1"/>
  <c r="AB188" i="44"/>
  <c r="AC188" i="44" s="1"/>
  <c r="X188" i="44"/>
  <c r="W188" i="44"/>
  <c r="R188" i="44"/>
  <c r="S188" i="44" s="1"/>
  <c r="K188" i="44"/>
  <c r="M188" i="44" s="1"/>
  <c r="J188" i="44"/>
  <c r="I188" i="44"/>
  <c r="G188" i="44"/>
  <c r="AV187" i="44"/>
  <c r="AW187" i="44" s="1"/>
  <c r="AQ187" i="44"/>
  <c r="AR187" i="44" s="1"/>
  <c r="AL187" i="44"/>
  <c r="AM187" i="44" s="1"/>
  <c r="AG187" i="44"/>
  <c r="AH187" i="44" s="1"/>
  <c r="AB187" i="44"/>
  <c r="AC187" i="44" s="1"/>
  <c r="X187" i="44"/>
  <c r="W187" i="44"/>
  <c r="R187" i="44"/>
  <c r="S187" i="44" s="1"/>
  <c r="K187" i="44"/>
  <c r="M187" i="44" s="1"/>
  <c r="J187" i="44"/>
  <c r="I187" i="44"/>
  <c r="G187" i="44"/>
  <c r="AV186" i="44"/>
  <c r="AW186" i="44" s="1"/>
  <c r="AR186" i="44"/>
  <c r="AQ186" i="44"/>
  <c r="AM186" i="44"/>
  <c r="AL186" i="44"/>
  <c r="AH186" i="44"/>
  <c r="AG186" i="44"/>
  <c r="AB186" i="44"/>
  <c r="AC186" i="44" s="1"/>
  <c r="W186" i="44"/>
  <c r="X186" i="44" s="1"/>
  <c r="S186" i="44"/>
  <c r="R186" i="44"/>
  <c r="K186" i="44"/>
  <c r="M186" i="44" s="1"/>
  <c r="J186" i="44"/>
  <c r="I186" i="44"/>
  <c r="G186" i="44"/>
  <c r="AV185" i="44"/>
  <c r="AW185" i="44" s="1"/>
  <c r="AQ185" i="44"/>
  <c r="AR185" i="44" s="1"/>
  <c r="AL185" i="44"/>
  <c r="AM185" i="44" s="1"/>
  <c r="AG185" i="44"/>
  <c r="AH185" i="44" s="1"/>
  <c r="AB185" i="44"/>
  <c r="AC185" i="44" s="1"/>
  <c r="W185" i="44"/>
  <c r="X185" i="44" s="1"/>
  <c r="S185" i="44"/>
  <c r="R185" i="44"/>
  <c r="K185" i="44"/>
  <c r="M185" i="44" s="1"/>
  <c r="J185" i="44"/>
  <c r="I185" i="44"/>
  <c r="G185" i="44"/>
  <c r="AV184" i="44"/>
  <c r="AW184" i="44" s="1"/>
  <c r="AQ184" i="44"/>
  <c r="AR184" i="44" s="1"/>
  <c r="AM184" i="44"/>
  <c r="AL184" i="44"/>
  <c r="AH184" i="44"/>
  <c r="AG184" i="44"/>
  <c r="AC184" i="44"/>
  <c r="AB184" i="44"/>
  <c r="W184" i="44"/>
  <c r="X184" i="44" s="1"/>
  <c r="R184" i="44"/>
  <c r="S184" i="44" s="1"/>
  <c r="J184" i="44"/>
  <c r="I184" i="44"/>
  <c r="G184" i="44"/>
  <c r="AV183" i="44"/>
  <c r="AW183" i="44" s="1"/>
  <c r="AQ183" i="44"/>
  <c r="AR183" i="44" s="1"/>
  <c r="AM183" i="44"/>
  <c r="AL183" i="44"/>
  <c r="AG183" i="44"/>
  <c r="AH183" i="44" s="1"/>
  <c r="AB183" i="44"/>
  <c r="AC183" i="44" s="1"/>
  <c r="W183" i="44"/>
  <c r="X183" i="44" s="1"/>
  <c r="R183" i="44"/>
  <c r="S183" i="44" s="1"/>
  <c r="J183" i="44"/>
  <c r="I183" i="44"/>
  <c r="G183" i="44"/>
  <c r="AV182" i="44"/>
  <c r="AW182" i="44" s="1"/>
  <c r="AQ182" i="44"/>
  <c r="AR182" i="44" s="1"/>
  <c r="AL182" i="44"/>
  <c r="AM182" i="44" s="1"/>
  <c r="AH182" i="44"/>
  <c r="AG182" i="44"/>
  <c r="AC182" i="44"/>
  <c r="AB182" i="44"/>
  <c r="X182" i="44"/>
  <c r="W182" i="44"/>
  <c r="R182" i="44"/>
  <c r="S182" i="44" s="1"/>
  <c r="K182" i="44"/>
  <c r="M182" i="44" s="1"/>
  <c r="J182" i="44"/>
  <c r="I182" i="44"/>
  <c r="G182" i="44"/>
  <c r="AV181" i="44"/>
  <c r="AW181" i="44" s="1"/>
  <c r="AQ181" i="44"/>
  <c r="AR181" i="44" s="1"/>
  <c r="AL181" i="44"/>
  <c r="AM181" i="44" s="1"/>
  <c r="AG181" i="44"/>
  <c r="AH181" i="44" s="1"/>
  <c r="AB181" i="44"/>
  <c r="AC181" i="44" s="1"/>
  <c r="W181" i="44"/>
  <c r="X181" i="44" s="1"/>
  <c r="R181" i="44"/>
  <c r="S181" i="44" s="1"/>
  <c r="K181" i="44"/>
  <c r="M181" i="44" s="1"/>
  <c r="J181" i="44"/>
  <c r="I181" i="44"/>
  <c r="G181" i="44"/>
  <c r="AV180" i="44"/>
  <c r="AW180" i="44" s="1"/>
  <c r="AQ180" i="44"/>
  <c r="AR180" i="44" s="1"/>
  <c r="AL180" i="44"/>
  <c r="AM180" i="44" s="1"/>
  <c r="AG180" i="44"/>
  <c r="AH180" i="44" s="1"/>
  <c r="AC180" i="44"/>
  <c r="AB180" i="44"/>
  <c r="X180" i="44"/>
  <c r="W180" i="44"/>
  <c r="S180" i="44"/>
  <c r="R180" i="44"/>
  <c r="K180" i="44"/>
  <c r="M180" i="44" s="1"/>
  <c r="J180" i="44"/>
  <c r="I180" i="44"/>
  <c r="G180" i="44"/>
  <c r="AV179" i="44"/>
  <c r="AW179" i="44" s="1"/>
  <c r="AQ179" i="44"/>
  <c r="AR179" i="44" s="1"/>
  <c r="AL179" i="44"/>
  <c r="AM179" i="44" s="1"/>
  <c r="AG179" i="44"/>
  <c r="AH179" i="44" s="1"/>
  <c r="AC179" i="44"/>
  <c r="AB179" i="44"/>
  <c r="W179" i="44"/>
  <c r="X179" i="44" s="1"/>
  <c r="R179" i="44"/>
  <c r="S179" i="44" s="1"/>
  <c r="K179" i="44"/>
  <c r="M179" i="44" s="1"/>
  <c r="J179" i="44"/>
  <c r="I179" i="44"/>
  <c r="G179" i="44"/>
  <c r="AW178" i="44"/>
  <c r="AV178" i="44"/>
  <c r="AQ178" i="44"/>
  <c r="AR178" i="44" s="1"/>
  <c r="AL178" i="44"/>
  <c r="AM178" i="44" s="1"/>
  <c r="AG178" i="44"/>
  <c r="AH178" i="44" s="1"/>
  <c r="AB178" i="44"/>
  <c r="AC178" i="44" s="1"/>
  <c r="X178" i="44"/>
  <c r="W178" i="44"/>
  <c r="S178" i="44"/>
  <c r="R178" i="44"/>
  <c r="K178" i="44" s="1"/>
  <c r="M178" i="44" s="1"/>
  <c r="J178" i="44"/>
  <c r="I178" i="44"/>
  <c r="G178" i="44"/>
  <c r="AW177" i="44"/>
  <c r="AV177" i="44"/>
  <c r="AQ177" i="44"/>
  <c r="AR177" i="44" s="1"/>
  <c r="AL177" i="44"/>
  <c r="AM177" i="44" s="1"/>
  <c r="AG177" i="44"/>
  <c r="AH177" i="44" s="1"/>
  <c r="AB177" i="44"/>
  <c r="AC177" i="44" s="1"/>
  <c r="W177" i="44"/>
  <c r="X177" i="44" s="1"/>
  <c r="R177" i="44"/>
  <c r="K177" i="44" s="1"/>
  <c r="M177" i="44" s="1"/>
  <c r="J177" i="44"/>
  <c r="I177" i="44"/>
  <c r="G177" i="44"/>
  <c r="AV176" i="44"/>
  <c r="AW176" i="44" s="1"/>
  <c r="AR176" i="44"/>
  <c r="AQ176" i="44"/>
  <c r="AL176" i="44"/>
  <c r="AM176" i="44" s="1"/>
  <c r="AG176" i="44"/>
  <c r="AH176" i="44" s="1"/>
  <c r="AB176" i="44"/>
  <c r="AC176" i="44" s="1"/>
  <c r="W176" i="44"/>
  <c r="X176" i="44" s="1"/>
  <c r="S176" i="44"/>
  <c r="R176" i="44"/>
  <c r="K176" i="44" s="1"/>
  <c r="M176" i="44" s="1"/>
  <c r="J176" i="44"/>
  <c r="I176" i="44"/>
  <c r="G176" i="44"/>
  <c r="AV175" i="44"/>
  <c r="AW175" i="44" s="1"/>
  <c r="AR175" i="44"/>
  <c r="AQ175" i="44"/>
  <c r="AL175" i="44"/>
  <c r="AM175" i="44" s="1"/>
  <c r="AG175" i="44"/>
  <c r="AH175" i="44" s="1"/>
  <c r="AB175" i="44"/>
  <c r="AC175" i="44" s="1"/>
  <c r="W175" i="44"/>
  <c r="X175" i="44" s="1"/>
  <c r="R175" i="44"/>
  <c r="K175" i="44" s="1"/>
  <c r="M175" i="44" s="1"/>
  <c r="J175" i="44"/>
  <c r="I175" i="44"/>
  <c r="G175" i="44"/>
  <c r="AV174" i="44"/>
  <c r="AW174" i="44" s="1"/>
  <c r="AQ174" i="44"/>
  <c r="AR174" i="44" s="1"/>
  <c r="AM174" i="44"/>
  <c r="AL174" i="44"/>
  <c r="AG174" i="44"/>
  <c r="AH174" i="44" s="1"/>
  <c r="AB174" i="44"/>
  <c r="AC174" i="44" s="1"/>
  <c r="W174" i="44"/>
  <c r="X174" i="44" s="1"/>
  <c r="R174" i="44"/>
  <c r="J174" i="44"/>
  <c r="I174" i="44"/>
  <c r="G174" i="44"/>
  <c r="AV173" i="44"/>
  <c r="AW173" i="44" s="1"/>
  <c r="AQ173" i="44"/>
  <c r="AR173" i="44" s="1"/>
  <c r="AM173" i="44"/>
  <c r="AL173" i="44"/>
  <c r="AG173" i="44"/>
  <c r="AH173" i="44" s="1"/>
  <c r="AB173" i="44"/>
  <c r="AC173" i="44" s="1"/>
  <c r="W173" i="44"/>
  <c r="X173" i="44" s="1"/>
  <c r="R173" i="44"/>
  <c r="S173" i="44" s="1"/>
  <c r="K173" i="44"/>
  <c r="M173" i="44" s="1"/>
  <c r="J173" i="44"/>
  <c r="I173" i="44"/>
  <c r="G173" i="44"/>
  <c r="AW172" i="44"/>
  <c r="AV172" i="44"/>
  <c r="AQ172" i="44"/>
  <c r="AR172" i="44" s="1"/>
  <c r="AL172" i="44"/>
  <c r="AM172" i="44" s="1"/>
  <c r="AH172" i="44"/>
  <c r="AG172" i="44"/>
  <c r="AB172" i="44"/>
  <c r="AC172" i="44" s="1"/>
  <c r="W172" i="44"/>
  <c r="X172" i="44" s="1"/>
  <c r="R172" i="44"/>
  <c r="S172" i="44" s="1"/>
  <c r="K172" i="44"/>
  <c r="M172" i="44" s="1"/>
  <c r="J172" i="44"/>
  <c r="I172" i="44"/>
  <c r="G172" i="44"/>
  <c r="AV171" i="44"/>
  <c r="AW171" i="44" s="1"/>
  <c r="AQ171" i="44"/>
  <c r="AR171" i="44" s="1"/>
  <c r="AL171" i="44"/>
  <c r="AM171" i="44" s="1"/>
  <c r="AH171" i="44"/>
  <c r="AG171" i="44"/>
  <c r="AB171" i="44"/>
  <c r="AC171" i="44" s="1"/>
  <c r="W171" i="44"/>
  <c r="X171" i="44" s="1"/>
  <c r="R171" i="44"/>
  <c r="S171" i="44" s="1"/>
  <c r="K171" i="44"/>
  <c r="M171" i="44" s="1"/>
  <c r="J171" i="44"/>
  <c r="I171" i="44"/>
  <c r="G171" i="44"/>
  <c r="AW170" i="44"/>
  <c r="AV170" i="44"/>
  <c r="AR170" i="44"/>
  <c r="AQ170" i="44"/>
  <c r="AL170" i="44"/>
  <c r="AM170" i="44" s="1"/>
  <c r="AG170" i="44"/>
  <c r="AH170" i="44" s="1"/>
  <c r="AC170" i="44"/>
  <c r="AB170" i="44"/>
  <c r="W170" i="44"/>
  <c r="X170" i="44" s="1"/>
  <c r="R170" i="44"/>
  <c r="S170" i="44" s="1"/>
  <c r="K170" i="44"/>
  <c r="M170" i="44" s="1"/>
  <c r="J170" i="44"/>
  <c r="I170" i="44"/>
  <c r="G170" i="44"/>
  <c r="AV169" i="44"/>
  <c r="AW169" i="44" s="1"/>
  <c r="AQ169" i="44"/>
  <c r="AR169" i="44" s="1"/>
  <c r="AL169" i="44"/>
  <c r="AM169" i="44" s="1"/>
  <c r="AG169" i="44"/>
  <c r="AH169" i="44" s="1"/>
  <c r="AC169" i="44"/>
  <c r="AB169" i="44"/>
  <c r="W169" i="44"/>
  <c r="X169" i="44" s="1"/>
  <c r="R169" i="44"/>
  <c r="S169" i="44" s="1"/>
  <c r="K169" i="44"/>
  <c r="M169" i="44" s="1"/>
  <c r="J169" i="44"/>
  <c r="I169" i="44"/>
  <c r="G169" i="44"/>
  <c r="AW168" i="44"/>
  <c r="AV168" i="44"/>
  <c r="AR168" i="44"/>
  <c r="AQ168" i="44"/>
  <c r="AM168" i="44"/>
  <c r="AL168" i="44"/>
  <c r="AG168" i="44"/>
  <c r="AH168" i="44" s="1"/>
  <c r="AB168" i="44"/>
  <c r="AC168" i="44" s="1"/>
  <c r="X168" i="44"/>
  <c r="W168" i="44"/>
  <c r="R168" i="44"/>
  <c r="S168" i="44" s="1"/>
  <c r="K168" i="44"/>
  <c r="M168" i="44" s="1"/>
  <c r="J168" i="44"/>
  <c r="I168" i="44"/>
  <c r="G168" i="44"/>
  <c r="AW167" i="44"/>
  <c r="AV167" i="44"/>
  <c r="AQ167" i="44"/>
  <c r="AR167" i="44" s="1"/>
  <c r="AL167" i="44"/>
  <c r="AM167" i="44" s="1"/>
  <c r="AG167" i="44"/>
  <c r="AH167" i="44" s="1"/>
  <c r="AB167" i="44"/>
  <c r="AC167" i="44" s="1"/>
  <c r="X167" i="44"/>
  <c r="W167" i="44"/>
  <c r="R167" i="44"/>
  <c r="S167" i="44" s="1"/>
  <c r="K167" i="44"/>
  <c r="M167" i="44" s="1"/>
  <c r="J167" i="44"/>
  <c r="I167" i="44"/>
  <c r="G167" i="44"/>
  <c r="AV166" i="44"/>
  <c r="AW166" i="44" s="1"/>
  <c r="AR166" i="44"/>
  <c r="AQ166" i="44"/>
  <c r="AM166" i="44"/>
  <c r="AL166" i="44"/>
  <c r="AH166" i="44"/>
  <c r="AG166" i="44"/>
  <c r="AB166" i="44"/>
  <c r="AC166" i="44" s="1"/>
  <c r="W166" i="44"/>
  <c r="X166" i="44" s="1"/>
  <c r="S166" i="44"/>
  <c r="R166" i="44"/>
  <c r="K166" i="44"/>
  <c r="M166" i="44" s="1"/>
  <c r="J166" i="44"/>
  <c r="I166" i="44"/>
  <c r="G166" i="44"/>
  <c r="AV165" i="44"/>
  <c r="AW165" i="44" s="1"/>
  <c r="AQ165" i="44"/>
  <c r="AR165" i="44" s="1"/>
  <c r="AL165" i="44"/>
  <c r="AM165" i="44" s="1"/>
  <c r="AG165" i="44"/>
  <c r="AH165" i="44" s="1"/>
  <c r="AB165" i="44"/>
  <c r="AC165" i="44" s="1"/>
  <c r="W165" i="44"/>
  <c r="X165" i="44" s="1"/>
  <c r="S165" i="44"/>
  <c r="R165" i="44"/>
  <c r="K165" i="44"/>
  <c r="M165" i="44" s="1"/>
  <c r="J165" i="44"/>
  <c r="I165" i="44"/>
  <c r="G165" i="44"/>
  <c r="AV164" i="44"/>
  <c r="AW164" i="44" s="1"/>
  <c r="AQ164" i="44"/>
  <c r="AR164" i="44" s="1"/>
  <c r="AM164" i="44"/>
  <c r="AL164" i="44"/>
  <c r="AH164" i="44"/>
  <c r="AG164" i="44"/>
  <c r="AC164" i="44"/>
  <c r="AB164" i="44"/>
  <c r="W164" i="44"/>
  <c r="X164" i="44" s="1"/>
  <c r="R164" i="44"/>
  <c r="S164" i="44" s="1"/>
  <c r="J164" i="44"/>
  <c r="I164" i="44"/>
  <c r="G164" i="44"/>
  <c r="AV163" i="44"/>
  <c r="AW163" i="44" s="1"/>
  <c r="AQ163" i="44"/>
  <c r="AR163" i="44" s="1"/>
  <c r="AL163" i="44"/>
  <c r="AM163" i="44" s="1"/>
  <c r="AG163" i="44"/>
  <c r="AH163" i="44" s="1"/>
  <c r="AB163" i="44"/>
  <c r="AC163" i="44" s="1"/>
  <c r="W163" i="44"/>
  <c r="X163" i="44" s="1"/>
  <c r="R163" i="44"/>
  <c r="S163" i="44" s="1"/>
  <c r="J163" i="44"/>
  <c r="I163" i="44"/>
  <c r="G163" i="44"/>
  <c r="AV162" i="44"/>
  <c r="AW162" i="44" s="1"/>
  <c r="AQ162" i="44"/>
  <c r="AR162" i="44" s="1"/>
  <c r="AL162" i="44"/>
  <c r="AM162" i="44" s="1"/>
  <c r="AH162" i="44"/>
  <c r="AG162" i="44"/>
  <c r="AC162" i="44"/>
  <c r="AB162" i="44"/>
  <c r="X162" i="44"/>
  <c r="W162" i="44"/>
  <c r="R162" i="44"/>
  <c r="S162" i="44" s="1"/>
  <c r="K162" i="44"/>
  <c r="M162" i="44" s="1"/>
  <c r="J162" i="44"/>
  <c r="I162" i="44"/>
  <c r="G162" i="44"/>
  <c r="AV161" i="44"/>
  <c r="AW161" i="44" s="1"/>
  <c r="AQ161" i="44"/>
  <c r="AR161" i="44" s="1"/>
  <c r="AL161" i="44"/>
  <c r="AM161" i="44" s="1"/>
  <c r="AG161" i="44"/>
  <c r="AH161" i="44" s="1"/>
  <c r="AB161" i="44"/>
  <c r="AC161" i="44" s="1"/>
  <c r="W161" i="44"/>
  <c r="X161" i="44" s="1"/>
  <c r="R161" i="44"/>
  <c r="S161" i="44" s="1"/>
  <c r="K161" i="44"/>
  <c r="M161" i="44" s="1"/>
  <c r="J161" i="44"/>
  <c r="I161" i="44"/>
  <c r="G161" i="44"/>
  <c r="AV160" i="44"/>
  <c r="AW160" i="44" s="1"/>
  <c r="AQ160" i="44"/>
  <c r="AR160" i="44" s="1"/>
  <c r="AL160" i="44"/>
  <c r="AM160" i="44" s="1"/>
  <c r="AG160" i="44"/>
  <c r="AH160" i="44" s="1"/>
  <c r="AC160" i="44"/>
  <c r="AB160" i="44"/>
  <c r="X160" i="44"/>
  <c r="W160" i="44"/>
  <c r="S160" i="44"/>
  <c r="R160" i="44"/>
  <c r="K160" i="44"/>
  <c r="M160" i="44" s="1"/>
  <c r="J160" i="44"/>
  <c r="I160" i="44"/>
  <c r="G160" i="44"/>
  <c r="AV159" i="44"/>
  <c r="AX159" i="44" s="1"/>
  <c r="AQ159" i="44"/>
  <c r="AR159" i="44" s="1"/>
  <c r="AL159" i="44"/>
  <c r="AI159" i="44"/>
  <c r="AG159" i="44"/>
  <c r="AH159" i="44" s="1"/>
  <c r="AD159" i="44"/>
  <c r="AC159" i="44"/>
  <c r="AB159" i="44"/>
  <c r="W159" i="44"/>
  <c r="Y159" i="44" s="1"/>
  <c r="T159" i="44"/>
  <c r="S159" i="44"/>
  <c r="R159" i="44"/>
  <c r="K159" i="44"/>
  <c r="M159" i="44" s="1"/>
  <c r="J159" i="44"/>
  <c r="I159" i="44"/>
  <c r="G159" i="44"/>
  <c r="H159" i="44" s="1"/>
  <c r="K89" i="52" l="1"/>
  <c r="M89" i="52" s="1"/>
  <c r="K91" i="52"/>
  <c r="M91" i="52" s="1"/>
  <c r="X9" i="52"/>
  <c r="AD7" i="52"/>
  <c r="AI7" i="52"/>
  <c r="AH29" i="52"/>
  <c r="AH28" i="52"/>
  <c r="AH27" i="52"/>
  <c r="K92" i="52"/>
  <c r="M92" i="52" s="1"/>
  <c r="K95" i="52"/>
  <c r="M95" i="52" s="1"/>
  <c r="K9" i="52"/>
  <c r="S95" i="48"/>
  <c r="AW14" i="48"/>
  <c r="AR11" i="48"/>
  <c r="AR13" i="48"/>
  <c r="AM11" i="48"/>
  <c r="S97" i="48"/>
  <c r="Y87" i="48"/>
  <c r="S91" i="48"/>
  <c r="S8" i="48"/>
  <c r="B38" i="56"/>
  <c r="E38" i="56"/>
  <c r="T3" i="56" s="1"/>
  <c r="G38" i="56"/>
  <c r="I38" i="56"/>
  <c r="K38" i="56"/>
  <c r="C38" i="56"/>
  <c r="Q3" i="56" s="1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S46" i="63"/>
  <c r="R45" i="63"/>
  <c r="R38" i="63"/>
  <c r="R44" i="63"/>
  <c r="R36" i="63"/>
  <c r="S43" i="63"/>
  <c r="S39" i="63"/>
  <c r="R42" i="63"/>
  <c r="S37" i="63"/>
  <c r="R40" i="63"/>
  <c r="R49" i="63"/>
  <c r="R33" i="63"/>
  <c r="R35" i="63"/>
  <c r="S34" i="63"/>
  <c r="R41" i="63"/>
  <c r="R47" i="63"/>
  <c r="R31" i="63"/>
  <c r="S48" i="63"/>
  <c r="R32" i="63"/>
  <c r="R50" i="63"/>
  <c r="F6" i="56"/>
  <c r="H9" i="56"/>
  <c r="H8" i="56"/>
  <c r="L6" i="56"/>
  <c r="H7" i="56"/>
  <c r="D9" i="56"/>
  <c r="H6" i="56"/>
  <c r="F9" i="56"/>
  <c r="J6" i="56"/>
  <c r="L9" i="56"/>
  <c r="N4" i="56"/>
  <c r="B21" i="41" s="1"/>
  <c r="M4" i="56"/>
  <c r="B20" i="41" s="1"/>
  <c r="K30" i="19" s="1"/>
  <c r="J7" i="56"/>
  <c r="J9" i="56"/>
  <c r="F7" i="56"/>
  <c r="L10" i="56"/>
  <c r="D10" i="56"/>
  <c r="L7" i="56"/>
  <c r="D8" i="56"/>
  <c r="F8" i="56"/>
  <c r="H10" i="56"/>
  <c r="J8" i="56"/>
  <c r="L8" i="56"/>
  <c r="F10" i="56"/>
  <c r="J10" i="56"/>
  <c r="D6" i="56"/>
  <c r="D7" i="56"/>
  <c r="S7" i="52"/>
  <c r="K98" i="52"/>
  <c r="M98" i="52" s="1"/>
  <c r="AN87" i="52"/>
  <c r="AM9" i="52"/>
  <c r="AR9" i="52"/>
  <c r="K97" i="52"/>
  <c r="M97" i="52" s="1"/>
  <c r="K90" i="52"/>
  <c r="M90" i="52" s="1"/>
  <c r="AM8" i="52"/>
  <c r="AX87" i="52"/>
  <c r="S9" i="52"/>
  <c r="AN7" i="52"/>
  <c r="AC8" i="52"/>
  <c r="AS7" i="52"/>
  <c r="AH9" i="52"/>
  <c r="K88" i="52"/>
  <c r="M88" i="52" s="1"/>
  <c r="K99" i="52"/>
  <c r="M99" i="52" s="1"/>
  <c r="H7" i="52"/>
  <c r="AD87" i="52"/>
  <c r="AH8" i="52"/>
  <c r="X8" i="52"/>
  <c r="AR8" i="52"/>
  <c r="AH87" i="52"/>
  <c r="K101" i="52"/>
  <c r="M101" i="52" s="1"/>
  <c r="K100" i="52"/>
  <c r="M100" i="52" s="1"/>
  <c r="AR87" i="52"/>
  <c r="K87" i="52"/>
  <c r="K94" i="52"/>
  <c r="M94" i="52" s="1"/>
  <c r="K93" i="52"/>
  <c r="M93" i="52" s="1"/>
  <c r="S87" i="52"/>
  <c r="X87" i="52"/>
  <c r="AR9" i="51"/>
  <c r="AC8" i="51"/>
  <c r="K87" i="51"/>
  <c r="M87" i="51" s="1"/>
  <c r="AM8" i="51"/>
  <c r="AR7" i="51"/>
  <c r="T87" i="51"/>
  <c r="AW8" i="51"/>
  <c r="X9" i="51"/>
  <c r="AR8" i="51"/>
  <c r="K96" i="51"/>
  <c r="M96" i="51" s="1"/>
  <c r="AH7" i="51"/>
  <c r="AS7" i="51"/>
  <c r="K88" i="51"/>
  <c r="M88" i="51" s="1"/>
  <c r="AC9" i="51"/>
  <c r="K7" i="51"/>
  <c r="AH9" i="51"/>
  <c r="AM9" i="51"/>
  <c r="K95" i="51"/>
  <c r="M95" i="51" s="1"/>
  <c r="S9" i="51"/>
  <c r="AW9" i="51"/>
  <c r="X8" i="51"/>
  <c r="AW87" i="51"/>
  <c r="K92" i="51"/>
  <c r="M92" i="51" s="1"/>
  <c r="K91" i="51"/>
  <c r="M91" i="51" s="1"/>
  <c r="AI87" i="51"/>
  <c r="X87" i="51"/>
  <c r="AM87" i="51"/>
  <c r="AR87" i="51"/>
  <c r="K99" i="50"/>
  <c r="M99" i="50" s="1"/>
  <c r="K8" i="50"/>
  <c r="AW8" i="50"/>
  <c r="K90" i="50"/>
  <c r="M90" i="50" s="1"/>
  <c r="AI7" i="50"/>
  <c r="AC8" i="50"/>
  <c r="X87" i="50"/>
  <c r="AH8" i="50"/>
  <c r="K94" i="50"/>
  <c r="M94" i="50" s="1"/>
  <c r="AD87" i="50"/>
  <c r="S91" i="50"/>
  <c r="K93" i="50"/>
  <c r="M93" i="50" s="1"/>
  <c r="AR7" i="50"/>
  <c r="K88" i="50"/>
  <c r="M88" i="50" s="1"/>
  <c r="K98" i="50"/>
  <c r="M98" i="50" s="1"/>
  <c r="AW7" i="50"/>
  <c r="K87" i="50"/>
  <c r="M87" i="50" s="1"/>
  <c r="T87" i="50"/>
  <c r="K97" i="50"/>
  <c r="M97" i="50" s="1"/>
  <c r="AN87" i="50"/>
  <c r="AR87" i="50"/>
  <c r="AW87" i="50"/>
  <c r="K92" i="50"/>
  <c r="M92" i="50" s="1"/>
  <c r="AH87" i="50"/>
  <c r="K89" i="50"/>
  <c r="M89" i="50" s="1"/>
  <c r="Z82" i="49"/>
  <c r="U83" i="49"/>
  <c r="AS87" i="49"/>
  <c r="S99" i="49"/>
  <c r="K96" i="49"/>
  <c r="M96" i="49" s="1"/>
  <c r="S90" i="49"/>
  <c r="AX87" i="49"/>
  <c r="M87" i="48"/>
  <c r="L87" i="48"/>
  <c r="X7" i="48"/>
  <c r="S9" i="48"/>
  <c r="K94" i="48"/>
  <c r="M94" i="48" s="1"/>
  <c r="X9" i="48"/>
  <c r="S11" i="48"/>
  <c r="X11" i="48"/>
  <c r="K90" i="48"/>
  <c r="M90" i="48" s="1"/>
  <c r="AM13" i="48"/>
  <c r="AH12" i="48"/>
  <c r="X13" i="48"/>
  <c r="S15" i="48"/>
  <c r="AM7" i="48"/>
  <c r="AH11" i="48"/>
  <c r="S99" i="48"/>
  <c r="AC15" i="48"/>
  <c r="AM15" i="48"/>
  <c r="K15" i="48"/>
  <c r="AW15" i="48"/>
  <c r="T87" i="48"/>
  <c r="X8" i="48"/>
  <c r="S10" i="48"/>
  <c r="S87" i="48"/>
  <c r="AW10" i="48"/>
  <c r="AR12" i="48"/>
  <c r="S12" i="48"/>
  <c r="AI7" i="48"/>
  <c r="X12" i="48"/>
  <c r="S14" i="48"/>
  <c r="AM8" i="48"/>
  <c r="AH10" i="48"/>
  <c r="AM10" i="48"/>
  <c r="H7" i="48"/>
  <c r="AR10" i="48"/>
  <c r="AM12" i="48"/>
  <c r="AW12" i="48"/>
  <c r="AI87" i="48"/>
  <c r="K96" i="48"/>
  <c r="M96" i="48" s="1"/>
  <c r="S92" i="48"/>
  <c r="AX87" i="48"/>
  <c r="AE62" i="49"/>
  <c r="Z63" i="49"/>
  <c r="AM14" i="49"/>
  <c r="S9" i="49"/>
  <c r="AW14" i="49"/>
  <c r="S11" i="49"/>
  <c r="S15" i="49"/>
  <c r="X9" i="49"/>
  <c r="X11" i="49"/>
  <c r="X13" i="49"/>
  <c r="K7" i="49"/>
  <c r="K9" i="49"/>
  <c r="AH9" i="49"/>
  <c r="AH11" i="49"/>
  <c r="AN7" i="49"/>
  <c r="AR13" i="49"/>
  <c r="K15" i="49"/>
  <c r="S8" i="49"/>
  <c r="S10" i="49"/>
  <c r="S13" i="49"/>
  <c r="X8" i="49"/>
  <c r="X10" i="49"/>
  <c r="X12" i="49"/>
  <c r="X15" i="49"/>
  <c r="K8" i="49"/>
  <c r="AW9" i="49"/>
  <c r="K10" i="49"/>
  <c r="AW15" i="49"/>
  <c r="AM10" i="49"/>
  <c r="AM12" i="49"/>
  <c r="H7" i="49"/>
  <c r="AR12" i="49"/>
  <c r="AR15" i="49"/>
  <c r="AW7" i="52"/>
  <c r="AX7" i="52"/>
  <c r="AW9" i="52"/>
  <c r="AW8" i="52"/>
  <c r="K8" i="52"/>
  <c r="AR7" i="52"/>
  <c r="K7" i="52"/>
  <c r="T7" i="52"/>
  <c r="X7" i="52"/>
  <c r="Y7" i="52"/>
  <c r="AC7" i="52"/>
  <c r="S8" i="52"/>
  <c r="AH7" i="52"/>
  <c r="AC9" i="52"/>
  <c r="AM7" i="52"/>
  <c r="AW7" i="51"/>
  <c r="AX7" i="51"/>
  <c r="H7" i="51"/>
  <c r="K9" i="51"/>
  <c r="M9" i="51" s="1"/>
  <c r="S7" i="51"/>
  <c r="S8" i="51"/>
  <c r="T7" i="51"/>
  <c r="X7" i="51"/>
  <c r="K8" i="51"/>
  <c r="AC7" i="51"/>
  <c r="AI7" i="51"/>
  <c r="AH8" i="51"/>
  <c r="AN7" i="51"/>
  <c r="K7" i="50"/>
  <c r="M8" i="50"/>
  <c r="T7" i="50"/>
  <c r="AR8" i="50"/>
  <c r="AX7" i="50"/>
  <c r="H7" i="50"/>
  <c r="AS7" i="50"/>
  <c r="S8" i="50"/>
  <c r="AC7" i="50"/>
  <c r="X7" i="50"/>
  <c r="Y7" i="50"/>
  <c r="AH7" i="50"/>
  <c r="AM7" i="50"/>
  <c r="AN7" i="50"/>
  <c r="AR11" i="49"/>
  <c r="AC13" i="49"/>
  <c r="AM8" i="49"/>
  <c r="AH8" i="49"/>
  <c r="AW11" i="49"/>
  <c r="AH13" i="49"/>
  <c r="AD7" i="49"/>
  <c r="AR8" i="49"/>
  <c r="AC10" i="49"/>
  <c r="AM13" i="49"/>
  <c r="AW8" i="49"/>
  <c r="AH7" i="49"/>
  <c r="AH10" i="49"/>
  <c r="AC15" i="49"/>
  <c r="AI7" i="49"/>
  <c r="AW13" i="49"/>
  <c r="AH15" i="49"/>
  <c r="AC12" i="49"/>
  <c r="AM15" i="49"/>
  <c r="AM7" i="49"/>
  <c r="AR10" i="49"/>
  <c r="AX7" i="49"/>
  <c r="AC9" i="49"/>
  <c r="AR14" i="49"/>
  <c r="AC8" i="49"/>
  <c r="AM11" i="49"/>
  <c r="AH12" i="49"/>
  <c r="AS7" i="49"/>
  <c r="AH14" i="49"/>
  <c r="AC14" i="49"/>
  <c r="AM9" i="49"/>
  <c r="AW12" i="49"/>
  <c r="AW10" i="49"/>
  <c r="AR9" i="49"/>
  <c r="AC11" i="49"/>
  <c r="AR7" i="49"/>
  <c r="AW7" i="49"/>
  <c r="K13" i="49"/>
  <c r="K12" i="49"/>
  <c r="K14" i="49"/>
  <c r="S7" i="49"/>
  <c r="K11" i="49"/>
  <c r="S14" i="49"/>
  <c r="S12" i="49"/>
  <c r="X14" i="49"/>
  <c r="AC7" i="49"/>
  <c r="X7" i="49"/>
  <c r="AH9" i="48"/>
  <c r="AW13" i="48"/>
  <c r="AH15" i="48"/>
  <c r="AH8" i="48"/>
  <c r="AC14" i="48"/>
  <c r="AR9" i="48"/>
  <c r="AC8" i="48"/>
  <c r="AW9" i="48"/>
  <c r="AC11" i="48"/>
  <c r="AD7" i="48"/>
  <c r="K7" i="48"/>
  <c r="AH14" i="48"/>
  <c r="AH7" i="48"/>
  <c r="AR8" i="48"/>
  <c r="AM14" i="48"/>
  <c r="AW8" i="48"/>
  <c r="K14" i="48"/>
  <c r="AR14" i="48"/>
  <c r="AS7" i="48"/>
  <c r="AH13" i="48"/>
  <c r="AN7" i="48"/>
  <c r="AR7" i="48"/>
  <c r="AC12" i="48"/>
  <c r="AC7" i="48"/>
  <c r="K8" i="48"/>
  <c r="AR15" i="48"/>
  <c r="AW11" i="48"/>
  <c r="AC13" i="48"/>
  <c r="AX7" i="48"/>
  <c r="K9" i="48"/>
  <c r="AC9" i="48"/>
  <c r="AW7" i="48"/>
  <c r="K13" i="48"/>
  <c r="K12" i="48"/>
  <c r="S7" i="48"/>
  <c r="K11" i="48"/>
  <c r="T7" i="48"/>
  <c r="K10" i="48"/>
  <c r="S13" i="48"/>
  <c r="X15" i="48"/>
  <c r="Y7" i="48"/>
  <c r="X10" i="48"/>
  <c r="X14" i="48"/>
  <c r="M87" i="47"/>
  <c r="L87" i="47"/>
  <c r="AS87" i="47"/>
  <c r="S99" i="47"/>
  <c r="K96" i="47"/>
  <c r="M96" i="47" s="1"/>
  <c r="AD87" i="47"/>
  <c r="S88" i="47"/>
  <c r="S93" i="47"/>
  <c r="AX87" i="47"/>
  <c r="T87" i="46"/>
  <c r="AW9" i="46"/>
  <c r="K87" i="46"/>
  <c r="T7" i="46"/>
  <c r="X9" i="46"/>
  <c r="AC7" i="46"/>
  <c r="S101" i="46"/>
  <c r="S9" i="46"/>
  <c r="AM8" i="46"/>
  <c r="AD7" i="46"/>
  <c r="AC9" i="46"/>
  <c r="AM7" i="46"/>
  <c r="AH9" i="46"/>
  <c r="K7" i="46"/>
  <c r="L7" i="46" s="1"/>
  <c r="AM9" i="46"/>
  <c r="K9" i="46"/>
  <c r="S99" i="46"/>
  <c r="X8" i="46"/>
  <c r="Y87" i="46"/>
  <c r="AC8" i="46"/>
  <c r="K100" i="46"/>
  <c r="M100" i="46" s="1"/>
  <c r="K8" i="46"/>
  <c r="S8" i="46"/>
  <c r="S7" i="46"/>
  <c r="AI87" i="46"/>
  <c r="S92" i="46"/>
  <c r="S95" i="46"/>
  <c r="AN87" i="46"/>
  <c r="AR8" i="46"/>
  <c r="AW8" i="46"/>
  <c r="AS7" i="46"/>
  <c r="AW7" i="46"/>
  <c r="AX7" i="46"/>
  <c r="H7" i="46"/>
  <c r="AR9" i="46"/>
  <c r="AR7" i="46"/>
  <c r="X7" i="46"/>
  <c r="Y7" i="46"/>
  <c r="AI7" i="46"/>
  <c r="AH7" i="46"/>
  <c r="S11" i="45"/>
  <c r="AI7" i="45"/>
  <c r="K9" i="45"/>
  <c r="T7" i="45"/>
  <c r="S15" i="45"/>
  <c r="K7" i="45"/>
  <c r="AH9" i="45"/>
  <c r="X13" i="45"/>
  <c r="X15" i="45"/>
  <c r="AR7" i="45"/>
  <c r="AM9" i="45"/>
  <c r="AH11" i="45"/>
  <c r="AC15" i="45"/>
  <c r="AX7" i="45"/>
  <c r="AR9" i="45"/>
  <c r="K11" i="45"/>
  <c r="X9" i="45"/>
  <c r="S10" i="45"/>
  <c r="X10" i="45"/>
  <c r="AW11" i="45"/>
  <c r="AR13" i="45"/>
  <c r="AR15" i="45"/>
  <c r="AW13" i="45"/>
  <c r="AW15" i="45"/>
  <c r="K94" i="45"/>
  <c r="M94" i="45" s="1"/>
  <c r="S8" i="45"/>
  <c r="S12" i="45"/>
  <c r="X12" i="45"/>
  <c r="H7" i="45"/>
  <c r="AR8" i="45"/>
  <c r="K10" i="45"/>
  <c r="AH14" i="45"/>
  <c r="K87" i="45"/>
  <c r="AW9" i="45"/>
  <c r="AH15" i="45"/>
  <c r="AC12" i="45"/>
  <c r="X14" i="45"/>
  <c r="S7" i="45"/>
  <c r="AM8" i="45"/>
  <c r="AC14" i="45"/>
  <c r="AW8" i="45"/>
  <c r="AR10" i="45"/>
  <c r="AC16" i="45"/>
  <c r="AW10" i="45"/>
  <c r="AR12" i="45"/>
  <c r="AH16" i="45"/>
  <c r="AW12" i="45"/>
  <c r="AW14" i="45"/>
  <c r="AM16" i="45"/>
  <c r="Y7" i="45"/>
  <c r="S99" i="45"/>
  <c r="K96" i="45"/>
  <c r="M96" i="45" s="1"/>
  <c r="S89" i="45"/>
  <c r="S90" i="45"/>
  <c r="S91" i="45"/>
  <c r="T87" i="45"/>
  <c r="AX87" i="45"/>
  <c r="AD7" i="45"/>
  <c r="AC11" i="45"/>
  <c r="AH13" i="45"/>
  <c r="AM15" i="45"/>
  <c r="X8" i="45"/>
  <c r="AC10" i="45"/>
  <c r="AH12" i="45"/>
  <c r="AM14" i="45"/>
  <c r="AR16" i="45"/>
  <c r="AC9" i="45"/>
  <c r="AS7" i="45"/>
  <c r="K14" i="45"/>
  <c r="AW7" i="45"/>
  <c r="K13" i="45"/>
  <c r="S16" i="45"/>
  <c r="K12" i="45"/>
  <c r="AM11" i="45"/>
  <c r="AH8" i="45"/>
  <c r="AN7" i="45"/>
  <c r="K15" i="45"/>
  <c r="S13" i="45"/>
  <c r="AR14" i="45"/>
  <c r="AM7" i="45"/>
  <c r="AM10" i="45"/>
  <c r="S14" i="45"/>
  <c r="X7" i="45"/>
  <c r="K8" i="45"/>
  <c r="M7" i="45" s="1"/>
  <c r="S9" i="45"/>
  <c r="X11" i="45"/>
  <c r="AC13" i="45"/>
  <c r="AN159" i="44"/>
  <c r="AM159" i="44"/>
  <c r="S175" i="44"/>
  <c r="S174" i="44"/>
  <c r="K174" i="44"/>
  <c r="M174" i="44" s="1"/>
  <c r="S177" i="44"/>
  <c r="AW159" i="44"/>
  <c r="K164" i="44"/>
  <c r="M164" i="44" s="1"/>
  <c r="K184" i="44"/>
  <c r="M184" i="44" s="1"/>
  <c r="AS159" i="44"/>
  <c r="L159" i="44"/>
  <c r="K163" i="44"/>
  <c r="M163" i="44" s="1"/>
  <c r="K183" i="44"/>
  <c r="M183" i="44" s="1"/>
  <c r="X159" i="44"/>
  <c r="C20" i="41" l="1"/>
  <c r="K22" i="19"/>
  <c r="K30" i="61"/>
  <c r="K22" i="61"/>
  <c r="K14" i="61"/>
  <c r="C21" i="41"/>
  <c r="M87" i="52"/>
  <c r="L87" i="52"/>
  <c r="L87" i="51"/>
  <c r="L87" i="50"/>
  <c r="AE82" i="49"/>
  <c r="Z83" i="49"/>
  <c r="M9" i="48"/>
  <c r="M15" i="48"/>
  <c r="AJ62" i="49"/>
  <c r="AE63" i="49"/>
  <c r="M12" i="49"/>
  <c r="M7" i="52"/>
  <c r="L7" i="52"/>
  <c r="M9" i="52"/>
  <c r="M8" i="52"/>
  <c r="M8" i="51"/>
  <c r="L7" i="51"/>
  <c r="M7" i="51"/>
  <c r="M7" i="50"/>
  <c r="L7" i="50"/>
  <c r="M11" i="49"/>
  <c r="M14" i="49"/>
  <c r="M13" i="49"/>
  <c r="M7" i="49"/>
  <c r="M8" i="49"/>
  <c r="L7" i="49"/>
  <c r="M10" i="49"/>
  <c r="M15" i="49"/>
  <c r="M9" i="49"/>
  <c r="M10" i="48"/>
  <c r="M8" i="48"/>
  <c r="M7" i="48"/>
  <c r="L7" i="48"/>
  <c r="M11" i="48"/>
  <c r="M12" i="48"/>
  <c r="M14" i="48"/>
  <c r="M13" i="48"/>
  <c r="M87" i="46"/>
  <c r="L87" i="46"/>
  <c r="M8" i="46"/>
  <c r="M9" i="46"/>
  <c r="M7" i="46"/>
  <c r="M15" i="45"/>
  <c r="M87" i="45"/>
  <c r="L87" i="45"/>
  <c r="M11" i="45"/>
  <c r="M14" i="45"/>
  <c r="M8" i="45"/>
  <c r="M13" i="45"/>
  <c r="M9" i="45"/>
  <c r="M12" i="45"/>
  <c r="M10" i="45"/>
  <c r="L7" i="45"/>
  <c r="M16" i="45"/>
  <c r="C1" i="52" l="1"/>
  <c r="AJ82" i="49"/>
  <c r="AE83" i="49"/>
  <c r="AO62" i="49"/>
  <c r="AJ63" i="49"/>
  <c r="AO82" i="49" l="1"/>
  <c r="AJ83" i="49"/>
  <c r="AT62" i="49"/>
  <c r="AT63" i="49" s="1"/>
  <c r="AO63" i="49"/>
  <c r="AT82" i="49" l="1"/>
  <c r="AT83" i="49" s="1"/>
  <c r="AO83" i="49"/>
  <c r="P40" i="44" l="1"/>
  <c r="U40" i="44" l="1"/>
  <c r="P41" i="44"/>
  <c r="Z40" i="44" l="1"/>
  <c r="U41" i="44"/>
  <c r="AE40" i="44" l="1"/>
  <c r="Z41" i="44"/>
  <c r="AJ40" i="44" l="1"/>
  <c r="AE41" i="44"/>
  <c r="AO40" i="44" l="1"/>
  <c r="AJ41" i="44"/>
  <c r="AO41" i="44" l="1"/>
  <c r="AT40" i="44"/>
  <c r="AT41" i="44" l="1"/>
  <c r="P78" i="44"/>
  <c r="P79" i="44" l="1"/>
  <c r="U78" i="44"/>
  <c r="U79" i="44" l="1"/>
  <c r="Z78" i="44"/>
  <c r="Z79" i="44" l="1"/>
  <c r="AE78" i="44"/>
  <c r="AJ78" i="44" l="1"/>
  <c r="AE79" i="44"/>
  <c r="AO78" i="44" l="1"/>
  <c r="AJ79" i="44"/>
  <c r="AT78" i="44" l="1"/>
  <c r="AO79" i="44"/>
  <c r="AT79" i="44" l="1"/>
  <c r="AC13" i="6"/>
  <c r="S13" i="6"/>
  <c r="T13" i="6" s="1"/>
  <c r="M13" i="6"/>
  <c r="N13" i="6" s="1"/>
  <c r="F13" i="6"/>
  <c r="AL13" i="6" s="1"/>
  <c r="AL12" i="6"/>
  <c r="AC12" i="6"/>
  <c r="AD12" i="6" s="1"/>
  <c r="S12" i="6"/>
  <c r="T12" i="6" s="1"/>
  <c r="M12" i="6"/>
  <c r="N12" i="6" s="1"/>
  <c r="F12" i="6"/>
  <c r="AJ12" i="6" s="1"/>
  <c r="AL11" i="6"/>
  <c r="AJ11" i="6"/>
  <c r="AC11" i="6"/>
  <c r="AD11" i="6" s="1"/>
  <c r="S11" i="6"/>
  <c r="T11" i="6" s="1"/>
  <c r="M11" i="6"/>
  <c r="N11" i="6" s="1"/>
  <c r="F11" i="6"/>
  <c r="AH11" i="6" s="1"/>
  <c r="AL10" i="6"/>
  <c r="AJ10" i="6"/>
  <c r="AH10" i="6"/>
  <c r="AC10" i="6"/>
  <c r="AD10" i="6" s="1"/>
  <c r="S10" i="6"/>
  <c r="T10" i="6" s="1"/>
  <c r="M10" i="6"/>
  <c r="N10" i="6" s="1"/>
  <c r="F10" i="6"/>
  <c r="AF10" i="6" s="1"/>
  <c r="AL9" i="6"/>
  <c r="AJ9" i="6"/>
  <c r="AH9" i="6"/>
  <c r="AF9" i="6"/>
  <c r="AC9" i="6"/>
  <c r="S9" i="6"/>
  <c r="M9" i="6"/>
  <c r="N9" i="6" s="1"/>
  <c r="F9" i="6"/>
  <c r="AD9" i="6" s="1"/>
  <c r="AL8" i="6"/>
  <c r="AJ8" i="6"/>
  <c r="AH8" i="6"/>
  <c r="AF8" i="6"/>
  <c r="AD8" i="6"/>
  <c r="AC8" i="6"/>
  <c r="S8" i="6"/>
  <c r="T8" i="6" s="1"/>
  <c r="M8" i="6"/>
  <c r="N8" i="6" s="1"/>
  <c r="F8" i="6"/>
  <c r="AB8" i="6" s="1"/>
  <c r="AC7" i="6"/>
  <c r="S7" i="6"/>
  <c r="M7" i="6"/>
  <c r="B7" i="6"/>
  <c r="AC13" i="7"/>
  <c r="AD13" i="7" s="1"/>
  <c r="S13" i="7"/>
  <c r="T13" i="7" s="1"/>
  <c r="M13" i="7"/>
  <c r="N13" i="7" s="1"/>
  <c r="F13" i="7"/>
  <c r="AL13" i="7" s="1"/>
  <c r="AL12" i="7"/>
  <c r="AC12" i="7"/>
  <c r="AD12" i="7" s="1"/>
  <c r="S12" i="7"/>
  <c r="T12" i="7" s="1"/>
  <c r="M12" i="7"/>
  <c r="N12" i="7" s="1"/>
  <c r="L12" i="7"/>
  <c r="F12" i="7"/>
  <c r="AJ12" i="7" s="1"/>
  <c r="AL11" i="7"/>
  <c r="AJ11" i="7"/>
  <c r="AC11" i="7"/>
  <c r="AD11" i="7" s="1"/>
  <c r="S11" i="7"/>
  <c r="T11" i="7" s="1"/>
  <c r="M11" i="7"/>
  <c r="N11" i="7" s="1"/>
  <c r="F11" i="7"/>
  <c r="AH11" i="7" s="1"/>
  <c r="AL10" i="7"/>
  <c r="AJ10" i="7"/>
  <c r="AH10" i="7"/>
  <c r="AC10" i="7"/>
  <c r="AD10" i="7" s="1"/>
  <c r="S10" i="7"/>
  <c r="T10" i="7" s="1"/>
  <c r="M10" i="7"/>
  <c r="N10" i="7" s="1"/>
  <c r="F10" i="7"/>
  <c r="AF10" i="7" s="1"/>
  <c r="AL9" i="7"/>
  <c r="AJ9" i="7"/>
  <c r="AH9" i="7"/>
  <c r="AF9" i="7"/>
  <c r="AC9" i="7"/>
  <c r="AD9" i="7" s="1"/>
  <c r="S9" i="7"/>
  <c r="M9" i="7"/>
  <c r="N9" i="7" s="1"/>
  <c r="F9" i="7"/>
  <c r="V9" i="7" s="1"/>
  <c r="AL8" i="7"/>
  <c r="AJ8" i="7"/>
  <c r="AH8" i="7"/>
  <c r="AF8" i="7"/>
  <c r="AD8" i="7"/>
  <c r="AC8" i="7"/>
  <c r="S8" i="7"/>
  <c r="T8" i="7" s="1"/>
  <c r="M8" i="7"/>
  <c r="N8" i="7" s="1"/>
  <c r="F8" i="7"/>
  <c r="AB8" i="7" s="1"/>
  <c r="AC7" i="7"/>
  <c r="F7" i="7" s="1"/>
  <c r="S7" i="7"/>
  <c r="M7" i="7"/>
  <c r="N7" i="7" s="1"/>
  <c r="B7" i="7"/>
  <c r="B14" i="7" s="1"/>
  <c r="B21" i="7" s="1"/>
  <c r="U9" i="5"/>
  <c r="U10" i="5"/>
  <c r="U11" i="5"/>
  <c r="U8" i="5"/>
  <c r="U7" i="5"/>
  <c r="L11" i="6" l="1"/>
  <c r="P11" i="6"/>
  <c r="R11" i="6"/>
  <c r="V13" i="6"/>
  <c r="P8" i="6"/>
  <c r="R9" i="6"/>
  <c r="V12" i="6"/>
  <c r="X13" i="6"/>
  <c r="R8" i="6"/>
  <c r="V11" i="6"/>
  <c r="X12" i="6"/>
  <c r="Z13" i="6"/>
  <c r="J9" i="6"/>
  <c r="L9" i="6"/>
  <c r="P10" i="6"/>
  <c r="R10" i="6"/>
  <c r="T9" i="6"/>
  <c r="V10" i="6"/>
  <c r="X11" i="6"/>
  <c r="Z12" i="6"/>
  <c r="AB13" i="6"/>
  <c r="V9" i="6"/>
  <c r="X10" i="6"/>
  <c r="Z11" i="6"/>
  <c r="AB12" i="6"/>
  <c r="J13" i="6"/>
  <c r="L13" i="6"/>
  <c r="L12" i="6"/>
  <c r="F7" i="6"/>
  <c r="N7" i="6" s="1"/>
  <c r="R13" i="6"/>
  <c r="L8" i="6"/>
  <c r="X9" i="6"/>
  <c r="AD13" i="6"/>
  <c r="X8" i="6"/>
  <c r="Z9" i="6"/>
  <c r="AB10" i="6"/>
  <c r="AF13" i="6"/>
  <c r="Z8" i="6"/>
  <c r="AB9" i="6"/>
  <c r="AF12" i="6"/>
  <c r="AH13" i="6"/>
  <c r="J12" i="6"/>
  <c r="P13" i="6"/>
  <c r="J8" i="6"/>
  <c r="P12" i="6"/>
  <c r="R12" i="6"/>
  <c r="V8" i="6"/>
  <c r="Z10" i="6"/>
  <c r="AF11" i="6"/>
  <c r="AH12" i="6"/>
  <c r="AJ13" i="6"/>
  <c r="J11" i="6"/>
  <c r="J10" i="6"/>
  <c r="L10" i="6"/>
  <c r="P9" i="6"/>
  <c r="AB11" i="6"/>
  <c r="T7" i="7"/>
  <c r="AB7" i="7"/>
  <c r="AJ7" i="7"/>
  <c r="Z7" i="7"/>
  <c r="R7" i="7"/>
  <c r="G7" i="7"/>
  <c r="AF7" i="7"/>
  <c r="X7" i="7"/>
  <c r="V7" i="7"/>
  <c r="AL7" i="7"/>
  <c r="AH7" i="7"/>
  <c r="P7" i="7"/>
  <c r="L7" i="7"/>
  <c r="J7" i="7"/>
  <c r="R11" i="7"/>
  <c r="J11" i="7"/>
  <c r="L11" i="7"/>
  <c r="J9" i="7"/>
  <c r="P12" i="7"/>
  <c r="L8" i="7"/>
  <c r="R12" i="7"/>
  <c r="P8" i="7"/>
  <c r="R9" i="7"/>
  <c r="V12" i="7"/>
  <c r="X13" i="7"/>
  <c r="L10" i="7"/>
  <c r="R13" i="7"/>
  <c r="P10" i="7"/>
  <c r="P9" i="7"/>
  <c r="R10" i="7"/>
  <c r="V13" i="7"/>
  <c r="R8" i="7"/>
  <c r="V11" i="7"/>
  <c r="X12" i="7"/>
  <c r="Z13" i="7"/>
  <c r="AD7" i="7"/>
  <c r="J8" i="7"/>
  <c r="X10" i="7"/>
  <c r="X8" i="7"/>
  <c r="Z9" i="7"/>
  <c r="AB10" i="7"/>
  <c r="AF13" i="7"/>
  <c r="J12" i="7"/>
  <c r="J10" i="7"/>
  <c r="P11" i="7"/>
  <c r="V10" i="7"/>
  <c r="Z12" i="7"/>
  <c r="Z11" i="7"/>
  <c r="V8" i="7"/>
  <c r="X9" i="7"/>
  <c r="Z8" i="7"/>
  <c r="AB9" i="7"/>
  <c r="AF12" i="7"/>
  <c r="AH13" i="7"/>
  <c r="J13" i="7"/>
  <c r="L13" i="7"/>
  <c r="T9" i="7"/>
  <c r="AB13" i="7"/>
  <c r="Z10" i="7"/>
  <c r="AF11" i="7"/>
  <c r="AH12" i="7"/>
  <c r="AJ13" i="7"/>
  <c r="P13" i="7"/>
  <c r="L9" i="7"/>
  <c r="X11" i="7"/>
  <c r="AB12" i="7"/>
  <c r="AB11" i="7"/>
  <c r="AB7" i="6" l="1"/>
  <c r="Z7" i="6"/>
  <c r="J7" i="6"/>
  <c r="AJ7" i="6"/>
  <c r="X7" i="6"/>
  <c r="V7" i="6"/>
  <c r="T7" i="6"/>
  <c r="L7" i="6"/>
  <c r="G7" i="6"/>
  <c r="AL7" i="6"/>
  <c r="AH7" i="6"/>
  <c r="AF7" i="6"/>
  <c r="R7" i="6"/>
  <c r="P7" i="6"/>
  <c r="AD7" i="6"/>
  <c r="M35" i="6" l="1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N69" i="6" s="1"/>
  <c r="J69" i="6"/>
  <c r="L69" i="6"/>
  <c r="P69" i="6"/>
  <c r="R69" i="6"/>
  <c r="S69" i="6"/>
  <c r="T69" i="6" s="1"/>
  <c r="V69" i="6"/>
  <c r="X69" i="6"/>
  <c r="Z69" i="6"/>
  <c r="AB69" i="6"/>
  <c r="AC69" i="6"/>
  <c r="AD69" i="6"/>
  <c r="AF69" i="6"/>
  <c r="AH69" i="6"/>
  <c r="AJ69" i="6"/>
  <c r="AL69" i="6"/>
  <c r="H40" i="6"/>
  <c r="H9" i="6"/>
  <c r="B35" i="6"/>
  <c r="B42" i="6" s="1"/>
  <c r="B49" i="6" s="1"/>
  <c r="B56" i="6" s="1"/>
  <c r="B63" i="6" s="1"/>
  <c r="B23" i="13"/>
  <c r="B22" i="13"/>
  <c r="B21" i="13"/>
  <c r="B20" i="13"/>
  <c r="B19" i="13"/>
  <c r="B18" i="13"/>
  <c r="B17" i="13"/>
  <c r="B16" i="13"/>
  <c r="B15" i="13"/>
  <c r="H38" i="7"/>
  <c r="H9" i="7"/>
  <c r="G35" i="7"/>
  <c r="G42" i="7"/>
  <c r="G49" i="7"/>
  <c r="G56" i="7"/>
  <c r="G63" i="7"/>
  <c r="B35" i="7"/>
  <c r="B42" i="7" s="1"/>
  <c r="B49" i="7" s="1"/>
  <c r="B56" i="7" s="1"/>
  <c r="B63" i="7" s="1"/>
  <c r="H7" i="3"/>
  <c r="B6" i="13" s="1"/>
  <c r="I11" i="13"/>
  <c r="K10" i="39"/>
  <c r="K9" i="39"/>
  <c r="N7" i="5"/>
  <c r="I8" i="13" s="1"/>
  <c r="H7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G26" i="5"/>
  <c r="I6" i="39" s="1"/>
  <c r="I26" i="5"/>
  <c r="M26" i="5"/>
  <c r="I8" i="39" s="1"/>
  <c r="P26" i="5"/>
  <c r="I9" i="39" s="1"/>
  <c r="S26" i="5"/>
  <c r="I10" i="39" s="1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G12" i="5"/>
  <c r="I12" i="5"/>
  <c r="M12" i="5"/>
  <c r="P12" i="5"/>
  <c r="S12" i="5"/>
  <c r="I13" i="5"/>
  <c r="V12" i="5"/>
  <c r="I14" i="5"/>
  <c r="I15" i="5"/>
  <c r="I16" i="5"/>
  <c r="I17" i="5"/>
  <c r="I18" i="5"/>
  <c r="T7" i="3"/>
  <c r="B10" i="13" s="1"/>
  <c r="N7" i="3"/>
  <c r="B8" i="13" s="1"/>
  <c r="K7" i="3"/>
  <c r="B7" i="13" s="1"/>
  <c r="G5" i="3"/>
  <c r="G40" i="3"/>
  <c r="V40" i="3" s="1"/>
  <c r="J40" i="3"/>
  <c r="M40" i="3"/>
  <c r="P40" i="3" s="1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26" i="3"/>
  <c r="B6" i="39" s="1"/>
  <c r="B49" i="41" s="1"/>
  <c r="J26" i="3"/>
  <c r="B7" i="39" s="1"/>
  <c r="M26" i="3"/>
  <c r="B8" i="39" s="1"/>
  <c r="D8" i="39" s="1"/>
  <c r="O26" i="3"/>
  <c r="S26" i="3"/>
  <c r="B10" i="39" s="1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19" i="3"/>
  <c r="J19" i="3"/>
  <c r="M19" i="3"/>
  <c r="O19" i="3"/>
  <c r="P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B12" i="3"/>
  <c r="B19" i="3" s="1"/>
  <c r="B26" i="3" s="1"/>
  <c r="B33" i="3" s="1"/>
  <c r="B40" i="3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V26" i="3" l="1"/>
  <c r="B11" i="39" s="1"/>
  <c r="P26" i="3"/>
  <c r="B9" i="39" s="1"/>
  <c r="C54" i="41"/>
  <c r="C53" i="41"/>
  <c r="V19" i="3"/>
  <c r="C43" i="41"/>
  <c r="C42" i="41"/>
  <c r="C31" i="41"/>
  <c r="C32" i="41"/>
  <c r="V12" i="3"/>
  <c r="P12" i="3"/>
  <c r="E8" i="39"/>
  <c r="E6" i="39"/>
  <c r="E7" i="39"/>
  <c r="E10" i="39"/>
  <c r="I9" i="13"/>
  <c r="K8" i="39"/>
  <c r="I10" i="13"/>
  <c r="K11" i="39"/>
  <c r="J40" i="5"/>
  <c r="J19" i="5"/>
  <c r="J26" i="5"/>
  <c r="I7" i="39" s="1"/>
  <c r="J33" i="5"/>
  <c r="J12" i="5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30" i="19" l="1"/>
  <c r="M22" i="62"/>
  <c r="K22" i="62" s="1"/>
  <c r="M30" i="62"/>
  <c r="K30" i="62" s="1"/>
  <c r="M14" i="20"/>
  <c r="M14" i="62"/>
  <c r="K14" i="62" s="1"/>
  <c r="M14" i="19"/>
  <c r="K14" i="19" s="1"/>
  <c r="P154" i="44" l="1"/>
  <c r="M10" i="58"/>
  <c r="M11" i="58"/>
  <c r="M12" i="58"/>
  <c r="M13" i="58"/>
  <c r="M9" i="58"/>
  <c r="B10" i="40"/>
  <c r="B9" i="40"/>
  <c r="L4" i="56"/>
  <c r="L5" i="56"/>
  <c r="J4" i="56"/>
  <c r="J5" i="56"/>
  <c r="H4" i="56"/>
  <c r="H5" i="56"/>
  <c r="F4" i="56"/>
  <c r="F5" i="56"/>
  <c r="D4" i="56"/>
  <c r="D5" i="56"/>
  <c r="U6" i="5"/>
  <c r="U5" i="5"/>
  <c r="I5" i="5"/>
  <c r="P155" i="44" l="1"/>
  <c r="U154" i="44"/>
  <c r="AB8" i="64"/>
  <c r="AB7" i="64"/>
  <c r="AH8" i="64"/>
  <c r="AG8" i="64"/>
  <c r="AF8" i="64"/>
  <c r="AE8" i="64"/>
  <c r="AD8" i="64"/>
  <c r="AC8" i="64"/>
  <c r="AH7" i="64"/>
  <c r="AG7" i="64"/>
  <c r="AF7" i="64"/>
  <c r="AE7" i="64"/>
  <c r="AD7" i="64"/>
  <c r="AC7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AA7" i="64"/>
  <c r="R7" i="64"/>
  <c r="S7" i="64" s="1"/>
  <c r="Q7" i="64"/>
  <c r="P7" i="64"/>
  <c r="M7" i="64"/>
  <c r="K7" i="64"/>
  <c r="I7" i="64"/>
  <c r="AC8" i="63"/>
  <c r="AD8" i="63"/>
  <c r="J9" i="41" s="1"/>
  <c r="AE8" i="63"/>
  <c r="L9" i="41" s="1"/>
  <c r="AF8" i="63"/>
  <c r="F14" i="41" s="1"/>
  <c r="AG8" i="63"/>
  <c r="H14" i="41" s="1"/>
  <c r="AH8" i="63"/>
  <c r="J14" i="41" s="1"/>
  <c r="AB8" i="63"/>
  <c r="AC7" i="63"/>
  <c r="AD7" i="63"/>
  <c r="AE7" i="63"/>
  <c r="AF7" i="63"/>
  <c r="AG7" i="63"/>
  <c r="AH7" i="63"/>
  <c r="AB7" i="63"/>
  <c r="AA7" i="63"/>
  <c r="Q26" i="63"/>
  <c r="S26" i="63" s="1"/>
  <c r="P26" i="63"/>
  <c r="M26" i="63"/>
  <c r="K26" i="63"/>
  <c r="I26" i="63"/>
  <c r="Q25" i="63"/>
  <c r="R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Q8" i="63"/>
  <c r="S8" i="63" s="1"/>
  <c r="P8" i="63"/>
  <c r="M8" i="63"/>
  <c r="K8" i="63"/>
  <c r="I8" i="63"/>
  <c r="Q7" i="63"/>
  <c r="S7" i="63" s="1"/>
  <c r="P7" i="63"/>
  <c r="M7" i="63"/>
  <c r="K7" i="63"/>
  <c r="I7" i="63"/>
  <c r="U155" i="44" l="1"/>
  <c r="Z154" i="44"/>
  <c r="AD9" i="64"/>
  <c r="K10" i="41" s="1"/>
  <c r="AE9" i="64"/>
  <c r="M10" i="41" s="1"/>
  <c r="AF9" i="64"/>
  <c r="G15" i="41" s="1"/>
  <c r="AH9" i="64"/>
  <c r="K15" i="41" s="1"/>
  <c r="F15" i="41"/>
  <c r="AC9" i="64"/>
  <c r="I10" i="41" s="1"/>
  <c r="H10" i="41"/>
  <c r="H10" i="40"/>
  <c r="H15" i="41"/>
  <c r="L10" i="41"/>
  <c r="J15" i="41"/>
  <c r="J10" i="41"/>
  <c r="AB9" i="64"/>
  <c r="G10" i="41" s="1"/>
  <c r="AG9" i="64"/>
  <c r="I15" i="41" s="1"/>
  <c r="F10" i="41"/>
  <c r="F10" i="40"/>
  <c r="AH9" i="63"/>
  <c r="K14" i="41" s="1"/>
  <c r="AG9" i="63"/>
  <c r="I14" i="41" s="1"/>
  <c r="AF9" i="63"/>
  <c r="G14" i="41" s="1"/>
  <c r="AE9" i="63"/>
  <c r="M9" i="41" s="1"/>
  <c r="AD9" i="63"/>
  <c r="K9" i="41" s="1"/>
  <c r="H9" i="41"/>
  <c r="H9" i="40"/>
  <c r="AB9" i="63"/>
  <c r="G9" i="41" s="1"/>
  <c r="G9" i="40"/>
  <c r="AC9" i="63"/>
  <c r="I9" i="41" s="1"/>
  <c r="I9" i="40"/>
  <c r="F9" i="41"/>
  <c r="F9" i="40"/>
  <c r="R17" i="63"/>
  <c r="R10" i="63"/>
  <c r="S25" i="63"/>
  <c r="R9" i="63"/>
  <c r="S11" i="63"/>
  <c r="S14" i="63"/>
  <c r="R20" i="63"/>
  <c r="R8" i="63"/>
  <c r="S23" i="63"/>
  <c r="R26" i="63"/>
  <c r="R12" i="63"/>
  <c r="R15" i="63"/>
  <c r="R18" i="63"/>
  <c r="R7" i="63"/>
  <c r="R21" i="63"/>
  <c r="R24" i="63"/>
  <c r="S13" i="63"/>
  <c r="R16" i="63"/>
  <c r="R19" i="63"/>
  <c r="R22" i="63"/>
  <c r="B8" i="25"/>
  <c r="A8" i="25"/>
  <c r="Z155" i="44" l="1"/>
  <c r="AE154" i="44"/>
  <c r="I10" i="40"/>
  <c r="G10" i="40"/>
  <c r="AJ154" i="44" l="1"/>
  <c r="AE155" i="44"/>
  <c r="J15" i="40"/>
  <c r="H15" i="40"/>
  <c r="F15" i="40"/>
  <c r="L10" i="40"/>
  <c r="J10" i="40"/>
  <c r="K15" i="40"/>
  <c r="I15" i="40"/>
  <c r="G15" i="40"/>
  <c r="M10" i="40"/>
  <c r="K10" i="40"/>
  <c r="F14" i="40"/>
  <c r="J9" i="40"/>
  <c r="K14" i="40"/>
  <c r="I14" i="40"/>
  <c r="G14" i="40"/>
  <c r="M9" i="40"/>
  <c r="K9" i="40"/>
  <c r="AO154" i="44" l="1"/>
  <c r="AJ155" i="44"/>
  <c r="J14" i="40"/>
  <c r="H14" i="40"/>
  <c r="L9" i="40"/>
  <c r="AT154" i="44" l="1"/>
  <c r="AT155" i="44" s="1"/>
  <c r="AO155" i="44"/>
  <c r="K6" i="39"/>
  <c r="G5" i="5" l="1"/>
  <c r="M5" i="5"/>
  <c r="P5" i="5"/>
  <c r="S5" i="5"/>
  <c r="V5" i="5"/>
  <c r="I6" i="5"/>
  <c r="I7" i="5"/>
  <c r="K7" i="5" s="1"/>
  <c r="I8" i="5"/>
  <c r="I9" i="5"/>
  <c r="I10" i="5"/>
  <c r="I11" i="5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E9" i="39" l="1"/>
  <c r="B11" i="13"/>
  <c r="V5" i="3"/>
  <c r="P5" i="3"/>
  <c r="K7" i="39"/>
  <c r="I7" i="13"/>
  <c r="J5" i="5"/>
  <c r="D38" i="56"/>
  <c r="M29" i="60"/>
  <c r="B9" i="13" l="1"/>
  <c r="E11" i="39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38" i="56" l="1"/>
  <c r="J38" i="56"/>
  <c r="L38" i="56"/>
  <c r="F38" i="56" l="1"/>
  <c r="A5" i="56" l="1"/>
  <c r="M26" i="60"/>
  <c r="M27" i="60"/>
  <c r="M28" i="60"/>
  <c r="M21" i="58"/>
  <c r="M20" i="58"/>
  <c r="B5" i="40" l="1"/>
  <c r="C9" i="40" s="1"/>
  <c r="C18" i="13" l="1"/>
  <c r="C23" i="13"/>
  <c r="C22" i="13"/>
  <c r="C21" i="13"/>
  <c r="C20" i="13"/>
  <c r="C17" i="13"/>
  <c r="AC68" i="6" l="1"/>
  <c r="S68" i="6"/>
  <c r="AC67" i="6"/>
  <c r="S67" i="6"/>
  <c r="AC69" i="7"/>
  <c r="S69" i="7"/>
  <c r="M69" i="7"/>
  <c r="AB69" i="7"/>
  <c r="AC68" i="7"/>
  <c r="S68" i="7"/>
  <c r="M68" i="7"/>
  <c r="AC67" i="7"/>
  <c r="S67" i="7"/>
  <c r="M67" i="7"/>
  <c r="AB68" i="7" l="1"/>
  <c r="AD68" i="7"/>
  <c r="AF68" i="7"/>
  <c r="AL68" i="7"/>
  <c r="AJ68" i="7"/>
  <c r="AH68" i="7"/>
  <c r="N68" i="6"/>
  <c r="AJ67" i="6"/>
  <c r="AD69" i="7"/>
  <c r="AL69" i="7"/>
  <c r="N69" i="7"/>
  <c r="T69" i="7"/>
  <c r="AH69" i="7"/>
  <c r="Z67" i="7"/>
  <c r="N68" i="7"/>
  <c r="AF69" i="7"/>
  <c r="AJ69" i="7"/>
  <c r="T68" i="7"/>
  <c r="J69" i="7"/>
  <c r="J68" i="7"/>
  <c r="L69" i="7"/>
  <c r="L68" i="7"/>
  <c r="P69" i="7"/>
  <c r="P68" i="7"/>
  <c r="R69" i="7"/>
  <c r="R68" i="7"/>
  <c r="V69" i="7"/>
  <c r="V68" i="7"/>
  <c r="X69" i="7"/>
  <c r="X68" i="7"/>
  <c r="Z69" i="7"/>
  <c r="Z68" i="7"/>
  <c r="AB68" i="6" l="1"/>
  <c r="H69" i="7"/>
  <c r="Z68" i="6"/>
  <c r="V68" i="6"/>
  <c r="L67" i="7"/>
  <c r="AJ68" i="6"/>
  <c r="AD68" i="6"/>
  <c r="T68" i="6"/>
  <c r="X68" i="6"/>
  <c r="P68" i="6"/>
  <c r="AF68" i="6"/>
  <c r="R68" i="6"/>
  <c r="J68" i="6"/>
  <c r="AH68" i="6"/>
  <c r="L68" i="6"/>
  <c r="J67" i="7"/>
  <c r="T67" i="7"/>
  <c r="AD67" i="7"/>
  <c r="AJ67" i="7"/>
  <c r="N67" i="7"/>
  <c r="AF67" i="7"/>
  <c r="AH67" i="7"/>
  <c r="AL67" i="7"/>
  <c r="AL68" i="6"/>
  <c r="J67" i="6"/>
  <c r="V67" i="6"/>
  <c r="AL67" i="6"/>
  <c r="Z67" i="6"/>
  <c r="AF67" i="6"/>
  <c r="AH67" i="6"/>
  <c r="L67" i="6"/>
  <c r="P67" i="6"/>
  <c r="T67" i="6"/>
  <c r="R67" i="6"/>
  <c r="X67" i="6"/>
  <c r="AB67" i="6"/>
  <c r="AD67" i="6"/>
  <c r="N67" i="6"/>
  <c r="AB67" i="7"/>
  <c r="R67" i="7"/>
  <c r="V67" i="7"/>
  <c r="X67" i="7"/>
  <c r="P67" i="7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K22" i="58" l="1"/>
  <c r="M22" i="57"/>
  <c r="K22" i="57" s="1"/>
  <c r="M38" i="58"/>
  <c r="K38" i="58" s="1"/>
  <c r="M30" i="57"/>
  <c r="K30" i="57" s="1"/>
  <c r="M14" i="60"/>
  <c r="M22" i="60"/>
  <c r="M14" i="58"/>
  <c r="K14" i="58" s="1"/>
  <c r="AC66" i="6"/>
  <c r="S66" i="6"/>
  <c r="AC65" i="6"/>
  <c r="S65" i="6"/>
  <c r="AC64" i="6"/>
  <c r="S64" i="6"/>
  <c r="AC63" i="6"/>
  <c r="S63" i="6"/>
  <c r="AC62" i="6"/>
  <c r="S62" i="6"/>
  <c r="AC61" i="6"/>
  <c r="S61" i="6"/>
  <c r="AC60" i="6"/>
  <c r="S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J65" i="7" l="1"/>
  <c r="R66" i="6"/>
  <c r="AB61" i="6"/>
  <c r="AB62" i="6"/>
  <c r="T64" i="6"/>
  <c r="AH64" i="7"/>
  <c r="AL66" i="7"/>
  <c r="AB61" i="7"/>
  <c r="T63" i="7"/>
  <c r="AL63" i="6"/>
  <c r="AJ60" i="6"/>
  <c r="T65" i="7"/>
  <c r="AL65" i="7"/>
  <c r="AD65" i="7"/>
  <c r="N65" i="7"/>
  <c r="X62" i="7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L65" i="7"/>
  <c r="P65" i="7"/>
  <c r="V65" i="7"/>
  <c r="X65" i="7"/>
  <c r="Z65" i="7"/>
  <c r="AB65" i="7"/>
  <c r="AF65" i="7"/>
  <c r="AH65" i="7"/>
  <c r="J65" i="7"/>
  <c r="R65" i="7"/>
  <c r="Z62" i="6" l="1"/>
  <c r="V66" i="6"/>
  <c r="AL61" i="6"/>
  <c r="X62" i="6"/>
  <c r="AF66" i="6"/>
  <c r="AJ66" i="6"/>
  <c r="J61" i="6"/>
  <c r="AH66" i="6"/>
  <c r="AB66" i="6"/>
  <c r="V62" i="6"/>
  <c r="P61" i="6"/>
  <c r="P62" i="6"/>
  <c r="AD66" i="6"/>
  <c r="AD62" i="6"/>
  <c r="L66" i="6"/>
  <c r="N66" i="6"/>
  <c r="AJ61" i="6"/>
  <c r="J66" i="6"/>
  <c r="AH61" i="6"/>
  <c r="Z66" i="6"/>
  <c r="AL62" i="6"/>
  <c r="AJ62" i="6"/>
  <c r="R61" i="6"/>
  <c r="AF61" i="6"/>
  <c r="T62" i="6"/>
  <c r="X61" i="6"/>
  <c r="AD61" i="6"/>
  <c r="AL66" i="6"/>
  <c r="L62" i="6"/>
  <c r="J62" i="6"/>
  <c r="T66" i="6"/>
  <c r="P66" i="6"/>
  <c r="T61" i="6"/>
  <c r="V61" i="6"/>
  <c r="N62" i="6"/>
  <c r="L61" i="6"/>
  <c r="X66" i="6"/>
  <c r="Z61" i="6"/>
  <c r="AF62" i="6"/>
  <c r="AB64" i="7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J62" i="7"/>
  <c r="AB62" i="7"/>
  <c r="V62" i="7"/>
  <c r="N62" i="7"/>
  <c r="L62" i="7"/>
  <c r="AH60" i="6"/>
  <c r="X60" i="6"/>
  <c r="J60" i="6"/>
  <c r="N60" i="6"/>
  <c r="L60" i="6"/>
  <c r="R60" i="6"/>
  <c r="AD60" i="6"/>
  <c r="AL60" i="6"/>
  <c r="T60" i="6"/>
  <c r="Z60" i="6"/>
  <c r="P60" i="6"/>
  <c r="V60" i="6"/>
  <c r="AF60" i="6"/>
  <c r="AB60" i="6"/>
  <c r="Z62" i="7"/>
  <c r="R62" i="7"/>
  <c r="AD62" i="7"/>
  <c r="AJ62" i="7"/>
  <c r="AH62" i="7"/>
  <c r="AL62" i="7"/>
  <c r="AF62" i="7"/>
  <c r="P62" i="7"/>
  <c r="AB60" i="7"/>
  <c r="J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D28" i="39" l="1"/>
  <c r="AC59" i="6"/>
  <c r="S59" i="6"/>
  <c r="AC58" i="6"/>
  <c r="S58" i="6"/>
  <c r="AC57" i="6"/>
  <c r="S57" i="6"/>
  <c r="AH57" i="6"/>
  <c r="AC56" i="6"/>
  <c r="S56" i="6"/>
  <c r="AC55" i="6"/>
  <c r="S55" i="6"/>
  <c r="AC54" i="6"/>
  <c r="S54" i="6"/>
  <c r="AC53" i="6"/>
  <c r="S53" i="6"/>
  <c r="AC59" i="7"/>
  <c r="S59" i="7"/>
  <c r="M59" i="7"/>
  <c r="AC58" i="7"/>
  <c r="S58" i="7"/>
  <c r="M58" i="7"/>
  <c r="AJ58" i="7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AF56" i="7" l="1"/>
  <c r="AL59" i="7"/>
  <c r="AL59" i="6"/>
  <c r="AF54" i="6"/>
  <c r="V55" i="6"/>
  <c r="R54" i="7"/>
  <c r="AL54" i="7"/>
  <c r="N57" i="7"/>
  <c r="AJ54" i="7"/>
  <c r="P55" i="7"/>
  <c r="T56" i="6"/>
  <c r="AJ58" i="6"/>
  <c r="AF56" i="6"/>
  <c r="AH56" i="6"/>
  <c r="T57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P59" i="6"/>
  <c r="J57" i="6"/>
  <c r="P57" i="6"/>
  <c r="X57" i="6"/>
  <c r="L57" i="6"/>
  <c r="R57" i="6"/>
  <c r="V57" i="6"/>
  <c r="Z57" i="6"/>
  <c r="AB57" i="6"/>
  <c r="AF59" i="6"/>
  <c r="AH59" i="6"/>
  <c r="AF57" i="6"/>
  <c r="AJ59" i="6"/>
  <c r="Z59" i="6"/>
  <c r="J58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B59" i="6" l="1"/>
  <c r="V59" i="6"/>
  <c r="T59" i="6"/>
  <c r="AD59" i="6"/>
  <c r="L59" i="6"/>
  <c r="N59" i="6"/>
  <c r="J59" i="6"/>
  <c r="X59" i="6"/>
  <c r="R59" i="6"/>
  <c r="AF57" i="7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AB53" i="6"/>
  <c r="R53" i="6"/>
  <c r="J53" i="6"/>
  <c r="AJ53" i="6"/>
  <c r="Z53" i="6"/>
  <c r="X53" i="6"/>
  <c r="V53" i="6"/>
  <c r="P53" i="6"/>
  <c r="L53" i="6"/>
  <c r="AH53" i="6"/>
  <c r="AF53" i="6"/>
  <c r="AL53" i="6"/>
  <c r="T53" i="6"/>
  <c r="AD53" i="6"/>
  <c r="N53" i="6"/>
  <c r="AB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C52" i="6" l="1"/>
  <c r="S52" i="6"/>
  <c r="AL52" i="6"/>
  <c r="AC51" i="6"/>
  <c r="S51" i="6"/>
  <c r="AC50" i="6"/>
  <c r="S50" i="6"/>
  <c r="AC49" i="6"/>
  <c r="S49" i="6"/>
  <c r="AF49" i="6"/>
  <c r="AC48" i="6"/>
  <c r="S48" i="6"/>
  <c r="L48" i="6"/>
  <c r="AC47" i="6"/>
  <c r="S47" i="6"/>
  <c r="AC46" i="6"/>
  <c r="S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AB48" i="7" s="1"/>
  <c r="AC47" i="7"/>
  <c r="S47" i="7"/>
  <c r="M47" i="7"/>
  <c r="AB47" i="7"/>
  <c r="AC46" i="7"/>
  <c r="S46" i="7"/>
  <c r="M46" i="7"/>
  <c r="P47" i="6" l="1"/>
  <c r="AL52" i="7"/>
  <c r="AH50" i="7"/>
  <c r="X49" i="7"/>
  <c r="T50" i="6"/>
  <c r="AJ51" i="7"/>
  <c r="AD47" i="7"/>
  <c r="AL50" i="7"/>
  <c r="AJ51" i="6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AJ49" i="6"/>
  <c r="AH47" i="6"/>
  <c r="T48" i="7"/>
  <c r="AH48" i="7"/>
  <c r="AL48" i="7"/>
  <c r="N52" i="7"/>
  <c r="T52" i="7"/>
  <c r="AJ48" i="7"/>
  <c r="AJ46" i="7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J47" i="6"/>
  <c r="AL48" i="6"/>
  <c r="AL47" i="6"/>
  <c r="R52" i="6"/>
  <c r="Z52" i="6"/>
  <c r="J52" i="6"/>
  <c r="T46" i="6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T51" i="6" l="1"/>
  <c r="T49" i="7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T46" i="7"/>
  <c r="AB46" i="7"/>
  <c r="Z46" i="7"/>
  <c r="AD46" i="7"/>
  <c r="AL46" i="7"/>
  <c r="J46" i="7"/>
  <c r="L46" i="7"/>
  <c r="AF46" i="7"/>
  <c r="AH46" i="7"/>
  <c r="AB46" i="6"/>
  <c r="R46" i="6"/>
  <c r="Z46" i="6"/>
  <c r="AL46" i="6"/>
  <c r="AJ46" i="6"/>
  <c r="X46" i="6"/>
  <c r="V46" i="6"/>
  <c r="P46" i="6"/>
  <c r="L46" i="6"/>
  <c r="AF46" i="6"/>
  <c r="J46" i="6"/>
  <c r="AH46" i="6"/>
  <c r="AD46" i="6"/>
  <c r="N46" i="6"/>
  <c r="AC45" i="6" l="1"/>
  <c r="S45" i="6"/>
  <c r="AC44" i="6"/>
  <c r="S44" i="6"/>
  <c r="AC43" i="6"/>
  <c r="S43" i="6"/>
  <c r="AC42" i="6"/>
  <c r="S42" i="6"/>
  <c r="AC41" i="6"/>
  <c r="S41" i="6"/>
  <c r="AC40" i="6"/>
  <c r="S40" i="6"/>
  <c r="AC39" i="6"/>
  <c r="S39" i="6"/>
  <c r="AC45" i="7"/>
  <c r="S45" i="7"/>
  <c r="M45" i="7"/>
  <c r="AC44" i="7"/>
  <c r="S44" i="7"/>
  <c r="M44" i="7"/>
  <c r="AC43" i="7"/>
  <c r="S43" i="7"/>
  <c r="M43" i="7"/>
  <c r="AC42" i="7"/>
  <c r="S42" i="7"/>
  <c r="M42" i="7"/>
  <c r="AF42" i="7" s="1"/>
  <c r="AC41" i="7"/>
  <c r="S41" i="7"/>
  <c r="M41" i="7"/>
  <c r="Z41" i="7" s="1"/>
  <c r="AC40" i="7"/>
  <c r="S40" i="7"/>
  <c r="M40" i="7"/>
  <c r="X40" i="7" s="1"/>
  <c r="AC39" i="7"/>
  <c r="S39" i="7"/>
  <c r="M39" i="7"/>
  <c r="AH43" i="6" l="1"/>
  <c r="AH43" i="7"/>
  <c r="AD41" i="6"/>
  <c r="AJ44" i="7"/>
  <c r="P42" i="6"/>
  <c r="AJ44" i="6"/>
  <c r="AB40" i="6"/>
  <c r="AB39" i="6"/>
  <c r="AF42" i="6"/>
  <c r="AL42" i="6"/>
  <c r="AJ39" i="7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AJ43" i="6"/>
  <c r="AL43" i="6"/>
  <c r="J43" i="6"/>
  <c r="P43" i="6"/>
  <c r="J40" i="6"/>
  <c r="V41" i="6"/>
  <c r="AF43" i="6"/>
  <c r="AF40" i="7"/>
  <c r="AH41" i="7"/>
  <c r="AJ42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D43" i="6" l="1"/>
  <c r="X43" i="6"/>
  <c r="AB43" i="6"/>
  <c r="T43" i="6"/>
  <c r="L43" i="6"/>
  <c r="N43" i="6"/>
  <c r="Z43" i="6"/>
  <c r="V43" i="6"/>
  <c r="R43" i="6"/>
  <c r="AL43" i="7"/>
  <c r="J43" i="7"/>
  <c r="X43" i="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AD42" i="6"/>
  <c r="AB41" i="6"/>
  <c r="AH44" i="6"/>
  <c r="R44" i="6"/>
  <c r="J41" i="6"/>
  <c r="AH41" i="6"/>
  <c r="P41" i="6"/>
  <c r="L41" i="6"/>
  <c r="Z41" i="6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V39" i="6"/>
  <c r="AJ40" i="6"/>
  <c r="AL40" i="6"/>
  <c r="R40" i="6"/>
  <c r="N40" i="6"/>
  <c r="P39" i="6"/>
  <c r="AF40" i="6"/>
  <c r="T45" i="7"/>
  <c r="N45" i="7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36" i="13"/>
  <c r="D36" i="13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AC37" i="6"/>
  <c r="S37" i="6"/>
  <c r="AC36" i="6"/>
  <c r="S36" i="6"/>
  <c r="AC35" i="6"/>
  <c r="S35" i="6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AL36" i="6"/>
  <c r="AD35" i="7"/>
  <c r="Z37" i="7"/>
  <c r="AL36" i="7"/>
  <c r="AB35" i="6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N36" i="6"/>
  <c r="AD36" i="6"/>
  <c r="N37" i="6"/>
  <c r="T37" i="6"/>
  <c r="AD37" i="6"/>
  <c r="AL37" i="6"/>
  <c r="J36" i="6" l="1"/>
  <c r="L36" i="6"/>
  <c r="P36" i="6"/>
  <c r="V36" i="6"/>
  <c r="R36" i="6"/>
  <c r="AH36" i="6"/>
  <c r="Z38" i="7"/>
  <c r="AL38" i="7"/>
  <c r="AL37" i="7"/>
  <c r="AD37" i="7"/>
  <c r="R37" i="7"/>
  <c r="AJ36" i="7"/>
  <c r="T36" i="7"/>
  <c r="V37" i="7"/>
  <c r="AD36" i="7"/>
  <c r="P36" i="7"/>
  <c r="J36" i="7"/>
  <c r="L36" i="7"/>
  <c r="V36" i="7"/>
  <c r="AB38" i="7"/>
  <c r="AH38" i="7"/>
  <c r="N36" i="7"/>
  <c r="R36" i="7"/>
  <c r="AF38" i="7"/>
  <c r="AJ38" i="7"/>
  <c r="X36" i="7"/>
  <c r="Z36" i="7"/>
  <c r="T37" i="7"/>
  <c r="J37" i="7"/>
  <c r="L37" i="7"/>
  <c r="N37" i="7"/>
  <c r="P37" i="7"/>
  <c r="AH38" i="6"/>
  <c r="AF38" i="6"/>
  <c r="X36" i="6"/>
  <c r="Z36" i="6"/>
  <c r="AB36" i="6"/>
  <c r="AF36" i="6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B36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V35" i="6"/>
  <c r="L35" i="6"/>
  <c r="J35" i="6"/>
  <c r="AF35" i="6"/>
  <c r="AL35" i="6"/>
  <c r="AJ35" i="6"/>
  <c r="AH35" i="6"/>
  <c r="R35" i="6"/>
  <c r="P35" i="6"/>
  <c r="N35" i="6"/>
  <c r="Z35" i="6"/>
  <c r="AD35" i="6"/>
  <c r="X35" i="6"/>
  <c r="T35" i="6"/>
  <c r="J24" i="39" l="1"/>
  <c r="D24" i="39"/>
  <c r="I15" i="39" l="1"/>
  <c r="C19" i="13"/>
  <c r="C16" i="13"/>
  <c r="C15" i="13"/>
  <c r="D34" i="39" l="1"/>
  <c r="D33" i="39" l="1"/>
  <c r="D31" i="39"/>
  <c r="D30" i="39"/>
  <c r="D32" i="39"/>
  <c r="D36" i="39"/>
  <c r="D35" i="39"/>
  <c r="E36" i="39"/>
  <c r="E31" i="39" l="1"/>
  <c r="B31" i="13"/>
  <c r="D31" i="13" s="1"/>
  <c r="D29" i="39"/>
  <c r="E30" i="39" l="1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E29" i="39" l="1"/>
  <c r="B29" i="13"/>
  <c r="D29" i="13" s="1"/>
  <c r="Q19" i="1" l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D8" i="13"/>
  <c r="I21" i="13"/>
  <c r="K21" i="13" s="1"/>
  <c r="B12" i="5" l="1"/>
  <c r="B19" i="5" s="1"/>
  <c r="B26" i="5" s="1"/>
  <c r="B33" i="5" s="1"/>
  <c r="B40" i="5" s="1"/>
  <c r="C24" i="13"/>
  <c r="E18" i="13"/>
  <c r="D10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3" i="47" l="1"/>
  <c r="U2" i="47"/>
  <c r="Z2" i="47" l="1"/>
  <c r="U3" i="47"/>
  <c r="P3" i="45"/>
  <c r="U2" i="45"/>
  <c r="Z3" i="47" l="1"/>
  <c r="AE2" i="47"/>
  <c r="U3" i="45"/>
  <c r="Z2" i="45"/>
  <c r="AJ2" i="47" l="1"/>
  <c r="AE3" i="47"/>
  <c r="Z3" i="45"/>
  <c r="AE2" i="45"/>
  <c r="AO2" i="47" l="1"/>
  <c r="AJ3" i="47"/>
  <c r="AJ2" i="45"/>
  <c r="AE3" i="45"/>
  <c r="AT2" i="47" l="1"/>
  <c r="AO3" i="47"/>
  <c r="AO2" i="45"/>
  <c r="AJ3" i="45"/>
  <c r="P22" i="47" l="1"/>
  <c r="AT3" i="47"/>
  <c r="AT2" i="45"/>
  <c r="AO3" i="45"/>
  <c r="U22" i="47" l="1"/>
  <c r="P23" i="47"/>
  <c r="P3" i="46"/>
  <c r="U2" i="46"/>
  <c r="P22" i="45"/>
  <c r="AT3" i="45"/>
  <c r="U23" i="47" l="1"/>
  <c r="Z22" i="47"/>
  <c r="U3" i="46"/>
  <c r="Z2" i="46"/>
  <c r="U22" i="45"/>
  <c r="P23" i="45"/>
  <c r="AE22" i="47" l="1"/>
  <c r="Z23" i="47"/>
  <c r="Z3" i="46"/>
  <c r="AE2" i="46"/>
  <c r="Z22" i="45"/>
  <c r="U23" i="45"/>
  <c r="AE23" i="47" l="1"/>
  <c r="AJ22" i="47"/>
  <c r="AE3" i="46"/>
  <c r="AJ2" i="46"/>
  <c r="Z23" i="45"/>
  <c r="AE22" i="45"/>
  <c r="AJ23" i="47" l="1"/>
  <c r="AO22" i="47"/>
  <c r="AJ3" i="46"/>
  <c r="AO2" i="46"/>
  <c r="AJ22" i="45"/>
  <c r="AE23" i="45"/>
  <c r="AO23" i="47" l="1"/>
  <c r="AT22" i="47"/>
  <c r="AO3" i="46"/>
  <c r="AT2" i="46"/>
  <c r="AJ23" i="45"/>
  <c r="AO22" i="45"/>
  <c r="P3" i="48" l="1"/>
  <c r="U2" i="48"/>
  <c r="AT23" i="47"/>
  <c r="AT3" i="46"/>
  <c r="P22" i="46"/>
  <c r="AO23" i="45"/>
  <c r="AT22" i="45"/>
  <c r="U3" i="48" l="1"/>
  <c r="Z2" i="48"/>
  <c r="P3" i="49"/>
  <c r="U2" i="49"/>
  <c r="P23" i="46"/>
  <c r="U22" i="46"/>
  <c r="AT23" i="45"/>
  <c r="P42" i="45"/>
  <c r="U2" i="52" l="1"/>
  <c r="P3" i="52"/>
  <c r="P3" i="51"/>
  <c r="U2" i="51"/>
  <c r="P3" i="50"/>
  <c r="U2" i="50"/>
  <c r="Z3" i="48"/>
  <c r="AE2" i="48"/>
  <c r="Z2" i="49"/>
  <c r="U3" i="49"/>
  <c r="U23" i="46"/>
  <c r="Z22" i="46"/>
  <c r="P43" i="45"/>
  <c r="U42" i="45"/>
  <c r="U3" i="52" l="1"/>
  <c r="Z2" i="52"/>
  <c r="Z2" i="51"/>
  <c r="U3" i="51"/>
  <c r="U3" i="50"/>
  <c r="Z2" i="50"/>
  <c r="AE3" i="48"/>
  <c r="AJ2" i="48"/>
  <c r="Z3" i="49"/>
  <c r="AE2" i="49"/>
  <c r="Z23" i="46"/>
  <c r="AE22" i="46"/>
  <c r="Z42" i="45"/>
  <c r="U43" i="45"/>
  <c r="Z3" i="52" l="1"/>
  <c r="AE2" i="52"/>
  <c r="Z3" i="51"/>
  <c r="AE2" i="51"/>
  <c r="Z3" i="50"/>
  <c r="AE2" i="50"/>
  <c r="AO2" i="48"/>
  <c r="AJ3" i="48"/>
  <c r="AJ2" i="49"/>
  <c r="AE3" i="49"/>
  <c r="AE23" i="46"/>
  <c r="AJ22" i="46"/>
  <c r="AE42" i="45"/>
  <c r="Z43" i="45"/>
  <c r="AJ2" i="52" l="1"/>
  <c r="AE3" i="52"/>
  <c r="AE3" i="51"/>
  <c r="AJ2" i="51"/>
  <c r="AE3" i="50"/>
  <c r="AJ2" i="50"/>
  <c r="AT2" i="48"/>
  <c r="AO3" i="48"/>
  <c r="AO2" i="49"/>
  <c r="AJ3" i="49"/>
  <c r="AJ23" i="46"/>
  <c r="AO22" i="46"/>
  <c r="AJ42" i="45"/>
  <c r="AE43" i="45"/>
  <c r="AJ3" i="52" l="1"/>
  <c r="AO2" i="52"/>
  <c r="AJ3" i="51"/>
  <c r="AO2" i="51"/>
  <c r="AJ3" i="50"/>
  <c r="AO2" i="50"/>
  <c r="P22" i="48"/>
  <c r="AT3" i="48"/>
  <c r="AT2" i="49"/>
  <c r="AO3" i="49"/>
  <c r="AO23" i="46"/>
  <c r="AT22" i="46"/>
  <c r="AO42" i="45"/>
  <c r="AJ43" i="45"/>
  <c r="AO3" i="52" l="1"/>
  <c r="AT2" i="52"/>
  <c r="AO3" i="51"/>
  <c r="AT2" i="51"/>
  <c r="AO3" i="50"/>
  <c r="AT2" i="50"/>
  <c r="U22" i="48"/>
  <c r="P23" i="48"/>
  <c r="AT3" i="49"/>
  <c r="P22" i="49"/>
  <c r="P62" i="47"/>
  <c r="AT23" i="46"/>
  <c r="P42" i="46"/>
  <c r="AO43" i="45"/>
  <c r="AT42" i="45"/>
  <c r="P22" i="52" l="1"/>
  <c r="AT3" i="52"/>
  <c r="AT3" i="51"/>
  <c r="P22" i="51"/>
  <c r="AT3" i="50"/>
  <c r="P22" i="50"/>
  <c r="Z22" i="48"/>
  <c r="U23" i="48"/>
  <c r="U22" i="49"/>
  <c r="P23" i="49"/>
  <c r="U62" i="47"/>
  <c r="P63" i="47"/>
  <c r="P43" i="46"/>
  <c r="U42" i="46"/>
  <c r="AT43" i="45"/>
  <c r="U22" i="52" l="1"/>
  <c r="P23" i="52"/>
  <c r="P23" i="51"/>
  <c r="U22" i="51"/>
  <c r="P23" i="50"/>
  <c r="U22" i="50"/>
  <c r="AE22" i="48"/>
  <c r="Z23" i="48"/>
  <c r="Z22" i="49"/>
  <c r="U23" i="49"/>
  <c r="Z62" i="47"/>
  <c r="U63" i="47"/>
  <c r="Z42" i="46"/>
  <c r="U43" i="46"/>
  <c r="U23" i="52" l="1"/>
  <c r="Z22" i="52"/>
  <c r="U23" i="51"/>
  <c r="Z22" i="51"/>
  <c r="Z22" i="50"/>
  <c r="U23" i="50"/>
  <c r="AE23" i="48"/>
  <c r="AJ22" i="48"/>
  <c r="AE22" i="49"/>
  <c r="Z23" i="49"/>
  <c r="Z63" i="47"/>
  <c r="AE62" i="47"/>
  <c r="AE42" i="46"/>
  <c r="Z43" i="46"/>
  <c r="Z23" i="52" l="1"/>
  <c r="AE22" i="52"/>
  <c r="Z23" i="51"/>
  <c r="AE22" i="51"/>
  <c r="Z23" i="50"/>
  <c r="AE22" i="50"/>
  <c r="AJ23" i="48"/>
  <c r="AO22" i="48"/>
  <c r="AE23" i="49"/>
  <c r="AJ22" i="49"/>
  <c r="AJ62" i="47"/>
  <c r="AE63" i="47"/>
  <c r="AJ42" i="46"/>
  <c r="AE43" i="46"/>
  <c r="AJ22" i="52" l="1"/>
  <c r="AE23" i="52"/>
  <c r="AE23" i="51"/>
  <c r="AJ22" i="51"/>
  <c r="AE23" i="50"/>
  <c r="AJ22" i="50"/>
  <c r="AT22" i="48"/>
  <c r="AO23" i="48"/>
  <c r="AO22" i="49"/>
  <c r="AJ23" i="49"/>
  <c r="AO62" i="47"/>
  <c r="AJ63" i="47"/>
  <c r="AO42" i="46"/>
  <c r="AJ43" i="46"/>
  <c r="AJ23" i="52" l="1"/>
  <c r="AO22" i="52"/>
  <c r="AJ23" i="51"/>
  <c r="AO22" i="51"/>
  <c r="AO22" i="50"/>
  <c r="AJ23" i="50"/>
  <c r="AT23" i="48"/>
  <c r="P42" i="48"/>
  <c r="AT22" i="49"/>
  <c r="AO23" i="49"/>
  <c r="AT62" i="47"/>
  <c r="AO63" i="47"/>
  <c r="AT42" i="46"/>
  <c r="AO43" i="46"/>
  <c r="AO23" i="52" l="1"/>
  <c r="AT22" i="52"/>
  <c r="P42" i="52" s="1"/>
  <c r="AT22" i="51"/>
  <c r="AO23" i="51"/>
  <c r="AT22" i="50"/>
  <c r="AO23" i="50"/>
  <c r="P43" i="48"/>
  <c r="U42" i="48"/>
  <c r="AT23" i="49"/>
  <c r="P42" i="49"/>
  <c r="AT63" i="47"/>
  <c r="P82" i="47"/>
  <c r="AT43" i="46"/>
  <c r="P62" i="46"/>
  <c r="P43" i="52" l="1"/>
  <c r="U42" i="52"/>
  <c r="AT23" i="52"/>
  <c r="AT23" i="51"/>
  <c r="P42" i="51"/>
  <c r="AT23" i="50"/>
  <c r="P42" i="50"/>
  <c r="Z42" i="48"/>
  <c r="U43" i="48"/>
  <c r="P43" i="49"/>
  <c r="U42" i="49"/>
  <c r="U82" i="47"/>
  <c r="P83" i="47"/>
  <c r="U62" i="46"/>
  <c r="P63" i="46"/>
  <c r="P82" i="45"/>
  <c r="U43" i="52" l="1"/>
  <c r="Z42" i="52"/>
  <c r="P43" i="51"/>
  <c r="U42" i="51"/>
  <c r="P43" i="50"/>
  <c r="U42" i="50"/>
  <c r="AE42" i="48"/>
  <c r="Z43" i="48"/>
  <c r="Z42" i="49"/>
  <c r="U43" i="49"/>
  <c r="U83" i="47"/>
  <c r="Z82" i="47"/>
  <c r="U63" i="46"/>
  <c r="Z62" i="46"/>
  <c r="U82" i="45"/>
  <c r="P83" i="45"/>
  <c r="Z43" i="52" l="1"/>
  <c r="AE42" i="52"/>
  <c r="Z42" i="51"/>
  <c r="U43" i="51"/>
  <c r="Z42" i="50"/>
  <c r="U43" i="50"/>
  <c r="AJ42" i="48"/>
  <c r="AE43" i="48"/>
  <c r="AE42" i="49"/>
  <c r="Z43" i="49"/>
  <c r="AE82" i="47"/>
  <c r="Z83" i="47"/>
  <c r="AE62" i="46"/>
  <c r="Z63" i="46"/>
  <c r="Z82" i="45"/>
  <c r="U83" i="45"/>
  <c r="AE43" i="52" l="1"/>
  <c r="AJ42" i="52"/>
  <c r="Z43" i="51"/>
  <c r="AE42" i="51"/>
  <c r="AE42" i="50"/>
  <c r="Z43" i="50"/>
  <c r="AO42" i="48"/>
  <c r="AJ43" i="48"/>
  <c r="AJ42" i="49"/>
  <c r="AE43" i="49"/>
  <c r="AJ82" i="47"/>
  <c r="AE83" i="47"/>
  <c r="AJ62" i="46"/>
  <c r="AE63" i="46"/>
  <c r="Z83" i="45"/>
  <c r="AE82" i="45"/>
  <c r="AJ43" i="52" l="1"/>
  <c r="AO42" i="52"/>
  <c r="AJ42" i="51"/>
  <c r="AE43" i="51"/>
  <c r="AJ42" i="50"/>
  <c r="AE43" i="50"/>
  <c r="AT42" i="48"/>
  <c r="AO43" i="48"/>
  <c r="AO42" i="49"/>
  <c r="AJ43" i="49"/>
  <c r="AO82" i="47"/>
  <c r="AJ83" i="47"/>
  <c r="AO62" i="46"/>
  <c r="AJ63" i="46"/>
  <c r="AJ82" i="45"/>
  <c r="AE83" i="45"/>
  <c r="AT42" i="52" l="1"/>
  <c r="AO43" i="52"/>
  <c r="AO42" i="51"/>
  <c r="AJ43" i="51"/>
  <c r="AO42" i="50"/>
  <c r="AJ43" i="50"/>
  <c r="AT43" i="48"/>
  <c r="P62" i="48"/>
  <c r="AO43" i="49"/>
  <c r="AT42" i="49"/>
  <c r="AT43" i="49" s="1"/>
  <c r="AT82" i="47"/>
  <c r="AT83" i="47" s="1"/>
  <c r="AO83" i="47"/>
  <c r="AO63" i="46"/>
  <c r="AT62" i="46"/>
  <c r="AO82" i="45"/>
  <c r="AJ83" i="45"/>
  <c r="AT43" i="52" l="1"/>
  <c r="AT42" i="51"/>
  <c r="AO43" i="51"/>
  <c r="AT42" i="50"/>
  <c r="AO43" i="50"/>
  <c r="U62" i="48"/>
  <c r="P63" i="48"/>
  <c r="AT63" i="46"/>
  <c r="P82" i="46"/>
  <c r="AT82" i="45"/>
  <c r="AT83" i="45" s="1"/>
  <c r="AO83" i="45"/>
  <c r="AT43" i="51" l="1"/>
  <c r="P62" i="51"/>
  <c r="AT43" i="50"/>
  <c r="P62" i="50"/>
  <c r="Z62" i="48"/>
  <c r="U63" i="48"/>
  <c r="P83" i="46"/>
  <c r="U82" i="46"/>
  <c r="P63" i="51" l="1"/>
  <c r="U62" i="51"/>
  <c r="P63" i="50"/>
  <c r="U62" i="50"/>
  <c r="Z63" i="48"/>
  <c r="AE62" i="48"/>
  <c r="U83" i="46"/>
  <c r="Z82" i="46"/>
  <c r="Z62" i="51" l="1"/>
  <c r="U63" i="51"/>
  <c r="Z62" i="50"/>
  <c r="U63" i="50"/>
  <c r="AJ62" i="48"/>
  <c r="AE63" i="48"/>
  <c r="Z83" i="46"/>
  <c r="AE82" i="46"/>
  <c r="AE62" i="51" l="1"/>
  <c r="Z63" i="51"/>
  <c r="Z63" i="50"/>
  <c r="AE62" i="50"/>
  <c r="AO62" i="48"/>
  <c r="AJ63" i="48"/>
  <c r="AJ82" i="46"/>
  <c r="AE83" i="46"/>
  <c r="AE63" i="51" l="1"/>
  <c r="AJ62" i="51"/>
  <c r="AE63" i="50"/>
  <c r="AJ62" i="50"/>
  <c r="AT62" i="48"/>
  <c r="AO63" i="48"/>
  <c r="AO82" i="46"/>
  <c r="AJ83" i="46"/>
  <c r="AO62" i="51" l="1"/>
  <c r="AJ63" i="51"/>
  <c r="AJ63" i="50"/>
  <c r="AO62" i="50"/>
  <c r="AT63" i="48"/>
  <c r="P82" i="48"/>
  <c r="AO83" i="46"/>
  <c r="AT82" i="46"/>
  <c r="AT83" i="46" s="1"/>
  <c r="AT62" i="51" l="1"/>
  <c r="AO63" i="51"/>
  <c r="AO63" i="50"/>
  <c r="AT62" i="50"/>
  <c r="U82" i="48"/>
  <c r="P83" i="48"/>
  <c r="P82" i="52" l="1"/>
  <c r="AT63" i="51"/>
  <c r="P82" i="51"/>
  <c r="AT63" i="50"/>
  <c r="P82" i="50"/>
  <c r="Z82" i="48"/>
  <c r="U83" i="48"/>
  <c r="P83" i="52" l="1"/>
  <c r="U82" i="52"/>
  <c r="P83" i="51"/>
  <c r="U82" i="51"/>
  <c r="P83" i="50"/>
  <c r="U82" i="50"/>
  <c r="AE82" i="48"/>
  <c r="Z83" i="48"/>
  <c r="Z82" i="52" l="1"/>
  <c r="U83" i="52"/>
  <c r="U83" i="51"/>
  <c r="Z82" i="51"/>
  <c r="Z82" i="50"/>
  <c r="U83" i="50"/>
  <c r="AJ82" i="48"/>
  <c r="AE83" i="48"/>
  <c r="AE82" i="52" l="1"/>
  <c r="Z83" i="52"/>
  <c r="AE82" i="51"/>
  <c r="Z83" i="51"/>
  <c r="AE82" i="50"/>
  <c r="Z83" i="50"/>
  <c r="AO82" i="48"/>
  <c r="AJ83" i="48"/>
  <c r="AJ82" i="52" l="1"/>
  <c r="AE83" i="52"/>
  <c r="AE83" i="51"/>
  <c r="AJ82" i="51"/>
  <c r="AJ82" i="50"/>
  <c r="AE83" i="50"/>
  <c r="AT82" i="48"/>
  <c r="AO83" i="48"/>
  <c r="AO82" i="52" l="1"/>
  <c r="AJ83" i="52"/>
  <c r="AJ83" i="51"/>
  <c r="AO82" i="51"/>
  <c r="AO82" i="50"/>
  <c r="AJ83" i="50"/>
  <c r="AT83" i="48"/>
  <c r="AT82" i="52" l="1"/>
  <c r="AT83" i="52" s="1"/>
  <c r="AO83" i="52"/>
  <c r="AT82" i="51"/>
  <c r="AT83" i="51" s="1"/>
  <c r="AO83" i="51"/>
  <c r="AT82" i="50"/>
  <c r="AT83" i="50" s="1"/>
  <c r="AO83" i="50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<sst xmlns="http://schemas.openxmlformats.org/spreadsheetml/2006/main" count="8347" uniqueCount="756">
  <si>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</si>
  <si>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</si>
  <si>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</si>
  <si>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</si>
  <si>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</si>
  <si>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</si>
  <si>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</si>
  <si>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</si>
  <si>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</si>
  <si>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</si>
  <si>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</si>
  <si>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</si>
  <si>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</si>
  <si>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</si>
  <si>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</si>
  <si>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</si>
  <si>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</si>
  <si>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</si>
  <si>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</si>
  <si>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</si>
  <si>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</si>
  <si>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</si>
  <si>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</si>
  <si>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</si>
  <si>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</si>
  <si>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</si>
  <si>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</si>
  <si>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</si>
  <si>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</si>
  <si>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</si>
  <si>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</si>
  <si>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</si>
  <si>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</si>
  <si>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</si>
  <si>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</si>
  <si>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</si>
  <si>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</si>
  <si>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</si>
  <si>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</si>
  <si>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</si>
  <si>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</si>
  <si>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</si>
  <si>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</si>
  <si>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</si>
  <si>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</si>
  <si>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</si>
  <si>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</si>
  <si>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</si>
  <si>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</si>
  <si>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</si>
  <si>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</si>
  <si>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</si>
  <si>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</si>
  <si>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</si>
  <si>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</si>
  <si>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</si>
  <si>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</si>
  <si>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</si>
  <si>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</si>
  <si>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</si>
  <si>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</si>
  <si>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</si>
  <si>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</si>
  <si>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</si>
  <si>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</si>
  <si>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</si>
  <si>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</si>
  <si>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</si>
  <si>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</si>
  <si>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</si>
  <si>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</si>
  <si>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</si>
  <si>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</si>
  <si>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</si>
  <si>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</si>
  <si>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</si>
  <si>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</si>
  <si>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</si>
  <si>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</si>
  <si>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</si>
  <si>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</si>
  <si>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</si>
  <si>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</si>
  <si>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</si>
  <si>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</si>
  <si>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</si>
  <si>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</si>
  <si>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</si>
  <si>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</si>
  <si>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</si>
  <si>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</si>
  <si>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</si>
  <si>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</si>
  <si>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</si>
  <si>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</si>
  <si>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</si>
  <si>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</si>
  <si>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</si>
  <si>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</si>
  <si>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</si>
  <si>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</si>
  <si>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</si>
  <si>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</si>
  <si>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</si>
  <si>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</si>
  <si>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</si>
  <si>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</si>
  <si>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</si>
  <si>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</si>
  <si>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</si>
  <si>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</si>
  <si>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</si>
  <si>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</si>
  <si>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</si>
  <si>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</si>
  <si>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</si>
  <si>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</si>
  <si>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</si>
  <si>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</si>
  <si>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</si>
  <si>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</si>
  <si>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</si>
  <si>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</si>
  <si>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</si>
  <si>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</si>
  <si>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</si>
  <si>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</si>
  <si>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</si>
  <si>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</si>
  <si>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</si>
  <si>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</si>
  <si>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</si>
  <si>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</si>
  <si>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</si>
  <si>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</si>
  <si>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</si>
  <si>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</si>
  <si>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</si>
  <si>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</si>
  <si>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</si>
  <si>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</si>
  <si>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</si>
  <si>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</si>
  <si>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</si>
  <si>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</si>
  <si>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</si>
  <si>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</si>
  <si>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</si>
  <si>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</si>
  <si>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</si>
  <si>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</si>
  <si>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</si>
  <si>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</si>
  <si>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</si>
  <si>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</si>
  <si>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</si>
  <si>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</si>
  <si>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</si>
  <si>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</si>
  <si>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</si>
  <si>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</si>
  <si>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</si>
  <si>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</si>
  <si>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</si>
  <si>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</si>
  <si>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</si>
  <si>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</si>
  <si>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</si>
  <si>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</si>
  <si>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</si>
  <si>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</si>
  <si>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</si>
  <si>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</si>
  <si>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</si>
  <si>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</si>
  <si>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</si>
  <si>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</si>
  <si>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</si>
  <si>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</si>
  <si>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</si>
  <si>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</si>
  <si>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</si>
  <si>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</si>
  <si>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</si>
  <si>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</si>
  <si>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</si>
  <si>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</si>
  <si>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</si>
  <si>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</si>
  <si>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</si>
  <si>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</si>
  <si>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</si>
  <si>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</si>
  <si>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</si>
  <si>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</si>
  <si>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</si>
  <si>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</si>
  <si>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</si>
  <si>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</si>
  <si>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</si>
  <si>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</si>
  <si>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</si>
  <si>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</si>
  <si>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</si>
  <si>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</si>
  <si>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</si>
  <si>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</si>
  <si>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</si>
  <si>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</si>
  <si>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</si>
  <si>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</si>
  <si>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</si>
  <si>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</si>
  <si>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</si>
  <si>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</si>
  <si>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</si>
  <si>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</si>
  <si>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</si>
  <si>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</si>
  <si>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</si>
  <si>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</si>
  <si>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</si>
  <si>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</si>
  <si>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</si>
  <si>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</si>
  <si>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</si>
  <si>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</si>
  <si>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</si>
  <si>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</si>
  <si>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</si>
  <si>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</si>
  <si>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</si>
  <si>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</si>
  <si>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</si>
  <si>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</si>
  <si>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</si>
  <si>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</si>
  <si>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</si>
  <si>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</si>
  <si>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</si>
  <si>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</si>
  <si>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</si>
  <si>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</si>
  <si>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</si>
  <si>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</si>
  <si>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</si>
  <si>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</si>
  <si>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</si>
  <si>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</si>
  <si>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</si>
  <si>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</si>
  <si>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t>總件數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</si>
  <si>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</si>
  <si>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</si>
  <si>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</si>
  <si>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</si>
  <si>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其他原因</t>
    <phoneticPr fontId="15" type="noConversion"/>
  </si>
  <si>
    <t>補單占比</t>
    <phoneticPr fontId="15" type="noConversion"/>
  </si>
  <si>
    <t>展開量高於１０5％</t>
    <phoneticPr fontId="12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</si>
  <si>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</si>
  <si>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</si>
  <si>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</si>
  <si>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</si>
  <si>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</si>
  <si>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</si>
  <si>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</si>
  <si>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</si>
  <si>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</si>
  <si>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</si>
  <si>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</si>
  <si>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</si>
  <si>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</si>
  <si>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</si>
  <si>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</si>
  <si>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</si>
  <si>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</si>
  <si>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</si>
  <si>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</si>
  <si>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</si>
  <si>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</si>
  <si>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</si>
  <si>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</si>
  <si>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</si>
  <si>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</si>
  <si>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</si>
  <si>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</si>
  <si>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</si>
  <si>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</si>
  <si>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</si>
  <si>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</si>
  <si>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</si>
  <si>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</si>
  <si>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</si>
  <si>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</si>
  <si>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</si>
  <si>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</si>
  <si>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</si>
  <si>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</si>
  <si>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</si>
  <si>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</si>
  <si>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</si>
  <si>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</si>
  <si>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</si>
  <si>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</si>
  <si>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</si>
  <si>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</si>
  <si>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</si>
  <si>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</si>
  <si>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</si>
  <si>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</si>
  <si>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</si>
  <si>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</si>
  <si>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</si>
  <si>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</si>
  <si>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</si>
  <si>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</si>
  <si>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</si>
  <si>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</si>
  <si>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</si>
  <si>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</si>
  <si>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</si>
  <si>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</si>
  <si>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</si>
  <si>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</si>
  <si>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</si>
  <si>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</si>
  <si>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</si>
  <si>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</si>
  <si>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</si>
  <si>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</si>
  <si>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</si>
  <si>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</si>
  <si>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</si>
  <si>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</si>
  <si>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</si>
  <si>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</si>
  <si>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</si>
  <si>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</si>
  <si>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</si>
  <si>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</si>
  <si>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</si>
  <si>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</si>
  <si>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</si>
  <si>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</si>
  <si>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</si>
  <si>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</si>
  <si>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</si>
  <si>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</si>
  <si>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</si>
  <si>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</si>
  <si>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</si>
  <si>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</si>
  <si>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</si>
  <si>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二配鐵板蘑菇肉醬起司焗飯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</si>
  <si>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</si>
  <si>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</si>
  <si>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</si>
  <si>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</si>
  <si>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</si>
  <si>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</si>
  <si>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</si>
  <si>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</si>
  <si>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</si>
  <si>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5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</si>
  <si>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</si>
  <si>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</si>
  <si>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</si>
  <si>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</si>
  <si>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</si>
  <si>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</si>
  <si>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</si>
  <si>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</si>
  <si>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</si>
  <si>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</si>
  <si>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</si>
  <si>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</si>
  <si>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</si>
  <si>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</si>
  <si>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</si>
  <si>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</si>
  <si>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</si>
  <si>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</si>
  <si>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</si>
  <si>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</si>
  <si>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</si>
  <si>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</si>
  <si>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</si>
  <si>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</si>
  <si>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</si>
  <si>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t>18℃-壽司手卷</t>
    <phoneticPr fontId="15" type="noConversion"/>
  </si>
  <si>
    <t>4℃-壽司手卷</t>
    <phoneticPr fontId="15" type="noConversion"/>
  </si>
  <si>
    <t>季節調理麵</t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</si>
  <si>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</si>
  <si>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</si>
  <si>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</si>
  <si>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</si>
  <si>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</si>
  <si>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</si>
  <si>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</si>
  <si>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</si>
  <si>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</si>
  <si>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</si>
  <si>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</si>
  <si>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</si>
  <si>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</si>
  <si>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</si>
  <si>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</si>
  <si>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</si>
  <si>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</si>
  <si>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</si>
  <si>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</si>
  <si>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</si>
  <si>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</si>
  <si>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</si>
  <si>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</si>
  <si>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</si>
  <si>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</si>
  <si>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</si>
  <si>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</si>
  <si>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</si>
  <si>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</si>
  <si>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</si>
  <si>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</si>
  <si>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</si>
  <si>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</si>
  <si>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</si>
  <si>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</si>
  <si>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</si>
  <si>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</si>
  <si>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</si>
  <si>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</si>
  <si>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</si>
  <si>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</si>
  <si>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</si>
  <si>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</si>
  <si>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</si>
  <si>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</si>
  <si>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</si>
  <si>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</si>
  <si>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報廢</t>
    <phoneticPr fontId="15" type="noConversion"/>
  </si>
  <si>
    <t>超用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</si>
  <si>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</si>
  <si>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</si>
  <si>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壹號醬雞豚雙拼</t>
  </si>
  <si>
    <t>美式雞丁餐盒(113年)</t>
  </si>
  <si>
    <t>切-究極燒肉片</t>
  </si>
  <si>
    <t>超用額</t>
    <phoneticPr fontId="83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</si>
  <si>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</si>
  <si>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</si>
  <si>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</si>
  <si>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</si>
  <si>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</si>
  <si>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</si>
  <si>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</si>
  <si>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</si>
  <si>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</si>
  <si>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</si>
  <si>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</si>
  <si>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</si>
  <si>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t>製程不穩</t>
    <phoneticPr fontId="8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</si>
  <si>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</si>
  <si>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清炒高麗菜</t>
  </si>
  <si>
    <t>二配乳酪燻腸紅醬焗飯</t>
  </si>
  <si>
    <t>教育訓練-實施率(進度/計畫)</t>
    <phoneticPr fontId="15" type="noConversion"/>
  </si>
  <si>
    <t>一配博多明太子奶油飯糰</t>
  </si>
  <si>
    <t>4℃-飯糰</t>
    <phoneticPr fontId="15" type="noConversion"/>
  </si>
  <si>
    <t>熱食義麵</t>
    <phoneticPr fontId="15" type="noConversion"/>
  </si>
  <si>
    <t>共用類廢棄</t>
    <phoneticPr fontId="15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</si>
  <si>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</si>
  <si>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</si>
  <si>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t>蘑菇湯凍</t>
  </si>
  <si>
    <t>歐姆蛋-黑咖哩醬</t>
  </si>
  <si>
    <t>鮮食雙色起司絲</t>
  </si>
  <si>
    <t>一配照燒雞肉飯糰</t>
  </si>
  <si>
    <t>炒照燒牛蒡腿丁</t>
  </si>
  <si>
    <t>蘑菇白醬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</si>
  <si>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</si>
  <si>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</si>
  <si>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</si>
  <si>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</si>
  <si>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</si>
  <si>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</si>
  <si>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</si>
  <si>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</si>
  <si>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</si>
  <si>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</si>
  <si>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</si>
  <si>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</si>
  <si>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泡菜炒大白菜</t>
  </si>
  <si>
    <t>辣炒酸菜碎</t>
  </si>
  <si>
    <t>合計</t>
    <phoneticPr fontId="83" type="noConversion"/>
  </si>
  <si>
    <t>焗烤起司片</t>
  </si>
  <si>
    <t>千層-奶油白醬</t>
  </si>
  <si>
    <t>焗烤蕃茄起司四方麵</t>
  </si>
  <si>
    <t>一配雙鬆細卷</t>
  </si>
  <si>
    <t>二配兩粒飯糰(鮪魚.焦糖鮭魚)</t>
  </si>
  <si>
    <t>一配明太子玉子脆卷</t>
  </si>
  <si>
    <t>香腸腿排雙拼便當</t>
  </si>
  <si>
    <t>(壽喜燒)川燙五花肉片</t>
  </si>
  <si>
    <t>日式壽喜燒</t>
  </si>
  <si>
    <t>炒蔥花碎蛋</t>
  </si>
  <si>
    <t>一配兩粒飯糰(鮪魚.焦糖鮭魚)</t>
  </si>
  <si>
    <t>韓素燒若飯糰</t>
  </si>
  <si>
    <t>(V)炒韓式泡菜青梗菜</t>
  </si>
  <si>
    <t>(V)韓式菜脯素肉丁</t>
  </si>
  <si>
    <t>青花菜原物料規格偏大造成超用</t>
    <phoneticPr fontId="15" type="noConversion"/>
  </si>
  <si>
    <t>二配大飯糰韓式蒜烤豬五花</t>
  </si>
  <si>
    <t>香烤藍尾鱈魚五行餐盒</t>
  </si>
  <si>
    <t>東京豚骨風味拉麵</t>
  </si>
  <si>
    <t>炒蒜味青花菜</t>
  </si>
  <si>
    <t>拌蒜香五花肉</t>
  </si>
  <si>
    <t>炒蒜香堅果小魚</t>
  </si>
  <si>
    <t>豚骨醬油湯凍(114年)</t>
  </si>
  <si>
    <t>和風牛肉咖哩炸飯糰</t>
  </si>
  <si>
    <t>明太子雞叉燒拌麵</t>
  </si>
  <si>
    <t>醬油叉燒拉麵</t>
  </si>
  <si>
    <t>濃厚豚骨拉麵</t>
  </si>
  <si>
    <t>和風匠製胡麻涼麵</t>
  </si>
  <si>
    <t>煮無敵家豚骨湯凍</t>
  </si>
  <si>
    <t>切-原萃醃漬嫩雞胸CL</t>
  </si>
  <si>
    <t>醬油拉麵湯凍</t>
  </si>
  <si>
    <t>炒油菜(114.11)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</si>
  <si>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5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</si>
  <si>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</si>
  <si>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</si>
  <si>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</si>
  <si>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</si>
  <si>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</si>
  <si>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</si>
  <si>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</si>
  <si>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</si>
  <si>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</si>
  <si>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</si>
  <si>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</si>
  <si>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</si>
  <si>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</si>
  <si>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</si>
  <si>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</si>
  <si>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</si>
  <si>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展開量高於需求量</t>
    <phoneticPr fontId="15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</si>
  <si>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</si>
  <si>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</si>
  <si>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</si>
  <si>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</si>
  <si>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</si>
  <si>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注餡機機台工差設定確認</t>
  </si>
  <si>
    <t>反映研發，後續開發列入考量</t>
  </si>
  <si>
    <t>因葉梗差異容易取樣不穩導致超用</t>
    <phoneticPr fontId="15" type="noConversion"/>
  </si>
  <si>
    <t>針對人員抓量手法教育訓練，並增加線上抽秤頻率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</si>
  <si>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</si>
  <si>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抓量較不穩定造成調理多產</t>
    <phoneticPr fontId="15" type="noConversion"/>
  </si>
  <si>
    <t>起司片去除底紙破裂無法使用</t>
    <phoneticPr fontId="15" type="noConversion"/>
  </si>
  <si>
    <t>針對拆底膜教育訓練，加強拆底抽檢</t>
    <phoneticPr fontId="15" type="noConversion"/>
  </si>
  <si>
    <t>烤盤產生炭渣，豆腐沾黏焦化物</t>
    <phoneticPr fontId="15" type="noConversion"/>
  </si>
  <si>
    <t>定期更換烤盤，制定烤盤更換時程</t>
    <phoneticPr fontId="15" type="noConversion"/>
  </si>
  <si>
    <t>二配大飯糰滷肉飯加蛋</t>
  </si>
  <si>
    <t>對切-烤四角薯餅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</si>
  <si>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</si>
  <si>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抓量較不穩定造成調理多產</t>
  </si>
  <si>
    <t>原物料大小長短差異，影響人員放料</t>
  </si>
  <si>
    <t>原物料肉片的大小塊差異</t>
  </si>
  <si>
    <t>量測設定放料量範圍，後續開發列入考量調整。</t>
    <phoneticPr fontId="15" type="noConversion"/>
  </si>
  <si>
    <t>原物料肉塊的大小塊差異</t>
    <phoneticPr fontId="15" type="noConversion"/>
  </si>
  <si>
    <t>二配蒙古風味烤肉飯</t>
  </si>
  <si>
    <t>拌玉米鮪魚沙拉</t>
  </si>
  <si>
    <t>海饌雙手卷</t>
  </si>
  <si>
    <t>6切-烤醃漬咖哩腿排</t>
  </si>
  <si>
    <t>熟練度上升,達成率提高</t>
    <phoneticPr fontId="15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</si>
  <si>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</si>
  <si>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</si>
  <si>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</si>
  <si>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</si>
  <si>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</si>
  <si>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回饋研發，後續開發列入考量</t>
  </si>
  <si>
    <t>規格不穩定導致斷裂破損產生報廢</t>
    <phoneticPr fontId="15" type="noConversion"/>
  </si>
  <si>
    <t>抓量較不穩定造成超用</t>
    <phoneticPr fontId="15" type="noConversion"/>
  </si>
  <si>
    <t>1223-1229 總合計↑</t>
    <phoneticPr fontId="15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</si>
  <si>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</si>
  <si>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</si>
  <si>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</si>
  <si>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5" type="noConversion"/>
  </si>
  <si>
    <t>1223-1229</t>
    <phoneticPr fontId="15" type="noConversion"/>
  </si>
  <si>
    <t>炒蒙古肉片</t>
  </si>
  <si>
    <t>烤BBQ雞丁(112年)</t>
  </si>
  <si>
    <t>炒蒙古烤肉蔬菜</t>
  </si>
  <si>
    <t>蜜腰果粒</t>
  </si>
  <si>
    <t>一配鮭魚奶油醬油飯糰</t>
  </si>
  <si>
    <t>新品(12人) 由線上組裝胡桃與腰果,未達機台滿速</t>
    <phoneticPr fontId="15" type="noConversion"/>
  </si>
  <si>
    <t>熟練度上升.達成率提高</t>
    <phoneticPr fontId="15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</si>
  <si>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5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</si>
  <si>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5" type="noConversion"/>
  </si>
  <si>
    <t>定量管理，設定單籃重量控管，用量有逐步下降</t>
    <phoneticPr fontId="15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</si>
  <si>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</si>
  <si>
    <t>反映研發，後續開發列入考量，設定放料量範圍。</t>
    <phoneticPr fontId="15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</si>
  <si>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5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</si>
  <si>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5" type="noConversion"/>
  </si>
  <si>
    <t>因薯餅較軟質，線上拿取容易破損</t>
    <phoneticPr fontId="15" type="noConversion"/>
  </si>
  <si>
    <t>調整烤箱條件，提升薯餅硬度，減少破損</t>
    <phoneticPr fontId="15" type="noConversion"/>
  </si>
  <si>
    <t>組裝前準備室進行整理入籃，減少沾黏破損</t>
    <phoneticPr fontId="15" type="noConversion"/>
  </si>
  <si>
    <r>
      <t>1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</si>
  <si>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1月平均人時性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</si>
  <si>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週更新(0106-0112)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</si>
  <si>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週更新(0113-0119)</t>
    </r>
    <phoneticPr fontId="15" type="noConversion"/>
  </si>
  <si>
    <r>
      <t>19℃-飯糰</t>
    </r>
    <r>
      <rPr>
        <sz val="10"/>
        <color rgb="FF000000"/>
        <rFont val="微軟正黑體"/>
        <family val="2"/>
        <charset val="136"/>
      </rPr>
      <t/>
    </r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</si>
  <si>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週更新(0120-0126)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</si>
  <si>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週更新(0127-0202)</t>
    </r>
    <phoneticPr fontId="15" type="noConversion"/>
  </si>
  <si>
    <t>20℃-壽司手卷</t>
  </si>
  <si>
    <t>6℃-飯糰</t>
  </si>
  <si>
    <t>6℃-壽司手卷</t>
  </si>
  <si>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</si>
  <si>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</si>
  <si>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t>1230-0105 總合計↑</t>
    <phoneticPr fontId="15" type="noConversion"/>
  </si>
  <si>
    <r>
      <t>1</t>
    </r>
    <r>
      <rPr>
        <sz val="12"/>
        <color theme="1"/>
        <rFont val="Microsoft JhengHei"/>
        <family val="2"/>
      </rPr>
      <t>月報廢</t>
    </r>
    <phoneticPr fontId="15" type="noConversion"/>
  </si>
  <si>
    <t>1月超用</t>
    <phoneticPr fontId="15" type="noConversion"/>
  </si>
  <si>
    <t>1230-0105</t>
    <phoneticPr fontId="15" type="noConversion"/>
  </si>
  <si>
    <t>洋蔥壹號醬</t>
  </si>
  <si>
    <t>炒綜合蔬菜丁</t>
  </si>
  <si>
    <t>炒調味筍干</t>
  </si>
  <si>
    <t>(壽喜燒)川燙杏鮑菇</t>
  </si>
  <si>
    <t>對切滷蛋</t>
  </si>
  <si>
    <t>壹號醬炙烤牛飯糰</t>
  </si>
  <si>
    <t>炙燒韓式牛五花</t>
    <phoneticPr fontId="15" type="noConversion"/>
  </si>
  <si>
    <t>油蔥肉燥(113年)</t>
  </si>
  <si>
    <t>切-烤牛五花(112年)</t>
  </si>
  <si>
    <t>（８）報廢原因別前幾名品項(1230-0105)</t>
    <phoneticPr fontId="15" type="noConversion"/>
  </si>
  <si>
    <t>（８）超用原因別前幾名品項(1230-0105)</t>
    <phoneticPr fontId="15" type="noConversion"/>
  </si>
  <si>
    <t>二配明太子乳酪起司沙拉飯糰</t>
  </si>
  <si>
    <t>原物料大小差異，影響人員放料</t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</si>
  <si>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5" type="noConversion"/>
  </si>
  <si>
    <t>針對人員手法教育訓練，並增加線上抽秤頻率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</si>
  <si>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</si>
  <si>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</si>
  <si>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抓量較不穩定造成調理多產
針對人員抓量手法教育訓練，並增加線上抽秤頻率</t>
    <phoneticPr fontId="15" type="noConversion"/>
  </si>
  <si>
    <t>原物料單價高，每份用量少以致用量易有不穩定的狀況</t>
    <phoneticPr fontId="15" type="noConversion"/>
  </si>
  <si>
    <t>尋找導入少量定量工具，提升用料穩定度</t>
    <phoneticPr fontId="15" type="noConversion"/>
  </si>
  <si>
    <t>原物料單價高，每份用量少以致用量易有不穩定的狀況
尋找導入少量定量工具，提升用料穩定度</t>
    <phoneticPr fontId="15" type="noConversion"/>
  </si>
  <si>
    <t>原物料大小長短差異，影響人員放料</t>
    <phoneticPr fontId="15" type="noConversion"/>
  </si>
  <si>
    <t>反映研發，後續開發列入考量</t>
    <phoneticPr fontId="15" type="noConversion"/>
  </si>
  <si>
    <t>原物料大小長短差異，影響人員放料
反映研發，後續開發列入考量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</si>
  <si>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</si>
  <si>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</si>
  <si>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</si>
  <si>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菜梗、葉差異，影響人員放料手感</t>
    <phoneticPr fontId="15" type="noConversion"/>
  </si>
  <si>
    <t>增加線上抽秤頻率，調理展開量下修，並已採用多次補單方式執行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</si>
  <si>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</si>
  <si>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</si>
  <si>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</si>
  <si>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t>烤箱製程蛋片規格厚薄差異
準備室分切剔除，確保賣相準定</t>
    <phoneticPr fontId="15" type="noConversion"/>
  </si>
  <si>
    <t>烤盤產生炭渣，豆腐沾黏焦化物
定期更換烤盤，制定烤盤更換時程</t>
    <phoneticPr fontId="15" type="noConversion"/>
  </si>
  <si>
    <t>人員分切後規格不符，大小邊無法使用導致報廢</t>
    <phoneticPr fontId="15" type="noConversion"/>
  </si>
  <si>
    <t>加強準備室分切製程教育訓練</t>
    <phoneticPr fontId="15" type="noConversion"/>
  </si>
  <si>
    <t>人員分切後規格不符，大小邊無法使用導致報廢
加強準備室分切製程教育訓練</t>
    <phoneticPr fontId="15" type="noConversion"/>
  </si>
  <si>
    <t>青花菜原物料規格偏大造成超用
量測設定放料量範圍，後續開發列入考量調整。</t>
    <phoneticPr fontId="15" type="noConversion"/>
  </si>
  <si>
    <t>原物料肉片的大小塊差異
反映研發，後續開發列入考量，設定放料量範圍。</t>
    <phoneticPr fontId="15" type="noConversion"/>
  </si>
  <si>
    <t>因葉梗差異容易取樣不穩導致超用
針對人員抓量手法教育訓練，並增加線上抽秤頻率</t>
    <phoneticPr fontId="15" type="noConversion"/>
  </si>
  <si>
    <t>雞肉絲糾結成塊，人員抓量放料有差異
定量管理，設定單籃重量控管，用量有逐步下降</t>
    <phoneticPr fontId="15" type="noConversion"/>
  </si>
  <si>
    <t>注餡機機台工差設定確認</t>
    <phoneticPr fontId="15" type="noConversion"/>
  </si>
  <si>
    <t>注餡機機台工差設定確認
生產前確認標準定量的機台設定，生產中抽查確認設定及實際出料重量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</si>
  <si>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</si>
  <si>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t>0106-0112 總合計↑</t>
    <phoneticPr fontId="15" type="noConversion"/>
  </si>
  <si>
    <t>0106-0112</t>
    <phoneticPr fontId="15" type="noConversion"/>
  </si>
  <si>
    <t>一配明太子乳酪起司沙拉飯糰</t>
  </si>
  <si>
    <t>明太子泡菜牛飯卷</t>
  </si>
  <si>
    <t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</si>
  <si>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</si>
  <si>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</si>
  <si>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t>(壽喜燒)壽喜燒湯凍</t>
  </si>
  <si>
    <t>蒸燻腸片</t>
  </si>
  <si>
    <t>西班牙烤雞腿丁</t>
  </si>
  <si>
    <t>炙燒韓式牛五花</t>
  </si>
  <si>
    <t>(壽喜燒)川燙高麗菜洋蔥</t>
  </si>
  <si>
    <t>切烤雞胸肉(111年)</t>
  </si>
  <si>
    <t>拌紅醬千層麵</t>
  </si>
  <si>
    <t>炒蝦仁(8號)</t>
  </si>
  <si>
    <t>醬油漬鱒鮭魚卵</t>
  </si>
  <si>
    <t>焙炒芝麻肉鬆</t>
  </si>
  <si>
    <t>蒜炒紅K油菜(A7)</t>
  </si>
  <si>
    <t>健身G肉餐盒(113年)</t>
  </si>
  <si>
    <t>北海道秋鮭親子飯糰(114年)</t>
  </si>
  <si>
    <t>經典肉鬆飯糰(114年)</t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</si>
  <si>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配置產力同舊品飯捲商品</t>
    </r>
    <phoneticPr fontId="15" type="noConversion"/>
  </si>
  <si>
    <t>0113-0119 總合計↑</t>
    <phoneticPr fontId="15" type="noConversion"/>
  </si>
  <si>
    <t>0113-0119</t>
    <phoneticPr fontId="15" type="noConversion"/>
  </si>
  <si>
    <t>（８）報廢原因別前幾名品項(0106-0112)</t>
    <phoneticPr fontId="15" type="noConversion"/>
  </si>
  <si>
    <t>（８）超用原因別前幾名品項(0106-0112)</t>
    <phoneticPr fontId="15" type="noConversion"/>
  </si>
  <si>
    <t>一配真明太子玉子飯糰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</si>
  <si>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</si>
  <si>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</si>
  <si>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t>後關收籃沾黏破損</t>
    <phoneticPr fontId="15" type="noConversion"/>
  </si>
  <si>
    <t>要求烤箱後關人員確實定型後再進行收籃</t>
    <phoneticPr fontId="15" type="noConversion"/>
  </si>
  <si>
    <r>
      <t>青花菜原物料規格偏</t>
    </r>
    <r>
      <rPr>
        <sz val="12"/>
        <color theme="1"/>
        <rFont val="Microsoft JhengHei"/>
        <family val="2"/>
      </rPr>
      <t>小細碎導致報廢</t>
    </r>
    <phoneticPr fontId="15" type="noConversion"/>
  </si>
  <si>
    <t>生產前確認標準定量的機台設定，生產中抽查確認設定及實際出料重量</t>
  </si>
  <si>
    <t>原物料肉片的大小塊差異</t>
    <phoneticPr fontId="15" type="noConversion"/>
  </si>
  <si>
    <t>回饋研發，後續開發列入考量</t>
    <phoneticPr fontId="15" type="noConversion"/>
  </si>
  <si>
    <r>
      <t>原物料</t>
    </r>
    <r>
      <rPr>
        <sz val="12"/>
        <color theme="1"/>
        <rFont val="Microsoft JhengHei"/>
        <family val="2"/>
      </rPr>
      <t>長短</t>
    </r>
    <r>
      <rPr>
        <sz val="12"/>
        <color theme="1"/>
        <rFont val="Meiryo UI"/>
        <family val="2"/>
      </rPr>
      <t>差異，人員抓量放料</t>
    </r>
    <r>
      <rPr>
        <sz val="12"/>
        <color theme="1"/>
        <rFont val="Microsoft JhengHei"/>
        <family val="2"/>
      </rPr>
      <t>守法不穩定</t>
    </r>
    <phoneticPr fontId="15" type="noConversion"/>
  </si>
  <si>
    <t>針對人員手法教育訓練，並增加線上抽秤頻率，後續評估導入定量管理</t>
    <phoneticPr fontId="15" type="noConversion"/>
  </si>
  <si>
    <t>單片麵體差異每片重量約4-6克</t>
    <phoneticPr fontId="15" type="noConversion"/>
  </si>
  <si>
    <t>回饋研發，後續開發列入考量，設定放料量範圍</t>
    <phoneticPr fontId="15" type="noConversion"/>
  </si>
  <si>
    <t>原物料蝦仁規格差異，單支重量落差1G</t>
    <phoneticPr fontId="15" type="noConversion"/>
  </si>
  <si>
    <t>後關收籃沾黏破損
要求烤箱後關人員確實定型後再進行收籃</t>
    <phoneticPr fontId="15" type="noConversion"/>
  </si>
  <si>
    <t>抓量較不穩定造成調理多產
增加線上抽秤頻率，調理展開量下修，並已採用多次補單方式執行</t>
    <phoneticPr fontId="15" type="noConversion"/>
  </si>
  <si>
    <t>原物料肉片的大小塊差異
回饋研發，後續開發列入考量</t>
    <phoneticPr fontId="15" type="noConversion"/>
  </si>
  <si>
    <t>原物料長短差異，人員抓量放料守法不穩定
針對人員手法教育訓練，並增加線上抽秤頻率，後續評估導入定量管理</t>
    <phoneticPr fontId="15" type="noConversion"/>
  </si>
  <si>
    <t>蒸蛤蜊-肉(VN151)</t>
  </si>
  <si>
    <t>焗飯-義式蕃茄紅醬</t>
  </si>
  <si>
    <t>煮三杯料</t>
  </si>
  <si>
    <t>原物料規格</t>
    <phoneticPr fontId="15" type="noConversion"/>
  </si>
  <si>
    <t>部隊鍋湯凍</t>
  </si>
  <si>
    <t>112年拌鮪魚沙拉</t>
  </si>
  <si>
    <t>鮪魚飯糰</t>
  </si>
  <si>
    <t>蛋磚切丁卷封容易掉出,排兩人計算數量與組裝定位,降低生產風險.</t>
    <phoneticPr fontId="15" type="noConversion"/>
  </si>
  <si>
    <t>對切5人改為前工程預先準備,跑線配置縮減為12人</t>
    <phoneticPr fontId="15" type="noConversion"/>
  </si>
  <si>
    <t>新品一週,生產穩定度上升</t>
    <phoneticPr fontId="15" type="noConversion"/>
  </si>
  <si>
    <t>原物料大小顆差異，影響人員放料</t>
  </si>
  <si>
    <t>反映研發，後續開發列入考量，調理展開量下修，並已採用多次補單方式執行</t>
  </si>
  <si>
    <t>蒸雞胸質地較鬆散分切及線上不易作業容易碎裂影響超用</t>
  </si>
  <si>
    <t>調整蒸箱製程去除多餘汁液，使雞胸肉質地更為扎實</t>
  </si>
  <si>
    <t>因葉梗差異容易取樣不穩導致超用</t>
  </si>
  <si>
    <t>原物料肉塊的大小塊差異</t>
  </si>
  <si>
    <t>反映研發，後續開發列入考量，設定放料量範圍。</t>
  </si>
  <si>
    <t>人員抓量放料手法不穩定</t>
  </si>
  <si>
    <t>針對人員手法教育訓練，並增加線上抽秤頻率，並導入定量管理</t>
  </si>
  <si>
    <t>飯糰機生產,單份用量17g,半成品肉片規格有差，容易有超用問題</t>
  </si>
  <si>
    <t>操作方式冰杓定量，人員手法差異</t>
  </si>
  <si>
    <t>針對人員手法教育訓練，並增加線上抽秤頻率</t>
  </si>
  <si>
    <t>（８）報廢原因別前幾名品項(0113-0119)</t>
    <phoneticPr fontId="15" type="noConversion"/>
  </si>
  <si>
    <t>（８）超用原因別前幾名品項(0113-0119)</t>
    <phoneticPr fontId="15" type="noConversion"/>
  </si>
  <si>
    <t>高風險半成品拆袋即用,拆包後無法延用給下配次產生報廢</t>
    <phoneticPr fontId="15" type="noConversion"/>
  </si>
  <si>
    <t>高風險半成品拆袋即用,拆包後無法延用給下配次產生報廢
反映研發，後續開發列入考量</t>
    <phoneticPr fontId="15" type="noConversion"/>
  </si>
  <si>
    <t>操作方式冰杓定量,生產餘料報廢</t>
    <phoneticPr fontId="15" type="noConversion"/>
  </si>
  <si>
    <t>調理展開量下修，並已採用多次補單方式執行</t>
    <phoneticPr fontId="15" type="noConversion"/>
  </si>
  <si>
    <t>操作方式冰杓定量,生產餘料報廢
調理展開量下修，並已採用多次補單方式執行</t>
    <phoneticPr fontId="15" type="noConversion"/>
  </si>
  <si>
    <t>批量生產，生產餘料報廢</t>
    <phoneticPr fontId="15" type="noConversion"/>
  </si>
  <si>
    <t>批量生產，生產餘料報廢
反映研發，後續開發列入考量</t>
    <phoneticPr fontId="15" type="noConversion"/>
  </si>
  <si>
    <t>原物料肉塊的大小塊差異
反映研發，後續開發列入考量，設定放料量範圍。</t>
    <phoneticPr fontId="15" type="noConversion"/>
  </si>
  <si>
    <t>人員抓量放料手法不穩定</t>
    <phoneticPr fontId="15" type="noConversion"/>
  </si>
  <si>
    <t>人員抓量放料手法不穩定
針對人員手法教育訓練，並增加線上抽秤頻率，後續評估導入定量管理</t>
    <phoneticPr fontId="15" type="noConversion"/>
  </si>
  <si>
    <t>W4</t>
    <phoneticPr fontId="15" type="noConversion"/>
  </si>
  <si>
    <t>0120-0126 總合計↑</t>
    <phoneticPr fontId="15" type="noConversion"/>
  </si>
  <si>
    <t>0120-0126</t>
    <phoneticPr fontId="15" type="noConversion"/>
  </si>
  <si>
    <t>一配紅運烏魚子紹興飯糰</t>
  </si>
  <si>
    <t>福氣魚四喜開運便當</t>
  </si>
  <si>
    <t>鴻運番茄湯麵</t>
  </si>
  <si>
    <t>焗烤蕃茄起司四方麵</t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</si>
  <si>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</si>
  <si>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5" type="noConversion"/>
  </si>
  <si>
    <t>（６）人時生產性前幾名品項(0120-0126)</t>
    <phoneticPr fontId="15" type="noConversion"/>
  </si>
  <si>
    <t>義式烤馬鈴薯</t>
  </si>
  <si>
    <t>蒜炒白菜</t>
  </si>
  <si>
    <t>蒙古烤肉湯凍(114.12)</t>
  </si>
  <si>
    <t>拌鮭魚沙拉(114年)</t>
  </si>
  <si>
    <t>研發設定</t>
    <phoneticPr fontId="15" type="noConversion"/>
  </si>
  <si>
    <t>蕃茄湯凍(115年)</t>
  </si>
  <si>
    <t>瀝-煮蕃茄丁</t>
  </si>
  <si>
    <t>撥碎-解凍烏魚子丁</t>
  </si>
  <si>
    <t>切-烤原淬醃漬嫩雞胸CL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</si>
</sst>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Meiryo UI"/>
      <family val="2"/>
      <charset val="136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96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0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9" fillId="0" borderId="0" xfId="5"/>
    <xf numFmtId="0" fontId="66" fillId="9" borderId="30" xfId="5" applyFont="1" applyFill="1" applyBorder="1"/>
    <xf numFmtId="0" fontId="66" fillId="0" borderId="0" xfId="5" applyFont="1"/>
    <xf numFmtId="0" fontId="66" fillId="0" borderId="22" xfId="5" applyFont="1" applyBorder="1"/>
    <xf numFmtId="0" fontId="66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6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vertical="center" shrinkToFit="1"/>
    </xf>
    <xf numFmtId="0" fontId="33" fillId="5" borderId="23" xfId="11" applyFont="1" applyFill="1" applyBorder="1" applyAlignment="1">
      <alignment horizontal="center" vertical="center"/>
    </xf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9" fillId="0" borderId="22" xfId="0" applyFont="1" applyBorder="1" applyAlignment="1">
      <alignment horizontal="center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59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59" fillId="5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59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9" fillId="0" borderId="22" xfId="0" applyNumberFormat="1" applyFont="1" applyBorder="1" applyAlignment="1">
      <alignment shrinkToFit="1"/>
    </xf>
    <xf numFmtId="183" fontId="59" fillId="0" borderId="22" xfId="0" applyNumberFormat="1" applyFont="1" applyBorder="1" applyAlignment="1">
      <alignment shrinkToFit="1"/>
    </xf>
    <xf numFmtId="0" fontId="59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0" borderId="22" xfId="0" applyNumberFormat="1" applyFont="1" applyBorder="1"/>
    <xf numFmtId="190" fontId="28" fillId="9" borderId="22" xfId="0" applyNumberFormat="1" applyFont="1" applyFill="1" applyBorder="1"/>
    <xf numFmtId="1" fontId="9" fillId="3" borderId="18" xfId="0" applyNumberFormat="1" applyFont="1" applyFill="1" applyBorder="1" applyAlignment="1">
      <alignment shrinkToFit="1"/>
    </xf>
    <xf numFmtId="0" fontId="69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0" fillId="0" borderId="6" xfId="11" applyFont="1" applyBorder="1" applyAlignment="1">
      <alignment horizontal="center" shrinkToFit="1"/>
    </xf>
    <xf numFmtId="0" fontId="60" fillId="0" borderId="1" xfId="11" applyFont="1" applyBorder="1" applyAlignment="1">
      <alignment horizontal="center" shrinkToFit="1"/>
    </xf>
    <xf numFmtId="10" fontId="84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6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6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6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6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6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6" fillId="9" borderId="22" xfId="0" applyNumberFormat="1" applyFont="1" applyFill="1" applyBorder="1"/>
    <xf numFmtId="0" fontId="60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59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70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0" fontId="30" fillId="2" borderId="72" xfId="11" applyFont="1" applyFill="1" applyBorder="1" applyAlignment="1">
      <alignment horizontal="center" vertical="center" shrinkToFit="1"/>
    </xf>
    <xf numFmtId="10" fontId="30" fillId="3" borderId="73" xfId="11" applyNumberFormat="1" applyFont="1" applyFill="1" applyBorder="1" applyAlignment="1">
      <alignment horizontal="center" vertical="center" shrinkToFit="1"/>
    </xf>
    <xf numFmtId="0" fontId="30" fillId="2" borderId="74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0" fontId="13" fillId="2" borderId="74" xfId="11" applyFont="1" applyFill="1" applyBorder="1" applyAlignment="1">
      <alignment horizontal="center" shrinkToFit="1"/>
    </xf>
    <xf numFmtId="1" fontId="9" fillId="3" borderId="76" xfId="11" applyNumberFormat="1" applyFont="1" applyFill="1" applyBorder="1" applyAlignment="1">
      <alignment shrinkToFit="1"/>
    </xf>
    <xf numFmtId="195" fontId="6" fillId="0" borderId="0" xfId="15" applyNumberFormat="1">
      <alignment vertical="center"/>
    </xf>
    <xf numFmtId="0" fontId="60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193" fontId="84" fillId="9" borderId="22" xfId="4" applyNumberFormat="1" applyFont="1" applyFill="1" applyBorder="1" applyAlignment="1">
      <alignment horizontal="center" vertical="center"/>
    </xf>
    <xf numFmtId="193" fontId="84" fillId="9" borderId="22" xfId="6" applyNumberFormat="1" applyFont="1" applyFill="1" applyBorder="1" applyAlignment="1">
      <alignment horizontal="center" vertical="center"/>
    </xf>
    <xf numFmtId="0" fontId="30" fillId="0" borderId="77" xfId="11" applyFont="1" applyBorder="1" applyAlignment="1">
      <alignment vertical="center"/>
    </xf>
    <xf numFmtId="193" fontId="84" fillId="9" borderId="22" xfId="17" applyNumberFormat="1" applyFont="1" applyFill="1" applyBorder="1" applyAlignment="1">
      <alignment horizontal="center" vertical="center"/>
    </xf>
    <xf numFmtId="186" fontId="84" fillId="0" borderId="22" xfId="17" applyNumberFormat="1" applyFont="1" applyBorder="1" applyAlignment="1">
      <alignment horizontal="center" vertical="center"/>
    </xf>
    <xf numFmtId="186" fontId="88" fillId="0" borderId="22" xfId="19" applyNumberFormat="1" applyFont="1" applyBorder="1" applyAlignment="1">
      <alignment horizontal="center" vertical="center"/>
    </xf>
    <xf numFmtId="10" fontId="84" fillId="0" borderId="22" xfId="19" applyNumberFormat="1" applyFont="1" applyBorder="1" applyAlignment="1">
      <alignment horizontal="center" vertical="center"/>
    </xf>
    <xf numFmtId="10" fontId="84" fillId="0" borderId="22" xfId="17" applyNumberFormat="1" applyFont="1" applyBorder="1" applyAlignment="1">
      <alignment horizontal="center" vertical="center"/>
    </xf>
    <xf numFmtId="192" fontId="59" fillId="0" borderId="22" xfId="0" applyNumberFormat="1" applyFont="1" applyBorder="1" applyAlignment="1">
      <alignment shrinkToFit="1"/>
    </xf>
    <xf numFmtId="0" fontId="4" fillId="0" borderId="0" xfId="15" applyFont="1">
      <alignment vertical="center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59" fillId="0" borderId="22" xfId="11" applyFont="1" applyBorder="1" applyAlignment="1">
      <alignment horizontal="center" vertical="center" shrinkToFit="1"/>
    </xf>
    <xf numFmtId="1" fontId="30" fillId="3" borderId="78" xfId="11" applyNumberFormat="1" applyFont="1" applyFill="1" applyBorder="1" applyAlignment="1">
      <alignment vertical="center" shrinkToFit="1"/>
    </xf>
    <xf numFmtId="0" fontId="30" fillId="0" borderId="71" xfId="1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0" fontId="30" fillId="0" borderId="3" xfId="11" applyFont="1" applyBorder="1" applyAlignment="1">
      <alignment horizontal="left" vertical="center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6" fontId="38" fillId="0" borderId="22" xfId="11" applyNumberFormat="1" applyFont="1" applyBorder="1" applyAlignment="1">
      <alignment horizontal="center" vertical="center"/>
    </xf>
    <xf numFmtId="197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6" fontId="38" fillId="0" borderId="22" xfId="21" applyNumberFormat="1" applyFont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196" fontId="38" fillId="9" borderId="22" xfId="11" applyNumberFormat="1" applyFont="1" applyFill="1" applyBorder="1" applyAlignment="1">
      <alignment horizontal="center" vertical="center"/>
    </xf>
    <xf numFmtId="0" fontId="104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03" fillId="0" borderId="22" xfId="11" applyFont="1" applyBorder="1" applyAlignment="1">
      <alignment horizontal="left" vertical="center"/>
    </xf>
    <xf numFmtId="0" fontId="102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02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4" fillId="0" borderId="0" xfId="11" applyFont="1" applyAlignment="1">
      <alignment horizontal="center" vertical="center"/>
    </xf>
    <xf numFmtId="198" fontId="38" fillId="9" borderId="22" xfId="13" applyNumberFormat="1" applyFont="1" applyFill="1" applyBorder="1" applyAlignment="1">
      <alignment horizontal="center" vertical="center"/>
    </xf>
    <xf numFmtId="1" fontId="63" fillId="0" borderId="79" xfId="11" applyNumberFormat="1" applyFont="1" applyBorder="1" applyAlignment="1">
      <alignment horizontal="center" vertical="center"/>
    </xf>
    <xf numFmtId="9" fontId="33" fillId="0" borderId="79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80" xfId="11" applyFont="1" applyBorder="1" applyAlignment="1">
      <alignment vertical="center"/>
    </xf>
    <xf numFmtId="0" fontId="2" fillId="0" borderId="0" xfId="15" applyFont="1">
      <alignment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left" vertical="center"/>
    </xf>
    <xf numFmtId="0" fontId="30" fillId="0" borderId="59" xfId="11" applyFont="1" applyBorder="1" applyAlignment="1">
      <alignment vertical="center"/>
    </xf>
    <xf numFmtId="0" fontId="30" fillId="0" borderId="81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4" fontId="30" fillId="0" borderId="22" xfId="0" applyNumberFormat="1" applyFont="1" applyBorder="1" applyAlignment="1">
      <alignment horizontal="center" shrinkToFit="1"/>
    </xf>
    <xf numFmtId="177" fontId="16" fillId="9" borderId="25" xfId="0" applyNumberFormat="1" applyFont="1" applyFill="1" applyBorder="1"/>
    <xf numFmtId="0" fontId="106" fillId="0" borderId="0" xfId="0" applyFont="1" applyAlignment="1">
      <alignment vertical="center"/>
    </xf>
    <xf numFmtId="179" fontId="16" fillId="0" borderId="0" xfId="0" applyNumberFormat="1" applyFont="1" applyAlignment="1">
      <alignment horizontal="center" shrinkToFit="1"/>
    </xf>
    <xf numFmtId="179" fontId="16" fillId="0" borderId="0" xfId="0" applyNumberFormat="1" applyFont="1" applyAlignment="1">
      <alignment shrinkToFit="1"/>
    </xf>
    <xf numFmtId="0" fontId="16" fillId="0" borderId="0" xfId="11" applyFont="1" applyAlignment="1">
      <alignment horizontal="center" shrinkToFit="1"/>
    </xf>
    <xf numFmtId="0" fontId="28" fillId="0" borderId="0" xfId="11" applyFont="1" applyAlignment="1">
      <alignment horizontal="center" shrinkToFit="1"/>
    </xf>
    <xf numFmtId="3" fontId="8" fillId="0" borderId="0" xfId="4" applyNumberFormat="1">
      <alignment vertical="center"/>
    </xf>
    <xf numFmtId="0" fontId="1" fillId="0" borderId="0" xfId="15" applyFont="1">
      <alignment vertical="center"/>
    </xf>
    <xf numFmtId="0" fontId="96" fillId="0" borderId="0" xfId="15" applyFont="1">
      <alignment vertical="center"/>
    </xf>
    <xf numFmtId="10" fontId="9" fillId="0" borderId="65" xfId="11" applyNumberFormat="1" applyFont="1" applyBorder="1" applyAlignment="1">
      <alignment vertical="center" shrinkToFit="1"/>
    </xf>
    <xf numFmtId="10" fontId="30" fillId="3" borderId="83" xfId="0" applyNumberFormat="1" applyFont="1" applyFill="1" applyBorder="1" applyAlignment="1">
      <alignment horizontal="center" vertical="center" shrinkToFit="1"/>
    </xf>
    <xf numFmtId="0" fontId="30" fillId="0" borderId="77" xfId="11" applyFont="1" applyBorder="1" applyAlignment="1">
      <alignment horizontal="left" vertical="center"/>
    </xf>
    <xf numFmtId="183" fontId="16" fillId="0" borderId="0" xfId="0" applyNumberFormat="1" applyFont="1" applyAlignment="1">
      <alignment horizontal="center" vertical="center" shrinkToFit="1"/>
    </xf>
    <xf numFmtId="183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shrinkToFit="1"/>
    </xf>
    <xf numFmtId="1" fontId="16" fillId="0" borderId="0" xfId="0" applyNumberFormat="1" applyFont="1" applyAlignment="1">
      <alignment horizontal="center" vertical="center" shrinkToFit="1"/>
    </xf>
    <xf numFmtId="0" fontId="107" fillId="0" borderId="0" xfId="0" applyFont="1" applyAlignment="1">
      <alignment shrinkToFit="1"/>
    </xf>
    <xf numFmtId="0" fontId="71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97" fillId="0" borderId="22" xfId="0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189" fontId="16" fillId="0" borderId="23" xfId="0" applyNumberFormat="1" applyFont="1" applyBorder="1" applyAlignment="1">
      <alignment horizontal="center" shrinkToFit="1"/>
    </xf>
    <xf numFmtId="189" fontId="16" fillId="0" borderId="29" xfId="0" applyNumberFormat="1" applyFont="1" applyBorder="1" applyAlignment="1">
      <alignment horizontal="center" shrinkToFit="1"/>
    </xf>
    <xf numFmtId="189" fontId="16" fillId="0" borderId="30" xfId="0" applyNumberFormat="1" applyFont="1" applyBorder="1" applyAlignment="1">
      <alignment horizontal="center" shrinkToFit="1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189" fontId="28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77" fontId="81" fillId="0" borderId="22" xfId="0" applyNumberFormat="1" applyFont="1" applyBorder="1" applyAlignment="1">
      <alignment horizontal="center" vertical="center"/>
    </xf>
    <xf numFmtId="190" fontId="28" fillId="0" borderId="22" xfId="0" applyNumberFormat="1" applyFont="1" applyBorder="1" applyAlignment="1">
      <alignment horizont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77" fontId="16" fillId="0" borderId="22" xfId="0" applyNumberFormat="1" applyFont="1" applyBorder="1" applyAlignment="1">
      <alignment horizontal="center"/>
    </xf>
    <xf numFmtId="0" fontId="16" fillId="9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7" fontId="16" fillId="8" borderId="27" xfId="0" applyNumberFormat="1" applyFont="1" applyFill="1" applyBorder="1" applyAlignment="1">
      <alignment horizontal="center" vertical="center" shrinkToFit="1"/>
    </xf>
    <xf numFmtId="187" fontId="16" fillId="8" borderId="28" xfId="0" applyNumberFormat="1" applyFont="1" applyFill="1" applyBorder="1" applyAlignment="1">
      <alignment horizontal="center" vertical="center" shrinkToFit="1"/>
    </xf>
    <xf numFmtId="187" fontId="16" fillId="8" borderId="25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 shrinkToFit="1"/>
    </xf>
    <xf numFmtId="179" fontId="16" fillId="8" borderId="28" xfId="0" applyNumberFormat="1" applyFont="1" applyFill="1" applyBorder="1" applyAlignment="1">
      <alignment horizontal="center" vertical="center" shrinkToFit="1"/>
    </xf>
    <xf numFmtId="179" fontId="16" fillId="8" borderId="25" xfId="0" applyNumberFormat="1" applyFont="1" applyFill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0" fontId="59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59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59" fillId="2" borderId="22" xfId="0" applyFont="1" applyFill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59" fillId="0" borderId="27" xfId="0" applyFont="1" applyBorder="1" applyAlignment="1">
      <alignment shrinkToFit="1"/>
    </xf>
    <xf numFmtId="0" fontId="59" fillId="0" borderId="25" xfId="0" applyFont="1" applyBorder="1" applyAlignment="1">
      <alignment shrinkToFit="1"/>
    </xf>
    <xf numFmtId="0" fontId="53" fillId="0" borderId="37" xfId="0" applyFont="1" applyBorder="1" applyAlignment="1">
      <alignment horizontal="left" vertic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59" fillId="2" borderId="27" xfId="0" applyFont="1" applyFill="1" applyBorder="1" applyAlignment="1">
      <alignment horizontal="center" vertical="center" shrinkToFit="1"/>
    </xf>
    <xf numFmtId="0" fontId="59" fillId="2" borderId="25" xfId="0" applyFont="1" applyFill="1" applyBorder="1" applyAlignment="1">
      <alignment horizontal="center" vertical="center" shrinkToFit="1"/>
    </xf>
    <xf numFmtId="0" fontId="59" fillId="2" borderId="28" xfId="0" applyFont="1" applyFill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59" fillId="2" borderId="23" xfId="0" applyFont="1" applyFill="1" applyBorder="1" applyAlignment="1">
      <alignment horizontal="center" vertical="center" shrinkToFit="1"/>
    </xf>
    <xf numFmtId="0" fontId="59" fillId="2" borderId="29" xfId="0" applyFont="1" applyFill="1" applyBorder="1" applyAlignment="1">
      <alignment horizontal="center" vertical="center" shrinkToFit="1"/>
    </xf>
    <xf numFmtId="0" fontId="59" fillId="2" borderId="30" xfId="0" applyFont="1" applyFill="1" applyBorder="1" applyAlignment="1">
      <alignment horizontal="center" vertical="center" shrinkToFit="1"/>
    </xf>
    <xf numFmtId="0" fontId="59" fillId="0" borderId="28" xfId="0" applyFont="1" applyBorder="1" applyAlignment="1">
      <alignment shrinkToFit="1"/>
    </xf>
    <xf numFmtId="0" fontId="74" fillId="0" borderId="27" xfId="0" applyFont="1" applyBorder="1" applyAlignment="1">
      <alignment shrinkToFit="1"/>
    </xf>
    <xf numFmtId="0" fontId="74" fillId="0" borderId="28" xfId="0" applyFont="1" applyBorder="1" applyAlignment="1">
      <alignment shrinkToFit="1"/>
    </xf>
    <xf numFmtId="0" fontId="74" fillId="0" borderId="25" xfId="0" applyFont="1" applyBorder="1" applyAlignment="1">
      <alignment shrinkToFit="1"/>
    </xf>
    <xf numFmtId="0" fontId="59" fillId="2" borderId="27" xfId="0" applyFont="1" applyFill="1" applyBorder="1" applyAlignment="1">
      <alignment horizontal="center" shrinkToFit="1"/>
    </xf>
    <xf numFmtId="0" fontId="59" fillId="2" borderId="25" xfId="0" applyFont="1" applyFill="1" applyBorder="1" applyAlignment="1">
      <alignment horizontal="center" shrinkToFit="1"/>
    </xf>
    <xf numFmtId="0" fontId="59" fillId="2" borderId="28" xfId="0" applyFont="1" applyFill="1" applyBorder="1" applyAlignment="1">
      <alignment horizontal="center" shrinkToFit="1"/>
    </xf>
    <xf numFmtId="0" fontId="79" fillId="0" borderId="27" xfId="0" applyFont="1" applyBorder="1" applyAlignment="1">
      <alignment shrinkToFit="1"/>
    </xf>
    <xf numFmtId="0" fontId="79" fillId="0" borderId="25" xfId="0" applyFont="1" applyBorder="1" applyAlignment="1">
      <alignment shrinkToFit="1"/>
    </xf>
    <xf numFmtId="0" fontId="79" fillId="0" borderId="22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101" fillId="0" borderId="22" xfId="0" applyFont="1" applyBorder="1" applyAlignment="1">
      <alignment shrinkToFit="1"/>
    </xf>
    <xf numFmtId="0" fontId="66" fillId="0" borderId="22" xfId="0" applyFont="1" applyBorder="1" applyAlignment="1">
      <alignment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66" fillId="0" borderId="22" xfId="11" applyFont="1" applyBorder="1" applyAlignment="1">
      <alignment horizontal="center" vertical="center" wrapText="1"/>
    </xf>
    <xf numFmtId="0" fontId="66" fillId="2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top" wrapText="1"/>
    </xf>
    <xf numFmtId="0" fontId="79" fillId="0" borderId="3" xfId="11" applyFont="1" applyBorder="1" applyAlignment="1">
      <alignment horizontal="left" vertical="top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vertical="center" wrapText="1"/>
    </xf>
    <xf numFmtId="0" fontId="79" fillId="4" borderId="3" xfId="11" applyFont="1" applyFill="1" applyBorder="1" applyAlignment="1">
      <alignment vertical="center" wrapTex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79" fillId="4" borderId="4" xfId="11" applyFont="1" applyFill="1" applyBorder="1" applyAlignment="1">
      <alignment horizontal="left" vertical="center" wrapText="1"/>
    </xf>
    <xf numFmtId="0" fontId="79" fillId="4" borderId="3" xfId="11" applyFont="1" applyFill="1" applyBorder="1" applyAlignment="1">
      <alignment horizontal="left" vertical="center" wrapTex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66" fillId="0" borderId="4" xfId="11" applyFont="1" applyBorder="1" applyAlignment="1">
      <alignment horizontal="left" vertical="center" wrapText="1"/>
    </xf>
    <xf numFmtId="0" fontId="66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6" fillId="2" borderId="57" xfId="11" applyFont="1" applyFill="1" applyBorder="1" applyAlignment="1">
      <alignment horizontal="center" vertical="center" shrinkToFit="1"/>
    </xf>
    <xf numFmtId="0" fontId="66" fillId="2" borderId="61" xfId="11" applyFont="1" applyFill="1" applyBorder="1" applyAlignment="1">
      <alignment horizontal="center" vertical="center" shrinkToFit="1"/>
    </xf>
    <xf numFmtId="0" fontId="66" fillId="2" borderId="57" xfId="11" applyFont="1" applyFill="1" applyBorder="1" applyAlignment="1">
      <alignment horizontal="left" vertical="center" shrinkToFit="1"/>
    </xf>
    <xf numFmtId="0" fontId="66" fillId="2" borderId="61" xfId="11" applyFont="1" applyFill="1" applyBorder="1" applyAlignment="1">
      <alignment horizontal="left" vertical="center" shrinkToFit="1"/>
    </xf>
    <xf numFmtId="0" fontId="66" fillId="0" borderId="4" xfId="11" applyFont="1" applyBorder="1" applyAlignment="1">
      <alignment horizontal="left" vertical="center" shrinkToFit="1"/>
    </xf>
    <xf numFmtId="0" fontId="66" fillId="0" borderId="62" xfId="11" applyFont="1" applyBorder="1" applyAlignment="1">
      <alignment horizontal="left" vertical="center" shrinkToFit="1"/>
    </xf>
    <xf numFmtId="0" fontId="66" fillId="2" borderId="52" xfId="11" applyFont="1" applyFill="1" applyBorder="1" applyAlignment="1">
      <alignment horizontal="center" vertical="center" shrinkToFit="1"/>
    </xf>
    <xf numFmtId="0" fontId="66" fillId="2" borderId="26" xfId="11" applyFont="1" applyFill="1" applyBorder="1" applyAlignment="1">
      <alignment horizontal="center" vertical="center" shrinkToFit="1"/>
    </xf>
    <xf numFmtId="0" fontId="66" fillId="2" borderId="36" xfId="11" applyFont="1" applyFill="1" applyBorder="1" applyAlignment="1">
      <alignment horizontal="center" vertical="center" shrinkToFit="1"/>
    </xf>
    <xf numFmtId="0" fontId="66" fillId="0" borderId="68" xfId="11" applyFont="1" applyBorder="1" applyAlignment="1">
      <alignment horizontal="left" vertical="center" wrapText="1"/>
    </xf>
    <xf numFmtId="0" fontId="66" fillId="0" borderId="61" xfId="11" applyFont="1" applyBorder="1" applyAlignment="1">
      <alignment horizontal="left" vertical="center" wrapText="1"/>
    </xf>
    <xf numFmtId="0" fontId="66" fillId="2" borderId="52" xfId="11" applyFont="1" applyFill="1" applyBorder="1" applyAlignment="1">
      <alignment horizontal="left" vertical="center" shrinkToFit="1"/>
    </xf>
    <xf numFmtId="0" fontId="66" fillId="2" borderId="26" xfId="11" applyFont="1" applyFill="1" applyBorder="1" applyAlignment="1">
      <alignment horizontal="left" vertical="center" shrinkToFit="1"/>
    </xf>
    <xf numFmtId="0" fontId="66" fillId="2" borderId="53" xfId="11" applyFont="1" applyFill="1" applyBorder="1" applyAlignment="1">
      <alignment horizontal="left" vertical="center" shrinkToFit="1"/>
    </xf>
    <xf numFmtId="0" fontId="59" fillId="0" borderId="22" xfId="11" applyFont="1" applyBorder="1" applyAlignment="1">
      <alignment horizontal="center" vertical="center" shrinkToFit="1"/>
    </xf>
    <xf numFmtId="0" fontId="79" fillId="0" borderId="4" xfId="11" applyFont="1" applyBorder="1" applyAlignment="1">
      <alignment vertical="top" wrapText="1" shrinkToFit="1"/>
    </xf>
    <xf numFmtId="0" fontId="79" fillId="0" borderId="3" xfId="11" applyFont="1" applyBorder="1" applyAlignment="1">
      <alignment vertical="top" wrapText="1" shrinkToFit="1"/>
    </xf>
    <xf numFmtId="0" fontId="95" fillId="0" borderId="4" xfId="11" applyFont="1" applyBorder="1" applyAlignment="1">
      <alignment vertical="top" shrinkToFit="1"/>
    </xf>
    <xf numFmtId="0" fontId="9" fillId="0" borderId="3" xfId="11" applyFont="1" applyBorder="1" applyAlignment="1">
      <alignment vertical="top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0" borderId="23" xfId="11" applyFont="1" applyBorder="1" applyAlignment="1">
      <alignment horizontal="center" vertical="center"/>
    </xf>
    <xf numFmtId="0" fontId="30" fillId="0" borderId="29" xfId="11" applyFont="1" applyBorder="1" applyAlignment="1">
      <alignment horizontal="center" vertical="center"/>
    </xf>
    <xf numFmtId="0" fontId="30" fillId="0" borderId="30" xfId="11" applyFont="1" applyBorder="1" applyAlignment="1">
      <alignment horizontal="center" vertical="center"/>
    </xf>
    <xf numFmtId="0" fontId="30" fillId="0" borderId="31" xfId="11" applyFont="1" applyBorder="1" applyAlignment="1">
      <alignment horizontal="center" vertical="center" shrinkToFit="1"/>
    </xf>
    <xf numFmtId="0" fontId="30" fillId="0" borderId="32" xfId="11" applyFont="1" applyBorder="1" applyAlignment="1">
      <alignment horizontal="center" vertical="center" shrinkToFit="1"/>
    </xf>
    <xf numFmtId="0" fontId="30" fillId="0" borderId="35" xfId="11" applyFont="1" applyBorder="1" applyAlignment="1">
      <alignment horizontal="center" vertical="center" shrinkToFit="1"/>
    </xf>
    <xf numFmtId="0" fontId="30" fillId="0" borderId="36" xfId="11" applyFont="1" applyBorder="1" applyAlignment="1">
      <alignment horizontal="center" vertical="center" shrinkToFit="1"/>
    </xf>
    <xf numFmtId="0" fontId="46" fillId="0" borderId="23" xfId="11" applyFont="1" applyBorder="1" applyAlignment="1">
      <alignment horizontal="center" vertical="center"/>
    </xf>
    <xf numFmtId="0" fontId="46" fillId="0" borderId="29" xfId="11" applyFont="1" applyBorder="1" applyAlignment="1">
      <alignment horizontal="center" vertical="center"/>
    </xf>
    <xf numFmtId="0" fontId="46" fillId="0" borderId="30" xfId="11" applyFont="1" applyBorder="1" applyAlignment="1">
      <alignment horizontal="center" vertical="center"/>
    </xf>
    <xf numFmtId="0" fontId="46" fillId="0" borderId="82" xfId="11" applyFont="1" applyBorder="1" applyAlignment="1">
      <alignment horizontal="center" vertical="center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0" xfId="11" applyFont="1" applyFill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66" fillId="0" borderId="71" xfId="11" applyFont="1" applyBorder="1" applyAlignment="1">
      <alignment horizontal="left" vertical="center" wrapTex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195" fontId="84" fillId="9" borderId="22" xfId="15" applyNumberFormat="1" applyFont="1" applyFill="1" applyBorder="1" applyAlignment="1">
      <alignment horizontal="center" vertical="center"/>
    </xf>
    <xf numFmtId="0" fontId="82" fillId="10" borderId="22" xfId="4" applyFont="1" applyFill="1" applyBorder="1" applyAlignment="1">
      <alignment horizontal="center" vertical="center" wrapText="1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0" fontId="102" fillId="0" borderId="31" xfId="11" applyFont="1" applyBorder="1" applyAlignment="1">
      <alignment horizontal="center" vertical="center"/>
    </xf>
    <xf numFmtId="0" fontId="102" fillId="0" borderId="32" xfId="11" applyFont="1" applyBorder="1" applyAlignment="1">
      <alignment horizontal="center" vertical="center"/>
    </xf>
    <xf numFmtId="0" fontId="102" fillId="0" borderId="33" xfId="11" applyFont="1" applyBorder="1" applyAlignment="1">
      <alignment horizontal="center" vertical="center"/>
    </xf>
    <xf numFmtId="0" fontId="102" fillId="0" borderId="34" xfId="11" applyFont="1" applyBorder="1" applyAlignment="1">
      <alignment horizontal="center" vertical="center"/>
    </xf>
    <xf numFmtId="0" fontId="102" fillId="0" borderId="35" xfId="11" applyFont="1" applyBorder="1" applyAlignment="1">
      <alignment horizontal="center" vertical="center"/>
    </xf>
    <xf numFmtId="0" fontId="102" fillId="0" borderId="36" xfId="11" applyFont="1" applyBorder="1" applyAlignment="1">
      <alignment horizontal="center" vertical="center"/>
    </xf>
    <xf numFmtId="0" fontId="103" fillId="5" borderId="23" xfId="5" applyFont="1" applyFill="1" applyBorder="1" applyAlignment="1">
      <alignment horizontal="center" vertical="center"/>
    </xf>
    <xf numFmtId="0" fontId="103" fillId="5" borderId="29" xfId="5" applyFont="1" applyFill="1" applyBorder="1" applyAlignment="1">
      <alignment horizontal="center" vertical="center"/>
    </xf>
    <xf numFmtId="0" fontId="103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31" xfId="5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102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62" fillId="5" borderId="23" xfId="5" applyFont="1" applyFill="1" applyBorder="1" applyAlignment="1">
      <alignment horizontal="center" vertical="center"/>
    </xf>
    <xf numFmtId="0" fontId="62" fillId="5" borderId="29" xfId="5" applyFont="1" applyFill="1" applyBorder="1" applyAlignment="1">
      <alignment horizontal="center" vertical="center"/>
    </xf>
    <xf numFmtId="0" fontId="62" fillId="5" borderId="30" xfId="5" applyFont="1" applyFill="1" applyBorder="1" applyAlignment="1">
      <alignment horizontal="center" vertical="center"/>
    </xf>
    <xf numFmtId="0" fontId="103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39" fillId="5" borderId="22" xfId="5" applyFont="1" applyFill="1" applyBorder="1" applyAlignment="1">
      <alignment horizontal="center"/>
    </xf>
    <xf numFmtId="185" fontId="28" fillId="0" borderId="0" xfId="14" applyNumberFormat="1" applyFont="1" applyAlignment="1">
      <alignment horizontal="center"/>
    </xf>
  </cellXfs>
  <cellStyles count="23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106-011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6-0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4.21875</v>
          </cell>
          <cell r="C4">
            <v>2922.2479198009923</v>
          </cell>
        </row>
        <row r="5">
          <cell r="A5" t="str">
            <v>一配北海道秋鮭親子飯糰</v>
          </cell>
          <cell r="B5">
            <v>4</v>
          </cell>
          <cell r="C5">
            <v>2923.991031390136</v>
          </cell>
        </row>
        <row r="6">
          <cell r="A6" t="str">
            <v>一配兩粒飯糰(鮪魚.焦糖鮭魚)</v>
          </cell>
          <cell r="B6">
            <v>12</v>
          </cell>
          <cell r="C6">
            <v>3112.4827268539816</v>
          </cell>
        </row>
        <row r="7">
          <cell r="A7" t="str">
            <v>一配明太子乳酪起司沙拉飯糰</v>
          </cell>
          <cell r="B7">
            <v>4</v>
          </cell>
          <cell r="C7">
            <v>2845.0485436893214</v>
          </cell>
        </row>
        <row r="8">
          <cell r="A8" t="str">
            <v>一配明太子龍蝦風味沙拉飯糰</v>
          </cell>
          <cell r="B8">
            <v>3</v>
          </cell>
          <cell r="C8">
            <v>3116.2334477685131</v>
          </cell>
        </row>
        <row r="9">
          <cell r="A9" t="str">
            <v>一配博多明太子奶油飯糰</v>
          </cell>
          <cell r="B9">
            <v>4</v>
          </cell>
          <cell r="C9">
            <v>2923.2736572889999</v>
          </cell>
        </row>
        <row r="10">
          <cell r="A10" t="str">
            <v>一配壹號醬炙烤牛飯糰</v>
          </cell>
          <cell r="B10">
            <v>5</v>
          </cell>
          <cell r="C10">
            <v>2953.024911032031</v>
          </cell>
        </row>
        <row r="11">
          <cell r="A11" t="str">
            <v>一配照燒雞肉飯糰</v>
          </cell>
          <cell r="B11">
            <v>4</v>
          </cell>
          <cell r="C11">
            <v>2954.1240216736924</v>
          </cell>
        </row>
        <row r="12">
          <cell r="A12" t="str">
            <v>一配經典肉鬆飯糰</v>
          </cell>
          <cell r="B12">
            <v>3</v>
          </cell>
          <cell r="C12">
            <v>2684.5578530576317</v>
          </cell>
        </row>
        <row r="13">
          <cell r="A13" t="str">
            <v>一配熟成紅鮭飯糰</v>
          </cell>
          <cell r="B13">
            <v>4</v>
          </cell>
          <cell r="C13">
            <v>2923.9548772395633</v>
          </cell>
        </row>
        <row r="14">
          <cell r="A14" t="str">
            <v>一配蔬食鮪魚飯糰</v>
          </cell>
          <cell r="B14">
            <v>3</v>
          </cell>
          <cell r="C14">
            <v>3119.5488721804604</v>
          </cell>
        </row>
        <row r="15">
          <cell r="A15" t="str">
            <v>一配鮪魚飯糰</v>
          </cell>
          <cell r="B15">
            <v>3</v>
          </cell>
          <cell r="C15">
            <v>3117.2053804456914</v>
          </cell>
        </row>
        <row r="16">
          <cell r="A16" t="str">
            <v>一配鮭魚奶油醬油飯糰</v>
          </cell>
          <cell r="B16">
            <v>3</v>
          </cell>
          <cell r="C16">
            <v>2948.7106598984792</v>
          </cell>
        </row>
        <row r="17">
          <cell r="A17" t="str">
            <v>一配贅沢鮭魚肚飯糰</v>
          </cell>
          <cell r="B17">
            <v>3</v>
          </cell>
          <cell r="C17">
            <v>2687.9078694817663</v>
          </cell>
        </row>
        <row r="18">
          <cell r="A18" t="str">
            <v>一配雞肉飯飯糰</v>
          </cell>
          <cell r="B18">
            <v>4</v>
          </cell>
          <cell r="C18">
            <v>2946.5346534653486</v>
          </cell>
        </row>
        <row r="19">
          <cell r="A19" t="str">
            <v>一配鹽蔥燒肉飯糰</v>
          </cell>
          <cell r="B19">
            <v>4</v>
          </cell>
          <cell r="C19">
            <v>2949.4295178505695</v>
          </cell>
        </row>
        <row r="20">
          <cell r="A20" t="str">
            <v>二配三杯醬爆菇菇飯糰</v>
          </cell>
          <cell r="B20">
            <v>3</v>
          </cell>
          <cell r="C20">
            <v>2951.100535395597</v>
          </cell>
        </row>
        <row r="21">
          <cell r="A21" t="str">
            <v>二配大飯糰滷肉飯加蛋</v>
          </cell>
          <cell r="B21">
            <v>5</v>
          </cell>
          <cell r="C21">
            <v>2660.3693181818162</v>
          </cell>
        </row>
        <row r="22">
          <cell r="A22" t="str">
            <v>二配大飯糰韓式蒜烤豬五花</v>
          </cell>
          <cell r="B22">
            <v>4</v>
          </cell>
          <cell r="C22">
            <v>2660.4938271604897</v>
          </cell>
        </row>
        <row r="23">
          <cell r="A23" t="str">
            <v>二配北海道秋鮭親子飯糰</v>
          </cell>
          <cell r="B23">
            <v>4</v>
          </cell>
          <cell r="C23">
            <v>2922.6939970717435</v>
          </cell>
        </row>
        <row r="24">
          <cell r="A24" t="str">
            <v>二配兩粒飯糰(鮪魚.焦糖鮭魚)</v>
          </cell>
          <cell r="B24">
            <v>12</v>
          </cell>
          <cell r="C24">
            <v>3114.1498216409086</v>
          </cell>
        </row>
        <row r="25">
          <cell r="A25" t="str">
            <v>二配明太子乳酪起司沙拉飯糰</v>
          </cell>
          <cell r="B25">
            <v>4</v>
          </cell>
          <cell r="C25">
            <v>2855.3956834532369</v>
          </cell>
        </row>
        <row r="26">
          <cell r="A26" t="str">
            <v>二配明太子龍蝦風味沙拉飯糰</v>
          </cell>
          <cell r="B26">
            <v>3</v>
          </cell>
          <cell r="C26">
            <v>3119.569120287249</v>
          </cell>
        </row>
        <row r="27">
          <cell r="A27" t="str">
            <v>二配油蔥G絲飯糰</v>
          </cell>
          <cell r="B27">
            <v>4</v>
          </cell>
          <cell r="C27">
            <v>2949.9316005471865</v>
          </cell>
        </row>
        <row r="28">
          <cell r="A28" t="str">
            <v>二配芝麻香鬆飯糰</v>
          </cell>
          <cell r="B28">
            <v>4</v>
          </cell>
          <cell r="C28">
            <v>2687.8073256397506</v>
          </cell>
        </row>
        <row r="29">
          <cell r="A29" t="str">
            <v>二配壹號醬炙烤牛飯糰</v>
          </cell>
          <cell r="B29">
            <v>5</v>
          </cell>
          <cell r="C29">
            <v>2947.9809976247011</v>
          </cell>
        </row>
        <row r="30">
          <cell r="A30" t="str">
            <v>二配經典肉鬆飯糰</v>
          </cell>
          <cell r="B30">
            <v>3</v>
          </cell>
          <cell r="C30">
            <v>2685.3852151881561</v>
          </cell>
        </row>
        <row r="31">
          <cell r="A31" t="str">
            <v>二配熟成紅鮭飯糰</v>
          </cell>
          <cell r="B31">
            <v>4</v>
          </cell>
          <cell r="C31">
            <v>2922.4528301886808</v>
          </cell>
        </row>
        <row r="32">
          <cell r="A32" t="str">
            <v>二配蔬食鮪魚飯糰</v>
          </cell>
          <cell r="B32">
            <v>3</v>
          </cell>
          <cell r="C32">
            <v>3120.8191126279753</v>
          </cell>
        </row>
        <row r="33">
          <cell r="A33" t="str">
            <v>二配鮪魚飯糰</v>
          </cell>
          <cell r="B33">
            <v>3</v>
          </cell>
          <cell r="C33">
            <v>3117.5432403812192</v>
          </cell>
        </row>
        <row r="34">
          <cell r="A34" t="str">
            <v>二配雞肉飯飯糰</v>
          </cell>
          <cell r="B34">
            <v>4</v>
          </cell>
          <cell r="C34">
            <v>2949.0303195848142</v>
          </cell>
        </row>
        <row r="35">
          <cell r="A35" t="str">
            <v>二配鹽蔥燒肉飯糰</v>
          </cell>
          <cell r="B35">
            <v>4</v>
          </cell>
          <cell r="C35">
            <v>2955.7972501539089</v>
          </cell>
        </row>
        <row r="36">
          <cell r="A36" t="str">
            <v>18℃-壽司手卷</v>
          </cell>
          <cell r="B36">
            <v>12</v>
          </cell>
          <cell r="C36">
            <v>2720.1855487016578</v>
          </cell>
        </row>
        <row r="37">
          <cell r="A37" t="str">
            <v>一配明太子玉子脆卷</v>
          </cell>
          <cell r="B37">
            <v>6</v>
          </cell>
          <cell r="C37">
            <v>2254.4731610337958</v>
          </cell>
        </row>
        <row r="38">
          <cell r="A38" t="str">
            <v>一配長野稻荷壽司</v>
          </cell>
          <cell r="B38">
            <v>11</v>
          </cell>
          <cell r="C38">
            <v>3152.2537562604293</v>
          </cell>
        </row>
        <row r="39">
          <cell r="A39" t="str">
            <v>一配核桃腰果稻荷壽司組</v>
          </cell>
          <cell r="B39">
            <v>12</v>
          </cell>
          <cell r="C39">
            <v>1533.5837716003002</v>
          </cell>
        </row>
        <row r="40">
          <cell r="A40" t="str">
            <v>一配海饌雙手卷</v>
          </cell>
          <cell r="B40">
            <v>17</v>
          </cell>
          <cell r="C40">
            <v>3116.9398907103764</v>
          </cell>
        </row>
        <row r="41">
          <cell r="A41" t="str">
            <v>一配經典鮪魚沙拉細卷</v>
          </cell>
          <cell r="B41">
            <v>6</v>
          </cell>
          <cell r="C41">
            <v>2318.3402489626565</v>
          </cell>
        </row>
        <row r="42">
          <cell r="A42" t="str">
            <v>一配雙鬆細卷</v>
          </cell>
          <cell r="B42">
            <v>6</v>
          </cell>
          <cell r="C42">
            <v>2318.6440677966079</v>
          </cell>
        </row>
        <row r="43">
          <cell r="A43" t="str">
            <v>一配雙饗雙手卷</v>
          </cell>
          <cell r="B43">
            <v>17</v>
          </cell>
          <cell r="C43">
            <v>3117.9818887451515</v>
          </cell>
        </row>
        <row r="44">
          <cell r="A44" t="str">
            <v>二配長野稻荷壽司</v>
          </cell>
          <cell r="B44">
            <v>11</v>
          </cell>
          <cell r="C44">
            <v>3153.0291697830935</v>
          </cell>
        </row>
        <row r="45">
          <cell r="A45" t="str">
            <v>二配海饌雙手卷</v>
          </cell>
          <cell r="B45">
            <v>17</v>
          </cell>
          <cell r="C45">
            <v>3116.9006176305388</v>
          </cell>
        </row>
        <row r="46">
          <cell r="A46" t="str">
            <v>二配雙饗雙手卷</v>
          </cell>
          <cell r="B46">
            <v>17</v>
          </cell>
          <cell r="C46">
            <v>3119.7089144936285</v>
          </cell>
        </row>
        <row r="47">
          <cell r="A47" t="str">
            <v>4℃-飯糰</v>
          </cell>
          <cell r="B47">
            <v>15.333333333333334</v>
          </cell>
          <cell r="C47">
            <v>2625.487864536592</v>
          </cell>
        </row>
        <row r="48">
          <cell r="A48" t="str">
            <v>和風牛肉咖哩炸飯糰</v>
          </cell>
          <cell r="B48">
            <v>6</v>
          </cell>
          <cell r="C48">
            <v>3258.7677725118574</v>
          </cell>
        </row>
        <row r="49">
          <cell r="A49" t="str">
            <v>麻油雞飯糰</v>
          </cell>
          <cell r="B49">
            <v>20</v>
          </cell>
          <cell r="C49">
            <v>2308.9440276976329</v>
          </cell>
        </row>
        <row r="50">
          <cell r="A50" t="str">
            <v>韓素燒若飯糰</v>
          </cell>
          <cell r="B50">
            <v>20</v>
          </cell>
          <cell r="C50">
            <v>2308.7517934002858</v>
          </cell>
        </row>
        <row r="51">
          <cell r="A51" t="str">
            <v>季節調理麵</v>
          </cell>
          <cell r="B51">
            <v>18.666666666666668</v>
          </cell>
          <cell r="C51">
            <v>2135.757718221199</v>
          </cell>
        </row>
        <row r="52">
          <cell r="A52" t="str">
            <v>和風匠製胡麻涼麵</v>
          </cell>
          <cell r="B52">
            <v>19</v>
          </cell>
          <cell r="C52">
            <v>3201.0309278350524</v>
          </cell>
        </row>
        <row r="53">
          <cell r="A53" t="str">
            <v>東京豚骨風味拉麵</v>
          </cell>
          <cell r="B53">
            <v>19</v>
          </cell>
          <cell r="C53">
            <v>1603.6363636363621</v>
          </cell>
        </row>
        <row r="54">
          <cell r="A54" t="str">
            <v>醬油叉燒拉麵</v>
          </cell>
          <cell r="B54">
            <v>18</v>
          </cell>
          <cell r="C54">
            <v>1602.6058631921824</v>
          </cell>
        </row>
        <row r="55">
          <cell r="A55" t="str">
            <v>便當</v>
          </cell>
          <cell r="B55">
            <v>22.555555555555557</v>
          </cell>
          <cell r="C55">
            <v>1774.6804354303567</v>
          </cell>
        </row>
        <row r="56">
          <cell r="A56" t="str">
            <v>美式雞丁餐盒</v>
          </cell>
          <cell r="B56">
            <v>24</v>
          </cell>
          <cell r="C56">
            <v>1771.9943422913714</v>
          </cell>
        </row>
        <row r="57">
          <cell r="A57" t="str">
            <v>香烤藍尾鱈魚五行餐盒</v>
          </cell>
          <cell r="B57">
            <v>20</v>
          </cell>
          <cell r="C57">
            <v>1773.6401673640182</v>
          </cell>
        </row>
        <row r="58">
          <cell r="A58" t="str">
            <v>香腸腿排雙拼便當</v>
          </cell>
          <cell r="B58">
            <v>20</v>
          </cell>
          <cell r="C58">
            <v>1772.0007151796895</v>
          </cell>
        </row>
        <row r="59">
          <cell r="A59" t="str">
            <v>海陸雙拼肉肉餐盒</v>
          </cell>
          <cell r="B59">
            <v>23</v>
          </cell>
          <cell r="C59">
            <v>1771.6652858326418</v>
          </cell>
        </row>
        <row r="60">
          <cell r="A60" t="str">
            <v>烤蛋白餐盒</v>
          </cell>
          <cell r="B60">
            <v>23</v>
          </cell>
          <cell r="C60">
            <v>1776.596947427927</v>
          </cell>
        </row>
        <row r="61">
          <cell r="A61" t="str">
            <v>健身G肉餐盒</v>
          </cell>
          <cell r="B61">
            <v>25</v>
          </cell>
          <cell r="C61">
            <v>1781.9822360073306</v>
          </cell>
        </row>
        <row r="62">
          <cell r="A62" t="str">
            <v>經典滷肉飯</v>
          </cell>
          <cell r="B62">
            <v>21</v>
          </cell>
          <cell r="C62">
            <v>1772.6399999999974</v>
          </cell>
        </row>
        <row r="63">
          <cell r="A63" t="str">
            <v>嫩烤香料雞胸排蔬滿盒</v>
          </cell>
          <cell r="B63">
            <v>25</v>
          </cell>
          <cell r="C63">
            <v>1777.5790482274042</v>
          </cell>
        </row>
        <row r="64">
          <cell r="A64" t="str">
            <v>蔬活腿排補力餐盒</v>
          </cell>
          <cell r="B64">
            <v>22</v>
          </cell>
          <cell r="C64">
            <v>1774.0251765428313</v>
          </cell>
        </row>
        <row r="65">
          <cell r="A65" t="str">
            <v>微波小吃</v>
          </cell>
          <cell r="B65">
            <v>19</v>
          </cell>
          <cell r="C65">
            <v>1424.58700612498</v>
          </cell>
        </row>
        <row r="66">
          <cell r="A66" t="str">
            <v>日式茶碗蒸</v>
          </cell>
          <cell r="B66">
            <v>13</v>
          </cell>
          <cell r="C66">
            <v>1077.7025720363565</v>
          </cell>
        </row>
        <row r="67">
          <cell r="A67" t="str">
            <v>日式壽喜燒</v>
          </cell>
          <cell r="B67">
            <v>22</v>
          </cell>
          <cell r="C67">
            <v>1598.3402489626551</v>
          </cell>
        </row>
        <row r="68">
          <cell r="A68" t="str">
            <v>韓式部隊鍋</v>
          </cell>
          <cell r="B68">
            <v>22</v>
          </cell>
          <cell r="C68">
            <v>1597.7181973759291</v>
          </cell>
        </row>
        <row r="69">
          <cell r="A69" t="str">
            <v>微波主食</v>
          </cell>
          <cell r="B69">
            <v>21.625</v>
          </cell>
          <cell r="C69">
            <v>1751.2096766199259</v>
          </cell>
        </row>
        <row r="70">
          <cell r="A70" t="str">
            <v>二配失控起司薯餅焗飯</v>
          </cell>
          <cell r="B70">
            <v>19</v>
          </cell>
          <cell r="C70">
            <v>1771.6319267920658</v>
          </cell>
        </row>
        <row r="71">
          <cell r="A71" t="str">
            <v>二配西班牙風味海鮮燉飯</v>
          </cell>
          <cell r="B71">
            <v>21</v>
          </cell>
          <cell r="C71">
            <v>1771.8608169440299</v>
          </cell>
        </row>
        <row r="72">
          <cell r="A72" t="str">
            <v>二配里肌豬排可可咖哩歐姆蛋飯</v>
          </cell>
          <cell r="B72">
            <v>23</v>
          </cell>
          <cell r="C72">
            <v>1772.6655896607388</v>
          </cell>
        </row>
        <row r="73">
          <cell r="A73" t="str">
            <v>二配乳酪燻腸紅醬焗飯</v>
          </cell>
          <cell r="B73">
            <v>20</v>
          </cell>
          <cell r="C73">
            <v>1773.3826247689469</v>
          </cell>
        </row>
        <row r="74">
          <cell r="A74" t="str">
            <v>二配哞哞培根奶香海陸焗飯</v>
          </cell>
          <cell r="B74">
            <v>23</v>
          </cell>
          <cell r="C74">
            <v>1772.7176594994739</v>
          </cell>
        </row>
        <row r="75">
          <cell r="A75" t="str">
            <v>二配黃金雞排蘑菇白醬歐姆蛋飯</v>
          </cell>
          <cell r="B75">
            <v>23</v>
          </cell>
          <cell r="C75">
            <v>1773.1343283582139</v>
          </cell>
        </row>
        <row r="76">
          <cell r="A76" t="str">
            <v>二配蒙古風味烤肉飯</v>
          </cell>
          <cell r="B76">
            <v>19</v>
          </cell>
          <cell r="C76">
            <v>1597.778727039728</v>
          </cell>
        </row>
        <row r="77">
          <cell r="A77" t="str">
            <v>糖燻野郎三十天熟成牛飯</v>
          </cell>
          <cell r="B77">
            <v>25</v>
          </cell>
          <cell r="C77">
            <v>1776.5057398962103</v>
          </cell>
        </row>
        <row r="78">
          <cell r="A78" t="str">
            <v>熱食義麵</v>
          </cell>
          <cell r="B78">
            <v>21.5</v>
          </cell>
          <cell r="C78">
            <v>1685.7838651873872</v>
          </cell>
        </row>
        <row r="79">
          <cell r="A79" t="str">
            <v>明太子雞叉燒拌麵</v>
          </cell>
          <cell r="B79">
            <v>21</v>
          </cell>
          <cell r="C79">
            <v>1773.809523809522</v>
          </cell>
        </row>
        <row r="80">
          <cell r="A80" t="str">
            <v>焗烤蕃茄起司四方麵</v>
          </cell>
          <cell r="B80">
            <v>22</v>
          </cell>
          <cell r="C80">
            <v>1597.7582065652521</v>
          </cell>
        </row>
        <row r="81">
          <cell r="A81" t="str">
            <v>4℃-壽司手卷</v>
          </cell>
          <cell r="B81">
            <v>6</v>
          </cell>
          <cell r="C81">
            <v>2832.7868852458992</v>
          </cell>
        </row>
        <row r="82">
          <cell r="A82" t="str">
            <v>明太子泡菜牛飯卷</v>
          </cell>
          <cell r="B82">
            <v>6</v>
          </cell>
          <cell r="C82">
            <v>2832.7868852458992</v>
          </cell>
        </row>
        <row r="83">
          <cell r="A83" t="str">
            <v>總計</v>
          </cell>
          <cell r="B83">
            <v>11.816901408450704</v>
          </cell>
          <cell r="C83">
            <v>2471.2315864049292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01-19合計  "/>
      <sheetName val="0126分析標準表"/>
      <sheetName val="0126"/>
      <sheetName val="0125分析標準表"/>
      <sheetName val="0125"/>
      <sheetName val="0124分析標準表"/>
      <sheetName val="0124"/>
      <sheetName val="0123分析標準表"/>
      <sheetName val="0123"/>
      <sheetName val="0122分析標準表"/>
      <sheetName val="0122"/>
      <sheetName val="0121分析標準表"/>
      <sheetName val="0121"/>
      <sheetName val="0120分析標準表"/>
      <sheetName val="0120"/>
      <sheetName val="0119分析標準表"/>
      <sheetName val="0119"/>
      <sheetName val="0118分析標準表"/>
      <sheetName val="0118"/>
      <sheetName val="0117分析標準表"/>
      <sheetName val="0117"/>
      <sheetName val="0116分析標準表"/>
      <sheetName val="0116"/>
      <sheetName val="0115分析標準表"/>
      <sheetName val="0115"/>
      <sheetName val="0114分析標準表"/>
      <sheetName val="0114"/>
      <sheetName val="0113分析標準表"/>
      <sheetName val="0113"/>
      <sheetName val="0112分析標準表"/>
      <sheetName val="0112"/>
      <sheetName val="0111分析標準表"/>
      <sheetName val="0111"/>
      <sheetName val="0110分析標準表"/>
      <sheetName val="0110"/>
      <sheetName val="0109分析標準表"/>
      <sheetName val="0109"/>
      <sheetName val="0108分析標準表"/>
      <sheetName val="0108"/>
      <sheetName val="0107分析標準表"/>
      <sheetName val="0107"/>
      <sheetName val="0106分析標準表"/>
      <sheetName val="0106"/>
      <sheetName val="0105分析標準表"/>
      <sheetName val="0105"/>
      <sheetName val="0104分析標準表"/>
      <sheetName val="0104"/>
      <sheetName val="0103分析標準表"/>
      <sheetName val="0103"/>
      <sheetName val="0102分析標準表"/>
      <sheetName val="0102"/>
      <sheetName val="0101分析標準表"/>
      <sheetName val="0101"/>
      <sheetName val="01-15合計  "/>
      <sheetName val="01-08合計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3">
          <cell r="C3">
            <v>5215558.05</v>
          </cell>
        </row>
        <row r="5">
          <cell r="H5">
            <v>2677.2677999999996</v>
          </cell>
          <cell r="J5">
            <v>10722.664100000004</v>
          </cell>
          <cell r="L5">
            <v>918.23610000000008</v>
          </cell>
        </row>
      </sheetData>
      <sheetData sheetId="45">
        <row r="1">
          <cell r="N1"/>
          <cell r="O1" t="str">
            <v>日期:</v>
          </cell>
          <cell r="P1">
            <v>46027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5.9300000000000068</v>
          </cell>
          <cell r="O5">
            <v>1186.0000000000014</v>
          </cell>
          <cell r="P5">
            <v>0</v>
          </cell>
          <cell r="Q5">
            <v>0</v>
          </cell>
          <cell r="R5">
            <v>1186.0000000000014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24</v>
          </cell>
          <cell r="O7">
            <v>77.28</v>
          </cell>
          <cell r="P7">
            <v>0</v>
          </cell>
          <cell r="Q7">
            <v>0</v>
          </cell>
          <cell r="R7">
            <v>77.28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1.3000000000000007</v>
          </cell>
          <cell r="O9">
            <v>99.411000000000058</v>
          </cell>
          <cell r="P9">
            <v>1.06</v>
          </cell>
          <cell r="Q9">
            <v>81.058199999999999</v>
          </cell>
          <cell r="R9">
            <v>18.352800000000059</v>
          </cell>
        </row>
        <row r="10">
          <cell r="N10">
            <v>3.879999999999967</v>
          </cell>
          <cell r="O10">
            <v>612.53559999999482</v>
          </cell>
          <cell r="P10">
            <v>1.05</v>
          </cell>
          <cell r="Q10">
            <v>165.76350000000002</v>
          </cell>
          <cell r="R10">
            <v>446.77209999999479</v>
          </cell>
        </row>
        <row r="11">
          <cell r="N11">
            <v>8.9000000000000909</v>
          </cell>
          <cell r="O11">
            <v>1312.1270000000134</v>
          </cell>
          <cell r="P11">
            <v>0</v>
          </cell>
          <cell r="Q11">
            <v>0</v>
          </cell>
          <cell r="R11">
            <v>1312.1270000000134</v>
          </cell>
        </row>
        <row r="12">
          <cell r="N12">
            <v>7.9599999999999227</v>
          </cell>
          <cell r="O12">
            <v>1017.6063999999901</v>
          </cell>
          <cell r="P12">
            <v>0</v>
          </cell>
          <cell r="Q12">
            <v>0</v>
          </cell>
          <cell r="R12">
            <v>1017.6063999999901</v>
          </cell>
        </row>
        <row r="13">
          <cell r="N13">
            <v>2.7199999999999989</v>
          </cell>
          <cell r="O13">
            <v>595.48959999999977</v>
          </cell>
          <cell r="P13">
            <v>0.74</v>
          </cell>
          <cell r="Q13">
            <v>162.00820000000002</v>
          </cell>
          <cell r="R13">
            <v>433.48139999999978</v>
          </cell>
        </row>
        <row r="14">
          <cell r="N14">
            <v>0.60999999999999943</v>
          </cell>
          <cell r="O14">
            <v>33.263299999999973</v>
          </cell>
          <cell r="P14">
            <v>0</v>
          </cell>
          <cell r="Q14">
            <v>0</v>
          </cell>
          <cell r="R14">
            <v>33.263299999999973</v>
          </cell>
        </row>
        <row r="15">
          <cell r="N15">
            <v>129</v>
          </cell>
          <cell r="O15">
            <v>150.92999999999998</v>
          </cell>
          <cell r="P15">
            <v>129</v>
          </cell>
          <cell r="Q15">
            <v>150.92999999999998</v>
          </cell>
          <cell r="R15">
            <v>0</v>
          </cell>
        </row>
        <row r="16">
          <cell r="N16">
            <v>1.6500000000000057</v>
          </cell>
          <cell r="O16">
            <v>209.53350000000071</v>
          </cell>
          <cell r="P16">
            <v>1.38</v>
          </cell>
          <cell r="Q16">
            <v>175.24619999999999</v>
          </cell>
          <cell r="R16">
            <v>34.287300000000727</v>
          </cell>
        </row>
        <row r="17">
          <cell r="N17">
            <v>71</v>
          </cell>
          <cell r="O17">
            <v>173.95000000000002</v>
          </cell>
          <cell r="P17">
            <v>71</v>
          </cell>
          <cell r="Q17">
            <v>173.95000000000002</v>
          </cell>
          <cell r="R17">
            <v>0</v>
          </cell>
        </row>
        <row r="18">
          <cell r="N18">
            <v>8</v>
          </cell>
          <cell r="O18">
            <v>9.2799999999999994</v>
          </cell>
          <cell r="P18">
            <v>8</v>
          </cell>
          <cell r="Q18">
            <v>9.2799999999999994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1.5900000000000034</v>
          </cell>
          <cell r="O21">
            <v>21.767100000000045</v>
          </cell>
          <cell r="P21">
            <v>0</v>
          </cell>
          <cell r="Q21">
            <v>0</v>
          </cell>
          <cell r="R21">
            <v>21.767100000000045</v>
          </cell>
        </row>
        <row r="22">
          <cell r="N22">
            <v>1.3500000000000227</v>
          </cell>
          <cell r="O22">
            <v>261.67050000000444</v>
          </cell>
          <cell r="P22">
            <v>0</v>
          </cell>
          <cell r="Q22">
            <v>0</v>
          </cell>
          <cell r="R22">
            <v>261.67050000000444</v>
          </cell>
        </row>
        <row r="23">
          <cell r="N23">
            <v>1.480000000000004</v>
          </cell>
          <cell r="O23">
            <v>631.50120000000175</v>
          </cell>
          <cell r="P23">
            <v>0.72</v>
          </cell>
          <cell r="Q23">
            <v>307.21679999999998</v>
          </cell>
          <cell r="R23">
            <v>324.28440000000177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0.50999999999999091</v>
          </cell>
          <cell r="O25">
            <v>135.80279999999757</v>
          </cell>
          <cell r="P25">
            <v>0</v>
          </cell>
          <cell r="Q25">
            <v>0</v>
          </cell>
          <cell r="R25">
            <v>135.80279999999757</v>
          </cell>
        </row>
        <row r="26">
          <cell r="N26">
            <v>0.51999999999999957</v>
          </cell>
          <cell r="O26">
            <v>327.07999999999976</v>
          </cell>
          <cell r="P26">
            <v>0.26</v>
          </cell>
          <cell r="Q26">
            <v>163.54</v>
          </cell>
          <cell r="R26">
            <v>163.53999999999976</v>
          </cell>
        </row>
        <row r="27">
          <cell r="N27">
            <v>2.2199999999999989</v>
          </cell>
          <cell r="O27">
            <v>340.08179999999982</v>
          </cell>
          <cell r="P27">
            <v>1.5</v>
          </cell>
          <cell r="Q27">
            <v>229.785</v>
          </cell>
          <cell r="R27">
            <v>110.29679999999982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0.57000000000000028</v>
          </cell>
          <cell r="O29">
            <v>167.94480000000007</v>
          </cell>
          <cell r="P29">
            <v>0</v>
          </cell>
          <cell r="Q29">
            <v>0</v>
          </cell>
          <cell r="R29">
            <v>167.94480000000007</v>
          </cell>
        </row>
        <row r="30">
          <cell r="N30">
            <v>0.60999999999999943</v>
          </cell>
          <cell r="O30">
            <v>206.88759999999982</v>
          </cell>
          <cell r="P30">
            <v>0.42</v>
          </cell>
          <cell r="Q30">
            <v>142.44720000000001</v>
          </cell>
          <cell r="R30">
            <v>64.440399999999812</v>
          </cell>
        </row>
        <row r="31">
          <cell r="N31">
            <v>1.0999999999999943</v>
          </cell>
          <cell r="O31">
            <v>277.98099999999857</v>
          </cell>
          <cell r="P31">
            <v>0.5</v>
          </cell>
          <cell r="Q31">
            <v>126.355</v>
          </cell>
          <cell r="R31">
            <v>151.62599999999856</v>
          </cell>
        </row>
        <row r="32">
          <cell r="N32">
            <v>0.73000000000000043</v>
          </cell>
          <cell r="O32">
            <v>252.47050000000016</v>
          </cell>
          <cell r="P32">
            <v>0.44</v>
          </cell>
          <cell r="Q32">
            <v>152.17400000000001</v>
          </cell>
          <cell r="R32">
            <v>100.29650000000015</v>
          </cell>
        </row>
        <row r="33">
          <cell r="N33">
            <v>0.5</v>
          </cell>
          <cell r="O33">
            <v>248.14500000000001</v>
          </cell>
          <cell r="P33">
            <v>0.16</v>
          </cell>
          <cell r="Q33">
            <v>79.406400000000005</v>
          </cell>
          <cell r="R33">
            <v>168.73860000000002</v>
          </cell>
        </row>
        <row r="34">
          <cell r="N34">
            <v>2.21</v>
          </cell>
          <cell r="O34">
            <v>200.86689999999999</v>
          </cell>
          <cell r="P34">
            <v>0.95</v>
          </cell>
          <cell r="Q34">
            <v>86.345500000000001</v>
          </cell>
          <cell r="R34">
            <v>114.52139999999999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1.1400000000000006</v>
          </cell>
          <cell r="O36">
            <v>217.34100000000012</v>
          </cell>
          <cell r="P36">
            <v>0.68</v>
          </cell>
          <cell r="Q36">
            <v>129.64200000000002</v>
          </cell>
          <cell r="R36">
            <v>87.699000000000098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0.77999999999999936</v>
          </cell>
          <cell r="O41">
            <v>1372.7999999999988</v>
          </cell>
          <cell r="P41">
            <v>0</v>
          </cell>
          <cell r="Q41">
            <v>0</v>
          </cell>
          <cell r="R41">
            <v>1372.7999999999988</v>
          </cell>
        </row>
        <row r="42">
          <cell r="N42">
            <v>0.57000000000000739</v>
          </cell>
          <cell r="O42">
            <v>293.9946000000038</v>
          </cell>
          <cell r="P42">
            <v>0.28000000000000003</v>
          </cell>
          <cell r="Q42">
            <v>144.41840000000002</v>
          </cell>
          <cell r="R42">
            <v>149.57620000000378</v>
          </cell>
        </row>
        <row r="43">
          <cell r="N43">
            <v>0.28000000000000114</v>
          </cell>
          <cell r="O43">
            <v>48.955200000000197</v>
          </cell>
          <cell r="P43">
            <v>0</v>
          </cell>
          <cell r="Q43">
            <v>0</v>
          </cell>
          <cell r="R43">
            <v>48.955200000000197</v>
          </cell>
        </row>
        <row r="44">
          <cell r="N44">
            <v>1.4300000000000015</v>
          </cell>
          <cell r="O44">
            <v>145.61690000000016</v>
          </cell>
          <cell r="P44">
            <v>0.6</v>
          </cell>
          <cell r="Q44">
            <v>61.097999999999999</v>
          </cell>
          <cell r="R44">
            <v>84.518900000000158</v>
          </cell>
        </row>
        <row r="45">
          <cell r="N45">
            <v>0.40000000000000213</v>
          </cell>
          <cell r="O45">
            <v>247.3080000000013</v>
          </cell>
          <cell r="P45">
            <v>0.22</v>
          </cell>
          <cell r="Q45">
            <v>136.01939999999999</v>
          </cell>
          <cell r="R45">
            <v>111.28860000000131</v>
          </cell>
        </row>
        <row r="46">
          <cell r="N46">
            <v>1.6899999999999977</v>
          </cell>
          <cell r="O46">
            <v>712.18289999999911</v>
          </cell>
          <cell r="P46">
            <v>0.33</v>
          </cell>
          <cell r="Q46">
            <v>139.06530000000001</v>
          </cell>
          <cell r="R46">
            <v>573.11759999999913</v>
          </cell>
        </row>
        <row r="47">
          <cell r="N47">
            <v>2.5499999999999829</v>
          </cell>
          <cell r="O47">
            <v>486.71849999999677</v>
          </cell>
          <cell r="P47">
            <v>0.88</v>
          </cell>
          <cell r="Q47">
            <v>167.96559999999999</v>
          </cell>
          <cell r="R47">
            <v>318.75289999999677</v>
          </cell>
        </row>
        <row r="48">
          <cell r="N48">
            <v>1.0700000000000003</v>
          </cell>
          <cell r="O48">
            <v>138.44730000000001</v>
          </cell>
          <cell r="P48">
            <v>0.66</v>
          </cell>
          <cell r="Q48">
            <v>85.39739999999999</v>
          </cell>
          <cell r="R48">
            <v>53.049900000000022</v>
          </cell>
        </row>
        <row r="49">
          <cell r="N49">
            <v>58</v>
          </cell>
          <cell r="O49">
            <v>261</v>
          </cell>
          <cell r="P49">
            <v>58</v>
          </cell>
          <cell r="Q49">
            <v>261</v>
          </cell>
          <cell r="R49">
            <v>0</v>
          </cell>
        </row>
        <row r="50">
          <cell r="N50">
            <v>7.9999999999998295E-2</v>
          </cell>
          <cell r="O50">
            <v>36.997599999999217</v>
          </cell>
          <cell r="P50">
            <v>0</v>
          </cell>
          <cell r="Q50">
            <v>0</v>
          </cell>
          <cell r="R50">
            <v>36.997599999999217</v>
          </cell>
        </row>
        <row r="51">
          <cell r="N51">
            <v>0.6899999999999995</v>
          </cell>
          <cell r="O51">
            <v>416.06999999999971</v>
          </cell>
          <cell r="P51">
            <v>0</v>
          </cell>
          <cell r="Q51">
            <v>0</v>
          </cell>
          <cell r="R51">
            <v>416.06999999999971</v>
          </cell>
        </row>
        <row r="52">
          <cell r="N52">
            <v>0.15999999999999659</v>
          </cell>
          <cell r="O52">
            <v>46.164799999999012</v>
          </cell>
          <cell r="P52">
            <v>0</v>
          </cell>
          <cell r="Q52">
            <v>0</v>
          </cell>
          <cell r="R52">
            <v>46.164799999999012</v>
          </cell>
        </row>
        <row r="53">
          <cell r="N53">
            <v>1.0900000000000034</v>
          </cell>
          <cell r="O53">
            <v>172.42710000000054</v>
          </cell>
          <cell r="P53">
            <v>0.66</v>
          </cell>
          <cell r="Q53">
            <v>104.4054</v>
          </cell>
          <cell r="R53">
            <v>68.021700000000536</v>
          </cell>
        </row>
        <row r="54">
          <cell r="N54">
            <v>0.71999999999999886</v>
          </cell>
          <cell r="O54">
            <v>297.43919999999952</v>
          </cell>
          <cell r="P54">
            <v>0.28999999999999998</v>
          </cell>
          <cell r="Q54">
            <v>119.80189999999999</v>
          </cell>
          <cell r="R54">
            <v>177.63729999999953</v>
          </cell>
        </row>
        <row r="55">
          <cell r="N55">
            <v>1.1799999999999997</v>
          </cell>
          <cell r="O55">
            <v>338.29419999999993</v>
          </cell>
          <cell r="P55">
            <v>0.43</v>
          </cell>
          <cell r="Q55">
            <v>123.27669999999999</v>
          </cell>
          <cell r="R55">
            <v>215.01749999999993</v>
          </cell>
        </row>
        <row r="56">
          <cell r="N56">
            <v>1.0300000000000011</v>
          </cell>
          <cell r="O56">
            <v>211.26330000000024</v>
          </cell>
          <cell r="P56">
            <v>0.6</v>
          </cell>
          <cell r="Q56">
            <v>123.066</v>
          </cell>
          <cell r="R56">
            <v>88.19730000000024</v>
          </cell>
        </row>
        <row r="57">
          <cell r="N57">
            <v>0.59999999999999964</v>
          </cell>
          <cell r="O57">
            <v>311.99999999999983</v>
          </cell>
          <cell r="P57">
            <v>0.22</v>
          </cell>
          <cell r="Q57">
            <v>114.4</v>
          </cell>
          <cell r="R57">
            <v>197.59999999999982</v>
          </cell>
        </row>
        <row r="58">
          <cell r="N58">
            <v>0.5600000000000005</v>
          </cell>
          <cell r="O58">
            <v>291.20000000000027</v>
          </cell>
          <cell r="P58">
            <v>0.22</v>
          </cell>
          <cell r="Q58">
            <v>114.4</v>
          </cell>
          <cell r="R58">
            <v>176.80000000000027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0.3400000000000003</v>
          </cell>
          <cell r="O61">
            <v>47.419800000000045</v>
          </cell>
          <cell r="P61">
            <v>0</v>
          </cell>
          <cell r="Q61">
            <v>0</v>
          </cell>
          <cell r="R61">
            <v>47.419800000000045</v>
          </cell>
        </row>
        <row r="62">
          <cell r="N62">
            <v>4.0500000000000114</v>
          </cell>
          <cell r="O62">
            <v>210.72150000000059</v>
          </cell>
          <cell r="P62">
            <v>0.94</v>
          </cell>
          <cell r="Q62">
            <v>48.908200000000001</v>
          </cell>
          <cell r="R62">
            <v>161.81330000000059</v>
          </cell>
        </row>
        <row r="63">
          <cell r="N63">
            <v>32</v>
          </cell>
          <cell r="O63">
            <v>39.36</v>
          </cell>
          <cell r="P63">
            <v>32</v>
          </cell>
          <cell r="Q63">
            <v>39.36</v>
          </cell>
          <cell r="R63">
            <v>0</v>
          </cell>
        </row>
        <row r="64"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N65">
            <v>1.9600000000000009</v>
          </cell>
          <cell r="O65">
            <v>413.0504000000002</v>
          </cell>
          <cell r="P65">
            <v>1.72</v>
          </cell>
          <cell r="Q65">
            <v>362.47280000000001</v>
          </cell>
          <cell r="R65">
            <v>50.577600000000189</v>
          </cell>
        </row>
        <row r="66">
          <cell r="N66">
            <v>48</v>
          </cell>
          <cell r="O66">
            <v>77.28</v>
          </cell>
          <cell r="P66">
            <v>48</v>
          </cell>
          <cell r="Q66">
            <v>77.28</v>
          </cell>
          <cell r="R66">
            <v>0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8.5400000000000205</v>
          </cell>
          <cell r="O68">
            <v>442.96980000000104</v>
          </cell>
          <cell r="P68">
            <v>2.76</v>
          </cell>
          <cell r="Q68">
            <v>143.16119999999998</v>
          </cell>
          <cell r="R68">
            <v>299.80860000000109</v>
          </cell>
        </row>
        <row r="69">
          <cell r="N69">
            <v>7.5400000000000205</v>
          </cell>
          <cell r="O69">
            <v>254.1734000000007</v>
          </cell>
          <cell r="P69">
            <v>2.2400000000000002</v>
          </cell>
          <cell r="Q69">
            <v>75.510400000000004</v>
          </cell>
          <cell r="R69">
            <v>178.66300000000069</v>
          </cell>
        </row>
        <row r="70">
          <cell r="N70">
            <v>2.1799999999999997</v>
          </cell>
          <cell r="O70">
            <v>275.4212</v>
          </cell>
          <cell r="P70">
            <v>1.19</v>
          </cell>
          <cell r="Q70">
            <v>150.34459999999999</v>
          </cell>
          <cell r="R70">
            <v>125.07660000000001</v>
          </cell>
        </row>
        <row r="71">
          <cell r="N71">
            <v>1.1099999999999994</v>
          </cell>
          <cell r="O71">
            <v>265.81169999999986</v>
          </cell>
          <cell r="P71">
            <v>1.1100000000000001</v>
          </cell>
          <cell r="Q71">
            <v>265.81170000000003</v>
          </cell>
          <cell r="R71">
            <v>0</v>
          </cell>
        </row>
        <row r="72">
          <cell r="N72">
            <v>0.85999999999999943</v>
          </cell>
          <cell r="O72">
            <v>394.00899999999973</v>
          </cell>
          <cell r="P72">
            <v>0</v>
          </cell>
          <cell r="Q72">
            <v>0</v>
          </cell>
          <cell r="R72">
            <v>394.00899999999973</v>
          </cell>
        </row>
        <row r="73">
          <cell r="N73">
            <v>29</v>
          </cell>
          <cell r="O73">
            <v>25.52</v>
          </cell>
          <cell r="P73">
            <v>29</v>
          </cell>
          <cell r="Q73">
            <v>25.52</v>
          </cell>
          <cell r="R73">
            <v>0</v>
          </cell>
        </row>
        <row r="74">
          <cell r="N74">
            <v>0.26</v>
          </cell>
          <cell r="O74">
            <v>64.599600000000009</v>
          </cell>
          <cell r="P74">
            <v>0</v>
          </cell>
          <cell r="Q74">
            <v>0</v>
          </cell>
          <cell r="R74">
            <v>64.599600000000009</v>
          </cell>
        </row>
        <row r="75">
          <cell r="N75">
            <v>14.22999999999999</v>
          </cell>
          <cell r="O75">
            <v>418.36199999999968</v>
          </cell>
          <cell r="P75">
            <v>6.36</v>
          </cell>
          <cell r="Q75">
            <v>186.98400000000001</v>
          </cell>
          <cell r="R75">
            <v>231.37799999999967</v>
          </cell>
        </row>
        <row r="76">
          <cell r="N76">
            <v>2.3000000000000114</v>
          </cell>
          <cell r="O76">
            <v>217.51100000000105</v>
          </cell>
          <cell r="P76">
            <v>1.35</v>
          </cell>
          <cell r="Q76">
            <v>127.6695</v>
          </cell>
          <cell r="R76">
            <v>89.841500000001048</v>
          </cell>
        </row>
        <row r="77">
          <cell r="N77">
            <v>9</v>
          </cell>
          <cell r="O77">
            <v>125.55</v>
          </cell>
          <cell r="P77">
            <v>9</v>
          </cell>
          <cell r="Q77">
            <v>125.55</v>
          </cell>
          <cell r="R77">
            <v>0</v>
          </cell>
        </row>
        <row r="78">
          <cell r="N78">
            <v>7.4500000000000028</v>
          </cell>
          <cell r="O78">
            <v>531.55750000000012</v>
          </cell>
          <cell r="P78">
            <v>1.1100000000000001</v>
          </cell>
          <cell r="Q78">
            <v>79.198499999999996</v>
          </cell>
          <cell r="R78">
            <v>452.35900000000015</v>
          </cell>
        </row>
        <row r="79">
          <cell r="N79">
            <v>8.7599999999999909</v>
          </cell>
          <cell r="O79">
            <v>575.26919999999939</v>
          </cell>
          <cell r="P79">
            <v>1.77</v>
          </cell>
          <cell r="Q79">
            <v>116.2359</v>
          </cell>
          <cell r="R79">
            <v>459.03329999999937</v>
          </cell>
        </row>
        <row r="80">
          <cell r="N80">
            <v>0.5</v>
          </cell>
          <cell r="O80">
            <v>275</v>
          </cell>
          <cell r="P80">
            <v>0.23</v>
          </cell>
          <cell r="Q80">
            <v>126.5</v>
          </cell>
          <cell r="R80">
            <v>148.5</v>
          </cell>
        </row>
        <row r="81">
          <cell r="N81">
            <v>3.6999999999999886</v>
          </cell>
          <cell r="O81">
            <v>287.74899999999911</v>
          </cell>
          <cell r="P81">
            <v>2</v>
          </cell>
          <cell r="Q81">
            <v>155.54</v>
          </cell>
          <cell r="R81">
            <v>132.20899999999912</v>
          </cell>
        </row>
        <row r="82">
          <cell r="N82">
            <v>0.91999999999999815</v>
          </cell>
          <cell r="O82">
            <v>277.36159999999944</v>
          </cell>
          <cell r="P82">
            <v>0.45</v>
          </cell>
          <cell r="Q82">
            <v>135.66600000000003</v>
          </cell>
          <cell r="R82">
            <v>141.69559999999942</v>
          </cell>
        </row>
        <row r="83">
          <cell r="N83">
            <v>1.3499999999999979</v>
          </cell>
          <cell r="O83">
            <v>258.34949999999958</v>
          </cell>
          <cell r="P83">
            <v>0.88</v>
          </cell>
          <cell r="Q83">
            <v>168.40559999999999</v>
          </cell>
          <cell r="R83">
            <v>89.943899999999587</v>
          </cell>
        </row>
        <row r="84">
          <cell r="N84">
            <v>8.0499999999999972</v>
          </cell>
          <cell r="O84">
            <v>474.70849999999984</v>
          </cell>
          <cell r="P84">
            <v>1.9</v>
          </cell>
          <cell r="Q84">
            <v>112.04299999999999</v>
          </cell>
          <cell r="R84">
            <v>362.66549999999984</v>
          </cell>
        </row>
        <row r="85">
          <cell r="N85">
            <v>8.0200000000000102</v>
          </cell>
          <cell r="O85">
            <v>574.95380000000068</v>
          </cell>
          <cell r="P85">
            <v>2.2200000000000002</v>
          </cell>
          <cell r="Q85">
            <v>159.15180000000001</v>
          </cell>
          <cell r="R85">
            <v>415.8020000000007</v>
          </cell>
        </row>
        <row r="86">
          <cell r="N86">
            <v>3</v>
          </cell>
          <cell r="O86">
            <v>17.43</v>
          </cell>
          <cell r="P86">
            <v>3</v>
          </cell>
          <cell r="Q86">
            <v>17.43</v>
          </cell>
          <cell r="R86">
            <v>0</v>
          </cell>
        </row>
        <row r="87">
          <cell r="N87">
            <v>10.45999999999998</v>
          </cell>
          <cell r="O87">
            <v>715.67319999999859</v>
          </cell>
          <cell r="P87">
            <v>6.2</v>
          </cell>
          <cell r="Q87">
            <v>424.20400000000001</v>
          </cell>
          <cell r="R87">
            <v>291.46919999999858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1.6300000000000026</v>
          </cell>
          <cell r="O89">
            <v>78.745300000000128</v>
          </cell>
          <cell r="P89">
            <v>0</v>
          </cell>
          <cell r="Q89">
            <v>0</v>
          </cell>
          <cell r="R89">
            <v>78.745300000000128</v>
          </cell>
        </row>
        <row r="90">
          <cell r="N90">
            <v>0.26000000000000023</v>
          </cell>
          <cell r="O90">
            <v>55.907800000000051</v>
          </cell>
          <cell r="P90">
            <v>0</v>
          </cell>
          <cell r="Q90">
            <v>0</v>
          </cell>
          <cell r="R90">
            <v>55.907800000000051</v>
          </cell>
        </row>
        <row r="91">
          <cell r="N91">
            <v>9.9999999999999645E-2</v>
          </cell>
          <cell r="O91">
            <v>14.479999999999949</v>
          </cell>
          <cell r="P91">
            <v>0</v>
          </cell>
          <cell r="Q91">
            <v>0</v>
          </cell>
          <cell r="R91">
            <v>14.479999999999949</v>
          </cell>
        </row>
        <row r="92">
          <cell r="N92">
            <v>5.6400000000000006</v>
          </cell>
          <cell r="O92">
            <v>724.11959999999999</v>
          </cell>
          <cell r="P92">
            <v>0.42</v>
          </cell>
          <cell r="Q92">
            <v>53.923799999999993</v>
          </cell>
          <cell r="R92">
            <v>670.19579999999996</v>
          </cell>
        </row>
        <row r="93">
          <cell r="N93">
            <v>0.96999999999999886</v>
          </cell>
          <cell r="O93">
            <v>246.30239999999969</v>
          </cell>
          <cell r="P93">
            <v>0.7</v>
          </cell>
          <cell r="Q93">
            <v>177.74399999999997</v>
          </cell>
          <cell r="R93">
            <v>68.558399999999722</v>
          </cell>
        </row>
        <row r="94">
          <cell r="N94">
            <v>2.1700000000000017</v>
          </cell>
          <cell r="O94">
            <v>398.52050000000031</v>
          </cell>
          <cell r="P94">
            <v>0.88</v>
          </cell>
          <cell r="Q94">
            <v>161.61199999999999</v>
          </cell>
          <cell r="R94">
            <v>236.90850000000032</v>
          </cell>
        </row>
        <row r="95">
          <cell r="N95">
            <v>0.15000000000000036</v>
          </cell>
          <cell r="O95">
            <v>96.340500000000219</v>
          </cell>
          <cell r="P95">
            <v>0</v>
          </cell>
          <cell r="Q95">
            <v>0</v>
          </cell>
          <cell r="R95">
            <v>96.340500000000219</v>
          </cell>
        </row>
        <row r="96">
          <cell r="N96">
            <v>7</v>
          </cell>
          <cell r="O96">
            <v>43.82</v>
          </cell>
          <cell r="P96">
            <v>7</v>
          </cell>
          <cell r="Q96">
            <v>43.82</v>
          </cell>
          <cell r="R96">
            <v>0</v>
          </cell>
        </row>
        <row r="97">
          <cell r="N97">
            <v>0.80999999999999872</v>
          </cell>
          <cell r="O97">
            <v>243.67229999999961</v>
          </cell>
          <cell r="P97">
            <v>0.48</v>
          </cell>
          <cell r="Q97">
            <v>144.39839999999998</v>
          </cell>
          <cell r="R97">
            <v>99.273899999999628</v>
          </cell>
        </row>
        <row r="98">
          <cell r="N98">
            <v>2</v>
          </cell>
          <cell r="O98">
            <v>815.48</v>
          </cell>
          <cell r="P98">
            <v>0</v>
          </cell>
          <cell r="Q98">
            <v>0</v>
          </cell>
          <cell r="R98">
            <v>815.48</v>
          </cell>
        </row>
        <row r="99">
          <cell r="N99">
            <v>2.7000000000000028</v>
          </cell>
          <cell r="O99">
            <v>298.80900000000031</v>
          </cell>
          <cell r="P99">
            <v>1.2</v>
          </cell>
          <cell r="Q99">
            <v>132.804</v>
          </cell>
          <cell r="R99">
            <v>166.00500000000031</v>
          </cell>
        </row>
        <row r="100">
          <cell r="N100">
            <v>3.0499999999999972</v>
          </cell>
          <cell r="O100">
            <v>1116.086499999999</v>
          </cell>
          <cell r="P100">
            <v>0</v>
          </cell>
          <cell r="Q100">
            <v>0</v>
          </cell>
          <cell r="R100">
            <v>1116.086499999999</v>
          </cell>
        </row>
        <row r="101">
          <cell r="N101">
            <v>2.039999999999992</v>
          </cell>
          <cell r="O101">
            <v>250.552799999999</v>
          </cell>
          <cell r="P101">
            <v>1.41</v>
          </cell>
          <cell r="Q101">
            <v>173.17619999999999</v>
          </cell>
          <cell r="R101">
            <v>77.376599999999002</v>
          </cell>
        </row>
        <row r="102">
          <cell r="N102">
            <v>1.2699999999999996</v>
          </cell>
          <cell r="O102">
            <v>241.21109999999993</v>
          </cell>
          <cell r="P102">
            <v>0.44</v>
          </cell>
          <cell r="Q102">
            <v>83.569200000000009</v>
          </cell>
          <cell r="R102">
            <v>157.64189999999991</v>
          </cell>
        </row>
        <row r="103">
          <cell r="N103">
            <v>62</v>
          </cell>
          <cell r="O103">
            <v>142.6</v>
          </cell>
          <cell r="P103">
            <v>62</v>
          </cell>
          <cell r="Q103">
            <v>142.6</v>
          </cell>
          <cell r="R103">
            <v>0</v>
          </cell>
        </row>
        <row r="104">
          <cell r="N104">
            <v>38</v>
          </cell>
          <cell r="O104">
            <v>116.28</v>
          </cell>
          <cell r="P104">
            <v>0</v>
          </cell>
          <cell r="Q104">
            <v>0</v>
          </cell>
          <cell r="R104">
            <v>116.28</v>
          </cell>
        </row>
        <row r="105">
          <cell r="N105">
            <v>1.7399999999999949</v>
          </cell>
          <cell r="O105">
            <v>329.17319999999904</v>
          </cell>
          <cell r="P105">
            <v>0.56000000000000005</v>
          </cell>
          <cell r="Q105">
            <v>105.94080000000001</v>
          </cell>
          <cell r="R105">
            <v>223.23239999999902</v>
          </cell>
        </row>
        <row r="106"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2.0499999999999972</v>
          </cell>
          <cell r="O108">
            <v>754.68699999999887</v>
          </cell>
          <cell r="P108">
            <v>0.44</v>
          </cell>
          <cell r="Q108">
            <v>161.98159999999999</v>
          </cell>
          <cell r="R108">
            <v>592.70539999999892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6.75</v>
          </cell>
          <cell r="O110">
            <v>1083.3075000000001</v>
          </cell>
          <cell r="P110">
            <v>0</v>
          </cell>
          <cell r="Q110">
            <v>0</v>
          </cell>
          <cell r="R110">
            <v>1083.3075000000001</v>
          </cell>
        </row>
        <row r="111">
          <cell r="N111">
            <v>0.11000000000000121</v>
          </cell>
          <cell r="O111">
            <v>53.412700000000584</v>
          </cell>
          <cell r="P111">
            <v>0</v>
          </cell>
          <cell r="Q111">
            <v>0</v>
          </cell>
          <cell r="R111">
            <v>53.412700000000584</v>
          </cell>
        </row>
        <row r="112">
          <cell r="N112">
            <v>8</v>
          </cell>
          <cell r="O112">
            <v>21.28</v>
          </cell>
          <cell r="P112">
            <v>8</v>
          </cell>
          <cell r="Q112">
            <v>21.28</v>
          </cell>
          <cell r="R112">
            <v>0</v>
          </cell>
        </row>
        <row r="113">
          <cell r="N113">
            <v>171</v>
          </cell>
          <cell r="O113">
            <v>196.64999999999998</v>
          </cell>
          <cell r="P113">
            <v>171</v>
          </cell>
          <cell r="Q113">
            <v>196.64999999999998</v>
          </cell>
          <cell r="R113">
            <v>0</v>
          </cell>
        </row>
        <row r="114">
          <cell r="N114">
            <v>3.8299999999999983</v>
          </cell>
          <cell r="O114">
            <v>252.2820999999999</v>
          </cell>
          <cell r="P114">
            <v>1.66</v>
          </cell>
          <cell r="Q114">
            <v>109.3442</v>
          </cell>
          <cell r="R114">
            <v>142.9378999999999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1</v>
          </cell>
          <cell r="O116">
            <v>4.3099999999999996</v>
          </cell>
          <cell r="P116">
            <v>1</v>
          </cell>
          <cell r="Q116">
            <v>4.3099999999999996</v>
          </cell>
          <cell r="R116">
            <v>0</v>
          </cell>
        </row>
        <row r="117">
          <cell r="N117">
            <v>1.480000000000004</v>
          </cell>
          <cell r="O117">
            <v>268.78280000000075</v>
          </cell>
          <cell r="P117">
            <v>0.77</v>
          </cell>
          <cell r="Q117">
            <v>139.83970000000002</v>
          </cell>
          <cell r="R117">
            <v>128.94310000000073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0.42999999999999972</v>
          </cell>
          <cell r="O119">
            <v>196.20469999999989</v>
          </cell>
          <cell r="P119">
            <v>0.37</v>
          </cell>
          <cell r="Q119">
            <v>168.82730000000001</v>
          </cell>
          <cell r="R119">
            <v>27.377399999999881</v>
          </cell>
        </row>
        <row r="120">
          <cell r="N120">
            <v>7</v>
          </cell>
          <cell r="O120">
            <v>123.97</v>
          </cell>
          <cell r="P120">
            <v>7</v>
          </cell>
          <cell r="Q120">
            <v>123.97</v>
          </cell>
          <cell r="R120">
            <v>0</v>
          </cell>
        </row>
        <row r="121">
          <cell r="N121">
            <v>1.9599999999999973</v>
          </cell>
          <cell r="O121">
            <v>393.92079999999942</v>
          </cell>
          <cell r="P121">
            <v>0.44</v>
          </cell>
          <cell r="Q121">
            <v>88.43119999999999</v>
          </cell>
          <cell r="R121">
            <v>305.48959999999943</v>
          </cell>
        </row>
        <row r="122">
          <cell r="N122">
            <v>2.509999999999998</v>
          </cell>
          <cell r="O122">
            <v>391.15839999999969</v>
          </cell>
          <cell r="P122">
            <v>1.1200000000000001</v>
          </cell>
          <cell r="Q122">
            <v>174.54080000000002</v>
          </cell>
          <cell r="R122">
            <v>216.61759999999967</v>
          </cell>
        </row>
        <row r="123">
          <cell r="N123">
            <v>5.4399999999999977</v>
          </cell>
          <cell r="O123">
            <v>631.80159999999978</v>
          </cell>
          <cell r="P123">
            <v>0.87</v>
          </cell>
          <cell r="Q123">
            <v>101.04179999999999</v>
          </cell>
          <cell r="R123">
            <v>530.75979999999981</v>
          </cell>
        </row>
        <row r="124">
          <cell r="N124">
            <v>5</v>
          </cell>
          <cell r="O124">
            <v>17.8</v>
          </cell>
          <cell r="P124">
            <v>5</v>
          </cell>
          <cell r="Q124">
            <v>17.8</v>
          </cell>
          <cell r="R124">
            <v>0</v>
          </cell>
        </row>
        <row r="125">
          <cell r="N125">
            <v>1.1999999999999886</v>
          </cell>
          <cell r="O125">
            <v>119.41199999999887</v>
          </cell>
          <cell r="P125">
            <v>0.95</v>
          </cell>
          <cell r="Q125">
            <v>94.534499999999994</v>
          </cell>
          <cell r="R125">
            <v>24.877499999998875</v>
          </cell>
        </row>
        <row r="126">
          <cell r="N126">
            <v>16</v>
          </cell>
          <cell r="O126">
            <v>77.760000000000005</v>
          </cell>
          <cell r="P126">
            <v>16</v>
          </cell>
          <cell r="Q126">
            <v>77.760000000000005</v>
          </cell>
          <cell r="R126">
            <v>0</v>
          </cell>
        </row>
        <row r="127">
          <cell r="N127">
            <v>10.570000000000022</v>
          </cell>
          <cell r="O127">
            <v>698.99410000000137</v>
          </cell>
          <cell r="P127">
            <v>1.94</v>
          </cell>
          <cell r="Q127">
            <v>128.29219999999998</v>
          </cell>
          <cell r="R127">
            <v>570.70190000000139</v>
          </cell>
        </row>
        <row r="128">
          <cell r="N128">
            <v>1.3200000000000003</v>
          </cell>
          <cell r="O128">
            <v>191.45280000000002</v>
          </cell>
          <cell r="P128">
            <v>0.88</v>
          </cell>
          <cell r="Q128">
            <v>127.6352</v>
          </cell>
          <cell r="R128">
            <v>63.817600000000027</v>
          </cell>
        </row>
        <row r="129">
          <cell r="N129">
            <v>0.55000000000000071</v>
          </cell>
          <cell r="O129">
            <v>266.83800000000036</v>
          </cell>
          <cell r="P129">
            <v>0.28999999999999998</v>
          </cell>
          <cell r="Q129">
            <v>140.69640000000001</v>
          </cell>
          <cell r="R129">
            <v>126.14160000000035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0.19000000000000128</v>
          </cell>
          <cell r="O131">
            <v>101.9046000000007</v>
          </cell>
          <cell r="P131">
            <v>0</v>
          </cell>
          <cell r="Q131">
            <v>0</v>
          </cell>
          <cell r="R131">
            <v>101.9046000000007</v>
          </cell>
        </row>
        <row r="132">
          <cell r="N132">
            <v>5.5799999999999841</v>
          </cell>
          <cell r="O132">
            <v>391.82759999999888</v>
          </cell>
          <cell r="P132">
            <v>0</v>
          </cell>
          <cell r="Q132">
            <v>0</v>
          </cell>
          <cell r="R132">
            <v>391.82759999999888</v>
          </cell>
        </row>
        <row r="133">
          <cell r="N133">
            <v>1</v>
          </cell>
          <cell r="O133">
            <v>251.57</v>
          </cell>
          <cell r="P133">
            <v>0</v>
          </cell>
          <cell r="Q133">
            <v>0</v>
          </cell>
          <cell r="R133">
            <v>251.57</v>
          </cell>
        </row>
        <row r="134">
          <cell r="N134">
            <v>8.8199999999999932</v>
          </cell>
          <cell r="O134">
            <v>954.85319999999933</v>
          </cell>
          <cell r="P134">
            <v>0</v>
          </cell>
          <cell r="Q134">
            <v>0</v>
          </cell>
          <cell r="R134">
            <v>954.85319999999933</v>
          </cell>
        </row>
        <row r="135"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4.5</v>
          </cell>
          <cell r="O137">
            <v>379.34999999999997</v>
          </cell>
          <cell r="P137">
            <v>1.26</v>
          </cell>
          <cell r="Q137">
            <v>106.218</v>
          </cell>
          <cell r="R137">
            <v>273.13199999999995</v>
          </cell>
        </row>
        <row r="138">
          <cell r="N138">
            <v>0.92000000000000171</v>
          </cell>
          <cell r="O138">
            <v>378.46040000000073</v>
          </cell>
          <cell r="P138">
            <v>0.43</v>
          </cell>
          <cell r="Q138">
            <v>176.88910000000001</v>
          </cell>
          <cell r="R138">
            <v>201.57130000000072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1.2800000000000011</v>
          </cell>
          <cell r="O140">
            <v>636.07040000000052</v>
          </cell>
          <cell r="P140">
            <v>0.22</v>
          </cell>
          <cell r="Q140">
            <v>109.3246</v>
          </cell>
          <cell r="R140">
            <v>526.74580000000049</v>
          </cell>
        </row>
        <row r="141">
          <cell r="N141">
            <v>0.84999999999999964</v>
          </cell>
          <cell r="O141">
            <v>284.89449999999988</v>
          </cell>
          <cell r="P141">
            <v>0.55000000000000004</v>
          </cell>
          <cell r="Q141">
            <v>184.34350000000003</v>
          </cell>
          <cell r="R141">
            <v>100.55099999999985</v>
          </cell>
        </row>
        <row r="142">
          <cell r="N142">
            <v>1.4600000000000009</v>
          </cell>
          <cell r="O142">
            <v>247.89340000000013</v>
          </cell>
          <cell r="P142">
            <v>1.1399999999999999</v>
          </cell>
          <cell r="Q142">
            <v>193.56059999999997</v>
          </cell>
          <cell r="R142">
            <v>54.332800000000162</v>
          </cell>
        </row>
        <row r="143">
          <cell r="N143">
            <v>12.170000000000016</v>
          </cell>
          <cell r="O143">
            <v>373.13220000000047</v>
          </cell>
          <cell r="P143">
            <v>0</v>
          </cell>
          <cell r="Q143">
            <v>0</v>
          </cell>
          <cell r="R143">
            <v>373.13220000000047</v>
          </cell>
        </row>
        <row r="144">
          <cell r="N144">
            <v>3.1800000000000068</v>
          </cell>
          <cell r="O144">
            <v>1040.3688000000022</v>
          </cell>
          <cell r="P144">
            <v>0</v>
          </cell>
          <cell r="Q144">
            <v>0</v>
          </cell>
          <cell r="R144">
            <v>1040.3688000000022</v>
          </cell>
        </row>
        <row r="145">
          <cell r="N145">
            <v>2.5199999999999818</v>
          </cell>
          <cell r="O145">
            <v>364.84559999999738</v>
          </cell>
          <cell r="P145">
            <v>0.77</v>
          </cell>
          <cell r="Q145">
            <v>111.48060000000001</v>
          </cell>
          <cell r="R145">
            <v>253.36499999999737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38</v>
          </cell>
          <cell r="O147">
            <v>203.68</v>
          </cell>
          <cell r="P147">
            <v>38</v>
          </cell>
          <cell r="Q147">
            <v>203.68</v>
          </cell>
          <cell r="R147">
            <v>0</v>
          </cell>
        </row>
        <row r="148">
          <cell r="N148">
            <v>1.6700000000000159</v>
          </cell>
          <cell r="O148">
            <v>125.8512000000012</v>
          </cell>
          <cell r="P148">
            <v>0</v>
          </cell>
          <cell r="Q148">
            <v>0</v>
          </cell>
          <cell r="R148">
            <v>125.8512000000012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0.44000000000002615</v>
          </cell>
          <cell r="O150">
            <v>266.54320000001582</v>
          </cell>
          <cell r="P150">
            <v>0.22</v>
          </cell>
          <cell r="Q150">
            <v>133.27160000000001</v>
          </cell>
          <cell r="R150">
            <v>133.27160000001581</v>
          </cell>
        </row>
        <row r="151">
          <cell r="N151">
            <v>2.730000000000004</v>
          </cell>
          <cell r="O151">
            <v>386.75910000000056</v>
          </cell>
          <cell r="P151">
            <v>1.61</v>
          </cell>
          <cell r="Q151">
            <v>228.08869999999999</v>
          </cell>
          <cell r="R151">
            <v>158.67040000000057</v>
          </cell>
        </row>
        <row r="152">
          <cell r="N152">
            <v>1.1499999999999986</v>
          </cell>
          <cell r="O152">
            <v>234.11699999999973</v>
          </cell>
          <cell r="P152">
            <v>0.77</v>
          </cell>
          <cell r="Q152">
            <v>156.75660000000002</v>
          </cell>
          <cell r="R152">
            <v>77.360399999999714</v>
          </cell>
        </row>
        <row r="153">
          <cell r="N153">
            <v>16.009999999999991</v>
          </cell>
          <cell r="O153">
            <v>824.03469999999948</v>
          </cell>
          <cell r="P153">
            <v>0</v>
          </cell>
          <cell r="Q153">
            <v>0</v>
          </cell>
          <cell r="R153">
            <v>824.03469999999948</v>
          </cell>
        </row>
        <row r="154"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N155">
            <v>2.6999999999999886</v>
          </cell>
          <cell r="O155">
            <v>186.13799999999921</v>
          </cell>
          <cell r="P155">
            <v>0.95</v>
          </cell>
          <cell r="Q155">
            <v>65.492999999999995</v>
          </cell>
          <cell r="R155">
            <v>120.64499999999921</v>
          </cell>
        </row>
        <row r="156">
          <cell r="N156">
            <v>0.85000000000000853</v>
          </cell>
          <cell r="O156">
            <v>220.06500000000219</v>
          </cell>
          <cell r="P156">
            <v>0.44</v>
          </cell>
          <cell r="Q156">
            <v>113.916</v>
          </cell>
          <cell r="R156">
            <v>106.14900000000219</v>
          </cell>
        </row>
        <row r="157">
          <cell r="N157">
            <v>0.27999999999999758</v>
          </cell>
          <cell r="O157">
            <v>80.897599999999301</v>
          </cell>
          <cell r="P157">
            <v>0.23</v>
          </cell>
          <cell r="Q157">
            <v>66.451600000000013</v>
          </cell>
          <cell r="R157">
            <v>14.445999999999287</v>
          </cell>
        </row>
        <row r="158">
          <cell r="N158">
            <v>1.7699999999999996</v>
          </cell>
          <cell r="O158">
            <v>210.55919999999995</v>
          </cell>
          <cell r="P158">
            <v>0</v>
          </cell>
          <cell r="Q158">
            <v>0</v>
          </cell>
          <cell r="R158">
            <v>210.55919999999995</v>
          </cell>
        </row>
        <row r="159">
          <cell r="N159">
            <v>1.6400000000000006</v>
          </cell>
          <cell r="O159">
            <v>231.7812000000001</v>
          </cell>
          <cell r="P159">
            <v>1.23</v>
          </cell>
          <cell r="Q159">
            <v>173.83590000000001</v>
          </cell>
          <cell r="R159">
            <v>57.945300000000088</v>
          </cell>
        </row>
        <row r="160">
          <cell r="N160">
            <v>1.4699999999999989</v>
          </cell>
          <cell r="O160">
            <v>148.61699999999988</v>
          </cell>
          <cell r="P160">
            <v>1.18</v>
          </cell>
          <cell r="Q160">
            <v>119.29799999999999</v>
          </cell>
          <cell r="R160">
            <v>29.318999999999889</v>
          </cell>
        </row>
        <row r="161">
          <cell r="N161">
            <v>0.9399999999999995</v>
          </cell>
          <cell r="O161">
            <v>198.35879999999992</v>
          </cell>
          <cell r="P161">
            <v>0.94</v>
          </cell>
          <cell r="Q161">
            <v>198.3588</v>
          </cell>
          <cell r="R161">
            <v>0</v>
          </cell>
        </row>
        <row r="162">
          <cell r="N162">
            <v>1</v>
          </cell>
          <cell r="O162">
            <v>221.9</v>
          </cell>
          <cell r="P162">
            <v>0</v>
          </cell>
          <cell r="Q162">
            <v>0</v>
          </cell>
          <cell r="R162">
            <v>221.9</v>
          </cell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N164" t="str">
            <v>總計</v>
          </cell>
          <cell r="O164">
            <v>41756.236100000009</v>
          </cell>
          <cell r="P164" t="str">
            <v>總計</v>
          </cell>
          <cell r="Q164">
            <v>12589.899200000005</v>
          </cell>
          <cell r="R164">
            <v>29166.336900000017</v>
          </cell>
        </row>
      </sheetData>
      <sheetData sheetId="46">
        <row r="3">
          <cell r="C3">
            <v>5433229</v>
          </cell>
        </row>
        <row r="5">
          <cell r="H5">
            <v>3795.7912999999999</v>
          </cell>
          <cell r="J5">
            <v>12202.596600000023</v>
          </cell>
          <cell r="L5">
            <v>1066.0684000000001</v>
          </cell>
        </row>
      </sheetData>
      <sheetData sheetId="47">
        <row r="1">
          <cell r="N1"/>
          <cell r="O1" t="str">
            <v>日期:</v>
          </cell>
          <cell r="P1">
            <v>46026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4.0200000000000102</v>
          </cell>
          <cell r="O5">
            <v>804.00000000000205</v>
          </cell>
          <cell r="P5">
            <v>0.56999999999999995</v>
          </cell>
          <cell r="Q5">
            <v>113.99999999999999</v>
          </cell>
          <cell r="R5">
            <v>690.00000000000205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179</v>
          </cell>
          <cell r="O7">
            <v>576.38</v>
          </cell>
          <cell r="P7">
            <v>0</v>
          </cell>
          <cell r="Q7">
            <v>0</v>
          </cell>
          <cell r="R7">
            <v>576.38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1.9800000000000004</v>
          </cell>
          <cell r="O9">
            <v>151.41060000000002</v>
          </cell>
          <cell r="P9">
            <v>1.06</v>
          </cell>
          <cell r="Q9">
            <v>81.058199999999999</v>
          </cell>
          <cell r="R9">
            <v>70.352400000000017</v>
          </cell>
        </row>
        <row r="10">
          <cell r="N10">
            <v>7.2200000000000273</v>
          </cell>
          <cell r="O10">
            <v>1139.8214000000044</v>
          </cell>
          <cell r="P10">
            <v>0</v>
          </cell>
          <cell r="Q10">
            <v>0</v>
          </cell>
          <cell r="R10">
            <v>1139.8214000000044</v>
          </cell>
        </row>
        <row r="11">
          <cell r="N11">
            <v>16.020000000000095</v>
          </cell>
          <cell r="O11">
            <v>2361.8286000000144</v>
          </cell>
          <cell r="P11">
            <v>0</v>
          </cell>
          <cell r="Q11">
            <v>0</v>
          </cell>
          <cell r="R11">
            <v>2361.8286000000144</v>
          </cell>
        </row>
        <row r="12">
          <cell r="N12">
            <v>2.0199999999999818</v>
          </cell>
          <cell r="O12">
            <v>258.23679999999769</v>
          </cell>
          <cell r="P12">
            <v>2.02</v>
          </cell>
          <cell r="Q12">
            <v>258.23680000000002</v>
          </cell>
          <cell r="R12">
            <v>-2.3305801732931286E-12</v>
          </cell>
        </row>
        <row r="13">
          <cell r="N13">
            <v>1.0400000000000027</v>
          </cell>
          <cell r="O13">
            <v>227.68720000000059</v>
          </cell>
          <cell r="P13">
            <v>1.04</v>
          </cell>
          <cell r="Q13">
            <v>227.68720000000002</v>
          </cell>
          <cell r="R13">
            <v>5.6843418860808015E-13</v>
          </cell>
        </row>
        <row r="14">
          <cell r="N14">
            <v>0.21000000000000085</v>
          </cell>
          <cell r="O14">
            <v>11.451300000000046</v>
          </cell>
          <cell r="P14">
            <v>0</v>
          </cell>
          <cell r="Q14">
            <v>0</v>
          </cell>
          <cell r="R14">
            <v>11.451300000000046</v>
          </cell>
        </row>
        <row r="15">
          <cell r="N15">
            <v>100</v>
          </cell>
          <cell r="O15">
            <v>117</v>
          </cell>
          <cell r="P15">
            <v>100</v>
          </cell>
          <cell r="Q15">
            <v>117</v>
          </cell>
          <cell r="R15">
            <v>0</v>
          </cell>
        </row>
        <row r="16">
          <cell r="N16">
            <v>4.2199999999999989</v>
          </cell>
          <cell r="O16">
            <v>535.89779999999985</v>
          </cell>
          <cell r="P16">
            <v>1.38</v>
          </cell>
          <cell r="Q16">
            <v>175.24619999999999</v>
          </cell>
          <cell r="R16">
            <v>360.65159999999986</v>
          </cell>
        </row>
        <row r="17">
          <cell r="N17">
            <v>36</v>
          </cell>
          <cell r="O17">
            <v>88.2</v>
          </cell>
          <cell r="P17">
            <v>36</v>
          </cell>
          <cell r="Q17">
            <v>88.2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1.0000000000000009E-2</v>
          </cell>
          <cell r="O19">
            <v>7.7500000000000071</v>
          </cell>
          <cell r="P19">
            <v>0</v>
          </cell>
          <cell r="Q19">
            <v>0</v>
          </cell>
          <cell r="R19">
            <v>7.7500000000000071</v>
          </cell>
        </row>
        <row r="20"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N21">
            <v>3.9699999999999704</v>
          </cell>
          <cell r="O21">
            <v>54.349299999999594</v>
          </cell>
          <cell r="P21">
            <v>0</v>
          </cell>
          <cell r="Q21">
            <v>0</v>
          </cell>
          <cell r="R21">
            <v>54.349299999999594</v>
          </cell>
        </row>
        <row r="22">
          <cell r="N22">
            <v>1.3299999999999841</v>
          </cell>
          <cell r="O22">
            <v>257.79389999999694</v>
          </cell>
          <cell r="P22">
            <v>0</v>
          </cell>
          <cell r="Q22">
            <v>0</v>
          </cell>
          <cell r="R22">
            <v>257.79389999999694</v>
          </cell>
        </row>
        <row r="23">
          <cell r="N23">
            <v>0.75</v>
          </cell>
          <cell r="O23">
            <v>320.01749999999998</v>
          </cell>
          <cell r="P23">
            <v>0.22</v>
          </cell>
          <cell r="Q23">
            <v>93.871799999999993</v>
          </cell>
          <cell r="R23">
            <v>226.14569999999998</v>
          </cell>
        </row>
        <row r="24">
          <cell r="N24">
            <v>12.900000000000006</v>
          </cell>
          <cell r="O24">
            <v>1970.4750000000008</v>
          </cell>
          <cell r="P24">
            <v>11.1</v>
          </cell>
          <cell r="Q24">
            <v>1695.5249999999999</v>
          </cell>
          <cell r="R24">
            <v>274.95000000000095</v>
          </cell>
        </row>
        <row r="25">
          <cell r="N25">
            <v>0.37999999999996703</v>
          </cell>
          <cell r="O25">
            <v>101.18639999999121</v>
          </cell>
          <cell r="P25">
            <v>0</v>
          </cell>
          <cell r="Q25">
            <v>0</v>
          </cell>
          <cell r="R25">
            <v>101.18639999999121</v>
          </cell>
        </row>
        <row r="26">
          <cell r="N26">
            <v>0.46999999999999886</v>
          </cell>
          <cell r="O26">
            <v>295.62999999999931</v>
          </cell>
          <cell r="P26">
            <v>0.26</v>
          </cell>
          <cell r="Q26">
            <v>163.54</v>
          </cell>
          <cell r="R26">
            <v>132.08999999999932</v>
          </cell>
        </row>
        <row r="27">
          <cell r="N27">
            <v>2.4500000000000028</v>
          </cell>
          <cell r="O27">
            <v>375.31550000000044</v>
          </cell>
          <cell r="P27">
            <v>1.23</v>
          </cell>
          <cell r="Q27">
            <v>188.4237</v>
          </cell>
          <cell r="R27">
            <v>186.89180000000044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0.72000000000000242</v>
          </cell>
          <cell r="O29">
            <v>212.1408000000007</v>
          </cell>
          <cell r="P29">
            <v>0</v>
          </cell>
          <cell r="Q29">
            <v>0</v>
          </cell>
          <cell r="R29">
            <v>212.1408000000007</v>
          </cell>
        </row>
        <row r="30">
          <cell r="N30">
            <v>0.92999999999999261</v>
          </cell>
          <cell r="O30">
            <v>315.41879999999753</v>
          </cell>
          <cell r="P30">
            <v>0.42</v>
          </cell>
          <cell r="Q30">
            <v>142.44720000000001</v>
          </cell>
          <cell r="R30">
            <v>172.97159999999752</v>
          </cell>
        </row>
        <row r="31">
          <cell r="N31">
            <v>1.1799999999999997</v>
          </cell>
          <cell r="O31">
            <v>298.19779999999992</v>
          </cell>
          <cell r="P31">
            <v>0.5</v>
          </cell>
          <cell r="Q31">
            <v>126.355</v>
          </cell>
          <cell r="R31">
            <v>171.8427999999999</v>
          </cell>
        </row>
        <row r="32">
          <cell r="N32">
            <v>1.4100000000000001</v>
          </cell>
          <cell r="O32">
            <v>487.64850000000007</v>
          </cell>
          <cell r="P32">
            <v>0.44</v>
          </cell>
          <cell r="Q32">
            <v>152.17400000000001</v>
          </cell>
          <cell r="R32">
            <v>335.47450000000003</v>
          </cell>
        </row>
        <row r="33">
          <cell r="N33">
            <v>0.54999999999999982</v>
          </cell>
          <cell r="O33">
            <v>272.95949999999993</v>
          </cell>
          <cell r="P33">
            <v>0.16</v>
          </cell>
          <cell r="Q33">
            <v>79.406400000000005</v>
          </cell>
          <cell r="R33">
            <v>193.55309999999992</v>
          </cell>
        </row>
        <row r="34">
          <cell r="N34">
            <v>3.0199999999999996</v>
          </cell>
          <cell r="O34">
            <v>274.48779999999994</v>
          </cell>
          <cell r="P34">
            <v>0.95</v>
          </cell>
          <cell r="Q34">
            <v>86.345500000000001</v>
          </cell>
          <cell r="R34">
            <v>188.14229999999992</v>
          </cell>
        </row>
        <row r="35">
          <cell r="N35">
            <v>13</v>
          </cell>
          <cell r="O35">
            <v>200.85</v>
          </cell>
          <cell r="P35">
            <v>13</v>
          </cell>
          <cell r="Q35">
            <v>200.85</v>
          </cell>
          <cell r="R35">
            <v>0</v>
          </cell>
        </row>
        <row r="36">
          <cell r="N36">
            <v>2.6999999999999993</v>
          </cell>
          <cell r="O36">
            <v>514.75499999999988</v>
          </cell>
          <cell r="P36">
            <v>0.68</v>
          </cell>
          <cell r="Q36">
            <v>129.64200000000002</v>
          </cell>
          <cell r="R36">
            <v>385.11299999999983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4.0000000000000036E-2</v>
          </cell>
          <cell r="O38">
            <v>4.3300000000000036</v>
          </cell>
          <cell r="P38">
            <v>0</v>
          </cell>
          <cell r="Q38">
            <v>0</v>
          </cell>
          <cell r="R38">
            <v>4.3300000000000036</v>
          </cell>
        </row>
        <row r="39">
          <cell r="N39">
            <v>9.9999999999980105E-3</v>
          </cell>
          <cell r="O39">
            <v>8.9599999999982174</v>
          </cell>
          <cell r="P39">
            <v>0</v>
          </cell>
          <cell r="Q39">
            <v>0</v>
          </cell>
          <cell r="R39">
            <v>8.9599999999982174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0.56000000000000227</v>
          </cell>
          <cell r="O42">
            <v>288.83680000000118</v>
          </cell>
          <cell r="P42">
            <v>0.28000000000000003</v>
          </cell>
          <cell r="Q42">
            <v>144.41840000000002</v>
          </cell>
          <cell r="R42">
            <v>144.41840000000116</v>
          </cell>
        </row>
        <row r="43">
          <cell r="N43">
            <v>1.3999999999999986</v>
          </cell>
          <cell r="O43">
            <v>244.77599999999975</v>
          </cell>
          <cell r="P43">
            <v>0</v>
          </cell>
          <cell r="Q43">
            <v>0</v>
          </cell>
          <cell r="R43">
            <v>244.77599999999975</v>
          </cell>
        </row>
        <row r="44">
          <cell r="N44">
            <v>2.0400000000000009</v>
          </cell>
          <cell r="O44">
            <v>207.7332000000001</v>
          </cell>
          <cell r="P44">
            <v>0.6</v>
          </cell>
          <cell r="Q44">
            <v>61.097999999999999</v>
          </cell>
          <cell r="R44">
            <v>146.63520000000011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4.4100000000000037</v>
          </cell>
          <cell r="O46">
            <v>1858.4181000000017</v>
          </cell>
          <cell r="P46">
            <v>0</v>
          </cell>
          <cell r="Q46">
            <v>0</v>
          </cell>
          <cell r="R46">
            <v>1858.4181000000017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1.3299999999999983</v>
          </cell>
          <cell r="O48">
            <v>172.08869999999976</v>
          </cell>
          <cell r="P48">
            <v>0.66</v>
          </cell>
          <cell r="Q48">
            <v>85.39739999999999</v>
          </cell>
          <cell r="R48">
            <v>86.691299999999771</v>
          </cell>
        </row>
        <row r="49">
          <cell r="N49">
            <v>62</v>
          </cell>
          <cell r="O49">
            <v>279</v>
          </cell>
          <cell r="P49">
            <v>62</v>
          </cell>
          <cell r="Q49">
            <v>279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1.5799999999999983</v>
          </cell>
          <cell r="O51">
            <v>249.94019999999972</v>
          </cell>
          <cell r="P51">
            <v>0.66</v>
          </cell>
          <cell r="Q51">
            <v>104.4054</v>
          </cell>
          <cell r="R51">
            <v>145.53479999999973</v>
          </cell>
        </row>
        <row r="52">
          <cell r="N52">
            <v>0.84999999999999432</v>
          </cell>
          <cell r="O52">
            <v>351.14349999999769</v>
          </cell>
          <cell r="P52">
            <v>0.28999999999999998</v>
          </cell>
          <cell r="Q52">
            <v>119.80189999999999</v>
          </cell>
          <cell r="R52">
            <v>231.3415999999977</v>
          </cell>
        </row>
        <row r="53">
          <cell r="N53">
            <v>1</v>
          </cell>
          <cell r="O53">
            <v>286.69</v>
          </cell>
          <cell r="P53">
            <v>0.43</v>
          </cell>
          <cell r="Q53">
            <v>123.27669999999999</v>
          </cell>
          <cell r="R53">
            <v>163.41329999999999</v>
          </cell>
        </row>
        <row r="54">
          <cell r="N54">
            <v>1.2399999999999984</v>
          </cell>
          <cell r="O54">
            <v>254.33639999999968</v>
          </cell>
          <cell r="P54">
            <v>0.6</v>
          </cell>
          <cell r="Q54">
            <v>123.066</v>
          </cell>
          <cell r="R54">
            <v>131.27039999999968</v>
          </cell>
        </row>
        <row r="55">
          <cell r="N55">
            <v>0.37000000000000011</v>
          </cell>
          <cell r="O55">
            <v>192.40000000000006</v>
          </cell>
          <cell r="P55">
            <v>0.22</v>
          </cell>
          <cell r="Q55">
            <v>114.4</v>
          </cell>
          <cell r="R55">
            <v>78.000000000000057</v>
          </cell>
        </row>
        <row r="56">
          <cell r="N56">
            <v>0.62000000000000099</v>
          </cell>
          <cell r="O56">
            <v>322.40000000000055</v>
          </cell>
          <cell r="P56">
            <v>0.22</v>
          </cell>
          <cell r="Q56">
            <v>114.4</v>
          </cell>
          <cell r="R56">
            <v>208.00000000000054</v>
          </cell>
        </row>
        <row r="57">
          <cell r="N57">
            <v>0.39999999999999858</v>
          </cell>
          <cell r="O57">
            <v>62.591999999999771</v>
          </cell>
          <cell r="P57">
            <v>0</v>
          </cell>
          <cell r="Q57">
            <v>0</v>
          </cell>
          <cell r="R57">
            <v>62.591999999999771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6.999999999999984E-2</v>
          </cell>
          <cell r="O59">
            <v>9.762899999999977</v>
          </cell>
          <cell r="P59">
            <v>0</v>
          </cell>
          <cell r="Q59">
            <v>0</v>
          </cell>
          <cell r="R59">
            <v>9.762899999999977</v>
          </cell>
        </row>
        <row r="60">
          <cell r="N60">
            <v>3.2700000000000102</v>
          </cell>
          <cell r="O60">
            <v>170.13810000000055</v>
          </cell>
          <cell r="P60">
            <v>0.94</v>
          </cell>
          <cell r="Q60">
            <v>48.908200000000001</v>
          </cell>
          <cell r="R60">
            <v>121.22990000000055</v>
          </cell>
        </row>
        <row r="61">
          <cell r="N61">
            <v>4</v>
          </cell>
          <cell r="O61">
            <v>4.92</v>
          </cell>
          <cell r="P61">
            <v>4</v>
          </cell>
          <cell r="Q61">
            <v>4.92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1.2799999999999976</v>
          </cell>
          <cell r="O63">
            <v>269.74719999999951</v>
          </cell>
          <cell r="P63">
            <v>0.88</v>
          </cell>
          <cell r="Q63">
            <v>185.4512</v>
          </cell>
          <cell r="R63">
            <v>84.295999999999509</v>
          </cell>
        </row>
        <row r="64">
          <cell r="N64">
            <v>30</v>
          </cell>
          <cell r="O64">
            <v>48.300000000000004</v>
          </cell>
          <cell r="P64">
            <v>30</v>
          </cell>
          <cell r="Q64">
            <v>48.300000000000004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1.7099999999999795</v>
          </cell>
          <cell r="O66">
            <v>88.697699999998932</v>
          </cell>
          <cell r="P66">
            <v>0</v>
          </cell>
          <cell r="Q66">
            <v>0</v>
          </cell>
          <cell r="R66">
            <v>88.697699999998932</v>
          </cell>
        </row>
        <row r="67">
          <cell r="N67">
            <v>6.9900000000000091</v>
          </cell>
          <cell r="O67">
            <v>235.63290000000032</v>
          </cell>
          <cell r="P67">
            <v>2.2400000000000002</v>
          </cell>
          <cell r="Q67">
            <v>75.510400000000004</v>
          </cell>
          <cell r="R67">
            <v>160.12250000000031</v>
          </cell>
        </row>
        <row r="68">
          <cell r="N68">
            <v>1.9800000000000004</v>
          </cell>
          <cell r="O68">
            <v>250.15320000000006</v>
          </cell>
          <cell r="P68">
            <v>1.19</v>
          </cell>
          <cell r="Q68">
            <v>150.34459999999999</v>
          </cell>
          <cell r="R68">
            <v>99.808600000000069</v>
          </cell>
        </row>
        <row r="69">
          <cell r="N69">
            <v>1.08</v>
          </cell>
          <cell r="O69">
            <v>258.62760000000003</v>
          </cell>
          <cell r="P69">
            <v>0.76</v>
          </cell>
          <cell r="Q69">
            <v>181.99719999999999</v>
          </cell>
          <cell r="R69">
            <v>76.630400000000037</v>
          </cell>
        </row>
        <row r="70">
          <cell r="N70">
            <v>0.71000000000000085</v>
          </cell>
          <cell r="O70">
            <v>325.28650000000039</v>
          </cell>
          <cell r="P70">
            <v>0</v>
          </cell>
          <cell r="Q70">
            <v>0</v>
          </cell>
          <cell r="R70">
            <v>325.28650000000039</v>
          </cell>
        </row>
        <row r="71">
          <cell r="N71">
            <v>56</v>
          </cell>
          <cell r="O71">
            <v>49.28</v>
          </cell>
          <cell r="P71">
            <v>0</v>
          </cell>
          <cell r="Q71">
            <v>0</v>
          </cell>
          <cell r="R71">
            <v>49.28</v>
          </cell>
        </row>
        <row r="72">
          <cell r="N72">
            <v>0.81999999999999984</v>
          </cell>
          <cell r="O72">
            <v>203.73719999999997</v>
          </cell>
          <cell r="P72">
            <v>0.14000000000000001</v>
          </cell>
          <cell r="Q72">
            <v>34.784400000000005</v>
          </cell>
          <cell r="R72">
            <v>168.95279999999997</v>
          </cell>
        </row>
        <row r="73">
          <cell r="N73">
            <v>11.080000000000013</v>
          </cell>
          <cell r="O73">
            <v>325.75200000000035</v>
          </cell>
          <cell r="P73">
            <v>6.36</v>
          </cell>
          <cell r="Q73">
            <v>186.98400000000001</v>
          </cell>
          <cell r="R73">
            <v>138.76800000000034</v>
          </cell>
        </row>
        <row r="74">
          <cell r="N74">
            <v>3.8500000000000227</v>
          </cell>
          <cell r="O74">
            <v>364.09450000000214</v>
          </cell>
          <cell r="P74">
            <v>1.35</v>
          </cell>
          <cell r="Q74">
            <v>127.6695</v>
          </cell>
          <cell r="R74">
            <v>236.42500000000214</v>
          </cell>
        </row>
        <row r="75">
          <cell r="N75">
            <v>14</v>
          </cell>
          <cell r="O75">
            <v>195.29999999999998</v>
          </cell>
          <cell r="P75">
            <v>14</v>
          </cell>
          <cell r="Q75">
            <v>195.29999999999998</v>
          </cell>
          <cell r="R75">
            <v>0</v>
          </cell>
        </row>
        <row r="76">
          <cell r="N76">
            <v>3.1799999999999926</v>
          </cell>
          <cell r="O76">
            <v>226.89299999999946</v>
          </cell>
          <cell r="P76">
            <v>1.1100000000000001</v>
          </cell>
          <cell r="Q76">
            <v>79.198499999999996</v>
          </cell>
          <cell r="R76">
            <v>147.69449999999946</v>
          </cell>
        </row>
        <row r="77">
          <cell r="N77">
            <v>14.550000000000011</v>
          </cell>
          <cell r="O77">
            <v>955.49850000000072</v>
          </cell>
          <cell r="P77">
            <v>0</v>
          </cell>
          <cell r="Q77">
            <v>0</v>
          </cell>
          <cell r="R77">
            <v>955.49850000000072</v>
          </cell>
        </row>
        <row r="78">
          <cell r="N78">
            <v>0.55999999999999872</v>
          </cell>
          <cell r="O78">
            <v>307.99999999999932</v>
          </cell>
          <cell r="P78">
            <v>0.23</v>
          </cell>
          <cell r="Q78">
            <v>126.5</v>
          </cell>
          <cell r="R78">
            <v>181.49999999999932</v>
          </cell>
        </row>
        <row r="79">
          <cell r="N79">
            <v>2.910000000000025</v>
          </cell>
          <cell r="O79">
            <v>226.31070000000193</v>
          </cell>
          <cell r="P79">
            <v>2</v>
          </cell>
          <cell r="Q79">
            <v>155.54</v>
          </cell>
          <cell r="R79">
            <v>70.770700000001938</v>
          </cell>
        </row>
        <row r="80">
          <cell r="N80">
            <v>0.96000000000000085</v>
          </cell>
          <cell r="O80">
            <v>289.42080000000027</v>
          </cell>
          <cell r="P80">
            <v>0.45</v>
          </cell>
          <cell r="Q80">
            <v>135.66600000000003</v>
          </cell>
          <cell r="R80">
            <v>153.75480000000024</v>
          </cell>
        </row>
        <row r="81">
          <cell r="N81">
            <v>1.2899999999999991</v>
          </cell>
          <cell r="O81">
            <v>246.86729999999983</v>
          </cell>
          <cell r="P81">
            <v>1.29</v>
          </cell>
          <cell r="Q81">
            <v>246.8673</v>
          </cell>
          <cell r="R81">
            <v>0</v>
          </cell>
        </row>
        <row r="82">
          <cell r="N82">
            <v>9.6300000000000097</v>
          </cell>
          <cell r="O82">
            <v>567.88110000000052</v>
          </cell>
          <cell r="P82">
            <v>1.9</v>
          </cell>
          <cell r="Q82">
            <v>112.04299999999999</v>
          </cell>
          <cell r="R82">
            <v>455.83810000000051</v>
          </cell>
        </row>
        <row r="83">
          <cell r="N83">
            <v>2.9300000000000068</v>
          </cell>
          <cell r="O83">
            <v>210.05170000000049</v>
          </cell>
          <cell r="P83">
            <v>0</v>
          </cell>
          <cell r="Q83">
            <v>0</v>
          </cell>
          <cell r="R83">
            <v>210.05170000000049</v>
          </cell>
        </row>
        <row r="84">
          <cell r="N84">
            <v>4</v>
          </cell>
          <cell r="O84">
            <v>23.24</v>
          </cell>
          <cell r="P84">
            <v>4</v>
          </cell>
          <cell r="Q84">
            <v>23.24</v>
          </cell>
          <cell r="R84">
            <v>0</v>
          </cell>
        </row>
        <row r="85">
          <cell r="N85">
            <v>4.8800000000000239</v>
          </cell>
          <cell r="O85">
            <v>333.88960000000162</v>
          </cell>
          <cell r="P85">
            <v>1.52</v>
          </cell>
          <cell r="Q85">
            <v>103.9984</v>
          </cell>
          <cell r="R85">
            <v>229.89120000000162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1.3200000000000003</v>
          </cell>
          <cell r="O87">
            <v>63.769200000000019</v>
          </cell>
          <cell r="P87">
            <v>0</v>
          </cell>
          <cell r="Q87">
            <v>0</v>
          </cell>
          <cell r="R87">
            <v>63.769200000000019</v>
          </cell>
        </row>
        <row r="88">
          <cell r="N88">
            <v>1.31</v>
          </cell>
          <cell r="O88">
            <v>281.6893</v>
          </cell>
          <cell r="P88">
            <v>0</v>
          </cell>
          <cell r="Q88">
            <v>0</v>
          </cell>
          <cell r="R88">
            <v>281.6893</v>
          </cell>
        </row>
        <row r="89">
          <cell r="N89">
            <v>0.49000000000000021</v>
          </cell>
          <cell r="O89">
            <v>70.952000000000041</v>
          </cell>
          <cell r="P89">
            <v>0</v>
          </cell>
          <cell r="Q89">
            <v>0</v>
          </cell>
          <cell r="R89">
            <v>70.952000000000041</v>
          </cell>
        </row>
        <row r="90">
          <cell r="N90">
            <v>5.9200000000000017</v>
          </cell>
          <cell r="O90">
            <v>760.06880000000012</v>
          </cell>
          <cell r="P90">
            <v>0</v>
          </cell>
          <cell r="Q90">
            <v>0</v>
          </cell>
          <cell r="R90">
            <v>760.06880000000012</v>
          </cell>
        </row>
        <row r="91">
          <cell r="N91">
            <v>1.240000000000002</v>
          </cell>
          <cell r="O91">
            <v>314.86080000000049</v>
          </cell>
          <cell r="P91">
            <v>0.7</v>
          </cell>
          <cell r="Q91">
            <v>177.74399999999997</v>
          </cell>
          <cell r="R91">
            <v>137.11680000000052</v>
          </cell>
        </row>
        <row r="92">
          <cell r="N92">
            <v>1.9699999999999989</v>
          </cell>
          <cell r="O92">
            <v>361.79049999999978</v>
          </cell>
          <cell r="P92">
            <v>0.88</v>
          </cell>
          <cell r="Q92">
            <v>161.61199999999999</v>
          </cell>
          <cell r="R92">
            <v>200.17849999999979</v>
          </cell>
        </row>
        <row r="93">
          <cell r="N93">
            <v>0.33000000000000007</v>
          </cell>
          <cell r="O93">
            <v>211.94910000000004</v>
          </cell>
          <cell r="P93">
            <v>0</v>
          </cell>
          <cell r="Q93">
            <v>0</v>
          </cell>
          <cell r="R93">
            <v>211.94910000000004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1.0500000000000007</v>
          </cell>
          <cell r="O95">
            <v>315.8715000000002</v>
          </cell>
          <cell r="P95">
            <v>0.48</v>
          </cell>
          <cell r="Q95">
            <v>144.39839999999998</v>
          </cell>
          <cell r="R95">
            <v>171.47310000000022</v>
          </cell>
        </row>
        <row r="96">
          <cell r="N96">
            <v>0.72999999999998977</v>
          </cell>
          <cell r="O96">
            <v>297.65019999999583</v>
          </cell>
          <cell r="P96">
            <v>0</v>
          </cell>
          <cell r="Q96">
            <v>0</v>
          </cell>
          <cell r="R96">
            <v>297.65019999999583</v>
          </cell>
        </row>
        <row r="97">
          <cell r="N97">
            <v>2.3700000000000045</v>
          </cell>
          <cell r="O97">
            <v>262.28790000000049</v>
          </cell>
          <cell r="P97">
            <v>1.2</v>
          </cell>
          <cell r="Q97">
            <v>132.804</v>
          </cell>
          <cell r="R97">
            <v>129.48390000000049</v>
          </cell>
        </row>
        <row r="98">
          <cell r="N98">
            <v>1.9699999999999989</v>
          </cell>
          <cell r="O98">
            <v>720.88209999999958</v>
          </cell>
          <cell r="P98">
            <v>0.22</v>
          </cell>
          <cell r="Q98">
            <v>80.504599999999996</v>
          </cell>
          <cell r="R98">
            <v>640.3774999999996</v>
          </cell>
        </row>
        <row r="99">
          <cell r="N99">
            <v>2.1200000000000045</v>
          </cell>
          <cell r="O99">
            <v>260.37840000000057</v>
          </cell>
          <cell r="P99">
            <v>1.41</v>
          </cell>
          <cell r="Q99">
            <v>173.17619999999999</v>
          </cell>
          <cell r="R99">
            <v>87.202200000000573</v>
          </cell>
        </row>
        <row r="100">
          <cell r="N100">
            <v>1.1000000000000014</v>
          </cell>
          <cell r="O100">
            <v>208.92300000000029</v>
          </cell>
          <cell r="P100">
            <v>0.44</v>
          </cell>
          <cell r="Q100">
            <v>83.569200000000009</v>
          </cell>
          <cell r="R100">
            <v>125.35380000000028</v>
          </cell>
        </row>
        <row r="101">
          <cell r="N101">
            <v>28</v>
          </cell>
          <cell r="O101">
            <v>64.399999999999991</v>
          </cell>
          <cell r="P101">
            <v>28</v>
          </cell>
          <cell r="Q101">
            <v>64.399999999999991</v>
          </cell>
          <cell r="R101">
            <v>0</v>
          </cell>
        </row>
        <row r="102">
          <cell r="N102">
            <v>57</v>
          </cell>
          <cell r="O102">
            <v>174.42000000000002</v>
          </cell>
          <cell r="P102">
            <v>0</v>
          </cell>
          <cell r="Q102">
            <v>0</v>
          </cell>
          <cell r="R102">
            <v>174.42000000000002</v>
          </cell>
        </row>
        <row r="103">
          <cell r="N103">
            <v>1.2099999999999937</v>
          </cell>
          <cell r="O103">
            <v>228.90779999999882</v>
          </cell>
          <cell r="P103">
            <v>0.56000000000000005</v>
          </cell>
          <cell r="Q103">
            <v>105.94080000000001</v>
          </cell>
          <cell r="R103">
            <v>122.96699999999881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104</v>
          </cell>
          <cell r="O105">
            <v>1604.72</v>
          </cell>
          <cell r="P105">
            <v>0</v>
          </cell>
          <cell r="Q105">
            <v>0</v>
          </cell>
          <cell r="R105">
            <v>1604.72</v>
          </cell>
        </row>
        <row r="106">
          <cell r="N106">
            <v>3.1400000000000006</v>
          </cell>
          <cell r="O106">
            <v>1155.9596000000001</v>
          </cell>
          <cell r="P106">
            <v>0</v>
          </cell>
          <cell r="Q106">
            <v>0</v>
          </cell>
          <cell r="R106">
            <v>1155.9596000000001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1.5499999999999972</v>
          </cell>
          <cell r="O108">
            <v>248.75949999999955</v>
          </cell>
          <cell r="P108">
            <v>1.1200000000000001</v>
          </cell>
          <cell r="Q108">
            <v>179.74880000000002</v>
          </cell>
          <cell r="R108">
            <v>69.010699999999531</v>
          </cell>
        </row>
        <row r="109">
          <cell r="N109">
            <v>5.0000000000000711E-2</v>
          </cell>
          <cell r="O109">
            <v>24.278500000000346</v>
          </cell>
          <cell r="P109">
            <v>0</v>
          </cell>
          <cell r="Q109">
            <v>0</v>
          </cell>
          <cell r="R109">
            <v>24.278500000000346</v>
          </cell>
        </row>
        <row r="110">
          <cell r="N110">
            <v>2</v>
          </cell>
          <cell r="O110">
            <v>5.32</v>
          </cell>
          <cell r="P110">
            <v>2</v>
          </cell>
          <cell r="Q110">
            <v>5.32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10.489999999999995</v>
          </cell>
          <cell r="O112">
            <v>690.9762999999997</v>
          </cell>
          <cell r="P112">
            <v>1.66</v>
          </cell>
          <cell r="Q112">
            <v>109.3442</v>
          </cell>
          <cell r="R112">
            <v>581.6320999999997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1.5</v>
          </cell>
          <cell r="O115">
            <v>272.41500000000002</v>
          </cell>
          <cell r="P115">
            <v>0.77</v>
          </cell>
          <cell r="Q115">
            <v>139.83970000000002</v>
          </cell>
          <cell r="R115">
            <v>132.5753</v>
          </cell>
        </row>
        <row r="116">
          <cell r="N116">
            <v>2.0000000000000018E-2</v>
          </cell>
          <cell r="O116">
            <v>9.4000000000000092</v>
          </cell>
          <cell r="P116">
            <v>0</v>
          </cell>
          <cell r="Q116">
            <v>0</v>
          </cell>
          <cell r="R116">
            <v>9.4000000000000092</v>
          </cell>
        </row>
        <row r="117">
          <cell r="N117">
            <v>0.63999999999999879</v>
          </cell>
          <cell r="O117">
            <v>292.02559999999949</v>
          </cell>
          <cell r="P117">
            <v>0.37</v>
          </cell>
          <cell r="Q117">
            <v>168.82730000000001</v>
          </cell>
          <cell r="R117">
            <v>123.19829999999948</v>
          </cell>
        </row>
        <row r="118">
          <cell r="N118">
            <v>12</v>
          </cell>
          <cell r="O118">
            <v>212.52</v>
          </cell>
          <cell r="P118">
            <v>12</v>
          </cell>
          <cell r="Q118">
            <v>212.52</v>
          </cell>
          <cell r="R118">
            <v>0</v>
          </cell>
        </row>
        <row r="119">
          <cell r="N119">
            <v>1.1799999999999997</v>
          </cell>
          <cell r="O119">
            <v>237.15639999999993</v>
          </cell>
          <cell r="P119">
            <v>0.69</v>
          </cell>
          <cell r="Q119">
            <v>138.67619999999999</v>
          </cell>
          <cell r="R119">
            <v>98.48019999999994</v>
          </cell>
        </row>
        <row r="120">
          <cell r="N120">
            <v>1.970000000000006</v>
          </cell>
          <cell r="O120">
            <v>307.00480000000096</v>
          </cell>
          <cell r="P120">
            <v>1.1200000000000001</v>
          </cell>
          <cell r="Q120">
            <v>174.54080000000002</v>
          </cell>
          <cell r="R120">
            <v>132.46400000000094</v>
          </cell>
        </row>
        <row r="121">
          <cell r="N121">
            <v>3.1099999999999994</v>
          </cell>
          <cell r="O121">
            <v>361.19539999999995</v>
          </cell>
          <cell r="P121">
            <v>0.87</v>
          </cell>
          <cell r="Q121">
            <v>101.04179999999999</v>
          </cell>
          <cell r="R121">
            <v>260.15359999999998</v>
          </cell>
        </row>
        <row r="122">
          <cell r="N122">
            <v>20</v>
          </cell>
          <cell r="O122">
            <v>71.2</v>
          </cell>
          <cell r="P122">
            <v>20</v>
          </cell>
          <cell r="Q122">
            <v>71.2</v>
          </cell>
          <cell r="R122">
            <v>0</v>
          </cell>
        </row>
        <row r="123">
          <cell r="N123">
            <v>5.9399999999999977</v>
          </cell>
          <cell r="O123">
            <v>591.08939999999984</v>
          </cell>
          <cell r="P123">
            <v>0.95</v>
          </cell>
          <cell r="Q123">
            <v>94.534499999999994</v>
          </cell>
          <cell r="R123">
            <v>496.55489999999986</v>
          </cell>
        </row>
        <row r="124">
          <cell r="N124">
            <v>16</v>
          </cell>
          <cell r="O124">
            <v>77.760000000000005</v>
          </cell>
          <cell r="P124">
            <v>16</v>
          </cell>
          <cell r="Q124">
            <v>77.760000000000005</v>
          </cell>
          <cell r="R124">
            <v>0</v>
          </cell>
        </row>
        <row r="125">
          <cell r="N125">
            <v>8.7199999999999704</v>
          </cell>
          <cell r="O125">
            <v>576.65359999999805</v>
          </cell>
          <cell r="P125">
            <v>1.94</v>
          </cell>
          <cell r="Q125">
            <v>128.29219999999998</v>
          </cell>
          <cell r="R125">
            <v>448.36139999999807</v>
          </cell>
        </row>
        <row r="126">
          <cell r="N126">
            <v>2.6499999999999986</v>
          </cell>
          <cell r="O126">
            <v>384.35599999999977</v>
          </cell>
          <cell r="P126">
            <v>0.88</v>
          </cell>
          <cell r="Q126">
            <v>127.6352</v>
          </cell>
          <cell r="R126">
            <v>256.72079999999977</v>
          </cell>
        </row>
        <row r="127">
          <cell r="N127">
            <v>0.58999999999999986</v>
          </cell>
          <cell r="O127">
            <v>286.24439999999993</v>
          </cell>
          <cell r="P127">
            <v>0.59</v>
          </cell>
          <cell r="Q127">
            <v>286.24439999999998</v>
          </cell>
          <cell r="R127">
            <v>0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11.010000000000019</v>
          </cell>
          <cell r="O130">
            <v>773.12220000000138</v>
          </cell>
          <cell r="P130">
            <v>0</v>
          </cell>
          <cell r="Q130">
            <v>0</v>
          </cell>
          <cell r="R130">
            <v>773.12220000000138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7.2800000000000011</v>
          </cell>
          <cell r="O132">
            <v>788.1328000000002</v>
          </cell>
          <cell r="P132">
            <v>0</v>
          </cell>
          <cell r="Q132">
            <v>0</v>
          </cell>
          <cell r="R132">
            <v>788.1328000000002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3.2000000000000028</v>
          </cell>
          <cell r="O135">
            <v>269.76000000000022</v>
          </cell>
          <cell r="P135">
            <v>1.26</v>
          </cell>
          <cell r="Q135">
            <v>106.218</v>
          </cell>
          <cell r="R135">
            <v>163.5420000000002</v>
          </cell>
        </row>
        <row r="136">
          <cell r="N136">
            <v>1.0700000000000003</v>
          </cell>
          <cell r="O136">
            <v>440.16590000000014</v>
          </cell>
          <cell r="P136">
            <v>0.43</v>
          </cell>
          <cell r="Q136">
            <v>176.88910000000001</v>
          </cell>
          <cell r="R136">
            <v>263.27680000000009</v>
          </cell>
        </row>
        <row r="137">
          <cell r="N137">
            <v>6</v>
          </cell>
          <cell r="O137">
            <v>16.98</v>
          </cell>
          <cell r="P137">
            <v>0</v>
          </cell>
          <cell r="Q137">
            <v>0</v>
          </cell>
          <cell r="R137">
            <v>16.98</v>
          </cell>
        </row>
        <row r="138">
          <cell r="N138">
            <v>1.6199999999999974</v>
          </cell>
          <cell r="O138">
            <v>805.02659999999878</v>
          </cell>
          <cell r="P138">
            <v>0</v>
          </cell>
          <cell r="Q138">
            <v>0</v>
          </cell>
          <cell r="R138">
            <v>805.02659999999878</v>
          </cell>
        </row>
        <row r="139">
          <cell r="N139">
            <v>1.0599999999999987</v>
          </cell>
          <cell r="O139">
            <v>355.28019999999958</v>
          </cell>
          <cell r="P139">
            <v>0.55000000000000004</v>
          </cell>
          <cell r="Q139">
            <v>184.34350000000003</v>
          </cell>
          <cell r="R139">
            <v>170.93669999999955</v>
          </cell>
        </row>
        <row r="140">
          <cell r="N140">
            <v>1.139999999999997</v>
          </cell>
          <cell r="O140">
            <v>193.56059999999948</v>
          </cell>
          <cell r="P140">
            <v>1.1399999999999999</v>
          </cell>
          <cell r="Q140">
            <v>193.56059999999997</v>
          </cell>
          <cell r="R140">
            <v>-4.8316906031686813E-13</v>
          </cell>
        </row>
        <row r="141">
          <cell r="N141">
            <v>2.9599999999999937</v>
          </cell>
          <cell r="O141">
            <v>90.753599999999807</v>
          </cell>
          <cell r="P141">
            <v>0</v>
          </cell>
          <cell r="Q141">
            <v>0</v>
          </cell>
          <cell r="R141">
            <v>90.753599999999807</v>
          </cell>
        </row>
        <row r="142">
          <cell r="N142">
            <v>2.2600000000000051</v>
          </cell>
          <cell r="O142">
            <v>739.38160000000175</v>
          </cell>
          <cell r="P142">
            <v>0.33</v>
          </cell>
          <cell r="Q142">
            <v>107.96280000000002</v>
          </cell>
          <cell r="R142">
            <v>631.41880000000174</v>
          </cell>
        </row>
        <row r="143">
          <cell r="N143">
            <v>2</v>
          </cell>
          <cell r="O143">
            <v>289.56</v>
          </cell>
          <cell r="P143">
            <v>0.77</v>
          </cell>
          <cell r="Q143">
            <v>111.48060000000001</v>
          </cell>
          <cell r="R143">
            <v>178.07939999999999</v>
          </cell>
        </row>
        <row r="144">
          <cell r="N144">
            <v>2.9400000000000119</v>
          </cell>
          <cell r="O144">
            <v>132.68220000000053</v>
          </cell>
          <cell r="P144">
            <v>0</v>
          </cell>
          <cell r="Q144">
            <v>0</v>
          </cell>
          <cell r="R144">
            <v>132.68220000000053</v>
          </cell>
        </row>
        <row r="145">
          <cell r="N145">
            <v>2</v>
          </cell>
          <cell r="O145">
            <v>10.72</v>
          </cell>
          <cell r="P145">
            <v>2</v>
          </cell>
          <cell r="Q145">
            <v>10.72</v>
          </cell>
          <cell r="R145">
            <v>0</v>
          </cell>
        </row>
        <row r="146">
          <cell r="N146">
            <v>3.0000000000001137E-2</v>
          </cell>
          <cell r="O146">
            <v>2.2608000000000859</v>
          </cell>
          <cell r="P146">
            <v>0</v>
          </cell>
          <cell r="Q146">
            <v>0</v>
          </cell>
          <cell r="R146">
            <v>2.2608000000000859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0.52000000000001023</v>
          </cell>
          <cell r="O148">
            <v>315.00560000000621</v>
          </cell>
          <cell r="P148">
            <v>0.22</v>
          </cell>
          <cell r="Q148">
            <v>133.27160000000001</v>
          </cell>
          <cell r="R148">
            <v>181.7340000000062</v>
          </cell>
        </row>
        <row r="149">
          <cell r="N149">
            <v>2.039999999999992</v>
          </cell>
          <cell r="O149">
            <v>289.00679999999886</v>
          </cell>
          <cell r="P149">
            <v>1.2</v>
          </cell>
          <cell r="Q149">
            <v>170.00399999999999</v>
          </cell>
          <cell r="R149">
            <v>119.00279999999887</v>
          </cell>
        </row>
        <row r="150">
          <cell r="N150">
            <v>1.1300000000000026</v>
          </cell>
          <cell r="O150">
            <v>230.04540000000054</v>
          </cell>
          <cell r="P150">
            <v>0.77</v>
          </cell>
          <cell r="Q150">
            <v>156.75660000000002</v>
          </cell>
          <cell r="R150">
            <v>73.288800000000521</v>
          </cell>
        </row>
        <row r="151">
          <cell r="N151">
            <v>7.9900000000000091</v>
          </cell>
          <cell r="O151">
            <v>411.24530000000044</v>
          </cell>
          <cell r="P151">
            <v>1.74</v>
          </cell>
          <cell r="Q151">
            <v>89.5578</v>
          </cell>
          <cell r="R151">
            <v>321.68750000000045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2.5199999999999818</v>
          </cell>
          <cell r="O153">
            <v>173.72879999999873</v>
          </cell>
          <cell r="P153">
            <v>0.95</v>
          </cell>
          <cell r="Q153">
            <v>65.492999999999995</v>
          </cell>
          <cell r="R153">
            <v>108.23579999999873</v>
          </cell>
        </row>
        <row r="154">
          <cell r="N154">
            <v>1.0600000000000023</v>
          </cell>
          <cell r="O154">
            <v>274.43400000000054</v>
          </cell>
          <cell r="P154">
            <v>0.44</v>
          </cell>
          <cell r="Q154">
            <v>113.916</v>
          </cell>
          <cell r="R154">
            <v>160.51800000000054</v>
          </cell>
        </row>
        <row r="155">
          <cell r="N155">
            <v>0.91000000000000014</v>
          </cell>
          <cell r="O155">
            <v>262.91720000000004</v>
          </cell>
          <cell r="P155">
            <v>0.46</v>
          </cell>
          <cell r="Q155">
            <v>132.90320000000003</v>
          </cell>
          <cell r="R155">
            <v>130.01400000000001</v>
          </cell>
        </row>
        <row r="156">
          <cell r="N156">
            <v>2.0300000000000011</v>
          </cell>
          <cell r="O156">
            <v>241.48880000000011</v>
          </cell>
          <cell r="P156">
            <v>0</v>
          </cell>
          <cell r="Q156">
            <v>0</v>
          </cell>
          <cell r="R156">
            <v>241.48880000000011</v>
          </cell>
        </row>
        <row r="157">
          <cell r="N157">
            <v>1.879999999999999</v>
          </cell>
          <cell r="O157">
            <v>265.70039999999989</v>
          </cell>
          <cell r="P157">
            <v>1.23</v>
          </cell>
          <cell r="Q157">
            <v>173.83590000000001</v>
          </cell>
          <cell r="R157">
            <v>91.864499999999879</v>
          </cell>
        </row>
        <row r="158">
          <cell r="N158">
            <v>1.0300000000000011</v>
          </cell>
          <cell r="O158">
            <v>104.13300000000011</v>
          </cell>
          <cell r="P158">
            <v>1</v>
          </cell>
          <cell r="Q158">
            <v>101.1</v>
          </cell>
          <cell r="R158">
            <v>3.0330000000001149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6</v>
          </cell>
          <cell r="O161">
            <v>72.78</v>
          </cell>
          <cell r="P161">
            <v>6</v>
          </cell>
          <cell r="Q161">
            <v>72.78</v>
          </cell>
          <cell r="R161">
            <v>0</v>
          </cell>
        </row>
        <row r="162">
          <cell r="N162" t="str">
            <v>總計</v>
          </cell>
          <cell r="O162">
            <v>43560.394000000022</v>
          </cell>
          <cell r="P162" t="str">
            <v>總計</v>
          </cell>
          <cell r="Q162">
            <v>13134.790700000009</v>
          </cell>
          <cell r="R162">
            <v>30425.603300000006</v>
          </cell>
        </row>
      </sheetData>
      <sheetData sheetId="48">
        <row r="3">
          <cell r="C3">
            <v>4182799.17</v>
          </cell>
        </row>
        <row r="5">
          <cell r="H5">
            <v>2938.0295999999998</v>
          </cell>
          <cell r="J5">
            <v>10385.457800000022</v>
          </cell>
          <cell r="L5">
            <v>1002.3419</v>
          </cell>
        </row>
      </sheetData>
      <sheetData sheetId="49">
        <row r="1">
          <cell r="N1"/>
          <cell r="O1" t="str">
            <v>日期:</v>
          </cell>
          <cell r="P1">
            <v>46025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77</v>
          </cell>
          <cell r="O7">
            <v>247.94000000000003</v>
          </cell>
          <cell r="P7">
            <v>0</v>
          </cell>
          <cell r="Q7">
            <v>0</v>
          </cell>
          <cell r="R7">
            <v>247.94000000000003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2.0500000000000007</v>
          </cell>
          <cell r="O9">
            <v>156.76350000000005</v>
          </cell>
          <cell r="P9">
            <v>1.06</v>
          </cell>
          <cell r="Q9">
            <v>81.058199999999999</v>
          </cell>
          <cell r="R9">
            <v>75.705300000000051</v>
          </cell>
        </row>
        <row r="10">
          <cell r="N10">
            <v>3.8200000000000216</v>
          </cell>
          <cell r="O10">
            <v>603.06340000000341</v>
          </cell>
          <cell r="P10">
            <v>1.1000000000000001</v>
          </cell>
          <cell r="Q10">
            <v>173.65700000000001</v>
          </cell>
          <cell r="R10">
            <v>429.40640000000337</v>
          </cell>
        </row>
        <row r="11">
          <cell r="N11">
            <v>6.6000000000000227</v>
          </cell>
          <cell r="O11">
            <v>973.03800000000342</v>
          </cell>
          <cell r="P11">
            <v>0</v>
          </cell>
          <cell r="Q11">
            <v>0</v>
          </cell>
          <cell r="R11">
            <v>973.03800000000342</v>
          </cell>
        </row>
        <row r="12">
          <cell r="N12">
            <v>11.100000000000023</v>
          </cell>
          <cell r="O12">
            <v>1419.0240000000028</v>
          </cell>
          <cell r="P12">
            <v>0</v>
          </cell>
          <cell r="Q12">
            <v>0</v>
          </cell>
          <cell r="R12">
            <v>1419.0240000000028</v>
          </cell>
        </row>
        <row r="13">
          <cell r="N13">
            <v>0.86999999999999744</v>
          </cell>
          <cell r="O13">
            <v>190.46909999999946</v>
          </cell>
          <cell r="P13">
            <v>0.75</v>
          </cell>
          <cell r="Q13">
            <v>164.19749999999999</v>
          </cell>
          <cell r="R13">
            <v>26.271599999999466</v>
          </cell>
        </row>
        <row r="14">
          <cell r="N14">
            <v>0.14000000000000057</v>
          </cell>
          <cell r="O14">
            <v>7.634200000000031</v>
          </cell>
          <cell r="P14">
            <v>0</v>
          </cell>
          <cell r="Q14">
            <v>0</v>
          </cell>
          <cell r="R14">
            <v>7.634200000000031</v>
          </cell>
        </row>
        <row r="15">
          <cell r="N15">
            <v>154</v>
          </cell>
          <cell r="O15">
            <v>180.17999999999998</v>
          </cell>
          <cell r="P15">
            <v>154</v>
          </cell>
          <cell r="Q15">
            <v>180.17999999999998</v>
          </cell>
          <cell r="R15">
            <v>0</v>
          </cell>
        </row>
        <row r="16">
          <cell r="N16">
            <v>1.8100000000000023</v>
          </cell>
          <cell r="O16">
            <v>229.85190000000028</v>
          </cell>
          <cell r="P16">
            <v>1.08</v>
          </cell>
          <cell r="Q16">
            <v>137.14920000000001</v>
          </cell>
          <cell r="R16">
            <v>92.702700000000277</v>
          </cell>
        </row>
        <row r="17">
          <cell r="N17">
            <v>66</v>
          </cell>
          <cell r="O17">
            <v>161.70000000000002</v>
          </cell>
          <cell r="P17">
            <v>66</v>
          </cell>
          <cell r="Q17">
            <v>161.70000000000002</v>
          </cell>
          <cell r="R17">
            <v>0</v>
          </cell>
        </row>
        <row r="18">
          <cell r="N18">
            <v>90</v>
          </cell>
          <cell r="O18">
            <v>104.39999999999999</v>
          </cell>
          <cell r="P18">
            <v>90</v>
          </cell>
          <cell r="Q18">
            <v>104.39999999999999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9.9999999999999645E-2</v>
          </cell>
          <cell r="O20">
            <v>21.627999999999922</v>
          </cell>
          <cell r="P20">
            <v>0</v>
          </cell>
          <cell r="Q20">
            <v>0</v>
          </cell>
          <cell r="R20">
            <v>21.627999999999922</v>
          </cell>
        </row>
        <row r="21">
          <cell r="N21">
            <v>6.4599999999999937</v>
          </cell>
          <cell r="O21">
            <v>88.437399999999911</v>
          </cell>
          <cell r="P21">
            <v>0</v>
          </cell>
          <cell r="Q21">
            <v>0</v>
          </cell>
          <cell r="R21">
            <v>88.437399999999911</v>
          </cell>
        </row>
        <row r="22">
          <cell r="N22">
            <v>0.31999999999999318</v>
          </cell>
          <cell r="O22">
            <v>62.025599999998683</v>
          </cell>
          <cell r="P22">
            <v>0</v>
          </cell>
          <cell r="Q22">
            <v>0</v>
          </cell>
          <cell r="R22">
            <v>62.025599999998683</v>
          </cell>
        </row>
        <row r="23">
          <cell r="N23">
            <v>0.48000000000000398</v>
          </cell>
          <cell r="O23">
            <v>204.81120000000169</v>
          </cell>
          <cell r="P23">
            <v>0</v>
          </cell>
          <cell r="Q23">
            <v>0</v>
          </cell>
          <cell r="R23">
            <v>204.81120000000169</v>
          </cell>
        </row>
        <row r="24"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N25">
            <v>6.0000000000002274E-2</v>
          </cell>
          <cell r="O25">
            <v>15.976800000000603</v>
          </cell>
          <cell r="P25">
            <v>0</v>
          </cell>
          <cell r="Q25">
            <v>0</v>
          </cell>
          <cell r="R25">
            <v>15.976800000000603</v>
          </cell>
        </row>
        <row r="26">
          <cell r="N26">
            <v>0.75</v>
          </cell>
          <cell r="O26">
            <v>471.75</v>
          </cell>
          <cell r="P26">
            <v>0.26</v>
          </cell>
          <cell r="Q26">
            <v>163.54</v>
          </cell>
          <cell r="R26">
            <v>308.21000000000004</v>
          </cell>
        </row>
        <row r="27">
          <cell r="N27">
            <v>1.769999999999996</v>
          </cell>
          <cell r="O27">
            <v>271.14629999999937</v>
          </cell>
          <cell r="P27">
            <v>1.23</v>
          </cell>
          <cell r="Q27">
            <v>188.4237</v>
          </cell>
          <cell r="R27">
            <v>82.722599999999375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0.63000000000000256</v>
          </cell>
          <cell r="O29">
            <v>185.62320000000074</v>
          </cell>
          <cell r="P29">
            <v>0</v>
          </cell>
          <cell r="Q29">
            <v>0</v>
          </cell>
          <cell r="R29">
            <v>185.62320000000074</v>
          </cell>
        </row>
        <row r="30">
          <cell r="N30">
            <v>0.76999999999999602</v>
          </cell>
          <cell r="O30">
            <v>261.15319999999866</v>
          </cell>
          <cell r="P30">
            <v>0.42</v>
          </cell>
          <cell r="Q30">
            <v>142.44720000000001</v>
          </cell>
          <cell r="R30">
            <v>118.70599999999865</v>
          </cell>
        </row>
        <row r="31">
          <cell r="N31">
            <v>0.99000000000000199</v>
          </cell>
          <cell r="O31">
            <v>250.1829000000005</v>
          </cell>
          <cell r="P31">
            <v>0.5</v>
          </cell>
          <cell r="Q31">
            <v>126.355</v>
          </cell>
          <cell r="R31">
            <v>123.8279000000005</v>
          </cell>
        </row>
        <row r="32">
          <cell r="N32">
            <v>1.6700000000000017</v>
          </cell>
          <cell r="O32">
            <v>577.56950000000063</v>
          </cell>
          <cell r="P32">
            <v>0</v>
          </cell>
          <cell r="Q32">
            <v>0</v>
          </cell>
          <cell r="R32">
            <v>577.56950000000063</v>
          </cell>
        </row>
        <row r="33">
          <cell r="N33">
            <v>0.20999999999999996</v>
          </cell>
          <cell r="O33">
            <v>104.22089999999999</v>
          </cell>
          <cell r="P33">
            <v>0.16</v>
          </cell>
          <cell r="Q33">
            <v>79.406400000000005</v>
          </cell>
          <cell r="R33">
            <v>24.814499999999981</v>
          </cell>
        </row>
        <row r="34">
          <cell r="N34">
            <v>1.1399999999999997</v>
          </cell>
          <cell r="O34">
            <v>103.61459999999997</v>
          </cell>
          <cell r="P34">
            <v>0.95</v>
          </cell>
          <cell r="Q34">
            <v>86.345500000000001</v>
          </cell>
          <cell r="R34">
            <v>17.269099999999966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3.2100000000000009</v>
          </cell>
          <cell r="O36">
            <v>611.98650000000021</v>
          </cell>
          <cell r="P36">
            <v>0.68</v>
          </cell>
          <cell r="Q36">
            <v>129.64200000000002</v>
          </cell>
          <cell r="R36">
            <v>482.34450000000015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0.62000000000000011</v>
          </cell>
          <cell r="O38">
            <v>67.115000000000009</v>
          </cell>
          <cell r="P38">
            <v>0</v>
          </cell>
          <cell r="Q38">
            <v>0</v>
          </cell>
          <cell r="R38">
            <v>67.115000000000009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0.38000000000000256</v>
          </cell>
          <cell r="O42">
            <v>195.9964000000013</v>
          </cell>
          <cell r="P42">
            <v>0.28000000000000003</v>
          </cell>
          <cell r="Q42">
            <v>144.41840000000002</v>
          </cell>
          <cell r="R42">
            <v>51.578000000001282</v>
          </cell>
        </row>
        <row r="43">
          <cell r="N43">
            <v>0.19999999999999574</v>
          </cell>
          <cell r="O43">
            <v>34.967999999999257</v>
          </cell>
          <cell r="P43">
            <v>0</v>
          </cell>
          <cell r="Q43">
            <v>0</v>
          </cell>
          <cell r="R43">
            <v>34.967999999999257</v>
          </cell>
        </row>
        <row r="44">
          <cell r="N44">
            <v>1.75</v>
          </cell>
          <cell r="O44">
            <v>178.20249999999999</v>
          </cell>
          <cell r="P44">
            <v>0.6</v>
          </cell>
          <cell r="Q44">
            <v>61.097999999999999</v>
          </cell>
          <cell r="R44">
            <v>117.10449999999999</v>
          </cell>
        </row>
        <row r="45">
          <cell r="N45">
            <v>0.39999999999999858</v>
          </cell>
          <cell r="O45">
            <v>247.30799999999911</v>
          </cell>
          <cell r="P45">
            <v>0.22</v>
          </cell>
          <cell r="Q45">
            <v>136.01939999999999</v>
          </cell>
          <cell r="R45">
            <v>111.28859999999912</v>
          </cell>
        </row>
        <row r="46">
          <cell r="N46">
            <v>0.20000000000000284</v>
          </cell>
          <cell r="O46">
            <v>84.282000000001204</v>
          </cell>
          <cell r="P46">
            <v>0</v>
          </cell>
          <cell r="Q46">
            <v>0</v>
          </cell>
          <cell r="R46">
            <v>84.282000000001204</v>
          </cell>
        </row>
        <row r="47">
          <cell r="N47">
            <v>2.0500000000000114</v>
          </cell>
          <cell r="O47">
            <v>391.28350000000216</v>
          </cell>
          <cell r="P47">
            <v>0</v>
          </cell>
          <cell r="Q47">
            <v>0</v>
          </cell>
          <cell r="R47">
            <v>391.28350000000216</v>
          </cell>
        </row>
        <row r="48">
          <cell r="N48">
            <v>0.86000000000000654</v>
          </cell>
          <cell r="O48">
            <v>111.27540000000083</v>
          </cell>
          <cell r="P48">
            <v>0.66</v>
          </cell>
          <cell r="Q48">
            <v>85.39739999999999</v>
          </cell>
          <cell r="R48">
            <v>25.878000000000839</v>
          </cell>
        </row>
        <row r="49">
          <cell r="N49">
            <v>50</v>
          </cell>
          <cell r="O49">
            <v>225</v>
          </cell>
          <cell r="P49">
            <v>50</v>
          </cell>
          <cell r="Q49">
            <v>225</v>
          </cell>
          <cell r="R49">
            <v>0</v>
          </cell>
        </row>
        <row r="50">
          <cell r="N50">
            <v>7.0000000000000284E-2</v>
          </cell>
          <cell r="O50">
            <v>32.372900000000136</v>
          </cell>
          <cell r="P50">
            <v>0</v>
          </cell>
          <cell r="Q50">
            <v>0</v>
          </cell>
          <cell r="R50">
            <v>32.372900000000136</v>
          </cell>
        </row>
        <row r="51">
          <cell r="N51">
            <v>1.1799999999999997</v>
          </cell>
          <cell r="O51">
            <v>186.66419999999997</v>
          </cell>
          <cell r="P51">
            <v>0.66</v>
          </cell>
          <cell r="Q51">
            <v>104.4054</v>
          </cell>
          <cell r="R51">
            <v>82.258799999999965</v>
          </cell>
        </row>
        <row r="52">
          <cell r="N52">
            <v>0.63999999999999346</v>
          </cell>
          <cell r="O52">
            <v>264.39039999999733</v>
          </cell>
          <cell r="P52">
            <v>0.28999999999999998</v>
          </cell>
          <cell r="Q52">
            <v>119.80189999999999</v>
          </cell>
          <cell r="R52">
            <v>144.58849999999734</v>
          </cell>
        </row>
        <row r="53">
          <cell r="N53">
            <v>1.0300000000000011</v>
          </cell>
          <cell r="O53">
            <v>295.2907000000003</v>
          </cell>
          <cell r="P53">
            <v>0.43</v>
          </cell>
          <cell r="Q53">
            <v>123.27669999999999</v>
          </cell>
          <cell r="R53">
            <v>172.01400000000029</v>
          </cell>
        </row>
        <row r="54">
          <cell r="N54">
            <v>1.0099999999999998</v>
          </cell>
          <cell r="O54">
            <v>207.16109999999998</v>
          </cell>
          <cell r="P54">
            <v>0.6</v>
          </cell>
          <cell r="Q54">
            <v>123.066</v>
          </cell>
          <cell r="R54">
            <v>84.095099999999974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0.61000000000000032</v>
          </cell>
          <cell r="O56">
            <v>317.20000000000016</v>
          </cell>
          <cell r="P56">
            <v>0</v>
          </cell>
          <cell r="Q56">
            <v>0</v>
          </cell>
          <cell r="R56">
            <v>317.20000000000016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5.1300000000000097</v>
          </cell>
          <cell r="O60">
            <v>266.91390000000052</v>
          </cell>
          <cell r="P60">
            <v>0</v>
          </cell>
          <cell r="Q60">
            <v>0</v>
          </cell>
          <cell r="R60">
            <v>266.91390000000052</v>
          </cell>
        </row>
        <row r="61">
          <cell r="N61">
            <v>38</v>
          </cell>
          <cell r="O61">
            <v>46.74</v>
          </cell>
          <cell r="P61">
            <v>38</v>
          </cell>
          <cell r="Q61">
            <v>46.74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0.98999999999999844</v>
          </cell>
          <cell r="O63">
            <v>208.63259999999968</v>
          </cell>
          <cell r="P63">
            <v>0.99</v>
          </cell>
          <cell r="Q63">
            <v>208.6326</v>
          </cell>
          <cell r="R63">
            <v>-3.1263880373444408E-13</v>
          </cell>
        </row>
        <row r="64">
          <cell r="N64">
            <v>61</v>
          </cell>
          <cell r="O64">
            <v>98.210000000000008</v>
          </cell>
          <cell r="P64">
            <v>61</v>
          </cell>
          <cell r="Q64">
            <v>98.210000000000008</v>
          </cell>
          <cell r="R64">
            <v>0</v>
          </cell>
        </row>
        <row r="65">
          <cell r="N65">
            <v>89</v>
          </cell>
          <cell r="O65">
            <v>114.81</v>
          </cell>
          <cell r="P65">
            <v>89</v>
          </cell>
          <cell r="Q65">
            <v>114.81</v>
          </cell>
          <cell r="R65">
            <v>0</v>
          </cell>
        </row>
        <row r="66">
          <cell r="N66">
            <v>4.1200000000000045</v>
          </cell>
          <cell r="O66">
            <v>213.70440000000022</v>
          </cell>
          <cell r="P66">
            <v>0</v>
          </cell>
          <cell r="Q66">
            <v>0</v>
          </cell>
          <cell r="R66">
            <v>213.70440000000022</v>
          </cell>
        </row>
        <row r="67">
          <cell r="N67">
            <v>6.539999999999992</v>
          </cell>
          <cell r="O67">
            <v>220.46339999999975</v>
          </cell>
          <cell r="P67">
            <v>0</v>
          </cell>
          <cell r="Q67">
            <v>0</v>
          </cell>
          <cell r="R67">
            <v>220.46339999999975</v>
          </cell>
        </row>
        <row r="68">
          <cell r="N68">
            <v>1.9499999999999993</v>
          </cell>
          <cell r="O68">
            <v>246.36299999999991</v>
          </cell>
          <cell r="P68">
            <v>1.19</v>
          </cell>
          <cell r="Q68">
            <v>150.34459999999999</v>
          </cell>
          <cell r="R68">
            <v>96.018399999999929</v>
          </cell>
        </row>
        <row r="69">
          <cell r="N69">
            <v>0.83999999999999986</v>
          </cell>
          <cell r="O69">
            <v>201.15479999999997</v>
          </cell>
          <cell r="P69">
            <v>0.76</v>
          </cell>
          <cell r="Q69">
            <v>181.99719999999999</v>
          </cell>
          <cell r="R69">
            <v>19.157599999999974</v>
          </cell>
        </row>
        <row r="70">
          <cell r="N70">
            <v>1.6600000000000001</v>
          </cell>
          <cell r="O70">
            <v>760.529</v>
          </cell>
          <cell r="P70">
            <v>0</v>
          </cell>
          <cell r="Q70">
            <v>0</v>
          </cell>
          <cell r="R70">
            <v>760.529</v>
          </cell>
        </row>
        <row r="71">
          <cell r="N71">
            <v>6</v>
          </cell>
          <cell r="O71">
            <v>5.28</v>
          </cell>
          <cell r="P71">
            <v>6</v>
          </cell>
          <cell r="Q71">
            <v>5.28</v>
          </cell>
          <cell r="R71">
            <v>0</v>
          </cell>
        </row>
        <row r="72">
          <cell r="N72">
            <v>0.30000000000000004</v>
          </cell>
          <cell r="O72">
            <v>74.538000000000011</v>
          </cell>
          <cell r="P72">
            <v>0.14000000000000001</v>
          </cell>
          <cell r="Q72">
            <v>34.784400000000005</v>
          </cell>
          <cell r="R72">
            <v>39.753600000000006</v>
          </cell>
        </row>
        <row r="73">
          <cell r="N73">
            <v>11.960000000000008</v>
          </cell>
          <cell r="O73">
            <v>351.62400000000019</v>
          </cell>
          <cell r="P73">
            <v>6.36</v>
          </cell>
          <cell r="Q73">
            <v>186.98400000000001</v>
          </cell>
          <cell r="R73">
            <v>164.64000000000019</v>
          </cell>
        </row>
        <row r="74">
          <cell r="N74">
            <v>6.839999999999975</v>
          </cell>
          <cell r="O74">
            <v>646.85879999999759</v>
          </cell>
          <cell r="P74">
            <v>0</v>
          </cell>
          <cell r="Q74">
            <v>0</v>
          </cell>
          <cell r="R74">
            <v>646.85879999999759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9.0799999999999841</v>
          </cell>
          <cell r="O76">
            <v>647.85799999999881</v>
          </cell>
          <cell r="P76">
            <v>1.1100000000000001</v>
          </cell>
          <cell r="Q76">
            <v>79.198499999999996</v>
          </cell>
          <cell r="R76">
            <v>568.65949999999884</v>
          </cell>
        </row>
        <row r="77">
          <cell r="N77">
            <v>3.0800000000000125</v>
          </cell>
          <cell r="O77">
            <v>202.26360000000082</v>
          </cell>
          <cell r="P77">
            <v>0</v>
          </cell>
          <cell r="Q77">
            <v>0</v>
          </cell>
          <cell r="R77">
            <v>202.26360000000082</v>
          </cell>
        </row>
        <row r="78">
          <cell r="N78">
            <v>0.16000000000000014</v>
          </cell>
          <cell r="O78">
            <v>88.000000000000085</v>
          </cell>
          <cell r="P78">
            <v>0</v>
          </cell>
          <cell r="Q78">
            <v>0</v>
          </cell>
          <cell r="R78">
            <v>88.000000000000085</v>
          </cell>
        </row>
        <row r="79">
          <cell r="N79">
            <v>2.0799999999999841</v>
          </cell>
          <cell r="O79">
            <v>161.76159999999877</v>
          </cell>
          <cell r="P79">
            <v>1.44</v>
          </cell>
          <cell r="Q79">
            <v>111.98879999999998</v>
          </cell>
          <cell r="R79">
            <v>49.772799999998782</v>
          </cell>
        </row>
        <row r="80">
          <cell r="N80">
            <v>0.57999999999999829</v>
          </cell>
          <cell r="O80">
            <v>174.85839999999951</v>
          </cell>
          <cell r="P80">
            <v>0.45</v>
          </cell>
          <cell r="Q80">
            <v>135.66600000000003</v>
          </cell>
          <cell r="R80">
            <v>39.192399999999481</v>
          </cell>
        </row>
        <row r="81">
          <cell r="N81">
            <v>1.6300000000000008</v>
          </cell>
          <cell r="O81">
            <v>311.93310000000014</v>
          </cell>
          <cell r="P81">
            <v>0.55000000000000004</v>
          </cell>
          <cell r="Q81">
            <v>105.25350000000002</v>
          </cell>
          <cell r="R81">
            <v>206.67960000000011</v>
          </cell>
        </row>
        <row r="82">
          <cell r="N82">
            <v>3.5600000000000023</v>
          </cell>
          <cell r="O82">
            <v>209.93320000000014</v>
          </cell>
          <cell r="P82">
            <v>1.4</v>
          </cell>
          <cell r="Q82">
            <v>82.557999999999993</v>
          </cell>
          <cell r="R82">
            <v>127.37520000000015</v>
          </cell>
        </row>
        <row r="83">
          <cell r="N83">
            <v>14.189999999999998</v>
          </cell>
          <cell r="O83">
            <v>1017.2810999999998</v>
          </cell>
          <cell r="P83">
            <v>0</v>
          </cell>
          <cell r="Q83">
            <v>0</v>
          </cell>
          <cell r="R83">
            <v>1017.2810999999998</v>
          </cell>
        </row>
        <row r="84">
          <cell r="N84">
            <v>24</v>
          </cell>
          <cell r="O84">
            <v>139.44</v>
          </cell>
          <cell r="P84">
            <v>24</v>
          </cell>
          <cell r="Q84">
            <v>139.44</v>
          </cell>
          <cell r="R84">
            <v>0</v>
          </cell>
        </row>
        <row r="85">
          <cell r="N85">
            <v>17.22</v>
          </cell>
          <cell r="O85">
            <v>1178.1923999999999</v>
          </cell>
          <cell r="P85">
            <v>0</v>
          </cell>
          <cell r="Q85">
            <v>0</v>
          </cell>
          <cell r="R85">
            <v>1178.1923999999999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211.11470000000023</v>
          </cell>
          <cell r="P87">
            <v>0</v>
          </cell>
          <cell r="Q87">
            <v>0</v>
          </cell>
          <cell r="R87">
            <v>211.11470000000023</v>
          </cell>
        </row>
        <row r="88">
          <cell r="N88">
            <v>0.14999999999999991</v>
          </cell>
          <cell r="O88">
            <v>32.254499999999979</v>
          </cell>
          <cell r="P88">
            <v>0</v>
          </cell>
          <cell r="Q88">
            <v>0</v>
          </cell>
          <cell r="R88">
            <v>32.254499999999979</v>
          </cell>
        </row>
        <row r="89">
          <cell r="N89">
            <v>0.12000000000000011</v>
          </cell>
          <cell r="O89">
            <v>17.376000000000015</v>
          </cell>
          <cell r="P89">
            <v>0</v>
          </cell>
          <cell r="Q89">
            <v>0</v>
          </cell>
          <cell r="R89">
            <v>17.376000000000015</v>
          </cell>
        </row>
        <row r="90">
          <cell r="N90">
            <v>7.5499999999999972</v>
          </cell>
          <cell r="O90">
            <v>969.34449999999958</v>
          </cell>
          <cell r="P90">
            <v>0</v>
          </cell>
          <cell r="Q90">
            <v>0</v>
          </cell>
          <cell r="R90">
            <v>969.34449999999958</v>
          </cell>
        </row>
        <row r="91">
          <cell r="N91">
            <v>0.80000000000000071</v>
          </cell>
          <cell r="O91">
            <v>203.13600000000017</v>
          </cell>
          <cell r="P91">
            <v>0.8</v>
          </cell>
          <cell r="Q91">
            <v>203.136</v>
          </cell>
          <cell r="R91">
            <v>0</v>
          </cell>
        </row>
        <row r="92">
          <cell r="N92">
            <v>1.4600000000000009</v>
          </cell>
          <cell r="O92">
            <v>268.12900000000019</v>
          </cell>
          <cell r="P92">
            <v>1.46</v>
          </cell>
          <cell r="Q92">
            <v>268.12900000000002</v>
          </cell>
          <cell r="R92">
            <v>0</v>
          </cell>
        </row>
        <row r="93">
          <cell r="N93">
            <v>1.0000000000000231E-2</v>
          </cell>
          <cell r="O93">
            <v>6.4227000000001482</v>
          </cell>
          <cell r="P93">
            <v>0</v>
          </cell>
          <cell r="Q93">
            <v>0</v>
          </cell>
          <cell r="R93">
            <v>6.4227000000001482</v>
          </cell>
        </row>
        <row r="94">
          <cell r="N94">
            <v>21</v>
          </cell>
          <cell r="O94">
            <v>131.46</v>
          </cell>
          <cell r="P94">
            <v>21</v>
          </cell>
          <cell r="Q94">
            <v>131.46</v>
          </cell>
          <cell r="R94">
            <v>0</v>
          </cell>
        </row>
        <row r="95">
          <cell r="N95">
            <v>0.89000000000000057</v>
          </cell>
          <cell r="O95">
            <v>267.73870000000016</v>
          </cell>
          <cell r="P95">
            <v>0.48</v>
          </cell>
          <cell r="Q95">
            <v>144.39839999999998</v>
          </cell>
          <cell r="R95">
            <v>123.34030000000018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1.8100000000000023</v>
          </cell>
          <cell r="O97">
            <v>200.31270000000026</v>
          </cell>
          <cell r="P97">
            <v>1.2</v>
          </cell>
          <cell r="Q97">
            <v>132.804</v>
          </cell>
          <cell r="R97">
            <v>67.50870000000026</v>
          </cell>
        </row>
        <row r="98">
          <cell r="N98">
            <v>0.89999999999999858</v>
          </cell>
          <cell r="O98">
            <v>329.33699999999948</v>
          </cell>
          <cell r="P98">
            <v>0</v>
          </cell>
          <cell r="Q98">
            <v>0</v>
          </cell>
          <cell r="R98">
            <v>329.33699999999948</v>
          </cell>
        </row>
        <row r="99">
          <cell r="N99">
            <v>2.5100000000000051</v>
          </cell>
          <cell r="O99">
            <v>308.2782000000006</v>
          </cell>
          <cell r="P99">
            <v>2.5099999999999998</v>
          </cell>
          <cell r="Q99">
            <v>308.27819999999997</v>
          </cell>
          <cell r="R99">
            <v>6.2527760746888816E-13</v>
          </cell>
        </row>
        <row r="100">
          <cell r="N100">
            <v>0.61999999999999744</v>
          </cell>
          <cell r="O100">
            <v>117.75659999999952</v>
          </cell>
          <cell r="P100">
            <v>0.44</v>
          </cell>
          <cell r="Q100">
            <v>83.569200000000009</v>
          </cell>
          <cell r="R100">
            <v>34.187399999999514</v>
          </cell>
        </row>
        <row r="101">
          <cell r="N101">
            <v>80</v>
          </cell>
          <cell r="O101">
            <v>184</v>
          </cell>
          <cell r="P101">
            <v>80</v>
          </cell>
          <cell r="Q101">
            <v>184</v>
          </cell>
          <cell r="R101">
            <v>0</v>
          </cell>
        </row>
        <row r="102">
          <cell r="N102">
            <v>39</v>
          </cell>
          <cell r="O102">
            <v>119.34</v>
          </cell>
          <cell r="P102">
            <v>0</v>
          </cell>
          <cell r="Q102">
            <v>0</v>
          </cell>
          <cell r="R102">
            <v>119.34</v>
          </cell>
        </row>
        <row r="103">
          <cell r="N103">
            <v>0.98000000000000398</v>
          </cell>
          <cell r="O103">
            <v>185.39640000000077</v>
          </cell>
          <cell r="P103">
            <v>0.56000000000000005</v>
          </cell>
          <cell r="Q103">
            <v>105.94080000000001</v>
          </cell>
          <cell r="R103">
            <v>79.455600000000757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0.51999999999999602</v>
          </cell>
          <cell r="O106">
            <v>191.43279999999854</v>
          </cell>
          <cell r="P106">
            <v>0</v>
          </cell>
          <cell r="Q106">
            <v>0</v>
          </cell>
          <cell r="R106">
            <v>191.43279999999854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1.519999999999996</v>
          </cell>
          <cell r="O108">
            <v>243.94479999999936</v>
          </cell>
          <cell r="P108">
            <v>1.1200000000000001</v>
          </cell>
          <cell r="Q108">
            <v>179.74880000000002</v>
          </cell>
          <cell r="R108">
            <v>64.195999999999344</v>
          </cell>
        </row>
        <row r="109">
          <cell r="N109">
            <v>0.14999999999999947</v>
          </cell>
          <cell r="O109">
            <v>72.83549999999974</v>
          </cell>
          <cell r="P109">
            <v>0</v>
          </cell>
          <cell r="Q109">
            <v>0</v>
          </cell>
          <cell r="R109">
            <v>72.83549999999974</v>
          </cell>
        </row>
        <row r="110">
          <cell r="N110">
            <v>5</v>
          </cell>
          <cell r="O110">
            <v>13.3</v>
          </cell>
          <cell r="P110">
            <v>5</v>
          </cell>
          <cell r="Q110">
            <v>13.3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7.2399999999999949</v>
          </cell>
          <cell r="O112">
            <v>476.89879999999971</v>
          </cell>
          <cell r="P112">
            <v>0</v>
          </cell>
          <cell r="Q112">
            <v>0</v>
          </cell>
          <cell r="R112">
            <v>476.89879999999971</v>
          </cell>
        </row>
        <row r="113">
          <cell r="N113">
            <v>4</v>
          </cell>
          <cell r="O113">
            <v>10.76</v>
          </cell>
          <cell r="P113">
            <v>4</v>
          </cell>
          <cell r="Q113">
            <v>10.76</v>
          </cell>
          <cell r="R113">
            <v>0</v>
          </cell>
        </row>
        <row r="114">
          <cell r="N114">
            <v>60</v>
          </cell>
          <cell r="O114">
            <v>258.59999999999997</v>
          </cell>
          <cell r="P114">
            <v>60</v>
          </cell>
          <cell r="Q114">
            <v>258.59999999999997</v>
          </cell>
          <cell r="R114">
            <v>0</v>
          </cell>
        </row>
        <row r="115">
          <cell r="N115">
            <v>1.0399999999999991</v>
          </cell>
          <cell r="O115">
            <v>188.87439999999987</v>
          </cell>
          <cell r="P115">
            <v>0.77</v>
          </cell>
          <cell r="Q115">
            <v>139.83970000000002</v>
          </cell>
          <cell r="R115">
            <v>49.034699999999845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0.46999999999999975</v>
          </cell>
          <cell r="O117">
            <v>214.45629999999989</v>
          </cell>
          <cell r="P117">
            <v>0.47</v>
          </cell>
          <cell r="Q117">
            <v>214.4563</v>
          </cell>
          <cell r="R117">
            <v>0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1.1899999999999995</v>
          </cell>
          <cell r="O119">
            <v>239.16619999999989</v>
          </cell>
          <cell r="P119">
            <v>0.69</v>
          </cell>
          <cell r="Q119">
            <v>138.67619999999999</v>
          </cell>
          <cell r="R119">
            <v>100.4899999999999</v>
          </cell>
        </row>
        <row r="120">
          <cell r="N120">
            <v>1.3499999999999979</v>
          </cell>
          <cell r="O120">
            <v>210.38399999999967</v>
          </cell>
          <cell r="P120">
            <v>1.1200000000000001</v>
          </cell>
          <cell r="Q120">
            <v>174.54080000000002</v>
          </cell>
          <cell r="R120">
            <v>35.843199999999655</v>
          </cell>
        </row>
        <row r="121">
          <cell r="N121">
            <v>5.7199999999999989</v>
          </cell>
          <cell r="O121">
            <v>664.32079999999985</v>
          </cell>
          <cell r="P121">
            <v>0</v>
          </cell>
          <cell r="Q121">
            <v>0</v>
          </cell>
          <cell r="R121">
            <v>664.32079999999985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0.16999999999998749</v>
          </cell>
          <cell r="O123">
            <v>16.916699999998755</v>
          </cell>
          <cell r="P123">
            <v>0</v>
          </cell>
          <cell r="Q123">
            <v>0</v>
          </cell>
          <cell r="R123">
            <v>16.916699999998755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9.0900000000000034</v>
          </cell>
          <cell r="O125">
            <v>601.12170000000015</v>
          </cell>
          <cell r="P125">
            <v>0</v>
          </cell>
          <cell r="Q125">
            <v>0</v>
          </cell>
          <cell r="R125">
            <v>601.12170000000015</v>
          </cell>
        </row>
        <row r="126">
          <cell r="N126">
            <v>1.2300000000000004</v>
          </cell>
          <cell r="O126">
            <v>178.39920000000006</v>
          </cell>
          <cell r="P126">
            <v>0.54</v>
          </cell>
          <cell r="Q126">
            <v>78.321600000000004</v>
          </cell>
          <cell r="R126">
            <v>100.07760000000006</v>
          </cell>
        </row>
        <row r="127">
          <cell r="N127">
            <v>1.3000000000000007</v>
          </cell>
          <cell r="O127">
            <v>630.70800000000042</v>
          </cell>
          <cell r="P127">
            <v>0</v>
          </cell>
          <cell r="Q127">
            <v>0</v>
          </cell>
          <cell r="R127">
            <v>630.70800000000042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1.2699999999999996</v>
          </cell>
          <cell r="O129">
            <v>681.15179999999987</v>
          </cell>
          <cell r="P129">
            <v>0</v>
          </cell>
          <cell r="Q129">
            <v>0</v>
          </cell>
          <cell r="R129">
            <v>681.15179999999987</v>
          </cell>
        </row>
        <row r="130">
          <cell r="N130">
            <v>14.079999999999984</v>
          </cell>
          <cell r="O130">
            <v>988.69759999999883</v>
          </cell>
          <cell r="P130">
            <v>0</v>
          </cell>
          <cell r="Q130">
            <v>0</v>
          </cell>
          <cell r="R130">
            <v>988.69759999999883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4.2900000000000063</v>
          </cell>
          <cell r="O132">
            <v>464.4354000000007</v>
          </cell>
          <cell r="P132">
            <v>0</v>
          </cell>
          <cell r="Q132">
            <v>0</v>
          </cell>
          <cell r="R132">
            <v>464.4354000000007</v>
          </cell>
        </row>
        <row r="133">
          <cell r="N133">
            <v>2</v>
          </cell>
          <cell r="O133">
            <v>0</v>
          </cell>
          <cell r="P133">
            <v>2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1.759999999999998</v>
          </cell>
          <cell r="O135">
            <v>148.36799999999982</v>
          </cell>
          <cell r="P135">
            <v>1.26</v>
          </cell>
          <cell r="Q135">
            <v>106.218</v>
          </cell>
          <cell r="R135">
            <v>42.149999999999821</v>
          </cell>
        </row>
        <row r="136">
          <cell r="N136">
            <v>0.51999999999999957</v>
          </cell>
          <cell r="O136">
            <v>213.91239999999982</v>
          </cell>
          <cell r="P136">
            <v>0.43</v>
          </cell>
          <cell r="Q136">
            <v>176.88910000000001</v>
          </cell>
          <cell r="R136">
            <v>37.023299999999807</v>
          </cell>
        </row>
        <row r="137">
          <cell r="N137">
            <v>76</v>
          </cell>
          <cell r="O137">
            <v>215.08</v>
          </cell>
          <cell r="P137">
            <v>0</v>
          </cell>
          <cell r="Q137">
            <v>0</v>
          </cell>
          <cell r="R137">
            <v>215.08</v>
          </cell>
        </row>
        <row r="138">
          <cell r="N138">
            <v>0.8100000000000005</v>
          </cell>
          <cell r="O138">
            <v>402.51330000000024</v>
          </cell>
          <cell r="P138">
            <v>0.33</v>
          </cell>
          <cell r="Q138">
            <v>163.98690000000002</v>
          </cell>
          <cell r="R138">
            <v>238.52640000000022</v>
          </cell>
        </row>
        <row r="139">
          <cell r="N139">
            <v>0.53000000000000025</v>
          </cell>
          <cell r="O139">
            <v>177.6401000000001</v>
          </cell>
          <cell r="P139">
            <v>0.44</v>
          </cell>
          <cell r="Q139">
            <v>147.47480000000002</v>
          </cell>
          <cell r="R139">
            <v>30.165300000000087</v>
          </cell>
        </row>
        <row r="140">
          <cell r="N140">
            <v>1.2899999999999991</v>
          </cell>
          <cell r="O140">
            <v>219.02909999999986</v>
          </cell>
          <cell r="P140">
            <v>1.05</v>
          </cell>
          <cell r="Q140">
            <v>178.27950000000001</v>
          </cell>
          <cell r="R140">
            <v>40.749599999999845</v>
          </cell>
        </row>
        <row r="141">
          <cell r="N141">
            <v>5.2199999999999989</v>
          </cell>
          <cell r="O141">
            <v>160.04519999999997</v>
          </cell>
          <cell r="P141">
            <v>0</v>
          </cell>
          <cell r="Q141">
            <v>0</v>
          </cell>
          <cell r="R141">
            <v>160.04519999999997</v>
          </cell>
        </row>
        <row r="142">
          <cell r="N142">
            <v>4.0900000000000034</v>
          </cell>
          <cell r="O142">
            <v>1338.0844000000013</v>
          </cell>
          <cell r="P142">
            <v>0</v>
          </cell>
          <cell r="Q142">
            <v>0</v>
          </cell>
          <cell r="R142">
            <v>1338.0844000000013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5.4499999999999886</v>
          </cell>
          <cell r="O144">
            <v>245.9584999999995</v>
          </cell>
          <cell r="P144">
            <v>0</v>
          </cell>
          <cell r="Q144">
            <v>0</v>
          </cell>
          <cell r="R144">
            <v>245.9584999999995</v>
          </cell>
        </row>
        <row r="145">
          <cell r="N145">
            <v>18</v>
          </cell>
          <cell r="O145">
            <v>96.48</v>
          </cell>
          <cell r="P145">
            <v>18</v>
          </cell>
          <cell r="Q145">
            <v>96.48</v>
          </cell>
          <cell r="R145">
            <v>0</v>
          </cell>
        </row>
        <row r="146"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1.7500000000000284</v>
          </cell>
          <cell r="O148">
            <v>1060.1150000000171</v>
          </cell>
          <cell r="P148">
            <v>0</v>
          </cell>
          <cell r="Q148">
            <v>0</v>
          </cell>
          <cell r="R148">
            <v>1060.1150000000171</v>
          </cell>
        </row>
        <row r="149">
          <cell r="N149">
            <v>6.4599999999999937</v>
          </cell>
          <cell r="O149">
            <v>915.18819999999903</v>
          </cell>
          <cell r="P149">
            <v>5.8</v>
          </cell>
          <cell r="Q149">
            <v>821.68599999999992</v>
          </cell>
          <cell r="R149">
            <v>93.502199999999107</v>
          </cell>
        </row>
        <row r="150">
          <cell r="N150">
            <v>1.120000000000001</v>
          </cell>
          <cell r="O150">
            <v>228.00960000000021</v>
          </cell>
          <cell r="P150">
            <v>1.1200000000000001</v>
          </cell>
          <cell r="Q150">
            <v>228.00960000000003</v>
          </cell>
          <cell r="R150">
            <v>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0.95000000000004547</v>
          </cell>
          <cell r="O153">
            <v>65.493000000003136</v>
          </cell>
          <cell r="P153">
            <v>0.95</v>
          </cell>
          <cell r="Q153">
            <v>65.492999999999995</v>
          </cell>
          <cell r="R153">
            <v>3.1405988920596428E-12</v>
          </cell>
        </row>
        <row r="154">
          <cell r="N154">
            <v>0.89999999999999147</v>
          </cell>
          <cell r="O154">
            <v>233.00999999999777</v>
          </cell>
          <cell r="P154">
            <v>0.44</v>
          </cell>
          <cell r="Q154">
            <v>113.916</v>
          </cell>
          <cell r="R154">
            <v>119.09399999999778</v>
          </cell>
        </row>
        <row r="155">
          <cell r="N155">
            <v>0.84999999999999964</v>
          </cell>
          <cell r="O155">
            <v>245.58199999999991</v>
          </cell>
          <cell r="P155">
            <v>0.46</v>
          </cell>
          <cell r="Q155">
            <v>132.90320000000003</v>
          </cell>
          <cell r="R155">
            <v>112.67879999999988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1.4299999999999997</v>
          </cell>
          <cell r="O157">
            <v>202.10189999999997</v>
          </cell>
          <cell r="P157">
            <v>1.43</v>
          </cell>
          <cell r="Q157">
            <v>202.1019</v>
          </cell>
          <cell r="R157">
            <v>0</v>
          </cell>
        </row>
        <row r="158">
          <cell r="N158">
            <v>1.5199999999999996</v>
          </cell>
          <cell r="O158">
            <v>153.67199999999994</v>
          </cell>
          <cell r="P158">
            <v>0.71</v>
          </cell>
          <cell r="Q158">
            <v>71.780999999999992</v>
          </cell>
          <cell r="R158">
            <v>81.890999999999948</v>
          </cell>
        </row>
        <row r="159">
          <cell r="N159">
            <v>1.1099999999999994</v>
          </cell>
          <cell r="O159">
            <v>234.23219999999989</v>
          </cell>
          <cell r="P159">
            <v>0.44</v>
          </cell>
          <cell r="Q159">
            <v>92.848800000000011</v>
          </cell>
          <cell r="R159">
            <v>141.38339999999988</v>
          </cell>
        </row>
        <row r="160"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N161">
            <v>4</v>
          </cell>
          <cell r="O161">
            <v>48.52</v>
          </cell>
          <cell r="P161">
            <v>4</v>
          </cell>
          <cell r="Q161">
            <v>48.52</v>
          </cell>
          <cell r="R161">
            <v>0</v>
          </cell>
        </row>
        <row r="162">
          <cell r="N162" t="str">
            <v>總計</v>
          </cell>
          <cell r="O162">
            <v>34430.879500000003</v>
          </cell>
          <cell r="P162" t="str">
            <v>總計</v>
          </cell>
          <cell r="Q162">
            <v>10139.419300000001</v>
          </cell>
          <cell r="R162">
            <v>24291.46020000002</v>
          </cell>
        </row>
      </sheetData>
      <sheetData sheetId="50">
        <row r="3">
          <cell r="C3">
            <v>3838107.8</v>
          </cell>
        </row>
        <row r="5">
          <cell r="H5">
            <v>2821.3823999999995</v>
          </cell>
          <cell r="J5">
            <v>8077.4429000000091</v>
          </cell>
          <cell r="L5">
            <v>1023.6408999999999</v>
          </cell>
        </row>
      </sheetData>
      <sheetData sheetId="51">
        <row r="1">
          <cell r="N1"/>
          <cell r="O1" t="str">
            <v>日期:</v>
          </cell>
          <cell r="P1">
            <v>46024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10</v>
          </cell>
          <cell r="O4">
            <v>90</v>
          </cell>
          <cell r="P4">
            <v>10</v>
          </cell>
          <cell r="Q4">
            <v>90</v>
          </cell>
          <cell r="R4">
            <v>0</v>
          </cell>
        </row>
        <row r="5">
          <cell r="N5">
            <v>1.3199999999999932</v>
          </cell>
          <cell r="O5">
            <v>263.99999999999864</v>
          </cell>
          <cell r="P5">
            <v>0</v>
          </cell>
          <cell r="Q5">
            <v>0</v>
          </cell>
          <cell r="R5">
            <v>263.99999999999864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81</v>
          </cell>
          <cell r="O7">
            <v>260.82</v>
          </cell>
          <cell r="P7">
            <v>0</v>
          </cell>
          <cell r="Q7">
            <v>0</v>
          </cell>
          <cell r="R7">
            <v>260.82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2.6400000000000006</v>
          </cell>
          <cell r="O9">
            <v>201.88080000000005</v>
          </cell>
          <cell r="P9">
            <v>1.06</v>
          </cell>
          <cell r="Q9">
            <v>81.058199999999999</v>
          </cell>
          <cell r="R9">
            <v>120.82260000000005</v>
          </cell>
        </row>
        <row r="10">
          <cell r="N10">
            <v>1.9699999999999989</v>
          </cell>
          <cell r="O10">
            <v>311.00389999999982</v>
          </cell>
          <cell r="P10">
            <v>1.1000000000000001</v>
          </cell>
          <cell r="Q10">
            <v>173.65700000000001</v>
          </cell>
          <cell r="R10">
            <v>137.34689999999981</v>
          </cell>
        </row>
        <row r="11">
          <cell r="N11">
            <v>14.800000000000011</v>
          </cell>
          <cell r="O11">
            <v>2181.9640000000018</v>
          </cell>
          <cell r="P11">
            <v>0</v>
          </cell>
          <cell r="Q11">
            <v>0</v>
          </cell>
          <cell r="R11">
            <v>2181.9640000000018</v>
          </cell>
        </row>
        <row r="12">
          <cell r="N12">
            <v>5.6900000000000546</v>
          </cell>
          <cell r="O12">
            <v>727.409600000007</v>
          </cell>
          <cell r="P12">
            <v>0</v>
          </cell>
          <cell r="Q12">
            <v>0</v>
          </cell>
          <cell r="R12">
            <v>727.409600000007</v>
          </cell>
        </row>
        <row r="13">
          <cell r="N13">
            <v>1.0500000000000007</v>
          </cell>
          <cell r="O13">
            <v>229.87650000000016</v>
          </cell>
          <cell r="P13">
            <v>1.05</v>
          </cell>
          <cell r="Q13">
            <v>229.87650000000002</v>
          </cell>
          <cell r="R13">
            <v>0</v>
          </cell>
        </row>
        <row r="14">
          <cell r="N14">
            <v>0.57000000000000028</v>
          </cell>
          <cell r="O14">
            <v>31.082100000000015</v>
          </cell>
          <cell r="P14">
            <v>0</v>
          </cell>
          <cell r="Q14">
            <v>0</v>
          </cell>
          <cell r="R14">
            <v>31.082100000000015</v>
          </cell>
        </row>
        <row r="15">
          <cell r="N15">
            <v>120</v>
          </cell>
          <cell r="O15">
            <v>140.39999999999998</v>
          </cell>
          <cell r="P15">
            <v>120</v>
          </cell>
          <cell r="Q15">
            <v>140.39999999999998</v>
          </cell>
          <cell r="R15">
            <v>0</v>
          </cell>
        </row>
        <row r="16">
          <cell r="N16">
            <v>1.7199999999999989</v>
          </cell>
          <cell r="O16">
            <v>218.42279999999985</v>
          </cell>
          <cell r="P16">
            <v>1.08</v>
          </cell>
          <cell r="Q16">
            <v>137.14920000000001</v>
          </cell>
          <cell r="R16">
            <v>81.273599999999846</v>
          </cell>
        </row>
        <row r="17">
          <cell r="N17">
            <v>70</v>
          </cell>
          <cell r="O17">
            <v>171.5</v>
          </cell>
          <cell r="P17">
            <v>70</v>
          </cell>
          <cell r="Q17">
            <v>171.5</v>
          </cell>
          <cell r="R17">
            <v>0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0.30000000000000071</v>
          </cell>
          <cell r="O20">
            <v>64.884000000000157</v>
          </cell>
          <cell r="P20">
            <v>0</v>
          </cell>
          <cell r="Q20">
            <v>0</v>
          </cell>
          <cell r="R20">
            <v>64.884000000000157</v>
          </cell>
        </row>
        <row r="21">
          <cell r="N21">
            <v>0.98000000000000398</v>
          </cell>
          <cell r="O21">
            <v>13.416200000000053</v>
          </cell>
          <cell r="P21">
            <v>0</v>
          </cell>
          <cell r="Q21">
            <v>0</v>
          </cell>
          <cell r="R21">
            <v>13.416200000000053</v>
          </cell>
        </row>
        <row r="22">
          <cell r="N22">
            <v>1.0800000000000125</v>
          </cell>
          <cell r="O22">
            <v>209.33640000000244</v>
          </cell>
          <cell r="P22">
            <v>0</v>
          </cell>
          <cell r="Q22">
            <v>0</v>
          </cell>
          <cell r="R22">
            <v>209.33640000000244</v>
          </cell>
        </row>
        <row r="23">
          <cell r="N23">
            <v>1.6800000000000068</v>
          </cell>
          <cell r="O23">
            <v>716.83920000000296</v>
          </cell>
          <cell r="P23">
            <v>0</v>
          </cell>
          <cell r="Q23">
            <v>0</v>
          </cell>
          <cell r="R23">
            <v>716.83920000000296</v>
          </cell>
        </row>
        <row r="24">
          <cell r="N24">
            <v>4.7500000000000142</v>
          </cell>
          <cell r="O24">
            <v>725.56250000000216</v>
          </cell>
          <cell r="P24">
            <v>0</v>
          </cell>
          <cell r="Q24">
            <v>0</v>
          </cell>
          <cell r="R24">
            <v>725.56250000000216</v>
          </cell>
        </row>
        <row r="25">
          <cell r="N25">
            <v>0.59999999999999432</v>
          </cell>
          <cell r="O25">
            <v>159.76799999999847</v>
          </cell>
          <cell r="P25">
            <v>0</v>
          </cell>
          <cell r="Q25">
            <v>0</v>
          </cell>
          <cell r="R25">
            <v>159.76799999999847</v>
          </cell>
        </row>
        <row r="26">
          <cell r="N26">
            <v>0.46000000000000085</v>
          </cell>
          <cell r="O26">
            <v>289.34000000000054</v>
          </cell>
          <cell r="P26">
            <v>0.26</v>
          </cell>
          <cell r="Q26">
            <v>163.54</v>
          </cell>
          <cell r="R26">
            <v>125.80000000000055</v>
          </cell>
        </row>
        <row r="27">
          <cell r="N27">
            <v>2.5300000000000011</v>
          </cell>
          <cell r="O27">
            <v>387.57070000000016</v>
          </cell>
          <cell r="P27">
            <v>2.5299999999999998</v>
          </cell>
          <cell r="Q27">
            <v>387.57069999999999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0.98000000000000043</v>
          </cell>
          <cell r="O29">
            <v>288.74720000000013</v>
          </cell>
          <cell r="P29">
            <v>0</v>
          </cell>
          <cell r="Q29">
            <v>0</v>
          </cell>
          <cell r="R29">
            <v>288.74720000000013</v>
          </cell>
        </row>
        <row r="30">
          <cell r="N30">
            <v>0.87000000000000455</v>
          </cell>
          <cell r="O30">
            <v>295.06920000000156</v>
          </cell>
          <cell r="P30">
            <v>0.42</v>
          </cell>
          <cell r="Q30">
            <v>142.44720000000001</v>
          </cell>
          <cell r="R30">
            <v>152.62200000000155</v>
          </cell>
        </row>
        <row r="31">
          <cell r="N31">
            <v>0.85000000000000142</v>
          </cell>
          <cell r="O31">
            <v>214.80350000000035</v>
          </cell>
          <cell r="P31">
            <v>0.5</v>
          </cell>
          <cell r="Q31">
            <v>126.355</v>
          </cell>
          <cell r="R31">
            <v>88.448500000000351</v>
          </cell>
        </row>
        <row r="32">
          <cell r="N32">
            <v>0.75999999999999801</v>
          </cell>
          <cell r="O32">
            <v>262.84599999999932</v>
          </cell>
          <cell r="P32">
            <v>0</v>
          </cell>
          <cell r="Q32">
            <v>0</v>
          </cell>
          <cell r="R32">
            <v>262.84599999999932</v>
          </cell>
        </row>
        <row r="33">
          <cell r="N33">
            <v>0.20000000000000018</v>
          </cell>
          <cell r="O33">
            <v>99.258000000000095</v>
          </cell>
          <cell r="P33">
            <v>0.16</v>
          </cell>
          <cell r="Q33">
            <v>79.406400000000005</v>
          </cell>
          <cell r="R33">
            <v>19.85160000000009</v>
          </cell>
        </row>
        <row r="34">
          <cell r="N34">
            <v>1.0600000000000005</v>
          </cell>
          <cell r="O34">
            <v>96.343400000000045</v>
          </cell>
          <cell r="P34">
            <v>0.85</v>
          </cell>
          <cell r="Q34">
            <v>77.256500000000003</v>
          </cell>
          <cell r="R34">
            <v>19.086900000000043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1.1000000000000014</v>
          </cell>
          <cell r="O36">
            <v>209.71500000000029</v>
          </cell>
          <cell r="P36">
            <v>0.68</v>
          </cell>
          <cell r="Q36">
            <v>129.64200000000002</v>
          </cell>
          <cell r="R36">
            <v>80.073000000000263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8.0000000000000071E-2</v>
          </cell>
          <cell r="O41">
            <v>140.80000000000013</v>
          </cell>
          <cell r="P41">
            <v>0</v>
          </cell>
          <cell r="Q41">
            <v>0</v>
          </cell>
          <cell r="R41">
            <v>140.80000000000013</v>
          </cell>
        </row>
        <row r="42">
          <cell r="N42">
            <v>0.44999999999999574</v>
          </cell>
          <cell r="O42">
            <v>232.10099999999778</v>
          </cell>
          <cell r="P42">
            <v>0.28000000000000003</v>
          </cell>
          <cell r="Q42">
            <v>144.41840000000002</v>
          </cell>
          <cell r="R42">
            <v>87.682599999997763</v>
          </cell>
        </row>
        <row r="43">
          <cell r="N43">
            <v>1.509999999999998</v>
          </cell>
          <cell r="O43">
            <v>264.00839999999965</v>
          </cell>
          <cell r="P43">
            <v>0</v>
          </cell>
          <cell r="Q43">
            <v>0</v>
          </cell>
          <cell r="R43">
            <v>264.00839999999965</v>
          </cell>
        </row>
        <row r="44">
          <cell r="N44">
            <v>1.9699999999999989</v>
          </cell>
          <cell r="O44">
            <v>200.60509999999988</v>
          </cell>
          <cell r="P44">
            <v>0.6</v>
          </cell>
          <cell r="Q44">
            <v>61.097999999999999</v>
          </cell>
          <cell r="R44">
            <v>139.50709999999987</v>
          </cell>
        </row>
        <row r="45">
          <cell r="N45">
            <v>0.36999999999999744</v>
          </cell>
          <cell r="O45">
            <v>228.75989999999842</v>
          </cell>
          <cell r="P45">
            <v>0.22</v>
          </cell>
          <cell r="Q45">
            <v>136.01939999999999</v>
          </cell>
          <cell r="R45">
            <v>92.740499999998434</v>
          </cell>
        </row>
        <row r="46">
          <cell r="N46">
            <v>0.97999999999999687</v>
          </cell>
          <cell r="O46">
            <v>412.98179999999871</v>
          </cell>
          <cell r="P46">
            <v>0</v>
          </cell>
          <cell r="Q46">
            <v>0</v>
          </cell>
          <cell r="R46">
            <v>412.98179999999871</v>
          </cell>
        </row>
        <row r="47">
          <cell r="N47">
            <v>0.84000000000000341</v>
          </cell>
          <cell r="O47">
            <v>160.33080000000066</v>
          </cell>
          <cell r="P47">
            <v>0</v>
          </cell>
          <cell r="Q47">
            <v>0</v>
          </cell>
          <cell r="R47">
            <v>160.33080000000066</v>
          </cell>
        </row>
        <row r="48">
          <cell r="N48">
            <v>1.1000000000000014</v>
          </cell>
          <cell r="O48">
            <v>142.32900000000018</v>
          </cell>
          <cell r="P48">
            <v>0.66</v>
          </cell>
          <cell r="Q48">
            <v>85.39739999999999</v>
          </cell>
          <cell r="R48">
            <v>56.931600000000188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9.9999999999980105E-3</v>
          </cell>
          <cell r="O50">
            <v>4.6246999999990805</v>
          </cell>
          <cell r="P50">
            <v>0</v>
          </cell>
          <cell r="Q50">
            <v>0</v>
          </cell>
          <cell r="R50">
            <v>4.6246999999990805</v>
          </cell>
        </row>
        <row r="51">
          <cell r="N51">
            <v>1.029999999999994</v>
          </cell>
          <cell r="O51">
            <v>162.93569999999906</v>
          </cell>
          <cell r="P51">
            <v>0.66</v>
          </cell>
          <cell r="Q51">
            <v>104.4054</v>
          </cell>
          <cell r="R51">
            <v>58.530299999999059</v>
          </cell>
        </row>
        <row r="52">
          <cell r="N52">
            <v>0.52999999999999403</v>
          </cell>
          <cell r="O52">
            <v>218.94829999999754</v>
          </cell>
          <cell r="P52">
            <v>0.28999999999999998</v>
          </cell>
          <cell r="Q52">
            <v>119.80189999999999</v>
          </cell>
          <cell r="R52">
            <v>99.146399999997556</v>
          </cell>
        </row>
        <row r="53">
          <cell r="N53">
            <v>0.94999999999999574</v>
          </cell>
          <cell r="O53">
            <v>272.35549999999876</v>
          </cell>
          <cell r="P53">
            <v>0.23</v>
          </cell>
          <cell r="Q53">
            <v>65.938699999999997</v>
          </cell>
          <cell r="R53">
            <v>206.41679999999877</v>
          </cell>
        </row>
        <row r="54">
          <cell r="N54">
            <v>1.120000000000001</v>
          </cell>
          <cell r="O54">
            <v>229.72320000000022</v>
          </cell>
          <cell r="P54">
            <v>0.6</v>
          </cell>
          <cell r="Q54">
            <v>123.066</v>
          </cell>
          <cell r="R54">
            <v>106.65720000000022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0.48999999999999932</v>
          </cell>
          <cell r="O56">
            <v>254.79999999999964</v>
          </cell>
          <cell r="P56">
            <v>0</v>
          </cell>
          <cell r="Q56">
            <v>0</v>
          </cell>
          <cell r="R56">
            <v>254.79999999999964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0.10000000000000009</v>
          </cell>
          <cell r="O59">
            <v>13.947000000000012</v>
          </cell>
          <cell r="P59">
            <v>0</v>
          </cell>
          <cell r="Q59">
            <v>0</v>
          </cell>
          <cell r="R59">
            <v>13.947000000000012</v>
          </cell>
        </row>
        <row r="60">
          <cell r="N60">
            <v>9.0000000000003411E-2</v>
          </cell>
          <cell r="O60">
            <v>4.6827000000001773</v>
          </cell>
          <cell r="P60">
            <v>0</v>
          </cell>
          <cell r="Q60">
            <v>0</v>
          </cell>
          <cell r="R60">
            <v>4.6827000000001773</v>
          </cell>
        </row>
        <row r="61">
          <cell r="N61">
            <v>2</v>
          </cell>
          <cell r="O61">
            <v>2.46</v>
          </cell>
          <cell r="P61">
            <v>2</v>
          </cell>
          <cell r="Q61">
            <v>2.46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1.4300000000000033</v>
          </cell>
          <cell r="O63">
            <v>301.35820000000069</v>
          </cell>
          <cell r="P63">
            <v>1.1100000000000001</v>
          </cell>
          <cell r="Q63">
            <v>233.92140000000003</v>
          </cell>
          <cell r="R63">
            <v>67.436800000000659</v>
          </cell>
        </row>
        <row r="64">
          <cell r="N64">
            <v>35</v>
          </cell>
          <cell r="O64">
            <v>56.35</v>
          </cell>
          <cell r="P64">
            <v>35</v>
          </cell>
          <cell r="Q64">
            <v>56.35</v>
          </cell>
          <cell r="R64">
            <v>0</v>
          </cell>
        </row>
        <row r="65">
          <cell r="N65">
            <v>39</v>
          </cell>
          <cell r="O65">
            <v>50.31</v>
          </cell>
          <cell r="P65">
            <v>39</v>
          </cell>
          <cell r="Q65">
            <v>50.31</v>
          </cell>
          <cell r="R65">
            <v>0</v>
          </cell>
        </row>
        <row r="66">
          <cell r="N66">
            <v>1.3000000000000114</v>
          </cell>
          <cell r="O66">
            <v>67.43100000000058</v>
          </cell>
          <cell r="P66">
            <v>0</v>
          </cell>
          <cell r="Q66">
            <v>0</v>
          </cell>
          <cell r="R66">
            <v>67.43100000000058</v>
          </cell>
        </row>
        <row r="67">
          <cell r="N67">
            <v>2</v>
          </cell>
          <cell r="O67">
            <v>67.42</v>
          </cell>
          <cell r="P67">
            <v>0</v>
          </cell>
          <cell r="Q67">
            <v>0</v>
          </cell>
          <cell r="R67">
            <v>67.42</v>
          </cell>
        </row>
        <row r="68">
          <cell r="N68">
            <v>2.1300000000000026</v>
          </cell>
          <cell r="O68">
            <v>269.10420000000033</v>
          </cell>
          <cell r="P68">
            <v>1.19</v>
          </cell>
          <cell r="Q68">
            <v>150.34459999999999</v>
          </cell>
          <cell r="R68">
            <v>118.75960000000035</v>
          </cell>
        </row>
        <row r="69">
          <cell r="N69">
            <v>1.6500000000000004</v>
          </cell>
          <cell r="O69">
            <v>395.1255000000001</v>
          </cell>
          <cell r="P69">
            <v>0.76</v>
          </cell>
          <cell r="Q69">
            <v>181.99719999999999</v>
          </cell>
          <cell r="R69">
            <v>213.12830000000011</v>
          </cell>
        </row>
        <row r="70">
          <cell r="N70">
            <v>0.4399999999999995</v>
          </cell>
          <cell r="O70">
            <v>201.58599999999976</v>
          </cell>
          <cell r="P70">
            <v>0</v>
          </cell>
          <cell r="Q70">
            <v>0</v>
          </cell>
          <cell r="R70">
            <v>201.58599999999976</v>
          </cell>
        </row>
        <row r="71">
          <cell r="N71">
            <v>21</v>
          </cell>
          <cell r="O71">
            <v>18.48</v>
          </cell>
          <cell r="P71">
            <v>21</v>
          </cell>
          <cell r="Q71">
            <v>18.48</v>
          </cell>
          <cell r="R71">
            <v>0</v>
          </cell>
        </row>
        <row r="72">
          <cell r="N72">
            <v>0.15999999999999992</v>
          </cell>
          <cell r="O72">
            <v>39.753599999999985</v>
          </cell>
          <cell r="P72">
            <v>0.14000000000000001</v>
          </cell>
          <cell r="Q72">
            <v>34.784400000000005</v>
          </cell>
          <cell r="R72">
            <v>4.9691999999999794</v>
          </cell>
        </row>
        <row r="73">
          <cell r="N73">
            <v>11.909999999999997</v>
          </cell>
          <cell r="O73">
            <v>350.15399999999988</v>
          </cell>
          <cell r="P73">
            <v>9.36</v>
          </cell>
          <cell r="Q73">
            <v>275.18399999999997</v>
          </cell>
          <cell r="R73">
            <v>74.969999999999914</v>
          </cell>
        </row>
        <row r="74">
          <cell r="N74">
            <v>0.55000000000001137</v>
          </cell>
          <cell r="O74">
            <v>52.013500000001073</v>
          </cell>
          <cell r="P74">
            <v>0</v>
          </cell>
          <cell r="Q74">
            <v>0</v>
          </cell>
          <cell r="R74">
            <v>52.013500000001073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3.6499999999999915</v>
          </cell>
          <cell r="O76">
            <v>260.42749999999938</v>
          </cell>
          <cell r="P76">
            <v>1.1100000000000001</v>
          </cell>
          <cell r="Q76">
            <v>79.198499999999996</v>
          </cell>
          <cell r="R76">
            <v>181.22899999999939</v>
          </cell>
        </row>
        <row r="77">
          <cell r="N77">
            <v>6.6700000000000159</v>
          </cell>
          <cell r="O77">
            <v>438.01890000000105</v>
          </cell>
          <cell r="P77">
            <v>0</v>
          </cell>
          <cell r="Q77">
            <v>0</v>
          </cell>
          <cell r="R77">
            <v>438.01890000000105</v>
          </cell>
        </row>
        <row r="78">
          <cell r="N78">
            <v>8.9999999999999858E-2</v>
          </cell>
          <cell r="O78">
            <v>49.499999999999922</v>
          </cell>
          <cell r="P78">
            <v>0</v>
          </cell>
          <cell r="Q78">
            <v>0</v>
          </cell>
          <cell r="R78">
            <v>49.499999999999922</v>
          </cell>
        </row>
        <row r="79">
          <cell r="N79">
            <v>3.3199999999999932</v>
          </cell>
          <cell r="O79">
            <v>258.19639999999947</v>
          </cell>
          <cell r="P79">
            <v>1.44</v>
          </cell>
          <cell r="Q79">
            <v>111.98879999999998</v>
          </cell>
          <cell r="R79">
            <v>146.2075999999995</v>
          </cell>
        </row>
        <row r="80">
          <cell r="N80">
            <v>0.87999999999999901</v>
          </cell>
          <cell r="O80">
            <v>265.30239999999969</v>
          </cell>
          <cell r="P80">
            <v>0.45</v>
          </cell>
          <cell r="Q80">
            <v>135.66600000000003</v>
          </cell>
          <cell r="R80">
            <v>129.63639999999967</v>
          </cell>
        </row>
        <row r="81">
          <cell r="N81">
            <v>1.2600000000000016</v>
          </cell>
          <cell r="O81">
            <v>241.1262000000003</v>
          </cell>
          <cell r="P81">
            <v>0.55000000000000004</v>
          </cell>
          <cell r="Q81">
            <v>105.25350000000002</v>
          </cell>
          <cell r="R81">
            <v>135.87270000000029</v>
          </cell>
        </row>
        <row r="82">
          <cell r="N82">
            <v>3.4400000000000048</v>
          </cell>
          <cell r="O82">
            <v>202.85680000000028</v>
          </cell>
          <cell r="P82">
            <v>1.4</v>
          </cell>
          <cell r="Q82">
            <v>82.557999999999993</v>
          </cell>
          <cell r="R82">
            <v>120.29880000000028</v>
          </cell>
        </row>
        <row r="83">
          <cell r="N83">
            <v>5.2000000000000028</v>
          </cell>
          <cell r="O83">
            <v>372.78800000000018</v>
          </cell>
          <cell r="P83">
            <v>0</v>
          </cell>
          <cell r="Q83">
            <v>0</v>
          </cell>
          <cell r="R83">
            <v>372.78800000000018</v>
          </cell>
        </row>
        <row r="84"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N85">
            <v>9.6699999999999875</v>
          </cell>
          <cell r="O85">
            <v>661.6213999999992</v>
          </cell>
          <cell r="P85">
            <v>0</v>
          </cell>
          <cell r="Q85">
            <v>0</v>
          </cell>
          <cell r="R85">
            <v>661.6213999999992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0.37999999999999901</v>
          </cell>
          <cell r="O87">
            <v>18.357799999999951</v>
          </cell>
          <cell r="P87">
            <v>0</v>
          </cell>
          <cell r="Q87">
            <v>0</v>
          </cell>
          <cell r="R87">
            <v>18.357799999999951</v>
          </cell>
        </row>
        <row r="88">
          <cell r="N88">
            <v>2.0000000000000018E-2</v>
          </cell>
          <cell r="O88">
            <v>4.3006000000000038</v>
          </cell>
          <cell r="P88">
            <v>0</v>
          </cell>
          <cell r="Q88">
            <v>0</v>
          </cell>
          <cell r="R88">
            <v>4.3006000000000038</v>
          </cell>
        </row>
        <row r="89">
          <cell r="N89">
            <v>1.0499999999999998</v>
          </cell>
          <cell r="O89">
            <v>152.04</v>
          </cell>
          <cell r="P89">
            <v>0</v>
          </cell>
          <cell r="Q89">
            <v>0</v>
          </cell>
          <cell r="R89">
            <v>152.04</v>
          </cell>
        </row>
        <row r="90">
          <cell r="N90">
            <v>1.8799999999999955</v>
          </cell>
          <cell r="O90">
            <v>241.3731999999994</v>
          </cell>
          <cell r="P90">
            <v>1.08</v>
          </cell>
          <cell r="Q90">
            <v>138.66120000000001</v>
          </cell>
          <cell r="R90">
            <v>102.71199999999939</v>
          </cell>
        </row>
        <row r="91">
          <cell r="N91">
            <v>0.93999999999999773</v>
          </cell>
          <cell r="O91">
            <v>238.6847999999994</v>
          </cell>
          <cell r="P91">
            <v>0.94</v>
          </cell>
          <cell r="Q91">
            <v>238.68479999999997</v>
          </cell>
          <cell r="R91">
            <v>-5.6843418860808015E-13</v>
          </cell>
        </row>
        <row r="92">
          <cell r="N92">
            <v>2.4699999999999989</v>
          </cell>
          <cell r="O92">
            <v>453.61549999999983</v>
          </cell>
          <cell r="P92">
            <v>1.1299999999999999</v>
          </cell>
          <cell r="Q92">
            <v>207.52449999999999</v>
          </cell>
          <cell r="R92">
            <v>246.09099999999984</v>
          </cell>
        </row>
        <row r="93">
          <cell r="N93">
            <v>5.0000000000000044E-2</v>
          </cell>
          <cell r="O93">
            <v>32.11350000000003</v>
          </cell>
          <cell r="P93">
            <v>0</v>
          </cell>
          <cell r="Q93">
            <v>0</v>
          </cell>
          <cell r="R93">
            <v>32.11350000000003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0.97000000000000064</v>
          </cell>
          <cell r="O95">
            <v>291.80510000000015</v>
          </cell>
          <cell r="P95">
            <v>0.48</v>
          </cell>
          <cell r="Q95">
            <v>144.39839999999998</v>
          </cell>
          <cell r="R95">
            <v>147.40670000000017</v>
          </cell>
        </row>
        <row r="96">
          <cell r="N96">
            <v>1.5300000000000011</v>
          </cell>
          <cell r="O96">
            <v>623.8422000000005</v>
          </cell>
          <cell r="P96">
            <v>0</v>
          </cell>
          <cell r="Q96">
            <v>0</v>
          </cell>
          <cell r="R96">
            <v>623.8422000000005</v>
          </cell>
        </row>
        <row r="97">
          <cell r="N97">
            <v>2.25</v>
          </cell>
          <cell r="O97">
            <v>249.00749999999999</v>
          </cell>
          <cell r="P97">
            <v>1.2</v>
          </cell>
          <cell r="Q97">
            <v>132.804</v>
          </cell>
          <cell r="R97">
            <v>116.20349999999999</v>
          </cell>
        </row>
        <row r="98">
          <cell r="N98">
            <v>0.69999999999999574</v>
          </cell>
          <cell r="O98">
            <v>256.15099999999842</v>
          </cell>
          <cell r="P98">
            <v>0</v>
          </cell>
          <cell r="Q98">
            <v>0</v>
          </cell>
          <cell r="R98">
            <v>256.15099999999842</v>
          </cell>
        </row>
        <row r="99">
          <cell r="N99">
            <v>3.2999999999999972</v>
          </cell>
          <cell r="O99">
            <v>405.30599999999964</v>
          </cell>
          <cell r="P99">
            <v>3.24</v>
          </cell>
          <cell r="Q99">
            <v>397.93680000000001</v>
          </cell>
          <cell r="R99">
            <v>7.3691999999996369</v>
          </cell>
        </row>
        <row r="100">
          <cell r="N100">
            <v>1.6000000000000014</v>
          </cell>
          <cell r="O100">
            <v>303.88800000000026</v>
          </cell>
          <cell r="P100">
            <v>0.44</v>
          </cell>
          <cell r="Q100">
            <v>83.569200000000009</v>
          </cell>
          <cell r="R100">
            <v>220.31880000000024</v>
          </cell>
        </row>
        <row r="101">
          <cell r="N101">
            <v>74</v>
          </cell>
          <cell r="O101">
            <v>170.2</v>
          </cell>
          <cell r="P101">
            <v>74</v>
          </cell>
          <cell r="Q101">
            <v>170.2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1.4600000000000009</v>
          </cell>
          <cell r="O103">
            <v>276.2028000000002</v>
          </cell>
          <cell r="P103">
            <v>0.56000000000000005</v>
          </cell>
          <cell r="Q103">
            <v>105.94080000000001</v>
          </cell>
          <cell r="R103">
            <v>170.26200000000017</v>
          </cell>
        </row>
        <row r="104">
          <cell r="N104">
            <v>1.2000000000000028</v>
          </cell>
          <cell r="O104">
            <v>115.20000000000027</v>
          </cell>
          <cell r="P104">
            <v>0</v>
          </cell>
          <cell r="Q104">
            <v>0</v>
          </cell>
          <cell r="R104">
            <v>115.20000000000027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1.0400000000000063</v>
          </cell>
          <cell r="O106">
            <v>382.8656000000023</v>
          </cell>
          <cell r="P106">
            <v>0</v>
          </cell>
          <cell r="Q106">
            <v>0</v>
          </cell>
          <cell r="R106">
            <v>382.8656000000023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1.5399999999999991</v>
          </cell>
          <cell r="O108">
            <v>247.15459999999987</v>
          </cell>
          <cell r="P108">
            <v>1.1200000000000001</v>
          </cell>
          <cell r="Q108">
            <v>179.74880000000002</v>
          </cell>
          <cell r="R108">
            <v>67.405799999999857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312</v>
          </cell>
          <cell r="O111">
            <v>358.79999999999995</v>
          </cell>
          <cell r="P111">
            <v>312</v>
          </cell>
          <cell r="Q111">
            <v>358.79999999999995</v>
          </cell>
          <cell r="R111">
            <v>0</v>
          </cell>
        </row>
        <row r="112">
          <cell r="N112">
            <v>3.779999999999994</v>
          </cell>
          <cell r="O112">
            <v>248.98859999999962</v>
          </cell>
          <cell r="P112">
            <v>0</v>
          </cell>
          <cell r="Q112">
            <v>0</v>
          </cell>
          <cell r="R112">
            <v>248.98859999999962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22</v>
          </cell>
          <cell r="O114">
            <v>94.82</v>
          </cell>
          <cell r="P114">
            <v>22</v>
          </cell>
          <cell r="Q114">
            <v>94.82</v>
          </cell>
          <cell r="R114">
            <v>0</v>
          </cell>
        </row>
        <row r="115">
          <cell r="N115">
            <v>1.2999999999999972</v>
          </cell>
          <cell r="O115">
            <v>236.09299999999951</v>
          </cell>
          <cell r="P115">
            <v>0.77</v>
          </cell>
          <cell r="Q115">
            <v>139.83970000000002</v>
          </cell>
          <cell r="R115">
            <v>96.253299999999484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0.52999999999999936</v>
          </cell>
          <cell r="O117">
            <v>241.83369999999971</v>
          </cell>
          <cell r="P117">
            <v>0.36</v>
          </cell>
          <cell r="Q117">
            <v>164.26439999999999</v>
          </cell>
          <cell r="R117">
            <v>77.569299999999714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0.88999999999999879</v>
          </cell>
          <cell r="O119">
            <v>178.87219999999974</v>
          </cell>
          <cell r="P119">
            <v>0.69</v>
          </cell>
          <cell r="Q119">
            <v>138.67619999999999</v>
          </cell>
          <cell r="R119">
            <v>40.195999999999742</v>
          </cell>
        </row>
        <row r="120">
          <cell r="N120">
            <v>1.9800000000000004</v>
          </cell>
          <cell r="O120">
            <v>308.56320000000005</v>
          </cell>
          <cell r="P120">
            <v>1.82</v>
          </cell>
          <cell r="Q120">
            <v>283.62880000000001</v>
          </cell>
          <cell r="R120">
            <v>24.934400000000039</v>
          </cell>
        </row>
        <row r="121">
          <cell r="N121">
            <v>1.0500000000000007</v>
          </cell>
          <cell r="O121">
            <v>121.94700000000009</v>
          </cell>
          <cell r="P121">
            <v>0</v>
          </cell>
          <cell r="Q121">
            <v>0</v>
          </cell>
          <cell r="R121">
            <v>121.94700000000009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5.7399999999999807</v>
          </cell>
          <cell r="O123">
            <v>571.18739999999809</v>
          </cell>
          <cell r="P123">
            <v>0</v>
          </cell>
          <cell r="Q123">
            <v>0</v>
          </cell>
          <cell r="R123">
            <v>571.18739999999809</v>
          </cell>
        </row>
        <row r="124"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N125">
            <v>8.7000000000000171</v>
          </cell>
          <cell r="O125">
            <v>575.33100000000104</v>
          </cell>
          <cell r="P125">
            <v>0</v>
          </cell>
          <cell r="Q125">
            <v>0</v>
          </cell>
          <cell r="R125">
            <v>575.33100000000104</v>
          </cell>
        </row>
        <row r="126">
          <cell r="N126">
            <v>1.139999999999997</v>
          </cell>
          <cell r="O126">
            <v>165.34559999999956</v>
          </cell>
          <cell r="P126">
            <v>0.54</v>
          </cell>
          <cell r="Q126">
            <v>78.321600000000004</v>
          </cell>
          <cell r="R126">
            <v>87.02399999999956</v>
          </cell>
        </row>
        <row r="127">
          <cell r="N127">
            <v>0.3100000000000005</v>
          </cell>
          <cell r="O127">
            <v>150.39960000000025</v>
          </cell>
          <cell r="P127">
            <v>0</v>
          </cell>
          <cell r="Q127">
            <v>0</v>
          </cell>
          <cell r="R127">
            <v>150.39960000000025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0.11999999999999922</v>
          </cell>
          <cell r="O129">
            <v>64.360799999999585</v>
          </cell>
          <cell r="P129">
            <v>0</v>
          </cell>
          <cell r="Q129">
            <v>0</v>
          </cell>
          <cell r="R129">
            <v>64.360799999999585</v>
          </cell>
        </row>
        <row r="130">
          <cell r="N130">
            <v>0.18000000000000682</v>
          </cell>
          <cell r="O130">
            <v>12.639600000000479</v>
          </cell>
          <cell r="P130">
            <v>0</v>
          </cell>
          <cell r="Q130">
            <v>0</v>
          </cell>
          <cell r="R130">
            <v>12.639600000000479</v>
          </cell>
        </row>
        <row r="131">
          <cell r="N131">
            <v>0.32000000000000028</v>
          </cell>
          <cell r="O131">
            <v>80.502400000000065</v>
          </cell>
          <cell r="P131">
            <v>0</v>
          </cell>
          <cell r="Q131">
            <v>0</v>
          </cell>
          <cell r="R131">
            <v>80.502400000000065</v>
          </cell>
        </row>
        <row r="132">
          <cell r="N132">
            <v>3.8900000000000006</v>
          </cell>
          <cell r="O132">
            <v>421.1314000000001</v>
          </cell>
          <cell r="P132">
            <v>0</v>
          </cell>
          <cell r="Q132">
            <v>0</v>
          </cell>
          <cell r="R132">
            <v>421.1314000000001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2.5500000000000043</v>
          </cell>
          <cell r="O135">
            <v>214.96500000000034</v>
          </cell>
          <cell r="P135">
            <v>1.26</v>
          </cell>
          <cell r="Q135">
            <v>106.218</v>
          </cell>
          <cell r="R135">
            <v>108.74700000000034</v>
          </cell>
        </row>
        <row r="136">
          <cell r="N136">
            <v>0.57000000000000028</v>
          </cell>
          <cell r="O136">
            <v>234.48090000000013</v>
          </cell>
          <cell r="P136">
            <v>0.43</v>
          </cell>
          <cell r="Q136">
            <v>176.88910000000001</v>
          </cell>
          <cell r="R136">
            <v>57.59180000000012</v>
          </cell>
        </row>
        <row r="137">
          <cell r="N137">
            <v>152</v>
          </cell>
          <cell r="O137">
            <v>430.16</v>
          </cell>
          <cell r="P137">
            <v>0</v>
          </cell>
          <cell r="Q137">
            <v>0</v>
          </cell>
          <cell r="R137">
            <v>430.16</v>
          </cell>
        </row>
        <row r="138">
          <cell r="N138">
            <v>0.80000000000000071</v>
          </cell>
          <cell r="O138">
            <v>397.54400000000038</v>
          </cell>
          <cell r="P138">
            <v>0.33</v>
          </cell>
          <cell r="Q138">
            <v>163.98690000000002</v>
          </cell>
          <cell r="R138">
            <v>233.55710000000036</v>
          </cell>
        </row>
        <row r="139">
          <cell r="N139">
            <v>0.67999999999999972</v>
          </cell>
          <cell r="O139">
            <v>227.91559999999993</v>
          </cell>
          <cell r="P139">
            <v>0.44</v>
          </cell>
          <cell r="Q139">
            <v>147.47480000000002</v>
          </cell>
          <cell r="R139">
            <v>80.440799999999911</v>
          </cell>
        </row>
        <row r="140">
          <cell r="N140">
            <v>1.8100000000000023</v>
          </cell>
          <cell r="O140">
            <v>307.31990000000036</v>
          </cell>
          <cell r="P140">
            <v>1.05</v>
          </cell>
          <cell r="Q140">
            <v>178.27950000000001</v>
          </cell>
          <cell r="R140">
            <v>129.04040000000035</v>
          </cell>
        </row>
        <row r="141">
          <cell r="N141">
            <v>2.7600000000000051</v>
          </cell>
          <cell r="O141">
            <v>84.621600000000157</v>
          </cell>
          <cell r="P141">
            <v>0</v>
          </cell>
          <cell r="Q141">
            <v>0</v>
          </cell>
          <cell r="R141">
            <v>84.621600000000157</v>
          </cell>
        </row>
        <row r="142">
          <cell r="N142">
            <v>1.5999999999999943</v>
          </cell>
          <cell r="O142">
            <v>523.4559999999982</v>
          </cell>
          <cell r="P142">
            <v>0</v>
          </cell>
          <cell r="Q142">
            <v>0</v>
          </cell>
          <cell r="R142">
            <v>523.4559999999982</v>
          </cell>
        </row>
        <row r="143">
          <cell r="N143">
            <v>5.3199999999999932</v>
          </cell>
          <cell r="O143">
            <v>770.22959999999898</v>
          </cell>
          <cell r="P143">
            <v>0</v>
          </cell>
          <cell r="Q143">
            <v>0</v>
          </cell>
          <cell r="R143">
            <v>770.22959999999898</v>
          </cell>
        </row>
        <row r="144">
          <cell r="N144">
            <v>5.7199999999999989</v>
          </cell>
          <cell r="O144">
            <v>258.14359999999994</v>
          </cell>
          <cell r="P144">
            <v>0</v>
          </cell>
          <cell r="Q144">
            <v>0</v>
          </cell>
          <cell r="R144">
            <v>258.14359999999994</v>
          </cell>
        </row>
        <row r="145">
          <cell r="N145">
            <v>7</v>
          </cell>
          <cell r="O145">
            <v>37.520000000000003</v>
          </cell>
          <cell r="P145">
            <v>7</v>
          </cell>
          <cell r="Q145">
            <v>37.520000000000003</v>
          </cell>
          <cell r="R145">
            <v>0</v>
          </cell>
        </row>
        <row r="146">
          <cell r="N146">
            <v>3.4399999999999977</v>
          </cell>
          <cell r="O146">
            <v>259.23839999999984</v>
          </cell>
          <cell r="P146">
            <v>0</v>
          </cell>
          <cell r="Q146">
            <v>0</v>
          </cell>
          <cell r="R146">
            <v>259.23839999999984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0.66999999999998749</v>
          </cell>
          <cell r="O148">
            <v>405.87259999999242</v>
          </cell>
          <cell r="P148">
            <v>0.245</v>
          </cell>
          <cell r="Q148">
            <v>148.4161</v>
          </cell>
          <cell r="R148">
            <v>257.45649999999239</v>
          </cell>
        </row>
        <row r="149">
          <cell r="N149">
            <v>2.3599999999999994</v>
          </cell>
          <cell r="O149">
            <v>334.3411999999999</v>
          </cell>
          <cell r="P149">
            <v>1.47</v>
          </cell>
          <cell r="Q149">
            <v>208.25489999999996</v>
          </cell>
          <cell r="R149">
            <v>126.08629999999994</v>
          </cell>
        </row>
        <row r="150">
          <cell r="N150">
            <v>1.0499999999999972</v>
          </cell>
          <cell r="O150">
            <v>213.75899999999945</v>
          </cell>
          <cell r="P150">
            <v>0.75</v>
          </cell>
          <cell r="Q150">
            <v>152.685</v>
          </cell>
          <cell r="R150">
            <v>61.073999999999444</v>
          </cell>
        </row>
        <row r="151">
          <cell r="N151">
            <v>4.7099999999999795</v>
          </cell>
          <cell r="O151">
            <v>242.42369999999895</v>
          </cell>
          <cell r="P151">
            <v>0</v>
          </cell>
          <cell r="Q151">
            <v>0</v>
          </cell>
          <cell r="R151">
            <v>242.42369999999895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1.5999999999999659</v>
          </cell>
          <cell r="O153">
            <v>110.30399999999764</v>
          </cell>
          <cell r="P153">
            <v>1.6</v>
          </cell>
          <cell r="Q153">
            <v>110.304</v>
          </cell>
          <cell r="R153">
            <v>-2.3590018827235326E-12</v>
          </cell>
        </row>
        <row r="154">
          <cell r="N154">
            <v>1.1899999999999977</v>
          </cell>
          <cell r="O154">
            <v>308.09099999999938</v>
          </cell>
          <cell r="P154">
            <v>0</v>
          </cell>
          <cell r="Q154">
            <v>0</v>
          </cell>
          <cell r="R154">
            <v>308.09099999999938</v>
          </cell>
        </row>
        <row r="155">
          <cell r="N155">
            <v>5.9999999999998721E-2</v>
          </cell>
          <cell r="O155">
            <v>17.335199999999631</v>
          </cell>
          <cell r="P155">
            <v>0.06</v>
          </cell>
          <cell r="Q155">
            <v>17.3352</v>
          </cell>
          <cell r="R155">
            <v>-3.694822225952521E-13</v>
          </cell>
        </row>
        <row r="156">
          <cell r="N156">
            <v>0.26999999999999957</v>
          </cell>
          <cell r="O156">
            <v>32.11919999999995</v>
          </cell>
          <cell r="P156">
            <v>0</v>
          </cell>
          <cell r="Q156">
            <v>0</v>
          </cell>
          <cell r="R156">
            <v>32.11919999999995</v>
          </cell>
        </row>
        <row r="157">
          <cell r="N157">
            <v>1.3800000000000008</v>
          </cell>
          <cell r="O157">
            <v>195.03540000000012</v>
          </cell>
          <cell r="P157">
            <v>0.8</v>
          </cell>
          <cell r="Q157">
            <v>113.06400000000002</v>
          </cell>
          <cell r="R157">
            <v>81.971400000000102</v>
          </cell>
        </row>
        <row r="158">
          <cell r="N158">
            <v>1.5400000000000009</v>
          </cell>
          <cell r="O158">
            <v>155.69400000000007</v>
          </cell>
          <cell r="P158">
            <v>0.71</v>
          </cell>
          <cell r="Q158">
            <v>71.780999999999992</v>
          </cell>
          <cell r="R158">
            <v>83.913000000000082</v>
          </cell>
        </row>
        <row r="159">
          <cell r="N159">
            <v>1.2300000000000004</v>
          </cell>
          <cell r="O159">
            <v>259.55460000000011</v>
          </cell>
          <cell r="P159">
            <v>0.44</v>
          </cell>
          <cell r="Q159">
            <v>92.848800000000011</v>
          </cell>
          <cell r="R159">
            <v>166.7058000000001</v>
          </cell>
        </row>
        <row r="160">
          <cell r="N160">
            <v>2.0000000000000462E-2</v>
          </cell>
          <cell r="O160">
            <v>4.4380000000001028</v>
          </cell>
          <cell r="P160">
            <v>0</v>
          </cell>
          <cell r="Q160">
            <v>0</v>
          </cell>
          <cell r="R160">
            <v>4.4380000000001028</v>
          </cell>
        </row>
        <row r="161"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N162" t="str">
            <v>總計</v>
          </cell>
          <cell r="O162">
            <v>30928.261899999983</v>
          </cell>
          <cell r="P162" t="str">
            <v>總計</v>
          </cell>
          <cell r="Q162">
            <v>9271.3768000000018</v>
          </cell>
          <cell r="R162">
            <v>21656.885099999992</v>
          </cell>
        </row>
      </sheetData>
      <sheetData sheetId="52">
        <row r="3">
          <cell r="C3">
            <v>4613445.45</v>
          </cell>
        </row>
        <row r="5">
          <cell r="H5">
            <v>3040.7504999999996</v>
          </cell>
          <cell r="J5">
            <v>9037.0955999999969</v>
          </cell>
          <cell r="L5">
            <v>1580.4942000000003</v>
          </cell>
        </row>
      </sheetData>
      <sheetData sheetId="53">
        <row r="1">
          <cell r="N1"/>
          <cell r="O1" t="str">
            <v>日期:</v>
          </cell>
          <cell r="P1">
            <v>46023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5.9200000000000159</v>
          </cell>
          <cell r="O5">
            <v>1184.0000000000032</v>
          </cell>
          <cell r="P5">
            <v>0</v>
          </cell>
          <cell r="Q5">
            <v>0</v>
          </cell>
          <cell r="R5">
            <v>1184.0000000000032</v>
          </cell>
        </row>
        <row r="6">
          <cell r="N6">
            <v>4.0000000000000036E-2</v>
          </cell>
          <cell r="O6">
            <v>31.60000000000003</v>
          </cell>
          <cell r="P6">
            <v>0</v>
          </cell>
          <cell r="Q6">
            <v>0</v>
          </cell>
          <cell r="R6">
            <v>31.60000000000003</v>
          </cell>
        </row>
        <row r="7">
          <cell r="N7">
            <v>150</v>
          </cell>
          <cell r="O7">
            <v>483.00000000000006</v>
          </cell>
          <cell r="P7">
            <v>0</v>
          </cell>
          <cell r="Q7">
            <v>0</v>
          </cell>
          <cell r="R7">
            <v>483.00000000000006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2.8199999999999985</v>
          </cell>
          <cell r="O9">
            <v>215.64539999999988</v>
          </cell>
          <cell r="P9">
            <v>1.06</v>
          </cell>
          <cell r="Q9">
            <v>81.058199999999999</v>
          </cell>
          <cell r="R9">
            <v>134.58719999999988</v>
          </cell>
        </row>
        <row r="10">
          <cell r="N10">
            <v>3.1599999999999966</v>
          </cell>
          <cell r="O10">
            <v>498.86919999999947</v>
          </cell>
          <cell r="P10">
            <v>1.1000000000000001</v>
          </cell>
          <cell r="Q10">
            <v>173.65700000000001</v>
          </cell>
          <cell r="R10">
            <v>325.21219999999948</v>
          </cell>
        </row>
        <row r="11">
          <cell r="N11">
            <v>7.82000000000005</v>
          </cell>
          <cell r="O11">
            <v>1152.9026000000074</v>
          </cell>
          <cell r="P11">
            <v>4.17</v>
          </cell>
          <cell r="Q11">
            <v>614.78309999999999</v>
          </cell>
          <cell r="R11">
            <v>538.11950000000741</v>
          </cell>
        </row>
        <row r="12">
          <cell r="N12">
            <v>9.0399999999999636</v>
          </cell>
          <cell r="O12">
            <v>1155.6735999999953</v>
          </cell>
          <cell r="P12">
            <v>0</v>
          </cell>
          <cell r="Q12">
            <v>0</v>
          </cell>
          <cell r="R12">
            <v>1155.6735999999953</v>
          </cell>
        </row>
        <row r="13">
          <cell r="N13">
            <v>1.1900000000000048</v>
          </cell>
          <cell r="O13">
            <v>260.52670000000109</v>
          </cell>
          <cell r="P13">
            <v>1.19</v>
          </cell>
          <cell r="Q13">
            <v>260.52670000000001</v>
          </cell>
          <cell r="R13">
            <v>1.0800249583553523E-12</v>
          </cell>
        </row>
        <row r="14">
          <cell r="N14">
            <v>1.1600000000000001</v>
          </cell>
          <cell r="O14">
            <v>63.25480000000001</v>
          </cell>
          <cell r="P14">
            <v>0</v>
          </cell>
          <cell r="Q14">
            <v>0</v>
          </cell>
          <cell r="R14">
            <v>63.25480000000001</v>
          </cell>
        </row>
        <row r="15">
          <cell r="N15">
            <v>134</v>
          </cell>
          <cell r="O15">
            <v>156.78</v>
          </cell>
          <cell r="P15">
            <v>134</v>
          </cell>
          <cell r="Q15">
            <v>156.78</v>
          </cell>
          <cell r="R15">
            <v>0</v>
          </cell>
        </row>
        <row r="16">
          <cell r="N16">
            <v>1.5</v>
          </cell>
          <cell r="O16">
            <v>190.48499999999999</v>
          </cell>
          <cell r="P16">
            <v>1.08</v>
          </cell>
          <cell r="Q16">
            <v>137.14920000000001</v>
          </cell>
          <cell r="R16">
            <v>53.335799999999978</v>
          </cell>
        </row>
        <row r="17">
          <cell r="N17">
            <v>62</v>
          </cell>
          <cell r="O17">
            <v>151.9</v>
          </cell>
          <cell r="P17">
            <v>62</v>
          </cell>
          <cell r="Q17">
            <v>151.9</v>
          </cell>
          <cell r="R17">
            <v>0</v>
          </cell>
        </row>
        <row r="18">
          <cell r="N18">
            <v>4</v>
          </cell>
          <cell r="O18">
            <v>4.6399999999999997</v>
          </cell>
          <cell r="P18">
            <v>4</v>
          </cell>
          <cell r="Q18">
            <v>4.6399999999999997</v>
          </cell>
          <cell r="R18">
            <v>0</v>
          </cell>
        </row>
        <row r="19"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N20">
            <v>1.9999999999999574E-2</v>
          </cell>
          <cell r="O20">
            <v>4.3255999999999082</v>
          </cell>
          <cell r="P20">
            <v>0</v>
          </cell>
          <cell r="Q20">
            <v>0</v>
          </cell>
          <cell r="R20">
            <v>4.3255999999999082</v>
          </cell>
        </row>
        <row r="21">
          <cell r="N21">
            <v>1.8800000000000097</v>
          </cell>
          <cell r="O21">
            <v>25.737200000000133</v>
          </cell>
          <cell r="P21">
            <v>0</v>
          </cell>
          <cell r="Q21">
            <v>0</v>
          </cell>
          <cell r="R21">
            <v>25.737200000000133</v>
          </cell>
        </row>
        <row r="22">
          <cell r="N22">
            <v>1.1899999999999977</v>
          </cell>
          <cell r="O22">
            <v>230.65769999999958</v>
          </cell>
          <cell r="P22">
            <v>0</v>
          </cell>
          <cell r="Q22">
            <v>0</v>
          </cell>
          <cell r="R22">
            <v>230.65769999999958</v>
          </cell>
        </row>
        <row r="23">
          <cell r="N23">
            <v>2.6599999999999966</v>
          </cell>
          <cell r="O23">
            <v>1134.9953999999984</v>
          </cell>
          <cell r="P23">
            <v>0</v>
          </cell>
          <cell r="Q23">
            <v>0</v>
          </cell>
          <cell r="R23">
            <v>1134.9953999999984</v>
          </cell>
        </row>
        <row r="24">
          <cell r="N24">
            <v>4.3499999999999943</v>
          </cell>
          <cell r="O24">
            <v>664.46249999999918</v>
          </cell>
          <cell r="P24">
            <v>0</v>
          </cell>
          <cell r="Q24">
            <v>0</v>
          </cell>
          <cell r="R24">
            <v>664.46249999999918</v>
          </cell>
        </row>
        <row r="25">
          <cell r="N25">
            <v>1.0799999999999841</v>
          </cell>
          <cell r="O25">
            <v>287.58239999999574</v>
          </cell>
          <cell r="P25">
            <v>0</v>
          </cell>
          <cell r="Q25">
            <v>0</v>
          </cell>
          <cell r="R25">
            <v>287.58239999999574</v>
          </cell>
        </row>
        <row r="26">
          <cell r="N26">
            <v>0.5</v>
          </cell>
          <cell r="O26">
            <v>314.5</v>
          </cell>
          <cell r="P26">
            <v>0.26</v>
          </cell>
          <cell r="Q26">
            <v>163.54</v>
          </cell>
          <cell r="R26">
            <v>150.96</v>
          </cell>
        </row>
        <row r="27">
          <cell r="N27">
            <v>2.6400000000000006</v>
          </cell>
          <cell r="O27">
            <v>404.42160000000007</v>
          </cell>
          <cell r="P27">
            <v>1.77</v>
          </cell>
          <cell r="Q27">
            <v>271.1463</v>
          </cell>
          <cell r="R27">
            <v>133.27530000000007</v>
          </cell>
        </row>
        <row r="28">
          <cell r="N28">
            <v>2.9999999999999805E-2</v>
          </cell>
          <cell r="O28">
            <v>3.7499999999999756</v>
          </cell>
          <cell r="P28">
            <v>0</v>
          </cell>
          <cell r="Q28">
            <v>0</v>
          </cell>
          <cell r="R28">
            <v>3.7499999999999756</v>
          </cell>
        </row>
        <row r="29">
          <cell r="N29">
            <v>1.0000000000001563E-2</v>
          </cell>
          <cell r="O29">
            <v>2.9464000000004607</v>
          </cell>
          <cell r="P29">
            <v>0</v>
          </cell>
          <cell r="Q29">
            <v>0</v>
          </cell>
          <cell r="R29">
            <v>2.9464000000004607</v>
          </cell>
        </row>
        <row r="30">
          <cell r="N30">
            <v>0.95000000000000284</v>
          </cell>
          <cell r="O30">
            <v>322.20200000000096</v>
          </cell>
          <cell r="P30">
            <v>0.42</v>
          </cell>
          <cell r="Q30">
            <v>142.44720000000001</v>
          </cell>
          <cell r="R30">
            <v>179.75480000000096</v>
          </cell>
        </row>
        <row r="31">
          <cell r="N31">
            <v>1.2099999999999937</v>
          </cell>
          <cell r="O31">
            <v>305.77909999999844</v>
          </cell>
          <cell r="P31">
            <v>0.5</v>
          </cell>
          <cell r="Q31">
            <v>126.355</v>
          </cell>
          <cell r="R31">
            <v>179.42409999999842</v>
          </cell>
        </row>
        <row r="32">
          <cell r="N32">
            <v>1.7800000000000011</v>
          </cell>
          <cell r="O32">
            <v>615.6130000000004</v>
          </cell>
          <cell r="P32">
            <v>0</v>
          </cell>
          <cell r="Q32">
            <v>0</v>
          </cell>
          <cell r="R32">
            <v>615.6130000000004</v>
          </cell>
        </row>
        <row r="33">
          <cell r="N33">
            <v>0.48999999999999932</v>
          </cell>
          <cell r="O33">
            <v>243.18209999999968</v>
          </cell>
          <cell r="P33">
            <v>0.26</v>
          </cell>
          <cell r="Q33">
            <v>129.03540000000001</v>
          </cell>
          <cell r="R33">
            <v>114.14669999999967</v>
          </cell>
        </row>
        <row r="34">
          <cell r="N34">
            <v>1.6900000000000004</v>
          </cell>
          <cell r="O34">
            <v>153.60410000000005</v>
          </cell>
          <cell r="P34">
            <v>0.85</v>
          </cell>
          <cell r="Q34">
            <v>77.256500000000003</v>
          </cell>
          <cell r="R34">
            <v>76.347600000000043</v>
          </cell>
        </row>
        <row r="35"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N36">
            <v>1.2399999999999984</v>
          </cell>
          <cell r="O36">
            <v>236.40599999999972</v>
          </cell>
          <cell r="P36">
            <v>0.68</v>
          </cell>
          <cell r="Q36">
            <v>129.64200000000002</v>
          </cell>
          <cell r="R36">
            <v>106.7639999999997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N38">
            <v>2.0000000000000018E-2</v>
          </cell>
          <cell r="O38">
            <v>2.1650000000000018</v>
          </cell>
          <cell r="P38">
            <v>0</v>
          </cell>
          <cell r="Q38">
            <v>0</v>
          </cell>
          <cell r="R38">
            <v>2.1650000000000018</v>
          </cell>
        </row>
        <row r="39"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0.16999999999999993</v>
          </cell>
          <cell r="O41">
            <v>299.19999999999987</v>
          </cell>
          <cell r="P41">
            <v>0</v>
          </cell>
          <cell r="Q41">
            <v>0</v>
          </cell>
          <cell r="R41">
            <v>299.19999999999987</v>
          </cell>
        </row>
        <row r="42">
          <cell r="N42">
            <v>0.54000000000000625</v>
          </cell>
          <cell r="O42">
            <v>278.5212000000032</v>
          </cell>
          <cell r="P42">
            <v>0.28000000000000003</v>
          </cell>
          <cell r="Q42">
            <v>144.41840000000002</v>
          </cell>
          <cell r="R42">
            <v>134.10280000000319</v>
          </cell>
        </row>
        <row r="43">
          <cell r="N43">
            <v>0.54000000000000625</v>
          </cell>
          <cell r="O43">
            <v>94.413600000001097</v>
          </cell>
          <cell r="P43">
            <v>0</v>
          </cell>
          <cell r="Q43">
            <v>0</v>
          </cell>
          <cell r="R43">
            <v>94.413600000001097</v>
          </cell>
        </row>
        <row r="44">
          <cell r="N44">
            <v>2.0400000000000009</v>
          </cell>
          <cell r="O44">
            <v>207.7332000000001</v>
          </cell>
          <cell r="P44">
            <v>1.3</v>
          </cell>
          <cell r="Q44">
            <v>132.37899999999999</v>
          </cell>
          <cell r="R44">
            <v>75.354200000000105</v>
          </cell>
        </row>
        <row r="45">
          <cell r="N45">
            <v>0.51999999999999957</v>
          </cell>
          <cell r="O45">
            <v>321.50039999999973</v>
          </cell>
          <cell r="P45">
            <v>0.22</v>
          </cell>
          <cell r="Q45">
            <v>136.01939999999999</v>
          </cell>
          <cell r="R45">
            <v>185.48099999999974</v>
          </cell>
        </row>
        <row r="46">
          <cell r="N46">
            <v>3.0799999999999983</v>
          </cell>
          <cell r="O46">
            <v>1297.9427999999994</v>
          </cell>
          <cell r="P46">
            <v>0</v>
          </cell>
          <cell r="Q46">
            <v>0</v>
          </cell>
          <cell r="R46">
            <v>1297.9427999999994</v>
          </cell>
        </row>
        <row r="47">
          <cell r="N47">
            <v>2.210000000000008</v>
          </cell>
          <cell r="O47">
            <v>421.82270000000153</v>
          </cell>
          <cell r="P47">
            <v>0</v>
          </cell>
          <cell r="Q47">
            <v>0</v>
          </cell>
          <cell r="R47">
            <v>421.82270000000153</v>
          </cell>
        </row>
        <row r="48">
          <cell r="N48">
            <v>2.2100000000000009</v>
          </cell>
          <cell r="O48">
            <v>285.95190000000008</v>
          </cell>
          <cell r="P48">
            <v>0.88</v>
          </cell>
          <cell r="Q48">
            <v>113.86319999999999</v>
          </cell>
          <cell r="R48">
            <v>172.08870000000007</v>
          </cell>
        </row>
        <row r="49">
          <cell r="N49">
            <v>40</v>
          </cell>
          <cell r="O49">
            <v>180</v>
          </cell>
          <cell r="P49">
            <v>40</v>
          </cell>
          <cell r="Q49">
            <v>180</v>
          </cell>
          <cell r="R49">
            <v>0</v>
          </cell>
        </row>
        <row r="50">
          <cell r="N50">
            <v>0.3300000000000054</v>
          </cell>
          <cell r="O50">
            <v>152.61510000000251</v>
          </cell>
          <cell r="P50">
            <v>0</v>
          </cell>
          <cell r="Q50">
            <v>0</v>
          </cell>
          <cell r="R50">
            <v>152.61510000000251</v>
          </cell>
        </row>
        <row r="51">
          <cell r="N51">
            <v>1.789999999999992</v>
          </cell>
          <cell r="O51">
            <v>283.16009999999875</v>
          </cell>
          <cell r="P51">
            <v>0.96</v>
          </cell>
          <cell r="Q51">
            <v>151.86239999999998</v>
          </cell>
          <cell r="R51">
            <v>131.29769999999877</v>
          </cell>
        </row>
        <row r="52">
          <cell r="N52">
            <v>0.51000000000000512</v>
          </cell>
          <cell r="O52">
            <v>210.68610000000211</v>
          </cell>
          <cell r="P52">
            <v>0.39</v>
          </cell>
          <cell r="Q52">
            <v>161.11290000000002</v>
          </cell>
          <cell r="R52">
            <v>49.573200000002089</v>
          </cell>
        </row>
        <row r="53">
          <cell r="N53">
            <v>1.0799999999999983</v>
          </cell>
          <cell r="O53">
            <v>309.6251999999995</v>
          </cell>
          <cell r="P53">
            <v>0.53</v>
          </cell>
          <cell r="Q53">
            <v>151.94570000000002</v>
          </cell>
          <cell r="R53">
            <v>157.67949999999948</v>
          </cell>
        </row>
        <row r="54">
          <cell r="N54">
            <v>1.2399999999999984</v>
          </cell>
          <cell r="O54">
            <v>254.33639999999968</v>
          </cell>
          <cell r="P54">
            <v>0.7</v>
          </cell>
          <cell r="Q54">
            <v>143.577</v>
          </cell>
          <cell r="R54">
            <v>110.75939999999969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0.38999999999999879</v>
          </cell>
          <cell r="O56">
            <v>202.79999999999939</v>
          </cell>
          <cell r="P56">
            <v>0</v>
          </cell>
          <cell r="Q56">
            <v>0</v>
          </cell>
          <cell r="R56">
            <v>202.79999999999939</v>
          </cell>
        </row>
        <row r="57">
          <cell r="N57">
            <v>0.29999999999999716</v>
          </cell>
          <cell r="O57">
            <v>46.943999999999555</v>
          </cell>
          <cell r="P57">
            <v>0</v>
          </cell>
          <cell r="Q57">
            <v>0</v>
          </cell>
          <cell r="R57">
            <v>46.943999999999555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N60">
            <v>7.1099999999999994</v>
          </cell>
          <cell r="O60">
            <v>369.93329999999997</v>
          </cell>
          <cell r="P60">
            <v>0</v>
          </cell>
          <cell r="Q60">
            <v>0</v>
          </cell>
          <cell r="R60">
            <v>369.93329999999997</v>
          </cell>
        </row>
        <row r="61">
          <cell r="N61">
            <v>80</v>
          </cell>
          <cell r="O61">
            <v>98.4</v>
          </cell>
          <cell r="P61">
            <v>80</v>
          </cell>
          <cell r="Q61">
            <v>98.4</v>
          </cell>
          <cell r="R61">
            <v>0</v>
          </cell>
        </row>
        <row r="62"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N63">
            <v>1.4600000000000009</v>
          </cell>
          <cell r="O63">
            <v>307.68040000000019</v>
          </cell>
          <cell r="P63">
            <v>0.66</v>
          </cell>
          <cell r="Q63">
            <v>139.08840000000001</v>
          </cell>
          <cell r="R63">
            <v>168.59200000000018</v>
          </cell>
        </row>
        <row r="64">
          <cell r="N64">
            <v>120</v>
          </cell>
          <cell r="O64">
            <v>193.20000000000002</v>
          </cell>
          <cell r="P64">
            <v>120</v>
          </cell>
          <cell r="Q64">
            <v>193.20000000000002</v>
          </cell>
          <cell r="R64">
            <v>0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3.9800000000000182</v>
          </cell>
          <cell r="O66">
            <v>206.44260000000094</v>
          </cell>
          <cell r="P66">
            <v>0</v>
          </cell>
          <cell r="Q66">
            <v>0</v>
          </cell>
          <cell r="R66">
            <v>206.44260000000094</v>
          </cell>
        </row>
        <row r="67">
          <cell r="N67">
            <v>7.5</v>
          </cell>
          <cell r="O67">
            <v>252.82500000000002</v>
          </cell>
          <cell r="P67">
            <v>2.11</v>
          </cell>
          <cell r="Q67">
            <v>71.128100000000003</v>
          </cell>
          <cell r="R67">
            <v>181.69690000000003</v>
          </cell>
        </row>
        <row r="68">
          <cell r="N68">
            <v>4.0200000000000031</v>
          </cell>
          <cell r="O68">
            <v>507.88680000000039</v>
          </cell>
          <cell r="P68">
            <v>1.19</v>
          </cell>
          <cell r="Q68">
            <v>150.34459999999999</v>
          </cell>
          <cell r="R68">
            <v>357.54220000000043</v>
          </cell>
        </row>
        <row r="69">
          <cell r="N69">
            <v>0.96000000000000085</v>
          </cell>
          <cell r="O69">
            <v>229.8912000000002</v>
          </cell>
          <cell r="P69">
            <v>0.96</v>
          </cell>
          <cell r="Q69">
            <v>229.8912</v>
          </cell>
          <cell r="R69">
            <v>0</v>
          </cell>
        </row>
        <row r="70">
          <cell r="N70">
            <v>0.50000000000000355</v>
          </cell>
          <cell r="O70">
            <v>229.07500000000161</v>
          </cell>
          <cell r="P70">
            <v>0</v>
          </cell>
          <cell r="Q70">
            <v>0</v>
          </cell>
          <cell r="R70">
            <v>229.07500000000161</v>
          </cell>
        </row>
        <row r="71">
          <cell r="N71">
            <v>76</v>
          </cell>
          <cell r="O71">
            <v>66.88</v>
          </cell>
          <cell r="P71">
            <v>76</v>
          </cell>
          <cell r="Q71">
            <v>66.88</v>
          </cell>
          <cell r="R71">
            <v>0</v>
          </cell>
        </row>
        <row r="72">
          <cell r="N72">
            <v>0.28000000000000003</v>
          </cell>
          <cell r="O72">
            <v>69.56880000000001</v>
          </cell>
          <cell r="P72">
            <v>0.25</v>
          </cell>
          <cell r="Q72">
            <v>62.115000000000002</v>
          </cell>
          <cell r="R72">
            <v>7.4538000000000082</v>
          </cell>
        </row>
        <row r="73">
          <cell r="N73">
            <v>13.800000000000011</v>
          </cell>
          <cell r="O73">
            <v>405.72000000000031</v>
          </cell>
          <cell r="P73">
            <v>0</v>
          </cell>
          <cell r="Q73">
            <v>0</v>
          </cell>
          <cell r="R73">
            <v>405.72000000000031</v>
          </cell>
        </row>
        <row r="74">
          <cell r="N74">
            <v>5.9499999999999886</v>
          </cell>
          <cell r="O74">
            <v>562.69149999999888</v>
          </cell>
          <cell r="P74">
            <v>0</v>
          </cell>
          <cell r="Q74">
            <v>0</v>
          </cell>
          <cell r="R74">
            <v>562.69149999999888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3.5799999999999983</v>
          </cell>
          <cell r="O76">
            <v>255.43299999999985</v>
          </cell>
          <cell r="P76">
            <v>1.1100000000000001</v>
          </cell>
          <cell r="Q76">
            <v>79.198499999999996</v>
          </cell>
          <cell r="R76">
            <v>176.23449999999985</v>
          </cell>
        </row>
        <row r="77">
          <cell r="N77">
            <v>7.2199999999999989</v>
          </cell>
          <cell r="O77">
            <v>474.13739999999996</v>
          </cell>
          <cell r="P77">
            <v>0</v>
          </cell>
          <cell r="Q77">
            <v>0</v>
          </cell>
          <cell r="R77">
            <v>474.13739999999996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3.6500000000000057</v>
          </cell>
          <cell r="O79">
            <v>283.8605000000004</v>
          </cell>
          <cell r="P79">
            <v>1.44</v>
          </cell>
          <cell r="Q79">
            <v>111.98879999999998</v>
          </cell>
          <cell r="R79">
            <v>171.87170000000043</v>
          </cell>
        </row>
        <row r="80">
          <cell r="N80">
            <v>0.80999999999999872</v>
          </cell>
          <cell r="O80">
            <v>244.19879999999964</v>
          </cell>
          <cell r="P80">
            <v>0.45</v>
          </cell>
          <cell r="Q80">
            <v>135.66600000000003</v>
          </cell>
          <cell r="R80">
            <v>108.53279999999961</v>
          </cell>
        </row>
        <row r="81">
          <cell r="N81">
            <v>1.2199999999999989</v>
          </cell>
          <cell r="O81">
            <v>233.47139999999979</v>
          </cell>
          <cell r="P81">
            <v>1.22</v>
          </cell>
          <cell r="Q81">
            <v>233.47139999999999</v>
          </cell>
          <cell r="R81">
            <v>0</v>
          </cell>
        </row>
        <row r="82">
          <cell r="N82">
            <v>5.2399999999999949</v>
          </cell>
          <cell r="O82">
            <v>309.0027999999997</v>
          </cell>
          <cell r="P82">
            <v>1.4</v>
          </cell>
          <cell r="Q82">
            <v>82.557999999999993</v>
          </cell>
          <cell r="R82">
            <v>226.4447999999997</v>
          </cell>
        </row>
        <row r="83">
          <cell r="N83">
            <v>3.210000000000008</v>
          </cell>
          <cell r="O83">
            <v>230.12490000000057</v>
          </cell>
          <cell r="P83">
            <v>0</v>
          </cell>
          <cell r="Q83">
            <v>0</v>
          </cell>
          <cell r="R83">
            <v>230.12490000000057</v>
          </cell>
        </row>
        <row r="84">
          <cell r="N84">
            <v>28</v>
          </cell>
          <cell r="O84">
            <v>162.67999999999998</v>
          </cell>
          <cell r="P84">
            <v>10</v>
          </cell>
          <cell r="Q84">
            <v>58.099999999999994</v>
          </cell>
          <cell r="R84">
            <v>104.57999999999998</v>
          </cell>
        </row>
        <row r="85">
          <cell r="N85">
            <v>9.3600000000000136</v>
          </cell>
          <cell r="O85">
            <v>640.41120000000092</v>
          </cell>
          <cell r="P85">
            <v>0</v>
          </cell>
          <cell r="Q85">
            <v>0</v>
          </cell>
          <cell r="R85">
            <v>640.41120000000092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</v>
          </cell>
          <cell r="O87">
            <v>48.31</v>
          </cell>
          <cell r="P87">
            <v>0</v>
          </cell>
          <cell r="Q87">
            <v>0</v>
          </cell>
          <cell r="R87">
            <v>48.31</v>
          </cell>
        </row>
        <row r="88">
          <cell r="N88">
            <v>1.0000000000000231E-2</v>
          </cell>
          <cell r="O88">
            <v>2.1503000000000498</v>
          </cell>
          <cell r="P88">
            <v>0</v>
          </cell>
          <cell r="Q88">
            <v>0</v>
          </cell>
          <cell r="R88">
            <v>2.1503000000000498</v>
          </cell>
        </row>
        <row r="89">
          <cell r="N89">
            <v>1.0199999999999996</v>
          </cell>
          <cell r="O89">
            <v>147.69599999999994</v>
          </cell>
          <cell r="P89">
            <v>0.66</v>
          </cell>
          <cell r="Q89">
            <v>95.568000000000012</v>
          </cell>
          <cell r="R89">
            <v>52.127999999999929</v>
          </cell>
        </row>
        <row r="90">
          <cell r="N90">
            <v>1.5699999999999932</v>
          </cell>
          <cell r="O90">
            <v>201.5722999999991</v>
          </cell>
          <cell r="P90">
            <v>1.08</v>
          </cell>
          <cell r="Q90">
            <v>138.66120000000001</v>
          </cell>
          <cell r="R90">
            <v>62.911099999999095</v>
          </cell>
        </row>
        <row r="91">
          <cell r="N91">
            <v>0.85999999999999943</v>
          </cell>
          <cell r="O91">
            <v>218.37119999999985</v>
          </cell>
          <cell r="P91">
            <v>0.86</v>
          </cell>
          <cell r="Q91">
            <v>218.37119999999999</v>
          </cell>
          <cell r="R91">
            <v>0</v>
          </cell>
        </row>
        <row r="92">
          <cell r="N92">
            <v>1.6899999999999977</v>
          </cell>
          <cell r="O92">
            <v>310.36849999999959</v>
          </cell>
          <cell r="P92">
            <v>1.69</v>
          </cell>
          <cell r="Q92">
            <v>310.36849999999998</v>
          </cell>
          <cell r="R92">
            <v>0</v>
          </cell>
        </row>
        <row r="93">
          <cell r="N93">
            <v>7.9999999999999627E-2</v>
          </cell>
          <cell r="O93">
            <v>51.381599999999757</v>
          </cell>
          <cell r="P93">
            <v>0</v>
          </cell>
          <cell r="Q93">
            <v>0</v>
          </cell>
          <cell r="R93">
            <v>51.381599999999757</v>
          </cell>
        </row>
        <row r="94">
          <cell r="N94">
            <v>6</v>
          </cell>
          <cell r="O94">
            <v>37.56</v>
          </cell>
          <cell r="P94">
            <v>6</v>
          </cell>
          <cell r="Q94">
            <v>37.56</v>
          </cell>
          <cell r="R94">
            <v>0</v>
          </cell>
        </row>
        <row r="95">
          <cell r="N95">
            <v>0.73999999999999844</v>
          </cell>
          <cell r="O95">
            <v>222.61419999999953</v>
          </cell>
          <cell r="P95">
            <v>0.48</v>
          </cell>
          <cell r="Q95">
            <v>144.39839999999998</v>
          </cell>
          <cell r="R95">
            <v>78.215799999999547</v>
          </cell>
        </row>
        <row r="96">
          <cell r="N96">
            <v>0.59999999999999432</v>
          </cell>
          <cell r="O96">
            <v>244.64399999999767</v>
          </cell>
          <cell r="P96">
            <v>0</v>
          </cell>
          <cell r="Q96">
            <v>0</v>
          </cell>
          <cell r="R96">
            <v>244.64399999999767</v>
          </cell>
        </row>
        <row r="97">
          <cell r="N97">
            <v>2.6499999999999986</v>
          </cell>
          <cell r="O97">
            <v>293.27549999999985</v>
          </cell>
          <cell r="P97">
            <v>1.2</v>
          </cell>
          <cell r="Q97">
            <v>132.804</v>
          </cell>
          <cell r="R97">
            <v>160.47149999999985</v>
          </cell>
        </row>
        <row r="98">
          <cell r="N98">
            <v>1.75</v>
          </cell>
          <cell r="O98">
            <v>640.37750000000005</v>
          </cell>
          <cell r="P98">
            <v>0</v>
          </cell>
          <cell r="Q98">
            <v>0</v>
          </cell>
          <cell r="R98">
            <v>640.37750000000005</v>
          </cell>
        </row>
        <row r="99">
          <cell r="N99">
            <v>3.5300000000000011</v>
          </cell>
          <cell r="O99">
            <v>433.55460000000011</v>
          </cell>
          <cell r="P99">
            <v>3.53</v>
          </cell>
          <cell r="Q99">
            <v>433.55459999999994</v>
          </cell>
          <cell r="R99">
            <v>0</v>
          </cell>
        </row>
        <row r="100">
          <cell r="N100">
            <v>1.3500000000000014</v>
          </cell>
          <cell r="O100">
            <v>256.4055000000003</v>
          </cell>
          <cell r="P100">
            <v>0.88</v>
          </cell>
          <cell r="Q100">
            <v>167.13840000000002</v>
          </cell>
          <cell r="R100">
            <v>89.267100000000283</v>
          </cell>
        </row>
        <row r="101">
          <cell r="N101">
            <v>48</v>
          </cell>
          <cell r="O101">
            <v>110.39999999999999</v>
          </cell>
          <cell r="P101">
            <v>48</v>
          </cell>
          <cell r="Q101">
            <v>110.39999999999999</v>
          </cell>
          <cell r="R101">
            <v>0</v>
          </cell>
        </row>
        <row r="102">
          <cell r="N102">
            <v>60</v>
          </cell>
          <cell r="O102">
            <v>183.6</v>
          </cell>
          <cell r="P102">
            <v>0</v>
          </cell>
          <cell r="Q102">
            <v>0</v>
          </cell>
          <cell r="R102">
            <v>183.6</v>
          </cell>
        </row>
        <row r="103">
          <cell r="N103">
            <v>1.5900000000000034</v>
          </cell>
          <cell r="O103">
            <v>300.79620000000068</v>
          </cell>
          <cell r="P103">
            <v>0.56000000000000005</v>
          </cell>
          <cell r="Q103">
            <v>105.94080000000001</v>
          </cell>
          <cell r="R103">
            <v>194.85540000000066</v>
          </cell>
        </row>
        <row r="104">
          <cell r="N104">
            <v>1.3299999999999983</v>
          </cell>
          <cell r="O104">
            <v>127.67999999999984</v>
          </cell>
          <cell r="P104">
            <v>1.1000000000000001</v>
          </cell>
          <cell r="Q104">
            <v>105.60000000000001</v>
          </cell>
          <cell r="R104">
            <v>22.079999999999828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1.4200000000000017</v>
          </cell>
          <cell r="O106">
            <v>522.75880000000063</v>
          </cell>
          <cell r="P106">
            <v>0</v>
          </cell>
          <cell r="Q106">
            <v>0</v>
          </cell>
          <cell r="R106">
            <v>522.75880000000063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1.5300000000000011</v>
          </cell>
          <cell r="O108">
            <v>245.5497000000002</v>
          </cell>
          <cell r="P108">
            <v>1.53</v>
          </cell>
          <cell r="Q108">
            <v>245.54970000000003</v>
          </cell>
          <cell r="R108">
            <v>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N112">
            <v>5.0600000000000023</v>
          </cell>
          <cell r="O112">
            <v>333.3022000000002</v>
          </cell>
          <cell r="P112">
            <v>0</v>
          </cell>
          <cell r="Q112">
            <v>0</v>
          </cell>
          <cell r="R112">
            <v>333.3022000000002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30</v>
          </cell>
          <cell r="O114">
            <v>129.29999999999998</v>
          </cell>
          <cell r="P114">
            <v>30</v>
          </cell>
          <cell r="Q114">
            <v>129.29999999999998</v>
          </cell>
          <cell r="R114">
            <v>0</v>
          </cell>
        </row>
        <row r="115">
          <cell r="N115">
            <v>1.4399999999999977</v>
          </cell>
          <cell r="O115">
            <v>261.51839999999959</v>
          </cell>
          <cell r="P115">
            <v>0.77</v>
          </cell>
          <cell r="Q115">
            <v>139.83970000000002</v>
          </cell>
          <cell r="R115">
            <v>121.67869999999957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0.78999999999999915</v>
          </cell>
          <cell r="O117">
            <v>360.46909999999963</v>
          </cell>
          <cell r="P117">
            <v>0.36</v>
          </cell>
          <cell r="Q117">
            <v>164.26439999999999</v>
          </cell>
          <cell r="R117">
            <v>196.20469999999963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1.1099999999999994</v>
          </cell>
          <cell r="O119">
            <v>223.08779999999987</v>
          </cell>
          <cell r="P119">
            <v>1.1100000000000001</v>
          </cell>
          <cell r="Q119">
            <v>223.08780000000002</v>
          </cell>
          <cell r="R119">
            <v>0</v>
          </cell>
        </row>
        <row r="120">
          <cell r="N120">
            <v>1.740000000000002</v>
          </cell>
          <cell r="O120">
            <v>271.16160000000031</v>
          </cell>
          <cell r="P120">
            <v>1.1200000000000001</v>
          </cell>
          <cell r="Q120">
            <v>174.54080000000002</v>
          </cell>
          <cell r="R120">
            <v>96.620800000000287</v>
          </cell>
        </row>
        <row r="121">
          <cell r="N121">
            <v>1.7900000000000063</v>
          </cell>
          <cell r="O121">
            <v>207.89060000000072</v>
          </cell>
          <cell r="P121">
            <v>0</v>
          </cell>
          <cell r="Q121">
            <v>0</v>
          </cell>
          <cell r="R121">
            <v>207.89060000000072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2.2800000000000011</v>
          </cell>
          <cell r="O123">
            <v>226.88280000000012</v>
          </cell>
          <cell r="P123">
            <v>0</v>
          </cell>
          <cell r="Q123">
            <v>0</v>
          </cell>
          <cell r="R123">
            <v>226.88280000000012</v>
          </cell>
        </row>
        <row r="124">
          <cell r="N124">
            <v>28</v>
          </cell>
          <cell r="O124">
            <v>136.08000000000001</v>
          </cell>
          <cell r="P124">
            <v>28</v>
          </cell>
          <cell r="Q124">
            <v>136.08000000000001</v>
          </cell>
          <cell r="R124">
            <v>0</v>
          </cell>
        </row>
        <row r="125">
          <cell r="N125">
            <v>10.919999999999987</v>
          </cell>
          <cell r="O125">
            <v>722.13959999999918</v>
          </cell>
          <cell r="P125">
            <v>0</v>
          </cell>
          <cell r="Q125">
            <v>0</v>
          </cell>
          <cell r="R125">
            <v>722.13959999999918</v>
          </cell>
        </row>
        <row r="126">
          <cell r="N126">
            <v>2.09</v>
          </cell>
          <cell r="O126">
            <v>303.13359999999994</v>
          </cell>
          <cell r="P126">
            <v>1.1399999999999999</v>
          </cell>
          <cell r="Q126">
            <v>165.34559999999999</v>
          </cell>
          <cell r="R126">
            <v>137.78799999999995</v>
          </cell>
        </row>
        <row r="127">
          <cell r="N127">
            <v>1.2100000000000009</v>
          </cell>
          <cell r="O127">
            <v>587.04360000000042</v>
          </cell>
          <cell r="P127">
            <v>0</v>
          </cell>
          <cell r="Q127">
            <v>0</v>
          </cell>
          <cell r="R127">
            <v>587.04360000000042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0.5</v>
          </cell>
          <cell r="O129">
            <v>268.17</v>
          </cell>
          <cell r="P129">
            <v>0</v>
          </cell>
          <cell r="Q129">
            <v>0</v>
          </cell>
          <cell r="R129">
            <v>268.17</v>
          </cell>
        </row>
        <row r="130">
          <cell r="N130">
            <v>4.4199999999999875</v>
          </cell>
          <cell r="O130">
            <v>310.37239999999912</v>
          </cell>
          <cell r="P130">
            <v>0</v>
          </cell>
          <cell r="Q130">
            <v>0</v>
          </cell>
          <cell r="R130">
            <v>310.37239999999912</v>
          </cell>
        </row>
        <row r="131">
          <cell r="N131">
            <v>1.1399999999999988</v>
          </cell>
          <cell r="O131">
            <v>286.78979999999967</v>
          </cell>
          <cell r="P131">
            <v>0.55000000000000004</v>
          </cell>
          <cell r="Q131">
            <v>138.36350000000002</v>
          </cell>
          <cell r="R131">
            <v>148.42629999999966</v>
          </cell>
        </row>
        <row r="132">
          <cell r="N132">
            <v>3.6199999999999903</v>
          </cell>
          <cell r="O132">
            <v>391.90119999999899</v>
          </cell>
          <cell r="P132">
            <v>0</v>
          </cell>
          <cell r="Q132">
            <v>0</v>
          </cell>
          <cell r="R132">
            <v>391.90119999999899</v>
          </cell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N135">
            <v>2.7900000000000063</v>
          </cell>
          <cell r="O135">
            <v>235.19700000000051</v>
          </cell>
          <cell r="P135">
            <v>1.26</v>
          </cell>
          <cell r="Q135">
            <v>106.218</v>
          </cell>
          <cell r="R135">
            <v>128.9790000000005</v>
          </cell>
        </row>
        <row r="136">
          <cell r="N136">
            <v>0.66000000000000014</v>
          </cell>
          <cell r="O136">
            <v>271.50420000000008</v>
          </cell>
          <cell r="P136">
            <v>0.43</v>
          </cell>
          <cell r="Q136">
            <v>176.88910000000001</v>
          </cell>
          <cell r="R136">
            <v>94.615100000000069</v>
          </cell>
        </row>
        <row r="137">
          <cell r="N137">
            <v>156</v>
          </cell>
          <cell r="O137">
            <v>441.48</v>
          </cell>
          <cell r="P137">
            <v>0</v>
          </cell>
          <cell r="Q137">
            <v>0</v>
          </cell>
          <cell r="R137">
            <v>441.48</v>
          </cell>
        </row>
        <row r="138">
          <cell r="N138">
            <v>0.58000000000000007</v>
          </cell>
          <cell r="O138">
            <v>288.21940000000006</v>
          </cell>
          <cell r="P138">
            <v>0.33</v>
          </cell>
          <cell r="Q138">
            <v>163.98690000000002</v>
          </cell>
          <cell r="R138">
            <v>124.23250000000004</v>
          </cell>
        </row>
        <row r="139">
          <cell r="N139">
            <v>0.76999999999999957</v>
          </cell>
          <cell r="O139">
            <v>258.08089999999987</v>
          </cell>
          <cell r="P139">
            <v>0.44</v>
          </cell>
          <cell r="Q139">
            <v>147.47480000000002</v>
          </cell>
          <cell r="R139">
            <v>110.60609999999986</v>
          </cell>
        </row>
        <row r="140">
          <cell r="N140">
            <v>1.8300000000000018</v>
          </cell>
          <cell r="O140">
            <v>310.71570000000031</v>
          </cell>
          <cell r="P140">
            <v>1.05</v>
          </cell>
          <cell r="Q140">
            <v>178.27950000000001</v>
          </cell>
          <cell r="R140">
            <v>132.4362000000003</v>
          </cell>
        </row>
        <row r="141">
          <cell r="N141">
            <v>3.8199999999999932</v>
          </cell>
          <cell r="O141">
            <v>117.12119999999979</v>
          </cell>
          <cell r="P141">
            <v>0</v>
          </cell>
          <cell r="Q141">
            <v>0</v>
          </cell>
          <cell r="R141">
            <v>117.12119999999979</v>
          </cell>
        </row>
        <row r="142">
          <cell r="N142">
            <v>3</v>
          </cell>
          <cell r="O142">
            <v>981.48</v>
          </cell>
          <cell r="P142">
            <v>0</v>
          </cell>
          <cell r="Q142">
            <v>0</v>
          </cell>
          <cell r="R142">
            <v>981.48</v>
          </cell>
        </row>
        <row r="143">
          <cell r="N143">
            <v>3.3000000000000114</v>
          </cell>
          <cell r="O143">
            <v>477.77400000000165</v>
          </cell>
          <cell r="P143">
            <v>0</v>
          </cell>
          <cell r="Q143">
            <v>0</v>
          </cell>
          <cell r="R143">
            <v>477.77400000000165</v>
          </cell>
        </row>
        <row r="144">
          <cell r="N144">
            <v>9.0200000000000102</v>
          </cell>
          <cell r="O144">
            <v>407.07260000000048</v>
          </cell>
          <cell r="P144">
            <v>0</v>
          </cell>
          <cell r="Q144">
            <v>0</v>
          </cell>
          <cell r="R144">
            <v>407.07260000000048</v>
          </cell>
        </row>
        <row r="145">
          <cell r="N145">
            <v>1</v>
          </cell>
          <cell r="O145">
            <v>5.36</v>
          </cell>
          <cell r="P145">
            <v>1</v>
          </cell>
          <cell r="Q145">
            <v>5.36</v>
          </cell>
          <cell r="R145">
            <v>0</v>
          </cell>
        </row>
        <row r="146">
          <cell r="N146">
            <v>6.7099999999999795</v>
          </cell>
          <cell r="O146">
            <v>505.66559999999845</v>
          </cell>
          <cell r="P146">
            <v>0</v>
          </cell>
          <cell r="Q146">
            <v>0</v>
          </cell>
          <cell r="R146">
            <v>505.66559999999845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0.43000000000000682</v>
          </cell>
          <cell r="O148">
            <v>260.48540000000412</v>
          </cell>
          <cell r="P148">
            <v>0.245</v>
          </cell>
          <cell r="Q148">
            <v>148.4161</v>
          </cell>
          <cell r="R148">
            <v>112.06930000000412</v>
          </cell>
        </row>
        <row r="149">
          <cell r="N149">
            <v>1.769999999999996</v>
          </cell>
          <cell r="O149">
            <v>250.7558999999994</v>
          </cell>
          <cell r="P149">
            <v>1.1599999999999999</v>
          </cell>
          <cell r="Q149">
            <v>164.33719999999997</v>
          </cell>
          <cell r="R149">
            <v>86.418699999999433</v>
          </cell>
        </row>
        <row r="150">
          <cell r="N150">
            <v>1.3099999999999987</v>
          </cell>
          <cell r="O150">
            <v>266.68979999999976</v>
          </cell>
          <cell r="P150">
            <v>0.75</v>
          </cell>
          <cell r="Q150">
            <v>152.685</v>
          </cell>
          <cell r="R150">
            <v>114.00479999999976</v>
          </cell>
        </row>
        <row r="151">
          <cell r="N151">
            <v>2.7199999999999989</v>
          </cell>
          <cell r="O151">
            <v>139.99839999999995</v>
          </cell>
          <cell r="P151">
            <v>0</v>
          </cell>
          <cell r="Q151">
            <v>0</v>
          </cell>
          <cell r="R151">
            <v>139.99839999999995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3.1000000000000227</v>
          </cell>
          <cell r="O153">
            <v>213.71400000000156</v>
          </cell>
          <cell r="P153">
            <v>3.1</v>
          </cell>
          <cell r="Q153">
            <v>213.714</v>
          </cell>
          <cell r="R153">
            <v>1.5631940186722204E-12</v>
          </cell>
        </row>
        <row r="154">
          <cell r="N154">
            <v>0.71999999999999886</v>
          </cell>
          <cell r="O154">
            <v>186.4079999999997</v>
          </cell>
          <cell r="P154">
            <v>0</v>
          </cell>
          <cell r="Q154">
            <v>0</v>
          </cell>
          <cell r="R154">
            <v>186.4079999999997</v>
          </cell>
        </row>
        <row r="155">
          <cell r="N155">
            <v>0.32000000000000028</v>
          </cell>
          <cell r="O155">
            <v>92.454400000000092</v>
          </cell>
          <cell r="P155">
            <v>0.28999999999999998</v>
          </cell>
          <cell r="Q155">
            <v>83.786799999999999</v>
          </cell>
          <cell r="R155">
            <v>8.6676000000000926</v>
          </cell>
        </row>
        <row r="156"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N157">
            <v>2.4699999999999989</v>
          </cell>
          <cell r="O157">
            <v>349.0850999999999</v>
          </cell>
          <cell r="P157">
            <v>1.2</v>
          </cell>
          <cell r="Q157">
            <v>169.596</v>
          </cell>
          <cell r="R157">
            <v>179.48909999999989</v>
          </cell>
        </row>
        <row r="158">
          <cell r="N158">
            <v>2.4299999999999997</v>
          </cell>
          <cell r="O158">
            <v>245.67299999999994</v>
          </cell>
          <cell r="P158">
            <v>1.08</v>
          </cell>
          <cell r="Q158">
            <v>109.188</v>
          </cell>
          <cell r="R158">
            <v>136.48499999999996</v>
          </cell>
        </row>
        <row r="159">
          <cell r="N159">
            <v>1.5400000000000009</v>
          </cell>
          <cell r="O159">
            <v>324.97080000000022</v>
          </cell>
          <cell r="P159">
            <v>0.66</v>
          </cell>
          <cell r="Q159">
            <v>139.2732</v>
          </cell>
          <cell r="R159">
            <v>185.69760000000022</v>
          </cell>
        </row>
        <row r="160">
          <cell r="N160">
            <v>0.91999999999999993</v>
          </cell>
          <cell r="O160">
            <v>204.148</v>
          </cell>
          <cell r="P160">
            <v>0.23</v>
          </cell>
          <cell r="Q160">
            <v>51.037000000000006</v>
          </cell>
          <cell r="R160">
            <v>153.11099999999999</v>
          </cell>
        </row>
        <row r="161">
          <cell r="N161">
            <v>11</v>
          </cell>
          <cell r="O161">
            <v>133.43</v>
          </cell>
          <cell r="P161">
            <v>0</v>
          </cell>
          <cell r="Q161">
            <v>0</v>
          </cell>
          <cell r="R161">
            <v>133.43</v>
          </cell>
        </row>
        <row r="162">
          <cell r="N162" t="str">
            <v>總計</v>
          </cell>
          <cell r="O162">
            <v>38268.166700000031</v>
          </cell>
          <cell r="P162" t="str">
            <v>總計</v>
          </cell>
          <cell r="Q162">
            <v>11174.102800000002</v>
          </cell>
          <cell r="R162">
            <v>27094.063899999997</v>
          </cell>
        </row>
      </sheetData>
      <sheetData sheetId="54"/>
      <sheetData sheetId="5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zoomScaleNormal="100" zoomScaleSheetLayoutView="115" workbookViewId="0">
      <selection activeCell="H16" sqref="H16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453" t="s">
        <v>341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2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2" ht="21.65" customHeight="1">
      <c r="A3" s="115" t="s">
        <v>332</v>
      </c>
      <c r="B3" s="116">
        <v>1</v>
      </c>
      <c r="C3" s="115" t="s">
        <v>20</v>
      </c>
      <c r="D3" s="455" t="s">
        <v>379</v>
      </c>
      <c r="E3" s="455"/>
      <c r="F3" s="100"/>
      <c r="G3" s="110"/>
      <c r="H3" s="100"/>
      <c r="I3" s="100"/>
      <c r="J3" s="100"/>
      <c r="K3" s="100"/>
    </row>
    <row r="4" spans="1:12" ht="15.75" customHeight="1">
      <c r="A4" s="111" t="s">
        <v>198</v>
      </c>
      <c r="E4" s="102" t="s">
        <v>23</v>
      </c>
      <c r="G4" s="112" t="s">
        <v>130</v>
      </c>
      <c r="L4" s="99"/>
    </row>
    <row r="5" spans="1:12" s="104" customFormat="1" ht="15.75" customHeight="1">
      <c r="A5" s="123" t="s">
        <v>200</v>
      </c>
      <c r="B5" s="117" t="s">
        <v>22</v>
      </c>
      <c r="C5" s="117" t="s">
        <v>1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22</v>
      </c>
      <c r="J5" s="117" t="s">
        <v>67</v>
      </c>
      <c r="K5" s="117" t="s">
        <v>3</v>
      </c>
      <c r="L5" s="105" t="s">
        <v>60</v>
      </c>
    </row>
    <row r="6" spans="1:12" ht="18" customHeight="1">
      <c r="A6" s="107" t="s">
        <v>24</v>
      </c>
      <c r="B6" s="118">
        <f>'（１）收支狀況'!H7/1000</f>
        <v>124565.12631000004</v>
      </c>
      <c r="C6" s="118">
        <v>176732.06007000001</v>
      </c>
      <c r="D6" s="118">
        <f t="shared" ref="D6:D11" si="0">B6-C6</f>
        <v>-52166.933759999971</v>
      </c>
      <c r="E6" s="108"/>
      <c r="G6" s="107" t="s">
        <v>201</v>
      </c>
      <c r="H6" s="120"/>
      <c r="I6" s="435">
        <f>'（２）ＫＰＩ達成進度'!H7</f>
        <v>455.63186298713816</v>
      </c>
      <c r="J6" s="120">
        <v>414.41162832121302</v>
      </c>
      <c r="K6" s="121"/>
      <c r="L6" s="101" t="s">
        <v>197</v>
      </c>
    </row>
    <row r="7" spans="1:12" ht="18" customHeight="1">
      <c r="A7" s="107" t="s">
        <v>25</v>
      </c>
      <c r="B7" s="118">
        <f>'（１）收支狀況'!K7</f>
        <v>4065016</v>
      </c>
      <c r="C7" s="118">
        <v>5518274</v>
      </c>
      <c r="D7" s="118">
        <f t="shared" si="0"/>
        <v>-1453258</v>
      </c>
      <c r="E7" s="108"/>
      <c r="G7" s="107" t="s">
        <v>202</v>
      </c>
      <c r="H7" s="119">
        <v>0.8</v>
      </c>
      <c r="I7" s="119">
        <f>'（２）ＫＰＩ達成進度'!K7</f>
        <v>0.91565888863974698</v>
      </c>
      <c r="J7" s="119">
        <v>0.83282079646546014</v>
      </c>
      <c r="K7" s="119"/>
      <c r="L7" s="101" t="s">
        <v>4</v>
      </c>
    </row>
    <row r="8" spans="1:12" ht="18" customHeight="1">
      <c r="A8" s="107" t="s">
        <v>5</v>
      </c>
      <c r="B8" s="118">
        <f>'（１）收支狀況'!N7/1000</f>
        <v>82084.889273670546</v>
      </c>
      <c r="C8" s="118">
        <v>115112</v>
      </c>
      <c r="D8" s="118">
        <f>B8-C8</f>
        <v>-33027.110726329454</v>
      </c>
      <c r="E8" s="108"/>
      <c r="G8" s="107" t="s">
        <v>203</v>
      </c>
      <c r="H8" s="119">
        <v>2.5000000000000001E-3</v>
      </c>
      <c r="I8" s="222">
        <f>'（２）ＫＰＩ達成進度'!N7</f>
        <v>2.4146726238002958E-3</v>
      </c>
      <c r="J8" s="119">
        <v>2.4165597921810048E-3</v>
      </c>
      <c r="K8" s="119"/>
      <c r="L8" s="101" t="s">
        <v>55</v>
      </c>
    </row>
    <row r="9" spans="1:12" ht="18" customHeight="1">
      <c r="A9" s="107" t="s">
        <v>6</v>
      </c>
      <c r="B9" s="119">
        <f>'（１）收支狀況'!Q7</f>
        <v>0.65897166972230492</v>
      </c>
      <c r="C9" s="119">
        <v>0.65500000000000003</v>
      </c>
      <c r="D9" s="119">
        <f t="shared" si="0"/>
        <v>3.9716697223048936E-3</v>
      </c>
      <c r="E9" s="119"/>
      <c r="G9" s="107" t="s">
        <v>204</v>
      </c>
      <c r="H9" s="119">
        <v>4.0000000000000001E-3</v>
      </c>
      <c r="I9" s="119">
        <f>'（２）ＫＰＩ達成進度'!Q7</f>
        <v>5.6219257769644518E-3</v>
      </c>
      <c r="J9" s="119">
        <v>6.1020274337309438E-3</v>
      </c>
      <c r="K9" s="119"/>
      <c r="L9" s="101" t="s">
        <v>98</v>
      </c>
    </row>
    <row r="10" spans="1:12" ht="18" customHeight="1">
      <c r="A10" s="107" t="s">
        <v>64</v>
      </c>
      <c r="B10" s="118">
        <f>'（１）收支狀況'!T7/1000</f>
        <v>20360.681639999999</v>
      </c>
      <c r="C10" s="118">
        <v>25545</v>
      </c>
      <c r="D10" s="118">
        <f t="shared" si="0"/>
        <v>-5184.3183600000011</v>
      </c>
      <c r="E10" s="108"/>
      <c r="G10" s="107" t="s">
        <v>205</v>
      </c>
      <c r="H10" s="119">
        <v>0.8</v>
      </c>
      <c r="I10" s="119">
        <f>'（２）ＫＰＩ達成進度'!T7</f>
        <v>0.89999999999999969</v>
      </c>
      <c r="J10" s="119">
        <v>0.89999999999999947</v>
      </c>
      <c r="K10" s="119"/>
      <c r="L10" s="101" t="s">
        <v>7</v>
      </c>
    </row>
    <row r="11" spans="1:12" ht="18" customHeight="1">
      <c r="A11" s="107" t="s">
        <v>65</v>
      </c>
      <c r="B11" s="119">
        <f>'（１）收支狀況'!W7</f>
        <v>0.16345410824960127</v>
      </c>
      <c r="C11" s="119">
        <v>0.14499999999999999</v>
      </c>
      <c r="D11" s="119">
        <f t="shared" si="0"/>
        <v>1.8454108249601281E-2</v>
      </c>
      <c r="E11" s="119"/>
      <c r="G11" s="107" t="s">
        <v>206</v>
      </c>
      <c r="H11" s="119">
        <v>1</v>
      </c>
      <c r="I11" s="119">
        <f>'（２）ＫＰＩ達成進度'!W7</f>
        <v>5.0295857988165674E-2</v>
      </c>
      <c r="J11" s="119">
        <v>0.97084367245657555</v>
      </c>
      <c r="K11" s="119"/>
      <c r="L11" s="101" t="s">
        <v>62</v>
      </c>
    </row>
    <row r="12" spans="1:12" ht="9.65" customHeight="1">
      <c r="L12" s="99"/>
    </row>
    <row r="13" spans="1:12" ht="15.75" customHeight="1">
      <c r="A13" s="111" t="s">
        <v>32</v>
      </c>
      <c r="E13" s="323" t="s">
        <v>23</v>
      </c>
      <c r="G13" s="111" t="s">
        <v>154</v>
      </c>
      <c r="K13" s="323" t="s">
        <v>460</v>
      </c>
      <c r="L13" s="99"/>
    </row>
    <row r="14" spans="1:12" s="106" customFormat="1" ht="13.5">
      <c r="A14" s="122"/>
      <c r="B14" s="122" t="s">
        <v>22</v>
      </c>
      <c r="C14" s="122" t="s">
        <v>66</v>
      </c>
      <c r="D14" s="122" t="s">
        <v>67</v>
      </c>
      <c r="E14" s="122" t="s">
        <v>68</v>
      </c>
      <c r="G14" s="122"/>
      <c r="H14" s="122" t="s">
        <v>22</v>
      </c>
      <c r="I14" s="122" t="s">
        <v>66</v>
      </c>
      <c r="J14" s="122" t="s">
        <v>67</v>
      </c>
      <c r="K14" s="122" t="s">
        <v>68</v>
      </c>
    </row>
    <row r="15" spans="1:12" ht="18" customHeight="1">
      <c r="A15" s="107" t="s">
        <v>400</v>
      </c>
      <c r="B15" s="118">
        <f>SUM('（３）業績構成比'!M9:M39)/1000</f>
        <v>45102.572799999987</v>
      </c>
      <c r="C15" s="119">
        <f>IFERROR(B15/$B$6,"")</f>
        <v>0.36208025581538045</v>
      </c>
      <c r="D15" s="119">
        <v>0.30192713002307048</v>
      </c>
      <c r="E15" s="119">
        <f>IFERROR(C15-D15,"")</f>
        <v>6.0153125792309969E-2</v>
      </c>
      <c r="G15" s="107" t="s">
        <v>401</v>
      </c>
      <c r="H15" s="118">
        <f>SUM('（４）訂單數量構成比'!M9:M39)</f>
        <v>2383849</v>
      </c>
      <c r="I15" s="119">
        <f t="shared" ref="I15:I23" si="1">IFERROR(H15/$B$7,"")</f>
        <v>0.58643041011400698</v>
      </c>
      <c r="J15" s="119">
        <v>0.51227449017573246</v>
      </c>
      <c r="K15" s="119">
        <f>IFERROR(I15-J15,"")</f>
        <v>7.4155919938274528E-2</v>
      </c>
      <c r="L15" s="99"/>
    </row>
    <row r="16" spans="1:12" ht="18" customHeight="1">
      <c r="A16" s="107" t="s">
        <v>226</v>
      </c>
      <c r="B16" s="118">
        <f>SUM('（３）業績構成比'!S9:S39)/1000</f>
        <v>8699.9573800000016</v>
      </c>
      <c r="C16" s="119">
        <f t="shared" ref="C16:C23" si="2">IFERROR(B16/$B$6,"")</f>
        <v>6.9842640855585697E-2</v>
      </c>
      <c r="D16" s="119">
        <v>6.938343775964112E-2</v>
      </c>
      <c r="E16" s="119">
        <f t="shared" ref="E16:E23" si="3">IFERROR(C16-D16,"")</f>
        <v>4.5920309594457698E-4</v>
      </c>
      <c r="G16" s="107" t="s">
        <v>261</v>
      </c>
      <c r="H16" s="118">
        <f>SUM('（４）訂單數量構成比'!S9:S39)</f>
        <v>332622</v>
      </c>
      <c r="I16" s="119">
        <f t="shared" si="1"/>
        <v>8.1825508189881657E-2</v>
      </c>
      <c r="J16" s="119">
        <v>8.6791268429222621E-2</v>
      </c>
      <c r="K16" s="119">
        <f t="shared" ref="K16:K23" si="4">IFERROR(I16-J16,"")</f>
        <v>-4.9657602393409633E-3</v>
      </c>
      <c r="L16" s="99"/>
    </row>
    <row r="17" spans="1:17" ht="18" customHeight="1">
      <c r="A17" s="107" t="s">
        <v>222</v>
      </c>
      <c r="B17" s="118">
        <f>SUM('（３）業績構成比'!U9:U39)/1000</f>
        <v>2813.4367399999996</v>
      </c>
      <c r="C17" s="119">
        <f t="shared" si="2"/>
        <v>2.258607062299537E-2</v>
      </c>
      <c r="D17" s="119">
        <v>7.1182856098758768E-2</v>
      </c>
      <c r="E17" s="119">
        <f t="shared" si="3"/>
        <v>-4.8596785475763397E-2</v>
      </c>
      <c r="G17" s="107" t="s">
        <v>238</v>
      </c>
      <c r="H17" s="118">
        <f>SUM('（４）訂單數量構成比'!U9:U39)</f>
        <v>102224</v>
      </c>
      <c r="I17" s="119">
        <f t="shared" si="1"/>
        <v>2.5147256492963375E-2</v>
      </c>
      <c r="J17" s="119">
        <v>7.6188859052667549E-2</v>
      </c>
      <c r="K17" s="119">
        <f t="shared" si="4"/>
        <v>-5.1041602559704177E-2</v>
      </c>
      <c r="L17" s="99"/>
    </row>
    <row r="18" spans="1:17" ht="18" customHeight="1">
      <c r="A18" s="107" t="s">
        <v>224</v>
      </c>
      <c r="B18" s="118">
        <f>SUM('（３）業績構成比'!W9:W39)/1000</f>
        <v>1103.15815</v>
      </c>
      <c r="C18" s="119">
        <f t="shared" si="2"/>
        <v>8.8560753934822517E-3</v>
      </c>
      <c r="D18" s="119">
        <v>3.8510890991166153E-3</v>
      </c>
      <c r="E18" s="119">
        <f t="shared" si="3"/>
        <v>5.0049862943656364E-3</v>
      </c>
      <c r="G18" s="107" t="s">
        <v>223</v>
      </c>
      <c r="H18" s="118">
        <f>SUM('（４）訂單數量構成比'!W9:W39)</f>
        <v>41066</v>
      </c>
      <c r="I18" s="119">
        <f t="shared" si="1"/>
        <v>1.0102297260330587E-2</v>
      </c>
      <c r="J18" s="119">
        <v>4.3462865381458044E-3</v>
      </c>
      <c r="K18" s="119">
        <f t="shared" si="4"/>
        <v>5.7560107221847822E-3</v>
      </c>
      <c r="L18" s="99"/>
    </row>
    <row r="19" spans="1:17" ht="18" customHeight="1">
      <c r="A19" s="107" t="s">
        <v>228</v>
      </c>
      <c r="B19" s="118">
        <f>SUM('（３）業績構成比'!AC9:AC39)/1000</f>
        <v>20245.101820000003</v>
      </c>
      <c r="C19" s="119">
        <f t="shared" si="2"/>
        <v>0.16252624165143029</v>
      </c>
      <c r="D19" s="119">
        <v>0.16662245711579673</v>
      </c>
      <c r="E19" s="119">
        <f t="shared" si="3"/>
        <v>-4.0962154643664483E-3</v>
      </c>
      <c r="G19" s="107" t="s">
        <v>227</v>
      </c>
      <c r="H19" s="118">
        <f>SUM('（４）訂單數量構成比'!AC9:AC39)</f>
        <v>366142</v>
      </c>
      <c r="I19" s="119">
        <f t="shared" si="1"/>
        <v>9.0071478193443771E-2</v>
      </c>
      <c r="J19" s="119">
        <v>9.8131046048094028E-2</v>
      </c>
      <c r="K19" s="119">
        <f t="shared" si="4"/>
        <v>-8.0595678546502569E-3</v>
      </c>
      <c r="L19" s="99"/>
    </row>
    <row r="20" spans="1:17" ht="18" customHeight="1">
      <c r="A20" s="107" t="s">
        <v>230</v>
      </c>
      <c r="B20" s="118">
        <f>SUM('（３）業績構成比'!AE9:AE39)/1000</f>
        <v>33638.46504000001</v>
      </c>
      <c r="C20" s="119">
        <f t="shared" si="2"/>
        <v>0.2700472117395471</v>
      </c>
      <c r="D20" s="119">
        <v>0.25124875306954825</v>
      </c>
      <c r="E20" s="119">
        <f t="shared" si="3"/>
        <v>1.8798458669998852E-2</v>
      </c>
      <c r="G20" s="107" t="s">
        <v>229</v>
      </c>
      <c r="H20" s="118">
        <f>SUM('（４）訂單數量構成比'!AE9:AE39)</f>
        <v>555180</v>
      </c>
      <c r="I20" s="119">
        <f t="shared" si="1"/>
        <v>0.13657510819145607</v>
      </c>
      <c r="J20" s="119">
        <v>0.13239085264704145</v>
      </c>
      <c r="K20" s="119">
        <f t="shared" si="4"/>
        <v>4.1842555444146223E-3</v>
      </c>
      <c r="L20" s="99"/>
    </row>
    <row r="21" spans="1:17" ht="18" customHeight="1">
      <c r="A21" s="107" t="s">
        <v>233</v>
      </c>
      <c r="B21" s="118">
        <f>SUM('（３）業績構成比'!AG9:AG39)/1000</f>
        <v>3844.0850999999998</v>
      </c>
      <c r="C21" s="119">
        <f t="shared" si="2"/>
        <v>3.0860042564669229E-2</v>
      </c>
      <c r="D21" s="119">
        <v>4.1820763573244983E-2</v>
      </c>
      <c r="E21" s="119">
        <f t="shared" ref="E21" si="5">IFERROR(C21-D21,"")</f>
        <v>-1.0960721008575754E-2</v>
      </c>
      <c r="G21" s="107" t="s">
        <v>239</v>
      </c>
      <c r="H21" s="118">
        <f>SUM('（４）訂單數量構成比'!AG9:AG39)</f>
        <v>67087</v>
      </c>
      <c r="I21" s="119">
        <f t="shared" ref="I21" si="6">IFERROR(H21/$B$7,"")</f>
        <v>1.6503502077236595E-2</v>
      </c>
      <c r="J21" s="119">
        <v>2.3374881348769562E-2</v>
      </c>
      <c r="K21" s="119">
        <f t="shared" ref="K21" si="7">IFERROR(I21-J21,"")</f>
        <v>-6.8713792715329666E-3</v>
      </c>
      <c r="L21" s="99"/>
    </row>
    <row r="22" spans="1:17" ht="18" customHeight="1">
      <c r="A22" s="107" t="s">
        <v>234</v>
      </c>
      <c r="B22" s="118">
        <f>SUM('（３）業績構成比'!AI9:AI39)/1000</f>
        <v>4747.4174299999995</v>
      </c>
      <c r="C22" s="119">
        <f t="shared" si="2"/>
        <v>3.8111930446610716E-2</v>
      </c>
      <c r="D22" s="119">
        <v>5.9874119024068459E-2</v>
      </c>
      <c r="E22" s="119">
        <f t="shared" si="3"/>
        <v>-2.1762188577457743E-2</v>
      </c>
      <c r="G22" s="107" t="s">
        <v>240</v>
      </c>
      <c r="H22" s="118">
        <f>SUM('（４）訂單數量構成比'!AI9:AI39)</f>
        <v>83975</v>
      </c>
      <c r="I22" s="119">
        <f t="shared" si="1"/>
        <v>2.0657975269962037E-2</v>
      </c>
      <c r="J22" s="119">
        <v>3.5279871930969722E-2</v>
      </c>
      <c r="K22" s="119">
        <f t="shared" si="4"/>
        <v>-1.4621896661007685E-2</v>
      </c>
      <c r="L22" s="99"/>
    </row>
    <row r="23" spans="1:17" ht="18" customHeight="1">
      <c r="A23" s="107" t="s">
        <v>236</v>
      </c>
      <c r="B23" s="118">
        <f>SUM('（３）業績構成比'!AK9:AK39)/1000</f>
        <v>4370.9318500000008</v>
      </c>
      <c r="C23" s="119">
        <f t="shared" si="2"/>
        <v>3.5089530910298643E-2</v>
      </c>
      <c r="D23" s="119">
        <v>3.4089394236754444E-2</v>
      </c>
      <c r="E23" s="119">
        <f t="shared" si="3"/>
        <v>1.0001366735441983E-3</v>
      </c>
      <c r="G23" s="107" t="s">
        <v>235</v>
      </c>
      <c r="H23" s="118">
        <f>SUM('（４）訂單數量構成比'!AK9:AK39)</f>
        <v>132871</v>
      </c>
      <c r="I23" s="119">
        <f t="shared" si="1"/>
        <v>3.2686464210718975E-2</v>
      </c>
      <c r="J23" s="119">
        <v>3.1222443829356787E-2</v>
      </c>
      <c r="K23" s="119">
        <f t="shared" si="4"/>
        <v>1.4640203813621883E-3</v>
      </c>
      <c r="L23" s="99"/>
    </row>
    <row r="24" spans="1:17" ht="15.75" customHeight="1">
      <c r="C24" s="113">
        <f>SUM(C15:C23)</f>
        <v>0.99999999999999978</v>
      </c>
      <c r="D24" s="113">
        <f t="shared" ref="D24" si="8">SUM(D15:D23)</f>
        <v>0.99999999999999978</v>
      </c>
      <c r="I24" s="113">
        <f t="shared" ref="I24:J24" si="9">SUM(I15:I23)</f>
        <v>1</v>
      </c>
      <c r="J24" s="113">
        <f t="shared" si="9"/>
        <v>0.99999999999999989</v>
      </c>
      <c r="L24" s="99"/>
    </row>
    <row r="25" spans="1:17" ht="9.65" customHeight="1">
      <c r="A25" s="114"/>
      <c r="L25" s="99"/>
    </row>
    <row r="26" spans="1:17" ht="15.75" customHeight="1">
      <c r="A26" s="111" t="s">
        <v>199</v>
      </c>
      <c r="L26" s="99"/>
    </row>
    <row r="27" spans="1:17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7" ht="18" customHeight="1">
      <c r="A28" s="107" t="s">
        <v>237</v>
      </c>
      <c r="B28" s="212">
        <f>'（５-1）品群別人時生產性(18℃-飯糰)'!C1</f>
        <v>768.29723629859404</v>
      </c>
      <c r="C28" s="212">
        <v>766.81397354204012</v>
      </c>
      <c r="D28" s="224">
        <f t="shared" ref="D28:D36" si="10">B28-C28</f>
        <v>1.4832627565539269</v>
      </c>
      <c r="E28" s="109"/>
      <c r="G28" s="124"/>
      <c r="H28" s="124"/>
      <c r="I28" s="124"/>
      <c r="J28" s="124"/>
      <c r="K28" s="124"/>
      <c r="L28" s="124"/>
      <c r="M28" s="124"/>
      <c r="N28" s="124"/>
      <c r="O28" s="124"/>
      <c r="P28" s="125"/>
      <c r="Q28" s="125"/>
    </row>
    <row r="29" spans="1:17" ht="18" customHeight="1">
      <c r="A29" s="107" t="s">
        <v>225</v>
      </c>
      <c r="B29" s="212">
        <f>'（５-2）品群別人時生產性(18℃-壽司手卷)'!C1</f>
        <v>273.68319940872118</v>
      </c>
      <c r="C29" s="212">
        <v>270.99529954112478</v>
      </c>
      <c r="D29" s="224">
        <f t="shared" si="10"/>
        <v>2.6878998675963999</v>
      </c>
      <c r="E29" s="109"/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'（５-3）品群別人時生產性(4℃-飯糰)'!C1</f>
        <v>257.8855306457184</v>
      </c>
      <c r="C30" s="212">
        <v>280.90267166606839</v>
      </c>
      <c r="D30" s="224">
        <f t="shared" si="10"/>
        <v>-23.017141020349982</v>
      </c>
      <c r="E30" s="109"/>
      <c r="L30" s="99"/>
    </row>
    <row r="31" spans="1:17" ht="18" customHeight="1">
      <c r="A31" s="107" t="s">
        <v>223</v>
      </c>
      <c r="B31" s="212">
        <f>'（５-4）品群別人時生產性(4℃-壽司手卷)'!C1</f>
        <v>484.08871486085974</v>
      </c>
      <c r="C31" s="212">
        <v>328.9549373911878</v>
      </c>
      <c r="D31" s="224">
        <f t="shared" si="10"/>
        <v>155.13377746967194</v>
      </c>
      <c r="E31" s="109"/>
      <c r="L31" s="99"/>
    </row>
    <row r="32" spans="1:17" ht="18" customHeight="1">
      <c r="A32" s="107" t="s">
        <v>227</v>
      </c>
      <c r="B32" s="212">
        <f>'（５-5）品群別人時生產性(微波主食) '!C1</f>
        <v>66.304811994917372</v>
      </c>
      <c r="C32" s="212">
        <v>82.868900876613267</v>
      </c>
      <c r="D32" s="224">
        <f t="shared" si="10"/>
        <v>-16.564088881695895</v>
      </c>
      <c r="E32" s="109"/>
      <c r="L32" s="99"/>
    </row>
    <row r="33" spans="1:5" s="99" customFormat="1" ht="18" customHeight="1">
      <c r="A33" s="107" t="s">
        <v>229</v>
      </c>
      <c r="B33" s="212">
        <f>'（５-6）品群別人時生產性(便當)'!C1</f>
        <v>78.447633756306374</v>
      </c>
      <c r="C33" s="212">
        <v>79.179968903406021</v>
      </c>
      <c r="D33" s="224">
        <f t="shared" si="10"/>
        <v>-0.73233514709964709</v>
      </c>
      <c r="E33" s="109"/>
    </row>
    <row r="34" spans="1:5" s="99" customFormat="1" ht="18" customHeight="1">
      <c r="A34" s="107" t="s">
        <v>239</v>
      </c>
      <c r="B34" s="212">
        <f>'（５-7）品群別人時生產性(熱食義麵) '!C1</f>
        <v>77.084750750706206</v>
      </c>
      <c r="C34" s="212">
        <v>78.419189698621381</v>
      </c>
      <c r="D34" s="224">
        <f t="shared" si="10"/>
        <v>-1.3344389479151744</v>
      </c>
      <c r="E34" s="109"/>
    </row>
    <row r="35" spans="1:5" s="99" customFormat="1" ht="18" customHeight="1">
      <c r="A35" s="107" t="s">
        <v>240</v>
      </c>
      <c r="B35" s="212">
        <f>'（５-8）品群別人時生產性(季節調理麵) '!C1</f>
        <v>111.82978875996693</v>
      </c>
      <c r="C35" s="212">
        <v>120.50216530170277</v>
      </c>
      <c r="D35" s="224">
        <f t="shared" si="10"/>
        <v>-8.6723765417358436</v>
      </c>
      <c r="E35" s="109"/>
    </row>
    <row r="36" spans="1:5" s="99" customFormat="1" ht="18" customHeight="1">
      <c r="A36" s="103" t="s">
        <v>235</v>
      </c>
      <c r="B36" s="212">
        <f>'（５-9）品群別人時生產性(微波小吃)'!C1</f>
        <v>76.091630725565281</v>
      </c>
      <c r="C36" s="212">
        <v>75.98663394269542</v>
      </c>
      <c r="D36" s="224">
        <f t="shared" si="10"/>
        <v>0.10499678286986125</v>
      </c>
      <c r="E36" s="103"/>
    </row>
    <row r="37" spans="1:5" s="99" customFormat="1" ht="15.75" customHeight="1"/>
    <row r="38" spans="1:5" s="99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11" sqref="B11:E11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453" t="s">
        <v>380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99"/>
    </row>
    <row r="2" spans="1:16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</row>
    <row r="3" spans="1:16" ht="21.65" customHeight="1">
      <c r="A3" s="115" t="s">
        <v>332</v>
      </c>
      <c r="B3" s="116">
        <v>1</v>
      </c>
      <c r="C3" s="159" t="s">
        <v>333</v>
      </c>
      <c r="D3" s="116" t="s">
        <v>737</v>
      </c>
      <c r="E3" s="115" t="s">
        <v>20</v>
      </c>
      <c r="F3" s="456" t="s">
        <v>379</v>
      </c>
      <c r="G3" s="457"/>
      <c r="H3" s="100"/>
      <c r="I3" s="110"/>
      <c r="J3" s="100"/>
      <c r="K3" s="100"/>
      <c r="M3" s="100"/>
      <c r="N3" s="100"/>
    </row>
    <row r="4" spans="1:16" ht="15.75" customHeight="1">
      <c r="A4" s="111" t="s">
        <v>423</v>
      </c>
      <c r="E4" s="102" t="s">
        <v>429</v>
      </c>
      <c r="G4" s="112" t="s">
        <v>71</v>
      </c>
      <c r="L4" s="99"/>
    </row>
    <row r="5" spans="1:16" s="104" customFormat="1" ht="15.75" customHeight="1">
      <c r="A5" s="123" t="s">
        <v>200</v>
      </c>
      <c r="B5" s="123" t="s">
        <v>335</v>
      </c>
      <c r="C5" s="123" t="s">
        <v>337</v>
      </c>
      <c r="D5" s="117" t="s">
        <v>2</v>
      </c>
      <c r="E5" s="117" t="s">
        <v>3</v>
      </c>
      <c r="G5" s="123" t="s">
        <v>200</v>
      </c>
      <c r="H5" s="117" t="s">
        <v>69</v>
      </c>
      <c r="I5" s="117" t="s">
        <v>334</v>
      </c>
      <c r="J5" s="117" t="s">
        <v>336</v>
      </c>
      <c r="K5" s="117" t="s">
        <v>3</v>
      </c>
      <c r="L5" s="105" t="s">
        <v>60</v>
      </c>
    </row>
    <row r="6" spans="1:16" ht="18" customHeight="1">
      <c r="A6" s="107" t="s">
        <v>24</v>
      </c>
      <c r="B6" s="118">
        <f>'（１）收支狀況'!G26/1000</f>
        <v>33925.347980000006</v>
      </c>
      <c r="C6" s="118">
        <v>33161.158969999997</v>
      </c>
      <c r="D6" s="118">
        <f>B6-C6</f>
        <v>764.18901000000915</v>
      </c>
      <c r="E6" s="218">
        <f>'（１）收支狀況'!H7:H7/1000</f>
        <v>124565.12631000004</v>
      </c>
      <c r="G6" s="219" t="s">
        <v>425</v>
      </c>
      <c r="H6" s="220"/>
      <c r="I6" s="220">
        <f>'（２）ＫＰＩ達成進度'!G26</f>
        <v>466.53937938400276</v>
      </c>
      <c r="J6" s="220">
        <v>463.69602499469926</v>
      </c>
      <c r="K6" s="220">
        <f>'（２）ＫＰＩ達成進度'!H7</f>
        <v>455.63186298713816</v>
      </c>
      <c r="L6" s="101" t="s">
        <v>197</v>
      </c>
    </row>
    <row r="7" spans="1:16" ht="18" customHeight="1">
      <c r="A7" s="107" t="s">
        <v>25</v>
      </c>
      <c r="B7" s="118">
        <f>'（１）收支狀況'!J26</f>
        <v>1096366</v>
      </c>
      <c r="C7" s="118">
        <v>1095713</v>
      </c>
      <c r="D7" s="118">
        <f t="shared" ref="D7:D11" si="0">B7-C7</f>
        <v>653</v>
      </c>
      <c r="E7" s="218">
        <f>'（１）收支狀況'!K7:K7</f>
        <v>4065016</v>
      </c>
      <c r="G7" s="219" t="s">
        <v>426</v>
      </c>
      <c r="H7" s="221">
        <v>0.8</v>
      </c>
      <c r="I7" s="119">
        <f>'（２）ＫＰＩ達成進度'!J26</f>
        <v>0.93757913863344611</v>
      </c>
      <c r="J7" s="119">
        <v>0.9318650019989938</v>
      </c>
      <c r="K7" s="221">
        <f>'（２）ＫＰＩ達成進度'!K7</f>
        <v>0.91565888863974698</v>
      </c>
      <c r="L7" s="101" t="s">
        <v>4</v>
      </c>
    </row>
    <row r="8" spans="1:16" ht="18" customHeight="1">
      <c r="A8" s="107" t="s">
        <v>424</v>
      </c>
      <c r="B8" s="118">
        <f>'（１）收支狀況'!M26/1000</f>
        <v>22388.796584812582</v>
      </c>
      <c r="C8" s="118">
        <v>21779.478791194644</v>
      </c>
      <c r="D8" s="118">
        <f>B8-C8</f>
        <v>609.31779361793815</v>
      </c>
      <c r="E8" s="218">
        <f>'（１）收支狀況'!N7:N7/1000</f>
        <v>82084.889273670546</v>
      </c>
      <c r="G8" s="219" t="s">
        <v>203</v>
      </c>
      <c r="H8" s="119">
        <v>2.5000000000000001E-3</v>
      </c>
      <c r="I8" s="222">
        <f>'（２）ＫＰＩ達成進度'!M26</f>
        <v>2.4189722393388362E-3</v>
      </c>
      <c r="J8" s="222">
        <v>2.411799722941318E-3</v>
      </c>
      <c r="K8" s="222">
        <f>'（２）ＫＰＩ達成進度'!N7</f>
        <v>2.4146726238002958E-3</v>
      </c>
      <c r="L8" s="101" t="s">
        <v>55</v>
      </c>
    </row>
    <row r="9" spans="1:16" ht="18" customHeight="1">
      <c r="A9" s="107" t="s">
        <v>6</v>
      </c>
      <c r="B9" s="221">
        <f>'（１）收支狀況'!P26</f>
        <v>0.65994301953841239</v>
      </c>
      <c r="C9" s="221">
        <v>0.65677676738916002</v>
      </c>
      <c r="D9" s="221">
        <f t="shared" si="0"/>
        <v>3.1662521492523688E-3</v>
      </c>
      <c r="E9" s="221">
        <f>'（１）收支狀況'!Q7</f>
        <v>0.65897166972230492</v>
      </c>
      <c r="G9" s="219" t="s">
        <v>204</v>
      </c>
      <c r="H9" s="119">
        <v>4.0000000000000001E-3</v>
      </c>
      <c r="I9" s="119">
        <f>'（２）ＫＰＩ達成進度'!P26</f>
        <v>5.6500089613637072E-3</v>
      </c>
      <c r="J9" s="119">
        <v>5.5709665307977609E-3</v>
      </c>
      <c r="K9" s="119">
        <f>'（２）ＫＰＩ達成進度'!Q7</f>
        <v>5.6219257769644518E-3</v>
      </c>
      <c r="L9" s="101" t="s">
        <v>98</v>
      </c>
    </row>
    <row r="10" spans="1:16" ht="18" customHeight="1">
      <c r="A10" s="107" t="s">
        <v>64</v>
      </c>
      <c r="B10" s="118">
        <f>'（１）收支狀況'!S26/1000</f>
        <v>5364.2808299999997</v>
      </c>
      <c r="C10" s="118">
        <v>5508.0302280000005</v>
      </c>
      <c r="D10" s="118">
        <f t="shared" si="0"/>
        <v>-143.74939800000084</v>
      </c>
      <c r="E10" s="218">
        <f>'（１）收支狀況'!T7/1000</f>
        <v>20360.681639999999</v>
      </c>
      <c r="G10" s="219" t="s">
        <v>427</v>
      </c>
      <c r="H10" s="221">
        <v>0.8</v>
      </c>
      <c r="I10" s="221">
        <f>'（２）ＫＰＩ達成進度'!S26</f>
        <v>0.90000000000000013</v>
      </c>
      <c r="J10" s="221">
        <v>0.90000000000000013</v>
      </c>
      <c r="K10" s="221">
        <f>'（２）ＫＰＩ達成進度'!T7</f>
        <v>0.89999999999999969</v>
      </c>
      <c r="L10" s="101" t="s">
        <v>7</v>
      </c>
      <c r="M10" s="324"/>
      <c r="N10" s="324"/>
      <c r="O10" s="324"/>
      <c r="P10" s="324"/>
    </row>
    <row r="11" spans="1:16" ht="18" customHeight="1">
      <c r="A11" s="107" t="s">
        <v>65</v>
      </c>
      <c r="B11" s="221">
        <f>'（１）收支狀況'!V26</f>
        <v>0.15812014170532318</v>
      </c>
      <c r="C11" s="221">
        <v>0.16609884573042114</v>
      </c>
      <c r="D11" s="221">
        <f t="shared" si="0"/>
        <v>-7.9787040250979546E-3</v>
      </c>
      <c r="E11" s="221">
        <f>'（１）收支狀況'!W7</f>
        <v>0.16345410824960127</v>
      </c>
      <c r="G11" s="219" t="s">
        <v>428</v>
      </c>
      <c r="H11" s="221">
        <v>1</v>
      </c>
      <c r="I11" s="321">
        <f>4/52*100%</f>
        <v>7.6923076923076927E-2</v>
      </c>
      <c r="J11" s="321">
        <v>5.7692307692307696E-2</v>
      </c>
      <c r="K11" s="321">
        <f>'（２）ＫＰＩ達成進度'!W7</f>
        <v>5.0295857988165674E-2</v>
      </c>
      <c r="L11" s="101" t="s">
        <v>62</v>
      </c>
      <c r="M11" s="325"/>
      <c r="N11" s="325"/>
      <c r="O11" s="325"/>
      <c r="P11" s="325"/>
    </row>
    <row r="12" spans="1:16" ht="9.65" customHeight="1">
      <c r="L12" s="99"/>
    </row>
    <row r="13" spans="1:16" ht="15.75" customHeight="1">
      <c r="A13" s="111" t="s">
        <v>32</v>
      </c>
      <c r="E13" s="323" t="s">
        <v>23</v>
      </c>
      <c r="G13" s="111" t="s">
        <v>33</v>
      </c>
      <c r="K13" s="323" t="s">
        <v>460</v>
      </c>
      <c r="L13" s="99"/>
    </row>
    <row r="14" spans="1:16" s="106" customFormat="1" ht="13.5">
      <c r="A14" s="122"/>
      <c r="B14" s="160" t="s">
        <v>335</v>
      </c>
      <c r="C14" s="122" t="s">
        <v>66</v>
      </c>
      <c r="D14" s="160" t="s">
        <v>338</v>
      </c>
      <c r="E14" s="122" t="s">
        <v>68</v>
      </c>
      <c r="G14" s="122"/>
      <c r="H14" s="160" t="s">
        <v>335</v>
      </c>
      <c r="I14" s="122" t="s">
        <v>66</v>
      </c>
      <c r="J14" s="160" t="s">
        <v>338</v>
      </c>
      <c r="K14" s="122" t="s">
        <v>68</v>
      </c>
    </row>
    <row r="15" spans="1:16" ht="18" customHeight="1">
      <c r="A15" s="107" t="s">
        <v>400</v>
      </c>
      <c r="B15" s="118">
        <f>SUM('（３）業績構成比'!M28:M34)/1000</f>
        <v>12392.824349999999</v>
      </c>
      <c r="C15" s="221">
        <f>IFERROR(B15/$B$6,"")</f>
        <v>0.36529689709611629</v>
      </c>
      <c r="D15" s="221">
        <v>0.37091571320313238</v>
      </c>
      <c r="E15" s="221">
        <f>IFERROR(C15-D15,"")</f>
        <v>-5.6188161070160891E-3</v>
      </c>
      <c r="G15" s="107" t="s">
        <v>401</v>
      </c>
      <c r="H15" s="118">
        <f>SUM('（４）訂單數量構成比'!M28:M34)</f>
        <v>646222</v>
      </c>
      <c r="I15" s="221">
        <f>IFERROR(H15/$B$7,"")</f>
        <v>0.58942178068272821</v>
      </c>
      <c r="J15" s="221">
        <v>0.5940186892005479</v>
      </c>
      <c r="K15" s="221">
        <f t="shared" ref="K15:K23" si="1">IFERROR(I15-J15,"")</f>
        <v>-4.5969085178196867E-3</v>
      </c>
      <c r="L15" s="99"/>
    </row>
    <row r="16" spans="1:16" ht="18" customHeight="1">
      <c r="A16" s="107" t="s">
        <v>226</v>
      </c>
      <c r="B16" s="118">
        <f>SUM('（３）業績構成比'!S28:S34)/1000</f>
        <v>2205.2100299999997</v>
      </c>
      <c r="C16" s="221">
        <f t="shared" ref="C16:C23" si="2">IFERROR(B16/$B$6,"")</f>
        <v>6.5001839665728298E-2</v>
      </c>
      <c r="D16" s="221">
        <v>6.893566663541735E-2</v>
      </c>
      <c r="E16" s="221">
        <f t="shared" ref="E16:E23" si="3">IFERROR(C16-D16,"")</f>
        <v>-3.9338269696890527E-3</v>
      </c>
      <c r="G16" s="107" t="s">
        <v>261</v>
      </c>
      <c r="H16" s="118">
        <f>SUM('（４）訂單數量構成比'!S28:S34)</f>
        <v>84818</v>
      </c>
      <c r="I16" s="221">
        <f>IFERROR(H16/$B$7,"")</f>
        <v>7.736285145653915E-2</v>
      </c>
      <c r="J16" s="221">
        <v>7.9900484889747589E-2</v>
      </c>
      <c r="K16" s="221">
        <f t="shared" si="1"/>
        <v>-2.5376334332084388E-3</v>
      </c>
      <c r="L16" s="99"/>
    </row>
    <row r="17" spans="1:17" ht="18" customHeight="1">
      <c r="A17" s="107" t="s">
        <v>222</v>
      </c>
      <c r="B17" s="118">
        <f>SUM('（３）業績構成比'!U28:U34)/1000</f>
        <v>700.77609999999981</v>
      </c>
      <c r="C17" s="221">
        <f t="shared" si="2"/>
        <v>2.0656415975839896E-2</v>
      </c>
      <c r="D17" s="221">
        <v>2.2900897423007046E-2</v>
      </c>
      <c r="E17" s="221">
        <f t="shared" si="3"/>
        <v>-2.2444814471671501E-3</v>
      </c>
      <c r="G17" s="107" t="s">
        <v>238</v>
      </c>
      <c r="H17" s="118">
        <f>SUM('（４）訂單數量構成比'!U28:U34)</f>
        <v>25204</v>
      </c>
      <c r="I17" s="221">
        <f t="shared" ref="I17:I23" si="4">IFERROR(H17/$B$7,"")</f>
        <v>2.2988673490421996E-2</v>
      </c>
      <c r="J17" s="221">
        <v>2.5072258885310297E-2</v>
      </c>
      <c r="K17" s="221">
        <f t="shared" si="1"/>
        <v>-2.0835853948883015E-3</v>
      </c>
      <c r="L17" s="99"/>
    </row>
    <row r="18" spans="1:17" ht="18" customHeight="1">
      <c r="A18" s="107" t="s">
        <v>224</v>
      </c>
      <c r="B18" s="118">
        <f>SUM('（３）業績構成比'!W28:W34)/1000</f>
        <v>313.21195</v>
      </c>
      <c r="C18" s="221">
        <f t="shared" si="2"/>
        <v>9.2323872458035718E-3</v>
      </c>
      <c r="D18" s="221">
        <v>1.1511346764006062E-2</v>
      </c>
      <c r="E18" s="221">
        <f t="shared" si="3"/>
        <v>-2.2789595182024901E-3</v>
      </c>
      <c r="G18" s="107" t="s">
        <v>223</v>
      </c>
      <c r="H18" s="118">
        <f>SUM('（４）訂單數量構成比'!W28:W34)</f>
        <v>11579</v>
      </c>
      <c r="I18" s="221">
        <f t="shared" si="4"/>
        <v>1.0561254179717356E-2</v>
      </c>
      <c r="J18" s="221">
        <v>1.2879284995249669E-2</v>
      </c>
      <c r="K18" s="221">
        <f t="shared" si="1"/>
        <v>-2.3180308155323123E-3</v>
      </c>
      <c r="L18" s="99"/>
    </row>
    <row r="19" spans="1:17" ht="18" customHeight="1">
      <c r="A19" s="107" t="s">
        <v>228</v>
      </c>
      <c r="B19" s="118">
        <f>SUM('（３）業績構成比'!AC28:AC34)/1000</f>
        <v>4980.5290200000009</v>
      </c>
      <c r="C19" s="221">
        <f t="shared" si="2"/>
        <v>0.14680848735689225</v>
      </c>
      <c r="D19" s="221">
        <v>0.16107250457778557</v>
      </c>
      <c r="E19" s="221">
        <f t="shared" si="3"/>
        <v>-1.4264017220893321E-2</v>
      </c>
      <c r="G19" s="107" t="s">
        <v>227</v>
      </c>
      <c r="H19" s="118">
        <f>SUM('（４）訂單數量構成比'!AC28:AC34)</f>
        <v>89863</v>
      </c>
      <c r="I19" s="221">
        <f t="shared" si="4"/>
        <v>8.1964416992135844E-2</v>
      </c>
      <c r="J19" s="221">
        <v>8.7874288248838889E-2</v>
      </c>
      <c r="K19" s="221">
        <f t="shared" si="1"/>
        <v>-5.9098712567030448E-3</v>
      </c>
      <c r="L19" s="99"/>
    </row>
    <row r="20" spans="1:17" ht="18" customHeight="1">
      <c r="A20" s="107" t="s">
        <v>230</v>
      </c>
      <c r="B20" s="118">
        <f>SUM('（３）業績構成比'!AE28:AE34)/1000</f>
        <v>9446.4541699999991</v>
      </c>
      <c r="C20" s="221">
        <f t="shared" si="2"/>
        <v>0.27844826162340214</v>
      </c>
      <c r="D20" s="221">
        <v>0.26471904700139021</v>
      </c>
      <c r="E20" s="221">
        <f t="shared" si="3"/>
        <v>1.3729214622011932E-2</v>
      </c>
      <c r="G20" s="107" t="s">
        <v>229</v>
      </c>
      <c r="H20" s="118">
        <f>SUM('（４）訂單數量構成比'!AE28:AE34)</f>
        <v>155708</v>
      </c>
      <c r="I20" s="221">
        <f t="shared" si="4"/>
        <v>0.14202191603898698</v>
      </c>
      <c r="J20" s="221">
        <v>0.13280941268379584</v>
      </c>
      <c r="K20" s="221">
        <f t="shared" si="1"/>
        <v>9.2125033551911373E-3</v>
      </c>
      <c r="L20" s="99"/>
    </row>
    <row r="21" spans="1:17" ht="18" customHeight="1">
      <c r="A21" s="107" t="s">
        <v>233</v>
      </c>
      <c r="B21" s="118">
        <f>SUM('（３）業績構成比'!AG28:AG34)/1000</f>
        <v>614.42789999999991</v>
      </c>
      <c r="C21" s="221">
        <f t="shared" si="2"/>
        <v>1.8111174581384493E-2</v>
      </c>
      <c r="D21" s="221">
        <v>3.2623226497562913E-2</v>
      </c>
      <c r="E21" s="221">
        <f t="shared" si="3"/>
        <v>-1.4512051916178419E-2</v>
      </c>
      <c r="G21" s="107" t="s">
        <v>239</v>
      </c>
      <c r="H21" s="118">
        <f>SUM('（４）訂單數量構成比'!AG28:AG34)</f>
        <v>10723</v>
      </c>
      <c r="I21" s="221">
        <f t="shared" si="4"/>
        <v>9.7804930105457478E-3</v>
      </c>
      <c r="J21" s="221">
        <v>1.7230789449426995E-2</v>
      </c>
      <c r="K21" s="221">
        <f t="shared" si="1"/>
        <v>-7.4502964388812477E-3</v>
      </c>
      <c r="L21" s="99"/>
    </row>
    <row r="22" spans="1:17" ht="18" customHeight="1">
      <c r="A22" s="107" t="s">
        <v>234</v>
      </c>
      <c r="B22" s="118">
        <f>SUM('（３）業績構成比'!AI28:AI34)/1000</f>
        <v>2092.10619</v>
      </c>
      <c r="C22" s="221">
        <f t="shared" si="2"/>
        <v>6.1667936058706262E-2</v>
      </c>
      <c r="D22" s="221">
        <v>3.3659540096586685E-2</v>
      </c>
      <c r="E22" s="221">
        <f t="shared" si="3"/>
        <v>2.8008395962119577E-2</v>
      </c>
      <c r="G22" s="107" t="s">
        <v>240</v>
      </c>
      <c r="H22" s="118">
        <f>SUM('（４）訂單數量構成比'!AI28:AI34)</f>
        <v>37184</v>
      </c>
      <c r="I22" s="221">
        <f t="shared" si="4"/>
        <v>3.3915681442146142E-2</v>
      </c>
      <c r="J22" s="221">
        <v>1.834787029085171E-2</v>
      </c>
      <c r="K22" s="221">
        <f t="shared" si="1"/>
        <v>1.5567811151294433E-2</v>
      </c>
      <c r="L22" s="99"/>
    </row>
    <row r="23" spans="1:17" ht="18" customHeight="1">
      <c r="A23" s="107" t="s">
        <v>236</v>
      </c>
      <c r="B23" s="118">
        <f>SUM('（３）業績構成比'!AK28:AK34)/1000</f>
        <v>1179.80827</v>
      </c>
      <c r="C23" s="221">
        <f t="shared" si="2"/>
        <v>3.4776600396126574E-2</v>
      </c>
      <c r="D23" s="221">
        <v>3.3662057801111887E-2</v>
      </c>
      <c r="E23" s="221">
        <f t="shared" si="3"/>
        <v>1.1145425950146864E-3</v>
      </c>
      <c r="G23" s="107" t="s">
        <v>235</v>
      </c>
      <c r="H23" s="118">
        <f>SUM('（４）訂單數量構成比'!AK28:AK34)</f>
        <v>35065</v>
      </c>
      <c r="I23" s="221">
        <f t="shared" si="4"/>
        <v>3.1982932706778579E-2</v>
      </c>
      <c r="J23" s="221">
        <v>3.1866921356231058E-2</v>
      </c>
      <c r="K23" s="221">
        <f t="shared" si="1"/>
        <v>1.1601135054752076E-4</v>
      </c>
      <c r="L23" s="99"/>
    </row>
    <row r="24" spans="1:17" ht="15.75" customHeight="1">
      <c r="B24" s="102"/>
      <c r="C24" s="113">
        <f>SUM(C15:C23)</f>
        <v>0.99999999999999967</v>
      </c>
      <c r="D24" s="113">
        <f>SUM(D15:D23)</f>
        <v>1</v>
      </c>
      <c r="I24" s="113">
        <f>SUM(I15:I23)</f>
        <v>1</v>
      </c>
      <c r="J24" s="113">
        <f>SUM(J15:J23)</f>
        <v>1</v>
      </c>
      <c r="L24" s="99"/>
    </row>
    <row r="25" spans="1:17" ht="9.65" customHeight="1">
      <c r="A25" s="114"/>
      <c r="L25" s="99"/>
    </row>
    <row r="26" spans="1:17" ht="15.75" customHeight="1">
      <c r="A26" s="111" t="s">
        <v>441</v>
      </c>
      <c r="L26" s="99"/>
    </row>
    <row r="27" spans="1:17" ht="15.75" customHeight="1">
      <c r="A27" s="107" t="s">
        <v>190</v>
      </c>
      <c r="B27" s="161" t="s">
        <v>335</v>
      </c>
      <c r="C27" s="161" t="s">
        <v>337</v>
      </c>
      <c r="D27" s="107" t="s">
        <v>2</v>
      </c>
      <c r="E27" s="107" t="s">
        <v>3</v>
      </c>
      <c r="L27" s="99"/>
    </row>
    <row r="28" spans="1:17" ht="18" customHeight="1">
      <c r="A28" s="107" t="s">
        <v>401</v>
      </c>
      <c r="B28" s="212">
        <f>'（５-1）品群別人時生產性(18℃-飯糰)'!L121</f>
        <v>761.81357532502375</v>
      </c>
      <c r="C28" s="212">
        <v>766.73953490359474</v>
      </c>
      <c r="D28" s="223">
        <f>B28-C28</f>
        <v>-4.9259595785709962</v>
      </c>
      <c r="E28" s="224">
        <f>'（５-1）品群別人時生產性(18℃-飯糰)'!C1</f>
        <v>768.29723629859404</v>
      </c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</row>
    <row r="29" spans="1:17" ht="18" customHeight="1">
      <c r="A29" s="107" t="s">
        <v>225</v>
      </c>
      <c r="B29" s="212">
        <f>'（５-2）品群別人時生產性(18℃-壽司手卷)'!L67</f>
        <v>289.20847842663932</v>
      </c>
      <c r="C29" s="212">
        <v>288.95732638271312</v>
      </c>
      <c r="D29" s="223">
        <f>B29-C29</f>
        <v>0.25115204392619717</v>
      </c>
      <c r="E29" s="224">
        <f>'（５-2）品群別人時生產性(18℃-壽司手卷)'!C1</f>
        <v>273.68319940872118</v>
      </c>
      <c r="G29" s="126"/>
      <c r="H29" s="126"/>
      <c r="I29" s="127"/>
      <c r="J29" s="1"/>
      <c r="K29" s="128"/>
      <c r="L29" s="67"/>
      <c r="M29" s="66"/>
      <c r="N29" s="67"/>
      <c r="O29" s="67"/>
      <c r="P29" s="67"/>
      <c r="Q29" s="67"/>
    </row>
    <row r="30" spans="1:17" ht="18" customHeight="1">
      <c r="A30" s="107" t="s">
        <v>238</v>
      </c>
      <c r="B30" s="212">
        <f>'（５-3）品群別人時生產性(4℃-飯糰)'!L67</f>
        <v>257.79937715808774</v>
      </c>
      <c r="C30" s="212">
        <v>257.84824819555746</v>
      </c>
      <c r="D30" s="223">
        <f t="shared" ref="D30:D36" si="5">B30-C30</f>
        <v>-4.8871037469723433E-2</v>
      </c>
      <c r="E30" s="224">
        <f>'（５-3）品群別人時生產性(4℃-飯糰)'!C1</f>
        <v>257.8855306457184</v>
      </c>
      <c r="L30" s="99"/>
    </row>
    <row r="31" spans="1:17" ht="18" customHeight="1">
      <c r="A31" s="107" t="s">
        <v>223</v>
      </c>
      <c r="B31" s="212">
        <f>'（５-4）品群別人時生產性(4℃-壽司手卷)'!L67</f>
        <v>491.07965151484871</v>
      </c>
      <c r="C31" s="212">
        <v>491.07408459016546</v>
      </c>
      <c r="D31" s="223">
        <f>B31-C31</f>
        <v>5.5669246832508179E-3</v>
      </c>
      <c r="E31" s="224">
        <f>'（５-4）品群別人時生產性(4℃-壽司手卷)'!C1</f>
        <v>484.08871486085974</v>
      </c>
      <c r="L31" s="99"/>
    </row>
    <row r="32" spans="1:17" ht="18" customHeight="1">
      <c r="A32" s="107" t="s">
        <v>228</v>
      </c>
      <c r="B32" s="212">
        <f>'（５-5）品群別人時生產性(微波主食) '!L67</f>
        <v>81.69263065085228</v>
      </c>
      <c r="C32" s="212">
        <v>81.638929514053288</v>
      </c>
      <c r="D32" s="223">
        <f t="shared" si="5"/>
        <v>5.3701136798991911E-2</v>
      </c>
      <c r="E32" s="224">
        <f>'（５-5）品群別人時生產性(微波主食) '!C1</f>
        <v>66.304811994917372</v>
      </c>
      <c r="L32" s="99"/>
    </row>
    <row r="33" spans="1:12" ht="18" customHeight="1">
      <c r="A33" s="107" t="s">
        <v>229</v>
      </c>
      <c r="B33" s="212">
        <f>'（５-6）品群別人時生產性(便當)'!L67</f>
        <v>77.332946152942256</v>
      </c>
      <c r="C33" s="212">
        <v>78.073512695363803</v>
      </c>
      <c r="D33" s="223">
        <f t="shared" si="5"/>
        <v>-0.74056654242154707</v>
      </c>
      <c r="E33" s="224">
        <f>'（５-6）品群別人時生產性(便當)'!C1</f>
        <v>78.447633756306374</v>
      </c>
      <c r="L33" s="99"/>
    </row>
    <row r="34" spans="1:12" ht="18" customHeight="1">
      <c r="A34" s="107" t="s">
        <v>239</v>
      </c>
      <c r="B34" s="212">
        <f>'（５-7）品群別人時生產性(熱食義麵) '!L67</f>
        <v>72.724655262611222</v>
      </c>
      <c r="C34" s="212">
        <v>78.618786021690852</v>
      </c>
      <c r="D34" s="223">
        <f t="shared" si="5"/>
        <v>-5.8941307590796299</v>
      </c>
      <c r="E34" s="224">
        <f>'（５-7）品群別人時生產性(熱食義麵) '!C1</f>
        <v>77.084750750706206</v>
      </c>
      <c r="L34" s="99"/>
    </row>
    <row r="35" spans="1:12" ht="18" customHeight="1">
      <c r="A35" s="107" t="s">
        <v>240</v>
      </c>
      <c r="B35" s="212">
        <f>'（５-8）品群別人時生產性(季節調理麵) '!L67</f>
        <v>105.82455968563619</v>
      </c>
      <c r="C35" s="212">
        <v>114.01377977852071</v>
      </c>
      <c r="D35" s="223">
        <f t="shared" si="5"/>
        <v>-8.1892200928845256</v>
      </c>
      <c r="E35" s="224">
        <f>'（５-8）品群別人時生產性(季節調理麵) '!C1</f>
        <v>111.82978875996693</v>
      </c>
      <c r="L35" s="99"/>
    </row>
    <row r="36" spans="1:12" ht="18" customHeight="1">
      <c r="A36" s="103" t="s">
        <v>235</v>
      </c>
      <c r="B36" s="212">
        <f>'（５-9）品群別人時生產性(微波小吃)'!L67</f>
        <v>76.183774483873847</v>
      </c>
      <c r="C36" s="212">
        <v>76.118816986580583</v>
      </c>
      <c r="D36" s="223">
        <f t="shared" si="5"/>
        <v>6.4957497293264055E-2</v>
      </c>
      <c r="E36" s="225">
        <f>'（５-9）品群別人時生產性(微波小吃)'!C1</f>
        <v>76.091630725565281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65"/>
  <sheetViews>
    <sheetView topLeftCell="M13" zoomScale="70" zoomScaleNormal="70" workbookViewId="0">
      <selection activeCell="W7" sqref="W7:W37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463" t="s">
        <v>126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</row>
    <row r="3" spans="2:23" s="77" customFormat="1" ht="23.5" customHeight="1">
      <c r="B3" s="467" t="s">
        <v>122</v>
      </c>
      <c r="C3" s="468" t="s">
        <v>119</v>
      </c>
      <c r="D3" s="469" t="s">
        <v>105</v>
      </c>
      <c r="E3" s="469"/>
      <c r="F3" s="466" t="s">
        <v>123</v>
      </c>
      <c r="G3" s="466"/>
      <c r="H3" s="466"/>
      <c r="I3" s="464" t="s">
        <v>124</v>
      </c>
      <c r="J3" s="464"/>
      <c r="K3" s="464"/>
      <c r="L3" s="465" t="s">
        <v>125</v>
      </c>
      <c r="M3" s="465"/>
      <c r="N3" s="465"/>
      <c r="O3" s="462" t="s">
        <v>127</v>
      </c>
      <c r="P3" s="462"/>
      <c r="Q3" s="462"/>
      <c r="R3" s="470" t="s">
        <v>128</v>
      </c>
      <c r="S3" s="470"/>
      <c r="T3" s="470"/>
      <c r="U3" s="462" t="s">
        <v>129</v>
      </c>
      <c r="V3" s="462"/>
      <c r="W3" s="462"/>
    </row>
    <row r="4" spans="2:23" s="77" customFormat="1" ht="23.5" customHeight="1">
      <c r="B4" s="467"/>
      <c r="C4" s="468"/>
      <c r="D4" s="469"/>
      <c r="E4" s="469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458">
        <v>46029</v>
      </c>
      <c r="C5" s="71"/>
      <c r="D5" s="80">
        <v>46021</v>
      </c>
      <c r="E5" s="80" t="s">
        <v>118</v>
      </c>
      <c r="F5" s="166">
        <v>4991542.16</v>
      </c>
      <c r="G5" s="460">
        <f>SUM(F5:F11)</f>
        <v>32267366.500000004</v>
      </c>
      <c r="H5" s="460"/>
      <c r="I5" s="216">
        <v>160010</v>
      </c>
      <c r="J5" s="461">
        <f t="shared" ref="J5" si="0">SUM(I5:I11)</f>
        <v>1040875</v>
      </c>
      <c r="K5" s="460"/>
      <c r="L5" s="166">
        <v>3281758.8630086603</v>
      </c>
      <c r="M5" s="460">
        <f t="shared" ref="M5" si="1">SUM(L5:L11)</f>
        <v>21329815.265058763</v>
      </c>
      <c r="N5" s="460"/>
      <c r="O5" s="156">
        <f t="shared" ref="O5:O11" si="2">L5/F5</f>
        <v>0.65746391752577327</v>
      </c>
      <c r="P5" s="472">
        <f>M5/G5</f>
        <v>0.66103365656006541</v>
      </c>
      <c r="Q5" s="472"/>
      <c r="R5" s="167">
        <v>770189.23199999996</v>
      </c>
      <c r="S5" s="473">
        <f t="shared" ref="S5" si="3">SUM(R5:R11)</f>
        <v>5432548.5719999997</v>
      </c>
      <c r="T5" s="460"/>
      <c r="U5" s="156">
        <f t="shared" ref="U5:U8" si="4">R5/F5</f>
        <v>0.15429885340285293</v>
      </c>
      <c r="V5" s="472">
        <f>S5/G5</f>
        <v>0.16836045705806202</v>
      </c>
      <c r="W5" s="460"/>
    </row>
    <row r="6" spans="2:23">
      <c r="B6" s="459"/>
      <c r="C6" s="71"/>
      <c r="D6" s="80">
        <f t="shared" ref="D6:D46" si="5">D5+1</f>
        <v>46022</v>
      </c>
      <c r="E6" s="80" t="s">
        <v>112</v>
      </c>
      <c r="F6" s="166">
        <v>3992684.87</v>
      </c>
      <c r="G6" s="460"/>
      <c r="H6" s="460"/>
      <c r="I6" s="216">
        <v>129015</v>
      </c>
      <c r="J6" s="461"/>
      <c r="K6" s="460"/>
      <c r="L6" s="166">
        <v>2620930.0661070105</v>
      </c>
      <c r="M6" s="460"/>
      <c r="N6" s="460"/>
      <c r="O6" s="156">
        <f t="shared" si="2"/>
        <v>0.65643298969072172</v>
      </c>
      <c r="P6" s="472"/>
      <c r="Q6" s="472"/>
      <c r="R6" s="167">
        <v>763301.32</v>
      </c>
      <c r="S6" s="473"/>
      <c r="T6" s="460"/>
      <c r="U6" s="156">
        <f t="shared" si="4"/>
        <v>0.19117494739824031</v>
      </c>
      <c r="V6" s="472"/>
      <c r="W6" s="460"/>
    </row>
    <row r="7" spans="2:23">
      <c r="B7" s="459"/>
      <c r="C7" s="471" t="s">
        <v>117</v>
      </c>
      <c r="D7" s="80">
        <f t="shared" si="5"/>
        <v>46023</v>
      </c>
      <c r="E7" s="80" t="s">
        <v>113</v>
      </c>
      <c r="F7" s="166">
        <v>4613445.45</v>
      </c>
      <c r="G7" s="460"/>
      <c r="H7" s="460">
        <f>SUM(F7:F37)</f>
        <v>124565126.31000003</v>
      </c>
      <c r="I7" s="216">
        <v>149358</v>
      </c>
      <c r="J7" s="461"/>
      <c r="K7" s="460">
        <f>SUM(I7:I37)</f>
        <v>4065016</v>
      </c>
      <c r="L7" s="166">
        <v>3122113.537317527</v>
      </c>
      <c r="M7" s="460"/>
      <c r="N7" s="460">
        <f>SUM(L7:L37)</f>
        <v>82084889.273670539</v>
      </c>
      <c r="O7" s="156">
        <f t="shared" si="2"/>
        <v>0.67674226804123738</v>
      </c>
      <c r="P7" s="472"/>
      <c r="Q7" s="895">
        <f>N7/H7</f>
        <v>0.65897166972230492</v>
      </c>
      <c r="R7" s="167">
        <v>779524.35800000001</v>
      </c>
      <c r="S7" s="473"/>
      <c r="T7" s="460">
        <f>SUM(R7:R37)</f>
        <v>20360681.640000001</v>
      </c>
      <c r="U7" s="156">
        <f t="shared" si="4"/>
        <v>0.16896793653428804</v>
      </c>
      <c r="V7" s="472"/>
      <c r="W7" s="895">
        <f>T7/H7</f>
        <v>0.16345410824960127</v>
      </c>
    </row>
    <row r="8" spans="2:23">
      <c r="B8" s="459"/>
      <c r="C8" s="471"/>
      <c r="D8" s="80">
        <f t="shared" si="5"/>
        <v>46024</v>
      </c>
      <c r="E8" s="80" t="s">
        <v>114</v>
      </c>
      <c r="F8" s="166">
        <v>3838107.8</v>
      </c>
      <c r="G8" s="460"/>
      <c r="H8" s="460"/>
      <c r="I8" s="216">
        <v>127084</v>
      </c>
      <c r="J8" s="461"/>
      <c r="K8" s="460"/>
      <c r="L8" s="166">
        <v>2500863.5607340205</v>
      </c>
      <c r="M8" s="460"/>
      <c r="N8" s="460"/>
      <c r="O8" s="156">
        <f t="shared" si="2"/>
        <v>0.65158762886597943</v>
      </c>
      <c r="P8" s="472"/>
      <c r="Q8" s="895"/>
      <c r="R8" s="167">
        <v>719210.93400000001</v>
      </c>
      <c r="S8" s="473"/>
      <c r="T8" s="460"/>
      <c r="U8" s="156">
        <f t="shared" si="4"/>
        <v>0.18738685088522006</v>
      </c>
      <c r="V8" s="472"/>
      <c r="W8" s="895"/>
    </row>
    <row r="9" spans="2:23">
      <c r="B9" s="459"/>
      <c r="C9" s="471"/>
      <c r="D9" s="80">
        <f t="shared" si="5"/>
        <v>46025</v>
      </c>
      <c r="E9" s="80" t="s">
        <v>115</v>
      </c>
      <c r="F9" s="166">
        <v>4182799.17</v>
      </c>
      <c r="G9" s="460"/>
      <c r="H9" s="460"/>
      <c r="I9" s="216">
        <v>134835</v>
      </c>
      <c r="J9" s="461"/>
      <c r="K9" s="460"/>
      <c r="L9" s="166">
        <v>2821621.4524719585</v>
      </c>
      <c r="M9" s="460"/>
      <c r="N9" s="460"/>
      <c r="O9" s="156">
        <f t="shared" si="2"/>
        <v>0.67457731958762879</v>
      </c>
      <c r="P9" s="472"/>
      <c r="Q9" s="895"/>
      <c r="R9" s="167">
        <v>749294.21200000006</v>
      </c>
      <c r="S9" s="473"/>
      <c r="T9" s="460"/>
      <c r="U9" s="156">
        <f t="shared" ref="U9:U15" si="6">R9/F9</f>
        <v>0.17913702799171208</v>
      </c>
      <c r="V9" s="472"/>
      <c r="W9" s="895"/>
    </row>
    <row r="10" spans="2:23">
      <c r="B10" s="459"/>
      <c r="C10" s="471"/>
      <c r="D10" s="80">
        <f t="shared" si="5"/>
        <v>46026</v>
      </c>
      <c r="E10" s="80" t="s">
        <v>116</v>
      </c>
      <c r="F10" s="166">
        <v>5433229</v>
      </c>
      <c r="G10" s="460"/>
      <c r="H10" s="460"/>
      <c r="I10" s="216">
        <v>171722</v>
      </c>
      <c r="J10" s="461"/>
      <c r="K10" s="460"/>
      <c r="L10" s="166">
        <v>3522300.7467628866</v>
      </c>
      <c r="M10" s="460"/>
      <c r="N10" s="460"/>
      <c r="O10" s="156">
        <f t="shared" si="2"/>
        <v>0.64828865979381445</v>
      </c>
      <c r="P10" s="472"/>
      <c r="Q10" s="895"/>
      <c r="R10" s="167">
        <v>834523.13199999998</v>
      </c>
      <c r="S10" s="473"/>
      <c r="T10" s="460"/>
      <c r="U10" s="156">
        <f t="shared" si="6"/>
        <v>0.15359616390179762</v>
      </c>
      <c r="V10" s="472"/>
      <c r="W10" s="895"/>
    </row>
    <row r="11" spans="2:23">
      <c r="B11" s="459"/>
      <c r="C11" s="471"/>
      <c r="D11" s="80">
        <f t="shared" si="5"/>
        <v>46027</v>
      </c>
      <c r="E11" s="80" t="s">
        <v>117</v>
      </c>
      <c r="F11" s="166">
        <v>5215558.0500000017</v>
      </c>
      <c r="G11" s="460"/>
      <c r="H11" s="460"/>
      <c r="I11" s="216">
        <v>168851</v>
      </c>
      <c r="J11" s="461"/>
      <c r="K11" s="460"/>
      <c r="L11" s="166">
        <v>3460227.0386567023</v>
      </c>
      <c r="M11" s="460"/>
      <c r="N11" s="460"/>
      <c r="O11" s="156">
        <f t="shared" si="2"/>
        <v>0.66344329896907217</v>
      </c>
      <c r="P11" s="472"/>
      <c r="Q11" s="895"/>
      <c r="R11" s="167">
        <v>816505.38399999996</v>
      </c>
      <c r="S11" s="473"/>
      <c r="T11" s="460"/>
      <c r="U11" s="156">
        <f t="shared" si="6"/>
        <v>0.15655187348552274</v>
      </c>
      <c r="V11" s="472"/>
      <c r="W11" s="895"/>
    </row>
    <row r="12" spans="2:23">
      <c r="B12" s="458">
        <f>B5+7</f>
        <v>46036</v>
      </c>
      <c r="C12" s="471"/>
      <c r="D12" s="80">
        <f t="shared" si="5"/>
        <v>46028</v>
      </c>
      <c r="E12" s="80" t="s">
        <v>118</v>
      </c>
      <c r="F12" s="166">
        <v>5249227.45</v>
      </c>
      <c r="G12" s="460">
        <f>SUM(F12:F18)</f>
        <v>34195479.890000001</v>
      </c>
      <c r="H12" s="460"/>
      <c r="I12" s="216">
        <v>174288</v>
      </c>
      <c r="J12" s="461">
        <f t="shared" ref="J12" si="7">SUM(I12:I18)</f>
        <v>1121087</v>
      </c>
      <c r="K12" s="460"/>
      <c r="L12" s="166">
        <v>3378121.3849360831</v>
      </c>
      <c r="M12" s="460">
        <f t="shared" ref="M12" si="8">SUM(L12:L18)</f>
        <v>22489487.561720207</v>
      </c>
      <c r="N12" s="460"/>
      <c r="O12" s="156">
        <f t="shared" ref="O12:O18" si="9">L12/F12</f>
        <v>0.64354639175257744</v>
      </c>
      <c r="P12" s="472">
        <f t="shared" ref="P12" si="10">M12/G12</f>
        <v>0.65767427841528703</v>
      </c>
      <c r="Q12" s="895"/>
      <c r="R12" s="167">
        <v>823625.83600000001</v>
      </c>
      <c r="S12" s="473">
        <f t="shared" ref="S12" si="11">SUM(R12:R18)</f>
        <v>5589312.5619999999</v>
      </c>
      <c r="T12" s="460"/>
      <c r="U12" s="156">
        <f t="shared" si="6"/>
        <v>0.15690420044572465</v>
      </c>
      <c r="V12" s="472">
        <f>S12/G12</f>
        <v>0.16345179479801708</v>
      </c>
      <c r="W12" s="895"/>
    </row>
    <row r="13" spans="2:23">
      <c r="B13" s="459"/>
      <c r="C13" s="471"/>
      <c r="D13" s="80">
        <f t="shared" si="5"/>
        <v>46029</v>
      </c>
      <c r="E13" s="80" t="s">
        <v>112</v>
      </c>
      <c r="F13" s="166">
        <v>5156925.3</v>
      </c>
      <c r="G13" s="460"/>
      <c r="H13" s="460"/>
      <c r="I13" s="216">
        <v>171001</v>
      </c>
      <c r="J13" s="461"/>
      <c r="K13" s="460"/>
      <c r="L13" s="166">
        <v>3445251.4138268041</v>
      </c>
      <c r="M13" s="460"/>
      <c r="N13" s="460"/>
      <c r="O13" s="156">
        <f t="shared" si="9"/>
        <v>0.66808247422680411</v>
      </c>
      <c r="P13" s="472"/>
      <c r="Q13" s="895"/>
      <c r="R13" s="167">
        <v>816957.91</v>
      </c>
      <c r="S13" s="473"/>
      <c r="T13" s="460"/>
      <c r="U13" s="156">
        <f t="shared" si="6"/>
        <v>0.15841957415981964</v>
      </c>
      <c r="V13" s="472"/>
      <c r="W13" s="895"/>
    </row>
    <row r="14" spans="2:23">
      <c r="B14" s="459"/>
      <c r="C14" s="471"/>
      <c r="D14" s="80">
        <f t="shared" si="5"/>
        <v>46030</v>
      </c>
      <c r="E14" s="80" t="s">
        <v>113</v>
      </c>
      <c r="F14" s="166">
        <v>4787771.37</v>
      </c>
      <c r="G14" s="460"/>
      <c r="H14" s="460"/>
      <c r="I14" s="216">
        <v>156400</v>
      </c>
      <c r="J14" s="461"/>
      <c r="K14" s="460"/>
      <c r="L14" s="166">
        <v>3160620.1227482473</v>
      </c>
      <c r="M14" s="460"/>
      <c r="N14" s="460"/>
      <c r="O14" s="156">
        <f t="shared" si="9"/>
        <v>0.66014432989690719</v>
      </c>
      <c r="P14" s="472"/>
      <c r="Q14" s="895"/>
      <c r="R14" s="167">
        <v>806511.28599999996</v>
      </c>
      <c r="S14" s="473"/>
      <c r="T14" s="460"/>
      <c r="U14" s="156">
        <f t="shared" si="6"/>
        <v>0.16845233902637249</v>
      </c>
      <c r="V14" s="472"/>
      <c r="W14" s="895"/>
    </row>
    <row r="15" spans="2:23">
      <c r="B15" s="459"/>
      <c r="C15" s="471"/>
      <c r="D15" s="80">
        <f t="shared" si="5"/>
        <v>46031</v>
      </c>
      <c r="E15" s="80" t="s">
        <v>114</v>
      </c>
      <c r="F15" s="166">
        <v>3992298.33</v>
      </c>
      <c r="G15" s="460"/>
      <c r="H15" s="460"/>
      <c r="I15" s="216">
        <v>132095</v>
      </c>
      <c r="J15" s="461"/>
      <c r="K15" s="460"/>
      <c r="L15" s="166">
        <v>2592277.5053270105</v>
      </c>
      <c r="M15" s="460"/>
      <c r="N15" s="460"/>
      <c r="O15" s="156">
        <f t="shared" si="9"/>
        <v>0.64931958762886599</v>
      </c>
      <c r="P15" s="472"/>
      <c r="Q15" s="895"/>
      <c r="R15" s="167">
        <v>748811.70400000003</v>
      </c>
      <c r="S15" s="473"/>
      <c r="T15" s="460"/>
      <c r="U15" s="156">
        <f t="shared" si="6"/>
        <v>0.18756406513337895</v>
      </c>
      <c r="V15" s="472"/>
      <c r="W15" s="895"/>
    </row>
    <row r="16" spans="2:23">
      <c r="B16" s="459"/>
      <c r="C16" s="471"/>
      <c r="D16" s="80">
        <f t="shared" si="5"/>
        <v>46032</v>
      </c>
      <c r="E16" s="80" t="s">
        <v>115</v>
      </c>
      <c r="F16" s="166">
        <v>4224538.21</v>
      </c>
      <c r="G16" s="460"/>
      <c r="H16" s="460"/>
      <c r="I16" s="216">
        <v>138394</v>
      </c>
      <c r="J16" s="461"/>
      <c r="K16" s="460"/>
      <c r="L16" s="166">
        <v>2721734.957688041</v>
      </c>
      <c r="M16" s="460"/>
      <c r="N16" s="460"/>
      <c r="O16" s="156">
        <f t="shared" si="9"/>
        <v>0.64426804123711334</v>
      </c>
      <c r="P16" s="472"/>
      <c r="Q16" s="895"/>
      <c r="R16" s="167">
        <v>759551.91399999999</v>
      </c>
      <c r="S16" s="473"/>
      <c r="T16" s="460"/>
      <c r="U16" s="156">
        <f t="shared" ref="U16:U22" si="12">R16/F16</f>
        <v>0.17979525246145187</v>
      </c>
      <c r="V16" s="472"/>
      <c r="W16" s="895"/>
    </row>
    <row r="17" spans="2:23">
      <c r="B17" s="459"/>
      <c r="C17" s="471"/>
      <c r="D17" s="80">
        <f t="shared" si="5"/>
        <v>46033</v>
      </c>
      <c r="E17" s="80" t="s">
        <v>116</v>
      </c>
      <c r="F17" s="166">
        <v>5539416.9299999997</v>
      </c>
      <c r="G17" s="460"/>
      <c r="H17" s="460"/>
      <c r="I17" s="216">
        <v>178077</v>
      </c>
      <c r="J17" s="461"/>
      <c r="K17" s="460"/>
      <c r="L17" s="166">
        <v>3719632.8074084534</v>
      </c>
      <c r="M17" s="460"/>
      <c r="N17" s="460"/>
      <c r="O17" s="156">
        <f t="shared" si="9"/>
        <v>0.67148453608247427</v>
      </c>
      <c r="P17" s="472"/>
      <c r="Q17" s="895"/>
      <c r="R17" s="167">
        <v>833013.09600000002</v>
      </c>
      <c r="S17" s="473"/>
      <c r="T17" s="460"/>
      <c r="U17" s="156">
        <f t="shared" si="12"/>
        <v>0.15037920173306038</v>
      </c>
      <c r="V17" s="472"/>
      <c r="W17" s="895"/>
    </row>
    <row r="18" spans="2:23">
      <c r="B18" s="459"/>
      <c r="C18" s="471"/>
      <c r="D18" s="80">
        <f t="shared" si="5"/>
        <v>46034</v>
      </c>
      <c r="E18" s="80" t="s">
        <v>117</v>
      </c>
      <c r="F18" s="166">
        <v>5245302.3</v>
      </c>
      <c r="G18" s="460"/>
      <c r="H18" s="460"/>
      <c r="I18" s="216">
        <v>170832</v>
      </c>
      <c r="J18" s="461"/>
      <c r="K18" s="460"/>
      <c r="L18" s="166">
        <v>3471849.3697855677</v>
      </c>
      <c r="M18" s="460"/>
      <c r="N18" s="460"/>
      <c r="O18" s="156">
        <f t="shared" si="9"/>
        <v>0.66189690721649497</v>
      </c>
      <c r="P18" s="472"/>
      <c r="Q18" s="895"/>
      <c r="R18" s="167">
        <v>800840.81599999999</v>
      </c>
      <c r="S18" s="473"/>
      <c r="T18" s="460"/>
      <c r="U18" s="156">
        <f t="shared" si="12"/>
        <v>0.152677723836813</v>
      </c>
      <c r="V18" s="472"/>
      <c r="W18" s="895"/>
    </row>
    <row r="19" spans="2:23">
      <c r="B19" s="458">
        <f>B12+7</f>
        <v>46043</v>
      </c>
      <c r="C19" s="471"/>
      <c r="D19" s="80">
        <f t="shared" si="5"/>
        <v>46035</v>
      </c>
      <c r="E19" s="80" t="s">
        <v>118</v>
      </c>
      <c r="F19" s="166">
        <v>5099656.9899999993</v>
      </c>
      <c r="G19" s="460">
        <f>SUM(F19:F25)</f>
        <v>33161158.969999995</v>
      </c>
      <c r="H19" s="460"/>
      <c r="I19" s="216">
        <v>169120</v>
      </c>
      <c r="J19" s="461">
        <f t="shared" ref="J19" si="13">SUM(I19:I25)</f>
        <v>1095713</v>
      </c>
      <c r="K19" s="460"/>
      <c r="L19" s="166">
        <v>3379653.0922181439</v>
      </c>
      <c r="M19" s="460">
        <f t="shared" ref="M19" si="14">SUM(L19:L25)</f>
        <v>21779478.791194644</v>
      </c>
      <c r="N19" s="460"/>
      <c r="O19" s="156">
        <f t="shared" ref="O19:O25" si="15">L19/F19</f>
        <v>0.66272164948453605</v>
      </c>
      <c r="P19" s="472">
        <f t="shared" ref="P19" si="16">M19/G19</f>
        <v>0.65677676738916002</v>
      </c>
      <c r="Q19" s="895"/>
      <c r="R19" s="167">
        <v>815995.45600000001</v>
      </c>
      <c r="S19" s="473">
        <f t="shared" ref="S19" si="17">SUM(R19:R25)</f>
        <v>5508030.2280000001</v>
      </c>
      <c r="T19" s="460"/>
      <c r="U19" s="156">
        <f t="shared" si="12"/>
        <v>0.16000987078152487</v>
      </c>
      <c r="V19" s="472">
        <f>S19/G19</f>
        <v>0.16609884573042114</v>
      </c>
      <c r="W19" s="895"/>
    </row>
    <row r="20" spans="2:23">
      <c r="B20" s="459"/>
      <c r="C20" s="471"/>
      <c r="D20" s="80">
        <f t="shared" si="5"/>
        <v>46036</v>
      </c>
      <c r="E20" s="80" t="s">
        <v>112</v>
      </c>
      <c r="F20" s="166">
        <v>4896820.7299999995</v>
      </c>
      <c r="G20" s="460"/>
      <c r="H20" s="460"/>
      <c r="I20" s="216">
        <v>162179</v>
      </c>
      <c r="J20" s="461"/>
      <c r="K20" s="460"/>
      <c r="L20" s="166">
        <v>3228569.8243960827</v>
      </c>
      <c r="M20" s="460"/>
      <c r="N20" s="460"/>
      <c r="O20" s="156">
        <f t="shared" si="15"/>
        <v>0.65931958762886611</v>
      </c>
      <c r="P20" s="472"/>
      <c r="Q20" s="895"/>
      <c r="R20" s="167">
        <v>800688.74800000002</v>
      </c>
      <c r="S20" s="473"/>
      <c r="T20" s="460"/>
      <c r="U20" s="156">
        <f t="shared" si="12"/>
        <v>0.16351195850292033</v>
      </c>
      <c r="V20" s="472"/>
      <c r="W20" s="895"/>
    </row>
    <row r="21" spans="2:23">
      <c r="B21" s="459"/>
      <c r="C21" s="471"/>
      <c r="D21" s="80">
        <f t="shared" si="5"/>
        <v>46037</v>
      </c>
      <c r="E21" s="80" t="s">
        <v>113</v>
      </c>
      <c r="F21" s="166">
        <v>4477044.2299999995</v>
      </c>
      <c r="G21" s="460"/>
      <c r="H21" s="460"/>
      <c r="I21" s="216">
        <v>149377</v>
      </c>
      <c r="J21" s="461"/>
      <c r="K21" s="460"/>
      <c r="L21" s="166">
        <v>2975803.6050002063</v>
      </c>
      <c r="M21" s="460"/>
      <c r="N21" s="460"/>
      <c r="O21" s="156">
        <f t="shared" si="15"/>
        <v>0.66468041237113407</v>
      </c>
      <c r="P21" s="472"/>
      <c r="Q21" s="895"/>
      <c r="R21" s="167">
        <v>770496.80200000003</v>
      </c>
      <c r="S21" s="473"/>
      <c r="T21" s="460"/>
      <c r="U21" s="156">
        <f t="shared" si="12"/>
        <v>0.17209943936604802</v>
      </c>
      <c r="V21" s="472"/>
      <c r="W21" s="895"/>
    </row>
    <row r="22" spans="2:23">
      <c r="B22" s="459"/>
      <c r="C22" s="471"/>
      <c r="D22" s="80">
        <f t="shared" si="5"/>
        <v>46038</v>
      </c>
      <c r="E22" s="80" t="s">
        <v>114</v>
      </c>
      <c r="F22" s="166">
        <v>3898014.0799999996</v>
      </c>
      <c r="G22" s="460"/>
      <c r="H22" s="460"/>
      <c r="I22" s="216">
        <v>131262</v>
      </c>
      <c r="J22" s="461"/>
      <c r="K22" s="460"/>
      <c r="L22" s="166">
        <v>2466357.8984115464</v>
      </c>
      <c r="M22" s="460"/>
      <c r="N22" s="460"/>
      <c r="O22" s="156">
        <f t="shared" si="15"/>
        <v>0.63272164948453613</v>
      </c>
      <c r="P22" s="472"/>
      <c r="Q22" s="895"/>
      <c r="R22" s="167">
        <v>752479.98199999996</v>
      </c>
      <c r="S22" s="473"/>
      <c r="T22" s="460"/>
      <c r="U22" s="156">
        <f t="shared" si="12"/>
        <v>0.19304188403547276</v>
      </c>
      <c r="V22" s="472"/>
      <c r="W22" s="895"/>
    </row>
    <row r="23" spans="2:23">
      <c r="B23" s="459"/>
      <c r="C23" s="471"/>
      <c r="D23" s="80">
        <f t="shared" si="5"/>
        <v>46039</v>
      </c>
      <c r="E23" s="80" t="s">
        <v>115</v>
      </c>
      <c r="F23" s="166">
        <v>4192072.2300000004</v>
      </c>
      <c r="G23" s="460"/>
      <c r="H23" s="460"/>
      <c r="I23" s="216">
        <v>138888</v>
      </c>
      <c r="J23" s="461"/>
      <c r="K23" s="460"/>
      <c r="L23" s="166">
        <v>2862018.4676239183</v>
      </c>
      <c r="M23" s="460"/>
      <c r="N23" s="460"/>
      <c r="O23" s="156">
        <f t="shared" si="15"/>
        <v>0.68272164948453617</v>
      </c>
      <c r="P23" s="472"/>
      <c r="Q23" s="895"/>
      <c r="R23" s="167">
        <v>746099.49399999995</v>
      </c>
      <c r="S23" s="473"/>
      <c r="T23" s="460"/>
      <c r="U23" s="156">
        <f t="shared" ref="U23:U29" si="18">R23/F23</f>
        <v>0.17797868287207444</v>
      </c>
      <c r="V23" s="472"/>
      <c r="W23" s="895"/>
    </row>
    <row r="24" spans="2:23">
      <c r="B24" s="459"/>
      <c r="C24" s="471"/>
      <c r="D24" s="80">
        <f t="shared" si="5"/>
        <v>46040</v>
      </c>
      <c r="E24" s="80" t="s">
        <v>116</v>
      </c>
      <c r="F24" s="166">
        <v>5422198.4000000004</v>
      </c>
      <c r="G24" s="460"/>
      <c r="H24" s="460"/>
      <c r="I24" s="216">
        <v>175701</v>
      </c>
      <c r="J24" s="461"/>
      <c r="K24" s="460"/>
      <c r="L24" s="166">
        <v>3585582.4141195891</v>
      </c>
      <c r="M24" s="460"/>
      <c r="N24" s="460"/>
      <c r="O24" s="156">
        <f t="shared" si="15"/>
        <v>0.66127835051546413</v>
      </c>
      <c r="P24" s="472"/>
      <c r="Q24" s="895"/>
      <c r="R24" s="167">
        <v>820754.13199999998</v>
      </c>
      <c r="S24" s="473"/>
      <c r="T24" s="460"/>
      <c r="U24" s="156">
        <f t="shared" si="18"/>
        <v>0.15136925495016929</v>
      </c>
      <c r="V24" s="472"/>
      <c r="W24" s="895"/>
    </row>
    <row r="25" spans="2:23">
      <c r="B25" s="459"/>
      <c r="C25" s="471"/>
      <c r="D25" s="80">
        <f t="shared" si="5"/>
        <v>46041</v>
      </c>
      <c r="E25" s="80" t="s">
        <v>117</v>
      </c>
      <c r="F25" s="166">
        <v>5175352.3099999996</v>
      </c>
      <c r="G25" s="460"/>
      <c r="H25" s="460"/>
      <c r="I25" s="216">
        <v>169186</v>
      </c>
      <c r="J25" s="461"/>
      <c r="K25" s="460"/>
      <c r="L25" s="166">
        <v>3281493.4894251549</v>
      </c>
      <c r="M25" s="460"/>
      <c r="N25" s="460"/>
      <c r="O25" s="156">
        <f t="shared" si="15"/>
        <v>0.6340618556701032</v>
      </c>
      <c r="P25" s="472"/>
      <c r="Q25" s="895"/>
      <c r="R25" s="167">
        <v>801515.61399999994</v>
      </c>
      <c r="S25" s="473"/>
      <c r="T25" s="460"/>
      <c r="U25" s="156">
        <f t="shared" si="18"/>
        <v>0.1548717007055313</v>
      </c>
      <c r="V25" s="472"/>
      <c r="W25" s="895"/>
    </row>
    <row r="26" spans="2:23">
      <c r="B26" s="458">
        <f>B19+7</f>
        <v>46050</v>
      </c>
      <c r="C26" s="471"/>
      <c r="D26" s="80">
        <f t="shared" si="5"/>
        <v>46042</v>
      </c>
      <c r="E26" s="80" t="s">
        <v>118</v>
      </c>
      <c r="F26" s="166">
        <v>5709399.8399999999</v>
      </c>
      <c r="G26" s="460">
        <f>SUM(F26:F32)</f>
        <v>33925347.980000004</v>
      </c>
      <c r="H26" s="460"/>
      <c r="I26" s="216">
        <v>181180</v>
      </c>
      <c r="J26" s="461">
        <f t="shared" ref="J26" si="19">SUM(I26:I32)</f>
        <v>1096366</v>
      </c>
      <c r="K26" s="460"/>
      <c r="L26" s="166">
        <v>3774913.9107068046</v>
      </c>
      <c r="M26" s="460">
        <f t="shared" ref="M26" si="20">SUM(L26:L32)</f>
        <v>22388796.584812582</v>
      </c>
      <c r="N26" s="460"/>
      <c r="O26" s="156">
        <f t="shared" ref="O26:O32" si="21">L26/F26</f>
        <v>0.66117525773195884</v>
      </c>
      <c r="P26" s="472">
        <f t="shared" ref="P26" si="22">M26/G26</f>
        <v>0.65994301953841239</v>
      </c>
      <c r="Q26" s="895"/>
      <c r="R26" s="167">
        <v>835978.46</v>
      </c>
      <c r="S26" s="473">
        <f t="shared" ref="S26" si="23">SUM(R26:R32)</f>
        <v>5364280.83</v>
      </c>
      <c r="T26" s="460"/>
      <c r="U26" s="156">
        <f t="shared" si="18"/>
        <v>0.14642142491810486</v>
      </c>
      <c r="V26" s="472">
        <f>S26/G26</f>
        <v>0.15812014170532318</v>
      </c>
      <c r="W26" s="895"/>
    </row>
    <row r="27" spans="2:23">
      <c r="B27" s="459"/>
      <c r="C27" s="471"/>
      <c r="D27" s="80">
        <f t="shared" si="5"/>
        <v>46043</v>
      </c>
      <c r="E27" s="80" t="s">
        <v>112</v>
      </c>
      <c r="F27" s="166">
        <v>5079869.1999999993</v>
      </c>
      <c r="G27" s="460"/>
      <c r="H27" s="460"/>
      <c r="I27" s="216">
        <v>167291</v>
      </c>
      <c r="J27" s="461"/>
      <c r="K27" s="460"/>
      <c r="L27" s="166">
        <v>3360778.6189773194</v>
      </c>
      <c r="M27" s="460"/>
      <c r="N27" s="460"/>
      <c r="O27" s="156">
        <f t="shared" si="21"/>
        <v>0.66158762886597944</v>
      </c>
      <c r="P27" s="472"/>
      <c r="Q27" s="895"/>
      <c r="R27" s="167">
        <v>789425.39</v>
      </c>
      <c r="S27" s="473"/>
      <c r="T27" s="460"/>
      <c r="U27" s="156">
        <f t="shared" si="18"/>
        <v>0.15540270013251525</v>
      </c>
      <c r="V27" s="472"/>
      <c r="W27" s="895"/>
    </row>
    <row r="28" spans="2:23">
      <c r="B28" s="459"/>
      <c r="C28" s="471"/>
      <c r="D28" s="80">
        <f t="shared" si="5"/>
        <v>46044</v>
      </c>
      <c r="E28" s="80" t="s">
        <v>113</v>
      </c>
      <c r="F28" s="166">
        <v>4686919.79</v>
      </c>
      <c r="G28" s="460"/>
      <c r="H28" s="460"/>
      <c r="I28" s="216">
        <v>153715</v>
      </c>
      <c r="J28" s="461"/>
      <c r="K28" s="460"/>
      <c r="L28" s="166">
        <v>3092110.7736212378</v>
      </c>
      <c r="M28" s="460"/>
      <c r="N28" s="460"/>
      <c r="O28" s="156">
        <f t="shared" si="21"/>
        <v>0.65973195876288671</v>
      </c>
      <c r="P28" s="472"/>
      <c r="Q28" s="895"/>
      <c r="R28" s="167">
        <v>748901.32</v>
      </c>
      <c r="S28" s="473"/>
      <c r="T28" s="460"/>
      <c r="U28" s="156">
        <f t="shared" si="18"/>
        <v>0.15978539287099683</v>
      </c>
      <c r="V28" s="472"/>
      <c r="W28" s="895"/>
    </row>
    <row r="29" spans="2:23">
      <c r="B29" s="459"/>
      <c r="C29" s="471"/>
      <c r="D29" s="80">
        <f t="shared" si="5"/>
        <v>46045</v>
      </c>
      <c r="E29" s="80" t="s">
        <v>114</v>
      </c>
      <c r="F29" s="166">
        <v>3890561.3700000006</v>
      </c>
      <c r="G29" s="460"/>
      <c r="H29" s="460"/>
      <c r="I29" s="216">
        <v>127797</v>
      </c>
      <c r="J29" s="461"/>
      <c r="K29" s="460"/>
      <c r="L29" s="166">
        <v>2523811.1716070105</v>
      </c>
      <c r="M29" s="460"/>
      <c r="N29" s="460"/>
      <c r="O29" s="156">
        <f t="shared" si="21"/>
        <v>0.64870103092783504</v>
      </c>
      <c r="P29" s="472"/>
      <c r="Q29" s="895"/>
      <c r="R29" s="167">
        <v>703121.60600000003</v>
      </c>
      <c r="S29" s="473"/>
      <c r="T29" s="460"/>
      <c r="U29" s="156">
        <f t="shared" si="18"/>
        <v>0.18072497491538089</v>
      </c>
      <c r="V29" s="472"/>
      <c r="W29" s="895"/>
    </row>
    <row r="30" spans="2:23">
      <c r="B30" s="459"/>
      <c r="C30" s="471"/>
      <c r="D30" s="80">
        <f t="shared" si="5"/>
        <v>46046</v>
      </c>
      <c r="E30" s="80" t="s">
        <v>115</v>
      </c>
      <c r="F30" s="166">
        <v>4094539.9700000007</v>
      </c>
      <c r="G30" s="460"/>
      <c r="H30" s="460"/>
      <c r="I30" s="216">
        <v>133316</v>
      </c>
      <c r="J30" s="461"/>
      <c r="K30" s="460"/>
      <c r="L30" s="166">
        <v>2783189.6740410319</v>
      </c>
      <c r="M30" s="460"/>
      <c r="N30" s="460"/>
      <c r="O30" s="156">
        <f t="shared" si="21"/>
        <v>0.67973195876288672</v>
      </c>
      <c r="P30" s="472"/>
      <c r="Q30" s="895"/>
      <c r="R30" s="167">
        <v>717320.73</v>
      </c>
      <c r="S30" s="473"/>
      <c r="T30" s="460"/>
      <c r="U30" s="156">
        <f t="shared" ref="U30:U36" si="24">R30/F30</f>
        <v>0.17518957813470798</v>
      </c>
      <c r="V30" s="472"/>
      <c r="W30" s="895"/>
    </row>
    <row r="31" spans="2:23">
      <c r="B31" s="459"/>
      <c r="C31" s="471"/>
      <c r="D31" s="80">
        <f t="shared" si="5"/>
        <v>46047</v>
      </c>
      <c r="E31" s="80" t="s">
        <v>116</v>
      </c>
      <c r="F31" s="166">
        <v>5451395.4899999993</v>
      </c>
      <c r="G31" s="460"/>
      <c r="H31" s="460"/>
      <c r="I31" s="216">
        <v>171924</v>
      </c>
      <c r="J31" s="461"/>
      <c r="K31" s="460"/>
      <c r="L31" s="166">
        <v>3585219.8339078352</v>
      </c>
      <c r="M31" s="460"/>
      <c r="N31" s="460"/>
      <c r="O31" s="156">
        <f t="shared" si="21"/>
        <v>0.65767010309278362</v>
      </c>
      <c r="P31" s="472"/>
      <c r="Q31" s="895"/>
      <c r="R31" s="167">
        <v>809541.43799999997</v>
      </c>
      <c r="S31" s="473"/>
      <c r="T31" s="460"/>
      <c r="U31" s="156">
        <f t="shared" si="24"/>
        <v>0.14850168906017128</v>
      </c>
      <c r="V31" s="472"/>
      <c r="W31" s="895"/>
    </row>
    <row r="32" spans="2:23">
      <c r="B32" s="459"/>
      <c r="C32" s="471"/>
      <c r="D32" s="80">
        <f t="shared" si="5"/>
        <v>46048</v>
      </c>
      <c r="E32" s="80" t="s">
        <v>117</v>
      </c>
      <c r="F32" s="166">
        <v>5012662.32</v>
      </c>
      <c r="G32" s="460"/>
      <c r="H32" s="460"/>
      <c r="I32" s="216">
        <v>161143</v>
      </c>
      <c r="J32" s="461"/>
      <c r="K32" s="460"/>
      <c r="L32" s="166">
        <v>3268772.6019513407</v>
      </c>
      <c r="M32" s="460"/>
      <c r="N32" s="460"/>
      <c r="O32" s="156">
        <f t="shared" si="21"/>
        <v>0.6521030927835052</v>
      </c>
      <c r="P32" s="472"/>
      <c r="Q32" s="895"/>
      <c r="R32" s="167">
        <v>759991.88600000006</v>
      </c>
      <c r="S32" s="473"/>
      <c r="T32" s="460"/>
      <c r="U32" s="156">
        <f t="shared" si="24"/>
        <v>0.15161441914164289</v>
      </c>
      <c r="V32" s="472"/>
      <c r="W32" s="895"/>
    </row>
    <row r="33" spans="2:23">
      <c r="B33" s="458">
        <f>B26+7</f>
        <v>46057</v>
      </c>
      <c r="C33" s="471"/>
      <c r="D33" s="80">
        <f t="shared" si="5"/>
        <v>46049</v>
      </c>
      <c r="E33" s="80" t="s">
        <v>118</v>
      </c>
      <c r="F33" s="166"/>
      <c r="G33" s="460">
        <f>SUM(F33:F39)</f>
        <v>0</v>
      </c>
      <c r="H33" s="460"/>
      <c r="I33" s="216"/>
      <c r="J33" s="461">
        <f t="shared" ref="J33" si="25">SUM(I33:I39)</f>
        <v>0</v>
      </c>
      <c r="K33" s="460"/>
      <c r="L33" s="166"/>
      <c r="M33" s="460">
        <f t="shared" ref="M33" si="26">SUM(L33:L39)</f>
        <v>0</v>
      </c>
      <c r="N33" s="460"/>
      <c r="O33" s="156" t="e">
        <f t="shared" ref="O33:O39" si="27">L33/F33</f>
        <v>#DIV/0!</v>
      </c>
      <c r="P33" s="472" t="e">
        <f t="shared" ref="P33" si="28">M33/G33</f>
        <v>#DIV/0!</v>
      </c>
      <c r="Q33" s="895"/>
      <c r="R33" s="167"/>
      <c r="S33" s="473">
        <f t="shared" ref="S33" si="29">SUM(R33:R39)</f>
        <v>0</v>
      </c>
      <c r="T33" s="460"/>
      <c r="U33" s="156" t="e">
        <f t="shared" si="24"/>
        <v>#DIV/0!</v>
      </c>
      <c r="V33" s="472" t="e">
        <f>S33/G33</f>
        <v>#DIV/0!</v>
      </c>
      <c r="W33" s="895"/>
    </row>
    <row r="34" spans="2:23">
      <c r="B34" s="459"/>
      <c r="C34" s="471"/>
      <c r="D34" s="80">
        <f t="shared" si="5"/>
        <v>46050</v>
      </c>
      <c r="E34" s="80" t="s">
        <v>112</v>
      </c>
      <c r="F34" s="166"/>
      <c r="G34" s="460"/>
      <c r="H34" s="460"/>
      <c r="I34" s="216"/>
      <c r="J34" s="461"/>
      <c r="K34" s="460"/>
      <c r="L34" s="166"/>
      <c r="M34" s="460"/>
      <c r="N34" s="460"/>
      <c r="O34" s="156" t="e">
        <f t="shared" si="27"/>
        <v>#DIV/0!</v>
      </c>
      <c r="P34" s="472"/>
      <c r="Q34" s="895"/>
      <c r="R34" s="167"/>
      <c r="S34" s="473"/>
      <c r="T34" s="460"/>
      <c r="U34" s="156" t="e">
        <f t="shared" si="24"/>
        <v>#DIV/0!</v>
      </c>
      <c r="V34" s="472"/>
      <c r="W34" s="895"/>
    </row>
    <row r="35" spans="2:23">
      <c r="B35" s="459"/>
      <c r="C35" s="471"/>
      <c r="D35" s="80">
        <f t="shared" si="5"/>
        <v>46051</v>
      </c>
      <c r="E35" s="80" t="s">
        <v>113</v>
      </c>
      <c r="F35" s="166"/>
      <c r="G35" s="460"/>
      <c r="H35" s="460"/>
      <c r="I35" s="216"/>
      <c r="J35" s="461"/>
      <c r="K35" s="460"/>
      <c r="L35" s="166"/>
      <c r="M35" s="460"/>
      <c r="N35" s="460"/>
      <c r="O35" s="156" t="e">
        <f t="shared" si="27"/>
        <v>#DIV/0!</v>
      </c>
      <c r="P35" s="472"/>
      <c r="Q35" s="895"/>
      <c r="R35" s="167"/>
      <c r="S35" s="473"/>
      <c r="T35" s="460"/>
      <c r="U35" s="156" t="e">
        <f t="shared" si="24"/>
        <v>#DIV/0!</v>
      </c>
      <c r="V35" s="472"/>
      <c r="W35" s="895"/>
    </row>
    <row r="36" spans="2:23">
      <c r="B36" s="459"/>
      <c r="C36" s="471"/>
      <c r="D36" s="80">
        <f t="shared" si="5"/>
        <v>46052</v>
      </c>
      <c r="E36" s="80" t="s">
        <v>114</v>
      </c>
      <c r="F36" s="166"/>
      <c r="G36" s="460"/>
      <c r="H36" s="460"/>
      <c r="I36" s="216"/>
      <c r="J36" s="461"/>
      <c r="K36" s="460"/>
      <c r="L36" s="166"/>
      <c r="M36" s="460"/>
      <c r="N36" s="460"/>
      <c r="O36" s="156" t="e">
        <f t="shared" si="27"/>
        <v>#DIV/0!</v>
      </c>
      <c r="P36" s="472"/>
      <c r="Q36" s="895"/>
      <c r="R36" s="167"/>
      <c r="S36" s="473"/>
      <c r="T36" s="460"/>
      <c r="U36" s="156" t="e">
        <f t="shared" si="24"/>
        <v>#DIV/0!</v>
      </c>
      <c r="V36" s="472"/>
      <c r="W36" s="895"/>
    </row>
    <row r="37" spans="2:23">
      <c r="B37" s="459"/>
      <c r="C37" s="471"/>
      <c r="D37" s="80">
        <f t="shared" si="5"/>
        <v>46053</v>
      </c>
      <c r="E37" s="80" t="s">
        <v>115</v>
      </c>
      <c r="F37" s="166"/>
      <c r="G37" s="460"/>
      <c r="H37" s="460"/>
      <c r="I37" s="216"/>
      <c r="J37" s="461"/>
      <c r="K37" s="460"/>
      <c r="L37" s="166"/>
      <c r="M37" s="460"/>
      <c r="N37" s="460"/>
      <c r="O37" s="156" t="e">
        <f t="shared" si="27"/>
        <v>#DIV/0!</v>
      </c>
      <c r="P37" s="472"/>
      <c r="Q37" s="895"/>
      <c r="R37" s="167"/>
      <c r="S37" s="473"/>
      <c r="T37" s="460"/>
      <c r="U37" s="156" t="e">
        <f t="shared" ref="U37:U43" si="30">R37/F37</f>
        <v>#DIV/0!</v>
      </c>
      <c r="V37" s="472"/>
      <c r="W37" s="895"/>
    </row>
    <row r="38" spans="2:23">
      <c r="B38" s="459"/>
      <c r="C38" s="471"/>
      <c r="D38" s="80">
        <f t="shared" si="5"/>
        <v>46054</v>
      </c>
      <c r="E38" s="80" t="s">
        <v>116</v>
      </c>
      <c r="F38" s="166"/>
      <c r="G38" s="460"/>
      <c r="H38" s="166"/>
      <c r="I38" s="216"/>
      <c r="J38" s="461"/>
      <c r="L38" s="166"/>
      <c r="M38" s="460"/>
      <c r="O38" s="156" t="e">
        <f t="shared" si="27"/>
        <v>#DIV/0!</v>
      </c>
      <c r="P38" s="472"/>
      <c r="R38" s="167"/>
      <c r="S38" s="473"/>
      <c r="U38" s="156" t="e">
        <f t="shared" si="30"/>
        <v>#DIV/0!</v>
      </c>
      <c r="V38" s="472"/>
    </row>
    <row r="39" spans="2:23">
      <c r="B39" s="459"/>
      <c r="C39" s="471"/>
      <c r="D39" s="80">
        <f t="shared" si="5"/>
        <v>46055</v>
      </c>
      <c r="E39" s="80" t="s">
        <v>117</v>
      </c>
      <c r="F39" s="166"/>
      <c r="G39" s="460"/>
      <c r="H39" s="166"/>
      <c r="I39" s="216"/>
      <c r="J39" s="461"/>
      <c r="L39" s="166"/>
      <c r="M39" s="460"/>
      <c r="O39" s="156" t="e">
        <f t="shared" si="27"/>
        <v>#DIV/0!</v>
      </c>
      <c r="P39" s="472"/>
      <c r="R39" s="167"/>
      <c r="S39" s="473"/>
      <c r="U39" s="156" t="e">
        <f t="shared" si="30"/>
        <v>#DIV/0!</v>
      </c>
      <c r="V39" s="472"/>
    </row>
    <row r="40" spans="2:23">
      <c r="B40" s="458">
        <f>B33+7</f>
        <v>46064</v>
      </c>
      <c r="C40" s="471"/>
      <c r="D40" s="80">
        <f t="shared" si="5"/>
        <v>46056</v>
      </c>
      <c r="E40" s="80" t="s">
        <v>118</v>
      </c>
      <c r="F40" s="166"/>
      <c r="G40" s="460">
        <f>SUM(F40:F46)</f>
        <v>0</v>
      </c>
      <c r="H40" s="166"/>
      <c r="I40" s="216"/>
      <c r="J40" s="461">
        <f t="shared" ref="J40" si="31">SUM(I40:I46)</f>
        <v>0</v>
      </c>
      <c r="K40" s="216"/>
      <c r="L40" s="166"/>
      <c r="M40" s="460">
        <f t="shared" ref="M40" si="32">SUM(L40:L46)</f>
        <v>0</v>
      </c>
      <c r="N40" s="166"/>
      <c r="O40" s="156" t="e">
        <f t="shared" ref="O40:O46" si="33">L40/F40</f>
        <v>#DIV/0!</v>
      </c>
      <c r="P40" s="472" t="e">
        <f t="shared" ref="P40" si="34">M40/G40</f>
        <v>#DIV/0!</v>
      </c>
      <c r="Q40" s="472"/>
      <c r="R40" s="167"/>
      <c r="S40" s="473">
        <f t="shared" ref="S40" si="35">SUM(R40:R46)</f>
        <v>0</v>
      </c>
      <c r="T40" s="460"/>
      <c r="U40" s="156" t="e">
        <f t="shared" si="30"/>
        <v>#DIV/0!</v>
      </c>
      <c r="V40" s="472" t="e">
        <f>S40/G40</f>
        <v>#DIV/0!</v>
      </c>
      <c r="W40" s="156"/>
    </row>
    <row r="41" spans="2:23">
      <c r="B41" s="459"/>
      <c r="C41" s="471"/>
      <c r="D41" s="80">
        <f t="shared" si="5"/>
        <v>46057</v>
      </c>
      <c r="E41" s="80" t="s">
        <v>112</v>
      </c>
      <c r="F41" s="166"/>
      <c r="G41" s="460"/>
      <c r="H41" s="166"/>
      <c r="I41" s="216"/>
      <c r="J41" s="461"/>
      <c r="K41" s="216"/>
      <c r="L41" s="166"/>
      <c r="M41" s="460"/>
      <c r="N41" s="166"/>
      <c r="O41" s="156" t="e">
        <f t="shared" si="33"/>
        <v>#DIV/0!</v>
      </c>
      <c r="P41" s="472"/>
      <c r="Q41" s="472"/>
      <c r="R41" s="167"/>
      <c r="S41" s="473"/>
      <c r="T41" s="460"/>
      <c r="U41" s="156" t="e">
        <f t="shared" si="30"/>
        <v>#DIV/0!</v>
      </c>
      <c r="V41" s="472"/>
      <c r="W41" s="156"/>
    </row>
    <row r="42" spans="2:23">
      <c r="B42" s="459"/>
      <c r="C42" s="471"/>
      <c r="D42" s="80">
        <f t="shared" si="5"/>
        <v>46058</v>
      </c>
      <c r="E42" s="80" t="s">
        <v>113</v>
      </c>
      <c r="F42" s="166"/>
      <c r="G42" s="460"/>
      <c r="H42" s="166"/>
      <c r="I42" s="216"/>
      <c r="J42" s="461"/>
      <c r="K42" s="216"/>
      <c r="L42" s="166"/>
      <c r="M42" s="460"/>
      <c r="N42" s="166"/>
      <c r="O42" s="156" t="e">
        <f t="shared" si="33"/>
        <v>#DIV/0!</v>
      </c>
      <c r="P42" s="472"/>
      <c r="Q42" s="472"/>
      <c r="R42" s="167"/>
      <c r="S42" s="473"/>
      <c r="T42" s="460"/>
      <c r="U42" s="156" t="e">
        <f t="shared" si="30"/>
        <v>#DIV/0!</v>
      </c>
      <c r="V42" s="472"/>
      <c r="W42" s="156"/>
    </row>
    <row r="43" spans="2:23">
      <c r="B43" s="459"/>
      <c r="C43" s="471"/>
      <c r="D43" s="80">
        <f t="shared" si="5"/>
        <v>46059</v>
      </c>
      <c r="E43" s="80" t="s">
        <v>114</v>
      </c>
      <c r="F43" s="166"/>
      <c r="G43" s="460"/>
      <c r="H43" s="166"/>
      <c r="I43" s="216"/>
      <c r="J43" s="461"/>
      <c r="K43" s="216"/>
      <c r="L43" s="166"/>
      <c r="M43" s="460"/>
      <c r="N43" s="166"/>
      <c r="O43" s="156" t="e">
        <f t="shared" si="33"/>
        <v>#DIV/0!</v>
      </c>
      <c r="P43" s="472"/>
      <c r="Q43" s="472"/>
      <c r="R43" s="167"/>
      <c r="S43" s="473"/>
      <c r="T43" s="460"/>
      <c r="U43" s="156" t="e">
        <f t="shared" si="30"/>
        <v>#DIV/0!</v>
      </c>
      <c r="V43" s="472"/>
      <c r="W43" s="156"/>
    </row>
    <row r="44" spans="2:23">
      <c r="B44" s="459"/>
      <c r="C44" s="471"/>
      <c r="D44" s="80">
        <f t="shared" si="5"/>
        <v>46060</v>
      </c>
      <c r="E44" s="80" t="s">
        <v>115</v>
      </c>
      <c r="F44" s="166"/>
      <c r="G44" s="460"/>
      <c r="H44" s="166"/>
      <c r="I44" s="216"/>
      <c r="J44" s="461"/>
      <c r="L44" s="166"/>
      <c r="M44" s="460"/>
      <c r="O44" s="156" t="e">
        <f t="shared" si="33"/>
        <v>#DIV/0!</v>
      </c>
      <c r="P44" s="472"/>
      <c r="R44" s="167"/>
      <c r="S44" s="473"/>
      <c r="U44" s="156" t="e">
        <f t="shared" ref="U44:U46" si="36">R44/F44</f>
        <v>#DIV/0!</v>
      </c>
      <c r="V44" s="472"/>
    </row>
    <row r="45" spans="2:23">
      <c r="B45" s="459"/>
      <c r="C45" s="471"/>
      <c r="D45" s="80">
        <f t="shared" si="5"/>
        <v>46061</v>
      </c>
      <c r="E45" s="80" t="s">
        <v>116</v>
      </c>
      <c r="F45" s="166"/>
      <c r="G45" s="460"/>
      <c r="H45" s="166"/>
      <c r="I45" s="216"/>
      <c r="J45" s="461"/>
      <c r="L45" s="166"/>
      <c r="M45" s="460"/>
      <c r="O45" s="156" t="e">
        <f t="shared" si="33"/>
        <v>#DIV/0!</v>
      </c>
      <c r="P45" s="472"/>
      <c r="R45" s="167"/>
      <c r="S45" s="473"/>
      <c r="U45" s="156" t="e">
        <f t="shared" si="36"/>
        <v>#DIV/0!</v>
      </c>
      <c r="V45" s="472"/>
    </row>
    <row r="46" spans="2:23">
      <c r="B46" s="459"/>
      <c r="C46" s="471"/>
      <c r="D46" s="80">
        <f t="shared" si="5"/>
        <v>46062</v>
      </c>
      <c r="E46" s="80" t="s">
        <v>117</v>
      </c>
      <c r="F46" s="166"/>
      <c r="G46" s="460"/>
      <c r="H46" s="166"/>
      <c r="I46" s="216"/>
      <c r="J46" s="461"/>
      <c r="L46" s="166"/>
      <c r="M46" s="460"/>
      <c r="O46" s="156" t="e">
        <f t="shared" si="33"/>
        <v>#DIV/0!</v>
      </c>
      <c r="P46" s="472"/>
      <c r="R46" s="167"/>
      <c r="S46" s="473"/>
      <c r="U46" s="156" t="e">
        <f t="shared" si="36"/>
        <v>#DIV/0!</v>
      </c>
      <c r="V46" s="472"/>
    </row>
    <row r="47" spans="2:23">
      <c r="C47" s="471"/>
    </row>
    <row r="48" spans="2:23">
      <c r="C48" s="471"/>
    </row>
    <row r="49" spans="3:3">
      <c r="C49" s="471"/>
    </row>
    <row r="50" spans="3:3">
      <c r="C50" s="471"/>
    </row>
    <row r="51" spans="3:3">
      <c r="C51" s="471"/>
    </row>
    <row r="52" spans="3:3">
      <c r="C52" s="471"/>
    </row>
    <row r="53" spans="3:3">
      <c r="C53" s="471"/>
    </row>
    <row r="54" spans="3:3">
      <c r="C54" s="471"/>
    </row>
    <row r="55" spans="3:3">
      <c r="C55" s="471"/>
    </row>
    <row r="56" spans="3:3">
      <c r="C56" s="471"/>
    </row>
    <row r="57" spans="3:3">
      <c r="C57" s="471"/>
    </row>
    <row r="58" spans="3:3">
      <c r="C58" s="471"/>
    </row>
    <row r="59" spans="3:3">
      <c r="C59" s="471"/>
    </row>
    <row r="60" spans="3:3">
      <c r="C60" s="471"/>
    </row>
    <row r="61" spans="3:3">
      <c r="C61" s="471"/>
    </row>
    <row r="62" spans="3:3">
      <c r="C62" s="471"/>
    </row>
    <row r="63" spans="3:3">
      <c r="C63" s="471"/>
    </row>
    <row r="64" spans="3:3">
      <c r="C64" s="471"/>
    </row>
    <row r="65" spans="3:3">
      <c r="C65" s="471"/>
    </row>
  </sheetData>
  <mergeCells count="68">
    <mergeCell ref="T40:T43"/>
    <mergeCell ref="V40:V46"/>
    <mergeCell ref="S12:S18"/>
    <mergeCell ref="V26:V32"/>
    <mergeCell ref="M33:M39"/>
    <mergeCell ref="P33:P39"/>
    <mergeCell ref="S33:S39"/>
    <mergeCell ref="C38:C65"/>
    <mergeCell ref="S19:S25"/>
    <mergeCell ref="P40:P46"/>
    <mergeCell ref="Q40:Q43"/>
    <mergeCell ref="S40:S46"/>
    <mergeCell ref="W5:W6"/>
    <mergeCell ref="W7:W37"/>
    <mergeCell ref="P12:P18"/>
    <mergeCell ref="S5:S11"/>
    <mergeCell ref="V5:V11"/>
    <mergeCell ref="V19:V25"/>
    <mergeCell ref="P19:P25"/>
    <mergeCell ref="V12:V18"/>
    <mergeCell ref="S26:S32"/>
    <mergeCell ref="V33:V39"/>
    <mergeCell ref="N5:N6"/>
    <mergeCell ref="Q5:Q6"/>
    <mergeCell ref="T5:T6"/>
    <mergeCell ref="N7:N37"/>
    <mergeCell ref="Q7:Q37"/>
    <mergeCell ref="T7:T37"/>
    <mergeCell ref="P5:P11"/>
    <mergeCell ref="P26:P32"/>
    <mergeCell ref="H5:H6"/>
    <mergeCell ref="B12:B18"/>
    <mergeCell ref="G12:G18"/>
    <mergeCell ref="J12:J18"/>
    <mergeCell ref="M12:M18"/>
    <mergeCell ref="K5:K6"/>
    <mergeCell ref="K7:K37"/>
    <mergeCell ref="B19:B25"/>
    <mergeCell ref="G19:G25"/>
    <mergeCell ref="J19:J25"/>
    <mergeCell ref="M19:M25"/>
    <mergeCell ref="C7:C37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B5:B11"/>
    <mergeCell ref="G5:G11"/>
    <mergeCell ref="J5:J11"/>
    <mergeCell ref="M5:M11"/>
    <mergeCell ref="H7:H37"/>
    <mergeCell ref="B33:B39"/>
    <mergeCell ref="G33:G39"/>
    <mergeCell ref="J33:J39"/>
    <mergeCell ref="B26:B32"/>
    <mergeCell ref="G26:G32"/>
    <mergeCell ref="J26:J32"/>
    <mergeCell ref="M26:M32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6"/>
  <sheetViews>
    <sheetView topLeftCell="E1" zoomScale="85" zoomScaleNormal="85" workbookViewId="0">
      <selection activeCell="O26" sqref="O26:O32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70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5" t="s">
        <v>372</v>
      </c>
      <c r="C1" s="168">
        <v>497.6</v>
      </c>
    </row>
    <row r="2" spans="2:23" ht="38.15" customHeight="1">
      <c r="B2" s="463" t="s">
        <v>131</v>
      </c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478"/>
      <c r="U2" s="478"/>
    </row>
    <row r="3" spans="2:23" s="71" customFormat="1" ht="23.5" customHeight="1">
      <c r="B3" s="467" t="s">
        <v>122</v>
      </c>
      <c r="C3" s="468" t="s">
        <v>119</v>
      </c>
      <c r="D3" s="469" t="s">
        <v>105</v>
      </c>
      <c r="E3" s="469"/>
      <c r="F3" s="479" t="s">
        <v>107</v>
      </c>
      <c r="G3" s="479"/>
      <c r="H3" s="479"/>
      <c r="I3" s="480" t="s">
        <v>108</v>
      </c>
      <c r="J3" s="480"/>
      <c r="K3" s="480"/>
      <c r="L3" s="477" t="s">
        <v>331</v>
      </c>
      <c r="M3" s="477"/>
      <c r="N3" s="477"/>
      <c r="O3" s="477" t="s">
        <v>106</v>
      </c>
      <c r="P3" s="477"/>
      <c r="Q3" s="477"/>
      <c r="R3" s="477" t="s">
        <v>371</v>
      </c>
      <c r="S3" s="477"/>
      <c r="T3" s="477"/>
      <c r="U3" s="477" t="s">
        <v>463</v>
      </c>
      <c r="V3" s="477"/>
      <c r="W3" s="477"/>
    </row>
    <row r="4" spans="2:23" ht="15">
      <c r="B4" s="467"/>
      <c r="C4" s="468"/>
      <c r="D4" s="469"/>
      <c r="E4" s="469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71" t="s">
        <v>116</v>
      </c>
      <c r="M4" s="89" t="s">
        <v>132</v>
      </c>
      <c r="N4" s="89" t="s">
        <v>133</v>
      </c>
      <c r="O4" s="169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458">
        <v>46029</v>
      </c>
      <c r="C5" s="71"/>
      <c r="D5" s="80">
        <v>46021</v>
      </c>
      <c r="E5" s="80" t="s">
        <v>118</v>
      </c>
      <c r="F5" s="87">
        <v>440.60228233209148</v>
      </c>
      <c r="G5" s="474">
        <f t="shared" ref="G5" si="0">AVERAGE(F5:F11)</f>
        <v>447.97014610118958</v>
      </c>
      <c r="H5" s="481"/>
      <c r="I5" s="156">
        <f>F5/$C$1</f>
        <v>0.8854547474519523</v>
      </c>
      <c r="J5" s="472">
        <f t="shared" ref="J5" si="1">AVERAGE(I5:I11)</f>
        <v>0.90026154763100785</v>
      </c>
      <c r="K5" s="481"/>
      <c r="L5" s="164">
        <v>2.415946838361474E-3</v>
      </c>
      <c r="M5" s="475">
        <f t="shared" ref="M5" si="2">AVERAGE(L5:L11)</f>
        <v>2.4173356981295022E-3</v>
      </c>
      <c r="N5" s="481"/>
      <c r="O5" s="84">
        <v>5.8219496036471452E-3</v>
      </c>
      <c r="P5" s="476">
        <f t="shared" ref="P5" si="3">AVERAGE(O5:O11)</f>
        <v>5.7340977154244754E-3</v>
      </c>
      <c r="Q5" s="481"/>
      <c r="R5" s="156">
        <v>0.9</v>
      </c>
      <c r="S5" s="472">
        <f t="shared" ref="S5" si="4">AVERAGE(R5:R11)</f>
        <v>0.90000000000000013</v>
      </c>
      <c r="T5" s="481"/>
      <c r="U5" s="156">
        <f t="shared" ref="U5:U6" si="5">52/52*100%</f>
        <v>1</v>
      </c>
      <c r="V5" s="472">
        <f t="shared" ref="V5" si="6">AVERAGE(U5:U11)</f>
        <v>0.29945054945054939</v>
      </c>
      <c r="W5" s="481"/>
    </row>
    <row r="6" spans="2:23">
      <c r="B6" s="458"/>
      <c r="C6" s="71"/>
      <c r="D6" s="80">
        <v>46022</v>
      </c>
      <c r="E6" s="80" t="s">
        <v>112</v>
      </c>
      <c r="F6" s="87">
        <v>440.80433091584416</v>
      </c>
      <c r="G6" s="474"/>
      <c r="H6" s="481"/>
      <c r="I6" s="156">
        <f t="shared" ref="I6:I11" si="7">F6/$C$1</f>
        <v>0.88586079364116588</v>
      </c>
      <c r="J6" s="472"/>
      <c r="K6" s="481"/>
      <c r="L6" s="164">
        <v>2.4122385847095409E-3</v>
      </c>
      <c r="M6" s="475"/>
      <c r="N6" s="481"/>
      <c r="O6" s="84">
        <v>5.8017356876952754E-3</v>
      </c>
      <c r="P6" s="476"/>
      <c r="Q6" s="481"/>
      <c r="R6" s="156">
        <v>0.9</v>
      </c>
      <c r="S6" s="472"/>
      <c r="T6" s="481"/>
      <c r="U6" s="156">
        <f t="shared" si="5"/>
        <v>1</v>
      </c>
      <c r="V6" s="472"/>
      <c r="W6" s="481"/>
    </row>
    <row r="7" spans="2:23">
      <c r="B7" s="458"/>
      <c r="C7" s="471" t="s">
        <v>117</v>
      </c>
      <c r="D7" s="80">
        <f t="shared" ref="D7:D21" si="8">D6+1</f>
        <v>46023</v>
      </c>
      <c r="E7" s="80" t="s">
        <v>113</v>
      </c>
      <c r="F7" s="87">
        <v>440.86929778174641</v>
      </c>
      <c r="G7" s="474"/>
      <c r="H7" s="474">
        <f>AVERAGEIF(F7:F37,"&lt;&gt;0")</f>
        <v>455.63186298713816</v>
      </c>
      <c r="I7" s="156">
        <f t="shared" si="7"/>
        <v>0.88599135406299512</v>
      </c>
      <c r="J7" s="472"/>
      <c r="K7" s="474">
        <f>AVERAGEIF(I7:I37,"&lt;&gt;0")</f>
        <v>0.91565888863974698</v>
      </c>
      <c r="L7" s="164">
        <v>2.4220732467964919E-3</v>
      </c>
      <c r="M7" s="475"/>
      <c r="N7" s="475">
        <f>AVERAGEIF(L7:L37,"&lt;&gt;0")</f>
        <v>2.4146726238002958E-3</v>
      </c>
      <c r="O7" s="84">
        <v>5.87284800343743E-3</v>
      </c>
      <c r="P7" s="476"/>
      <c r="Q7" s="476">
        <f>AVERAGEIF(O7:O37,"&lt;&gt;0")</f>
        <v>5.6219257769644518E-3</v>
      </c>
      <c r="R7" s="156">
        <v>0.9</v>
      </c>
      <c r="S7" s="472"/>
      <c r="T7" s="476">
        <f>AVERAGEIF(R7:R37,"&lt;&gt;0")</f>
        <v>0.89999999999999969</v>
      </c>
      <c r="U7" s="156">
        <f>1/52*100%</f>
        <v>1.9230769230769232E-2</v>
      </c>
      <c r="V7" s="472"/>
      <c r="W7" s="476">
        <f>AVERAGEIF(U7:U37,"&lt;&gt;0")</f>
        <v>5.0295857988165674E-2</v>
      </c>
    </row>
    <row r="8" spans="2:23">
      <c r="B8" s="458"/>
      <c r="C8" s="471"/>
      <c r="D8" s="80">
        <f t="shared" si="8"/>
        <v>46024</v>
      </c>
      <c r="E8" s="80" t="s">
        <v>114</v>
      </c>
      <c r="F8" s="87">
        <v>463.40281324785889</v>
      </c>
      <c r="G8" s="474"/>
      <c r="H8" s="474"/>
      <c r="I8" s="156">
        <f t="shared" si="7"/>
        <v>0.93127575009617936</v>
      </c>
      <c r="J8" s="472"/>
      <c r="K8" s="474"/>
      <c r="L8" s="164">
        <v>2.4156113593265939E-3</v>
      </c>
      <c r="M8" s="475"/>
      <c r="N8" s="475"/>
      <c r="O8" s="84">
        <v>5.6425942752311425E-3</v>
      </c>
      <c r="P8" s="476"/>
      <c r="Q8" s="476"/>
      <c r="R8" s="156">
        <v>0.9</v>
      </c>
      <c r="S8" s="472"/>
      <c r="T8" s="476"/>
      <c r="U8" s="156">
        <f>1/52*100%</f>
        <v>1.9230769230769232E-2</v>
      </c>
      <c r="V8" s="472"/>
      <c r="W8" s="476"/>
    </row>
    <row r="9" spans="2:23">
      <c r="B9" s="458"/>
      <c r="C9" s="471"/>
      <c r="D9" s="80">
        <f t="shared" si="8"/>
        <v>46025</v>
      </c>
      <c r="E9" s="80" t="s">
        <v>115</v>
      </c>
      <c r="F9" s="87">
        <v>463.53185048983642</v>
      </c>
      <c r="G9" s="474"/>
      <c r="H9" s="474"/>
      <c r="I9" s="156">
        <f t="shared" si="7"/>
        <v>0.93153506931237218</v>
      </c>
      <c r="J9" s="472"/>
      <c r="K9" s="474"/>
      <c r="L9" s="164">
        <v>2.4240750961036462E-3</v>
      </c>
      <c r="M9" s="475"/>
      <c r="N9" s="475"/>
      <c r="O9" s="84">
        <v>5.8074650999799301E-3</v>
      </c>
      <c r="P9" s="476"/>
      <c r="Q9" s="476"/>
      <c r="R9" s="156">
        <v>0.9</v>
      </c>
      <c r="S9" s="472"/>
      <c r="T9" s="476"/>
      <c r="U9" s="156">
        <f t="shared" ref="U9:U11" si="9">1/52*100%</f>
        <v>1.9230769230769232E-2</v>
      </c>
      <c r="V9" s="472"/>
      <c r="W9" s="476"/>
    </row>
    <row r="10" spans="2:23">
      <c r="B10" s="458"/>
      <c r="C10" s="471"/>
      <c r="D10" s="80">
        <f t="shared" si="8"/>
        <v>46026</v>
      </c>
      <c r="E10" s="80" t="s">
        <v>116</v>
      </c>
      <c r="F10" s="87">
        <v>442.23484892069422</v>
      </c>
      <c r="G10" s="474"/>
      <c r="H10" s="474"/>
      <c r="I10" s="156">
        <f t="shared" si="7"/>
        <v>0.88873562885991597</v>
      </c>
      <c r="J10" s="472"/>
      <c r="K10" s="474"/>
      <c r="L10" s="164">
        <v>2.4174925628940008E-3</v>
      </c>
      <c r="M10" s="475"/>
      <c r="N10" s="475"/>
      <c r="O10" s="84">
        <v>5.5999118203926262E-3</v>
      </c>
      <c r="P10" s="476"/>
      <c r="Q10" s="476"/>
      <c r="R10" s="156">
        <v>0.9</v>
      </c>
      <c r="S10" s="472"/>
      <c r="T10" s="476"/>
      <c r="U10" s="156">
        <f t="shared" si="9"/>
        <v>1.9230769230769232E-2</v>
      </c>
      <c r="V10" s="472"/>
      <c r="W10" s="476"/>
    </row>
    <row r="11" spans="2:23">
      <c r="B11" s="458"/>
      <c r="C11" s="471"/>
      <c r="D11" s="80">
        <f t="shared" si="8"/>
        <v>46027</v>
      </c>
      <c r="E11" s="80" t="s">
        <v>117</v>
      </c>
      <c r="F11" s="87">
        <v>444.34559902025546</v>
      </c>
      <c r="G11" s="474"/>
      <c r="H11" s="474"/>
      <c r="I11" s="156">
        <f t="shared" si="7"/>
        <v>0.89297748999247473</v>
      </c>
      <c r="J11" s="472"/>
      <c r="K11" s="474"/>
      <c r="L11" s="164">
        <v>2.4139121987147676E-3</v>
      </c>
      <c r="M11" s="475"/>
      <c r="N11" s="475"/>
      <c r="O11" s="84">
        <v>5.5921795175877713E-3</v>
      </c>
      <c r="P11" s="476"/>
      <c r="Q11" s="476"/>
      <c r="R11" s="156">
        <v>0.9</v>
      </c>
      <c r="S11" s="472"/>
      <c r="T11" s="476"/>
      <c r="U11" s="156">
        <f t="shared" si="9"/>
        <v>1.9230769230769232E-2</v>
      </c>
      <c r="V11" s="472"/>
      <c r="W11" s="476"/>
    </row>
    <row r="12" spans="2:23">
      <c r="B12" s="458">
        <f t="shared" ref="B12" si="10">B5+7</f>
        <v>46036</v>
      </c>
      <c r="C12" s="471"/>
      <c r="D12" s="80">
        <f t="shared" si="8"/>
        <v>46028</v>
      </c>
      <c r="E12" s="80" t="s">
        <v>118</v>
      </c>
      <c r="F12" s="87">
        <v>440.89876806665058</v>
      </c>
      <c r="G12" s="474">
        <f t="shared" ref="G12" si="11">AVERAGE(F12:F18)</f>
        <v>440.05659965061238</v>
      </c>
      <c r="H12" s="474"/>
      <c r="I12" s="156">
        <f>F12/$C$1</f>
        <v>0.88605057891207906</v>
      </c>
      <c r="J12" s="472">
        <f t="shared" ref="J12" si="12">AVERAGE(I12:I18)</f>
        <v>0.88435811826891553</v>
      </c>
      <c r="K12" s="474"/>
      <c r="L12" s="164">
        <v>2.413963582393445E-3</v>
      </c>
      <c r="M12" s="475">
        <f t="shared" ref="M12" si="13">AVERAGE(L12:L18)</f>
        <v>2.4104171455730174E-3</v>
      </c>
      <c r="N12" s="475"/>
      <c r="O12" s="84">
        <v>5.5846080931394957E-3</v>
      </c>
      <c r="P12" s="476">
        <f t="shared" ref="P12" si="14">AVERAGE(O12:O18)</f>
        <v>5.5868918627595115E-3</v>
      </c>
      <c r="Q12" s="476"/>
      <c r="R12" s="156">
        <v>0.9</v>
      </c>
      <c r="S12" s="472">
        <f t="shared" ref="S12" si="15">AVERAGE(R12:R18)</f>
        <v>0.90000000000000013</v>
      </c>
      <c r="T12" s="476"/>
      <c r="U12" s="156">
        <f>2/52*100%</f>
        <v>3.8461538461538464E-2</v>
      </c>
      <c r="V12" s="472">
        <f t="shared" ref="V12" si="16">AVERAGE(U12:U18)</f>
        <v>3.8461538461538471E-2</v>
      </c>
      <c r="W12" s="476"/>
    </row>
    <row r="13" spans="2:23">
      <c r="B13" s="458"/>
      <c r="C13" s="471"/>
      <c r="D13" s="80">
        <f t="shared" si="8"/>
        <v>46029</v>
      </c>
      <c r="E13" s="80" t="s">
        <v>112</v>
      </c>
      <c r="F13" s="87">
        <v>441.45465950446533</v>
      </c>
      <c r="G13" s="474"/>
      <c r="H13" s="474"/>
      <c r="I13" s="156">
        <f t="shared" ref="I13:I18" si="17">F13/$C$1</f>
        <v>0.88716772408453637</v>
      </c>
      <c r="J13" s="472"/>
      <c r="K13" s="474"/>
      <c r="L13" s="164">
        <v>2.4075362697225824E-3</v>
      </c>
      <c r="M13" s="475"/>
      <c r="N13" s="475"/>
      <c r="O13" s="84">
        <v>5.6016446660571142E-3</v>
      </c>
      <c r="P13" s="476"/>
      <c r="Q13" s="476"/>
      <c r="R13" s="156">
        <v>0.9</v>
      </c>
      <c r="S13" s="472"/>
      <c r="T13" s="476"/>
      <c r="U13" s="156">
        <f>2/52*100%</f>
        <v>3.8461538461538464E-2</v>
      </c>
      <c r="V13" s="472"/>
      <c r="W13" s="476"/>
    </row>
    <row r="14" spans="2:23">
      <c r="B14" s="458"/>
      <c r="C14" s="471"/>
      <c r="D14" s="80">
        <f t="shared" si="8"/>
        <v>46030</v>
      </c>
      <c r="E14" s="80" t="s">
        <v>113</v>
      </c>
      <c r="F14" s="87">
        <v>438.94739891977662</v>
      </c>
      <c r="G14" s="474"/>
      <c r="H14" s="474"/>
      <c r="I14" s="156">
        <f t="shared" si="17"/>
        <v>0.88212901712173752</v>
      </c>
      <c r="J14" s="472"/>
      <c r="K14" s="474"/>
      <c r="L14" s="164">
        <v>2.407902196883725E-3</v>
      </c>
      <c r="M14" s="475"/>
      <c r="N14" s="475"/>
      <c r="O14" s="84">
        <v>5.5576108890095189E-3</v>
      </c>
      <c r="P14" s="476"/>
      <c r="Q14" s="476"/>
      <c r="R14" s="156">
        <v>0.9</v>
      </c>
      <c r="S14" s="472"/>
      <c r="T14" s="476"/>
      <c r="U14" s="156">
        <f t="shared" ref="U14:U18" si="18">2/52*100%</f>
        <v>3.8461538461538464E-2</v>
      </c>
      <c r="V14" s="472"/>
      <c r="W14" s="476"/>
    </row>
    <row r="15" spans="2:23">
      <c r="B15" s="458"/>
      <c r="C15" s="471"/>
      <c r="D15" s="80">
        <f t="shared" si="8"/>
        <v>46031</v>
      </c>
      <c r="E15" s="80" t="s">
        <v>114</v>
      </c>
      <c r="F15" s="87">
        <v>437.50209941033216</v>
      </c>
      <c r="G15" s="474"/>
      <c r="H15" s="474"/>
      <c r="I15" s="156">
        <f t="shared" si="17"/>
        <v>0.87922447630693756</v>
      </c>
      <c r="J15" s="472"/>
      <c r="K15" s="474"/>
      <c r="L15" s="164">
        <v>2.4035888871060404E-3</v>
      </c>
      <c r="M15" s="475"/>
      <c r="N15" s="475"/>
      <c r="O15" s="84">
        <v>5.5400321749001155E-3</v>
      </c>
      <c r="P15" s="476"/>
      <c r="Q15" s="476"/>
      <c r="R15" s="156">
        <v>0.9</v>
      </c>
      <c r="S15" s="472"/>
      <c r="T15" s="476"/>
      <c r="U15" s="156">
        <f t="shared" si="18"/>
        <v>3.8461538461538464E-2</v>
      </c>
      <c r="V15" s="472"/>
      <c r="W15" s="476"/>
    </row>
    <row r="16" spans="2:23">
      <c r="B16" s="458"/>
      <c r="C16" s="471"/>
      <c r="D16" s="80">
        <f t="shared" si="8"/>
        <v>46032</v>
      </c>
      <c r="E16" s="80" t="s">
        <v>115</v>
      </c>
      <c r="F16" s="87">
        <v>439.86335743109294</v>
      </c>
      <c r="G16" s="474"/>
      <c r="H16" s="474"/>
      <c r="I16" s="156">
        <f t="shared" si="17"/>
        <v>0.88396976975701957</v>
      </c>
      <c r="J16" s="472"/>
      <c r="K16" s="474"/>
      <c r="L16" s="164">
        <v>2.4198592110733922E-3</v>
      </c>
      <c r="M16" s="475"/>
      <c r="N16" s="475"/>
      <c r="O16" s="84">
        <v>5.6553492742583162E-3</v>
      </c>
      <c r="P16" s="476"/>
      <c r="Q16" s="476"/>
      <c r="R16" s="156">
        <v>0.9</v>
      </c>
      <c r="S16" s="472"/>
      <c r="T16" s="476"/>
      <c r="U16" s="156">
        <f t="shared" si="18"/>
        <v>3.8461538461538464E-2</v>
      </c>
      <c r="V16" s="472"/>
      <c r="W16" s="476"/>
    </row>
    <row r="17" spans="2:23">
      <c r="B17" s="458"/>
      <c r="C17" s="471"/>
      <c r="D17" s="80">
        <f t="shared" si="8"/>
        <v>46033</v>
      </c>
      <c r="E17" s="80" t="s">
        <v>116</v>
      </c>
      <c r="F17" s="87">
        <v>440.72648409965484</v>
      </c>
      <c r="G17" s="474"/>
      <c r="H17" s="474"/>
      <c r="I17" s="156">
        <f t="shared" si="17"/>
        <v>0.88570434907486906</v>
      </c>
      <c r="J17" s="472"/>
      <c r="K17" s="474"/>
      <c r="L17" s="164">
        <v>2.4119191728722254E-3</v>
      </c>
      <c r="M17" s="475"/>
      <c r="N17" s="475"/>
      <c r="O17" s="84">
        <v>5.6251839848422431E-3</v>
      </c>
      <c r="P17" s="476"/>
      <c r="Q17" s="476"/>
      <c r="R17" s="156">
        <v>0.9</v>
      </c>
      <c r="S17" s="472"/>
      <c r="T17" s="476"/>
      <c r="U17" s="156">
        <f t="shared" si="18"/>
        <v>3.8461538461538464E-2</v>
      </c>
      <c r="V17" s="472"/>
      <c r="W17" s="476"/>
    </row>
    <row r="18" spans="2:23">
      <c r="B18" s="458"/>
      <c r="C18" s="471"/>
      <c r="D18" s="80">
        <f t="shared" si="8"/>
        <v>46034</v>
      </c>
      <c r="E18" s="80" t="s">
        <v>117</v>
      </c>
      <c r="F18" s="87">
        <v>441.00343012231417</v>
      </c>
      <c r="G18" s="474"/>
      <c r="H18" s="474"/>
      <c r="I18" s="156">
        <f t="shared" si="17"/>
        <v>0.88626091262522944</v>
      </c>
      <c r="J18" s="472"/>
      <c r="K18" s="474"/>
      <c r="L18" s="164">
        <v>2.4081506989597152E-3</v>
      </c>
      <c r="M18" s="475"/>
      <c r="N18" s="475"/>
      <c r="O18" s="84">
        <v>5.5438139571097758E-3</v>
      </c>
      <c r="P18" s="476"/>
      <c r="Q18" s="476"/>
      <c r="R18" s="156">
        <v>0.9</v>
      </c>
      <c r="S18" s="472"/>
      <c r="T18" s="476"/>
      <c r="U18" s="156">
        <f t="shared" si="18"/>
        <v>3.8461538461538464E-2</v>
      </c>
      <c r="V18" s="472"/>
      <c r="W18" s="476"/>
    </row>
    <row r="19" spans="2:23">
      <c r="B19" s="458">
        <f t="shared" ref="B19" si="19">B12+7</f>
        <v>46043</v>
      </c>
      <c r="C19" s="471"/>
      <c r="D19" s="80">
        <f t="shared" si="8"/>
        <v>46035</v>
      </c>
      <c r="E19" s="80" t="s">
        <v>118</v>
      </c>
      <c r="F19" s="87">
        <v>456.62186862787865</v>
      </c>
      <c r="G19" s="474">
        <f t="shared" ref="G19" si="20">AVERAGE(F19:F25)</f>
        <v>463.69602499469926</v>
      </c>
      <c r="H19" s="474"/>
      <c r="I19" s="156">
        <f>F19/$C$1</f>
        <v>0.91764844981486859</v>
      </c>
      <c r="J19" s="472">
        <f t="shared" ref="J19" si="21">AVERAGE(I19:I25)</f>
        <v>0.9318650019989938</v>
      </c>
      <c r="K19" s="474"/>
      <c r="L19" s="164">
        <v>2.4037990837497483E-3</v>
      </c>
      <c r="M19" s="475">
        <f t="shared" ref="M19" si="22">AVERAGE(L19:L25)</f>
        <v>2.411799722941318E-3</v>
      </c>
      <c r="N19" s="475"/>
      <c r="O19" s="84">
        <v>5.5260677444111863E-3</v>
      </c>
      <c r="P19" s="476">
        <f t="shared" ref="P19" si="23">AVERAGE(O19:O25)</f>
        <v>5.5709665307977609E-3</v>
      </c>
      <c r="Q19" s="476"/>
      <c r="R19" s="156">
        <v>0.9</v>
      </c>
      <c r="S19" s="472">
        <f t="shared" ref="S19" si="24">AVERAGE(R19:R25)</f>
        <v>0.90000000000000013</v>
      </c>
      <c r="T19" s="476"/>
      <c r="U19" s="156">
        <f>3/52*100%</f>
        <v>5.7692307692307696E-2</v>
      </c>
      <c r="V19" s="472">
        <f t="shared" ref="V19" si="25">AVERAGE(U19:U25)</f>
        <v>5.7692307692307702E-2</v>
      </c>
      <c r="W19" s="476"/>
    </row>
    <row r="20" spans="2:23">
      <c r="B20" s="458"/>
      <c r="C20" s="471"/>
      <c r="D20" s="80">
        <f t="shared" si="8"/>
        <v>46036</v>
      </c>
      <c r="E20" s="80" t="s">
        <v>112</v>
      </c>
      <c r="F20" s="87">
        <v>456.81046004642911</v>
      </c>
      <c r="G20" s="474"/>
      <c r="H20" s="474"/>
      <c r="I20" s="156">
        <f t="shared" ref="I20:I25" si="26">F20/$C$1</f>
        <v>0.9180274518617948</v>
      </c>
      <c r="J20" s="472"/>
      <c r="K20" s="474"/>
      <c r="L20" s="164">
        <v>2.4043348223613641E-3</v>
      </c>
      <c r="M20" s="475"/>
      <c r="N20" s="475"/>
      <c r="O20" s="84">
        <v>5.5230112947181557E-3</v>
      </c>
      <c r="P20" s="476"/>
      <c r="Q20" s="476"/>
      <c r="R20" s="156">
        <v>0.9</v>
      </c>
      <c r="S20" s="472"/>
      <c r="T20" s="476"/>
      <c r="U20" s="156">
        <f t="shared" ref="U20:U25" si="27">3/52*100%</f>
        <v>5.7692307692307696E-2</v>
      </c>
      <c r="V20" s="472"/>
      <c r="W20" s="476"/>
    </row>
    <row r="21" spans="2:23">
      <c r="B21" s="458"/>
      <c r="C21" s="471"/>
      <c r="D21" s="80">
        <f t="shared" si="8"/>
        <v>46037</v>
      </c>
      <c r="E21" s="80" t="s">
        <v>113</v>
      </c>
      <c r="F21" s="87">
        <v>456.86977981908888</v>
      </c>
      <c r="G21" s="474"/>
      <c r="H21" s="474"/>
      <c r="I21" s="156">
        <f t="shared" si="26"/>
        <v>0.91814666362357089</v>
      </c>
      <c r="J21" s="472"/>
      <c r="K21" s="474"/>
      <c r="L21" s="164">
        <v>2.4040081685768816E-3</v>
      </c>
      <c r="M21" s="475"/>
      <c r="N21" s="475"/>
      <c r="O21" s="84">
        <v>5.4763850747125619E-3</v>
      </c>
      <c r="P21" s="476"/>
      <c r="Q21" s="476"/>
      <c r="R21" s="156">
        <v>0.9</v>
      </c>
      <c r="S21" s="472"/>
      <c r="T21" s="476"/>
      <c r="U21" s="156">
        <f t="shared" si="27"/>
        <v>5.7692307692307696E-2</v>
      </c>
      <c r="V21" s="472"/>
      <c r="W21" s="476"/>
    </row>
    <row r="22" spans="2:23">
      <c r="B22" s="458"/>
      <c r="C22" s="471"/>
      <c r="D22" s="80">
        <f t="shared" ref="D22:D46" si="28">D21+1</f>
        <v>46038</v>
      </c>
      <c r="E22" s="80" t="s">
        <v>114</v>
      </c>
      <c r="F22" s="87">
        <v>482.14238278587823</v>
      </c>
      <c r="G22" s="474"/>
      <c r="H22" s="474"/>
      <c r="I22" s="156">
        <f t="shared" si="26"/>
        <v>0.96893565672403181</v>
      </c>
      <c r="J22" s="472"/>
      <c r="K22" s="474"/>
      <c r="L22" s="164">
        <v>2.4202418222152751E-3</v>
      </c>
      <c r="M22" s="475"/>
      <c r="N22" s="475"/>
      <c r="O22" s="84">
        <v>5.5601031846452447E-3</v>
      </c>
      <c r="P22" s="476"/>
      <c r="Q22" s="476"/>
      <c r="R22" s="156">
        <v>0.9</v>
      </c>
      <c r="S22" s="472"/>
      <c r="T22" s="476"/>
      <c r="U22" s="156">
        <f t="shared" si="27"/>
        <v>5.7692307692307696E-2</v>
      </c>
      <c r="V22" s="472"/>
      <c r="W22" s="476"/>
    </row>
    <row r="23" spans="2:23">
      <c r="B23" s="458"/>
      <c r="C23" s="471"/>
      <c r="D23" s="80">
        <f t="shared" si="28"/>
        <v>46039</v>
      </c>
      <c r="E23" s="80" t="s">
        <v>115</v>
      </c>
      <c r="F23" s="87">
        <v>479.63066814607731</v>
      </c>
      <c r="G23" s="474"/>
      <c r="H23" s="474"/>
      <c r="I23" s="156">
        <f t="shared" si="26"/>
        <v>0.96388799868584663</v>
      </c>
      <c r="J23" s="472"/>
      <c r="K23" s="474"/>
      <c r="L23" s="164">
        <v>2.4142006732550971E-3</v>
      </c>
      <c r="M23" s="475"/>
      <c r="N23" s="475"/>
      <c r="O23" s="84">
        <v>5.6116121596502108E-3</v>
      </c>
      <c r="P23" s="476"/>
      <c r="Q23" s="476"/>
      <c r="R23" s="156">
        <v>0.9</v>
      </c>
      <c r="S23" s="472"/>
      <c r="T23" s="476"/>
      <c r="U23" s="156">
        <f t="shared" si="27"/>
        <v>5.7692307692307696E-2</v>
      </c>
      <c r="V23" s="472"/>
      <c r="W23" s="476"/>
    </row>
    <row r="24" spans="2:23">
      <c r="B24" s="458"/>
      <c r="C24" s="471"/>
      <c r="D24" s="80">
        <f t="shared" si="28"/>
        <v>46040</v>
      </c>
      <c r="E24" s="80" t="s">
        <v>116</v>
      </c>
      <c r="F24" s="87">
        <v>457.39342604695349</v>
      </c>
      <c r="G24" s="474"/>
      <c r="H24" s="474"/>
      <c r="I24" s="156">
        <f t="shared" si="26"/>
        <v>0.91919900732908655</v>
      </c>
      <c r="J24" s="472"/>
      <c r="K24" s="474"/>
      <c r="L24" s="164">
        <v>2.4159528356616391E-3</v>
      </c>
      <c r="M24" s="475"/>
      <c r="N24" s="475"/>
      <c r="O24" s="84">
        <v>5.6241436130407925E-3</v>
      </c>
      <c r="P24" s="476"/>
      <c r="Q24" s="476"/>
      <c r="R24" s="156">
        <v>0.9</v>
      </c>
      <c r="S24" s="472"/>
      <c r="T24" s="476"/>
      <c r="U24" s="156">
        <f t="shared" si="27"/>
        <v>5.7692307692307696E-2</v>
      </c>
      <c r="V24" s="472"/>
      <c r="W24" s="476"/>
    </row>
    <row r="25" spans="2:23">
      <c r="B25" s="458"/>
      <c r="C25" s="471"/>
      <c r="D25" s="80">
        <f t="shared" si="28"/>
        <v>46041</v>
      </c>
      <c r="E25" s="80" t="s">
        <v>117</v>
      </c>
      <c r="F25" s="87">
        <v>456.4035894905893</v>
      </c>
      <c r="G25" s="474"/>
      <c r="H25" s="474"/>
      <c r="I25" s="156">
        <f t="shared" si="26"/>
        <v>0.91720978595375657</v>
      </c>
      <c r="J25" s="472"/>
      <c r="K25" s="474"/>
      <c r="L25" s="164">
        <v>2.4200606547692218E-3</v>
      </c>
      <c r="M25" s="475"/>
      <c r="N25" s="475"/>
      <c r="O25" s="84">
        <v>5.6754426444061692E-3</v>
      </c>
      <c r="P25" s="476"/>
      <c r="Q25" s="476"/>
      <c r="R25" s="156">
        <v>0.9</v>
      </c>
      <c r="S25" s="472"/>
      <c r="T25" s="476"/>
      <c r="U25" s="156">
        <f t="shared" si="27"/>
        <v>5.7692307692307696E-2</v>
      </c>
      <c r="V25" s="472"/>
      <c r="W25" s="476"/>
    </row>
    <row r="26" spans="2:23">
      <c r="B26" s="458">
        <f t="shared" ref="B26" si="29">B19+7</f>
        <v>46050</v>
      </c>
      <c r="C26" s="471"/>
      <c r="D26" s="80">
        <f t="shared" si="28"/>
        <v>46042</v>
      </c>
      <c r="E26" s="80" t="s">
        <v>118</v>
      </c>
      <c r="F26" s="87">
        <v>455.46637585386554</v>
      </c>
      <c r="G26" s="474">
        <f t="shared" ref="G26" si="30">AVERAGE(F26:F32)</f>
        <v>466.53937938400276</v>
      </c>
      <c r="H26" s="474"/>
      <c r="I26" s="156">
        <f>F26/$C$1</f>
        <v>0.91532631803429565</v>
      </c>
      <c r="J26" s="472">
        <f t="shared" ref="J26" si="31">AVERAGE(I26:I32)</f>
        <v>0.93757913863344611</v>
      </c>
      <c r="K26" s="474"/>
      <c r="L26" s="164">
        <v>2.4279546517099421E-3</v>
      </c>
      <c r="M26" s="475">
        <f t="shared" ref="M26" si="32">AVERAGE(L26:L32)</f>
        <v>2.4189722393388362E-3</v>
      </c>
      <c r="N26" s="475"/>
      <c r="O26" s="84">
        <v>5.7649191197651313E-3</v>
      </c>
      <c r="P26" s="476">
        <f t="shared" ref="P26" si="33">AVERAGE(O26:O32)</f>
        <v>5.6500089613637072E-3</v>
      </c>
      <c r="Q26" s="476"/>
      <c r="R26" s="156">
        <v>0.9</v>
      </c>
      <c r="S26" s="472">
        <f t="shared" ref="S26" si="34">AVERAGE(R26:R32)</f>
        <v>0.90000000000000013</v>
      </c>
      <c r="T26" s="476"/>
      <c r="U26" s="156">
        <f>4/52*100%</f>
        <v>7.6923076923076927E-2</v>
      </c>
      <c r="V26" s="472">
        <f t="shared" ref="V26" si="35">AVERAGE(U26:U32)</f>
        <v>7.6923076923076941E-2</v>
      </c>
      <c r="W26" s="476"/>
    </row>
    <row r="27" spans="2:23">
      <c r="B27" s="458"/>
      <c r="C27" s="471"/>
      <c r="D27" s="80">
        <f t="shared" si="28"/>
        <v>46043</v>
      </c>
      <c r="E27" s="80" t="s">
        <v>112</v>
      </c>
      <c r="F27" s="87">
        <v>457.17927416574435</v>
      </c>
      <c r="G27" s="474"/>
      <c r="H27" s="474"/>
      <c r="I27" s="156">
        <f t="shared" ref="I27:I32" si="36">F27/$C$1</f>
        <v>0.91876863779289453</v>
      </c>
      <c r="J27" s="472"/>
      <c r="K27" s="474"/>
      <c r="L27" s="164">
        <v>2.4238598308791103E-3</v>
      </c>
      <c r="M27" s="475"/>
      <c r="N27" s="475"/>
      <c r="O27" s="84">
        <v>5.635773023447135E-3</v>
      </c>
      <c r="P27" s="476"/>
      <c r="Q27" s="476"/>
      <c r="R27" s="156">
        <v>0.9</v>
      </c>
      <c r="S27" s="472"/>
      <c r="T27" s="476"/>
      <c r="U27" s="156">
        <f t="shared" ref="U27:U32" si="37">4/52*100%</f>
        <v>7.6923076923076927E-2</v>
      </c>
      <c r="V27" s="472"/>
      <c r="W27" s="476"/>
    </row>
    <row r="28" spans="2:23">
      <c r="B28" s="458"/>
      <c r="C28" s="471"/>
      <c r="D28" s="80">
        <f t="shared" si="28"/>
        <v>46044</v>
      </c>
      <c r="E28" s="80" t="s">
        <v>113</v>
      </c>
      <c r="F28" s="87">
        <v>457.3833587697593</v>
      </c>
      <c r="G28" s="474"/>
      <c r="H28" s="474"/>
      <c r="I28" s="156">
        <f t="shared" si="36"/>
        <v>0.91917877566269957</v>
      </c>
      <c r="J28" s="472"/>
      <c r="K28" s="474"/>
      <c r="L28" s="164">
        <v>2.4181957037502453E-3</v>
      </c>
      <c r="M28" s="475"/>
      <c r="N28" s="475"/>
      <c r="O28" s="84">
        <v>5.5916716210754717E-3</v>
      </c>
      <c r="P28" s="476"/>
      <c r="Q28" s="476"/>
      <c r="R28" s="156">
        <v>0.9</v>
      </c>
      <c r="S28" s="472"/>
      <c r="T28" s="476"/>
      <c r="U28" s="156">
        <f t="shared" si="37"/>
        <v>7.6923076923076927E-2</v>
      </c>
      <c r="V28" s="472"/>
      <c r="W28" s="476"/>
    </row>
    <row r="29" spans="2:23">
      <c r="B29" s="458"/>
      <c r="C29" s="471"/>
      <c r="D29" s="80">
        <f t="shared" si="28"/>
        <v>46045</v>
      </c>
      <c r="E29" s="80" t="s">
        <v>114</v>
      </c>
      <c r="F29" s="87">
        <v>481.48415763266928</v>
      </c>
      <c r="G29" s="474"/>
      <c r="H29" s="474"/>
      <c r="I29" s="156">
        <f t="shared" si="36"/>
        <v>0.96761285697883692</v>
      </c>
      <c r="J29" s="472"/>
      <c r="K29" s="474"/>
      <c r="L29" s="164">
        <v>2.4142471244451799E-3</v>
      </c>
      <c r="M29" s="475"/>
      <c r="N29" s="475"/>
      <c r="O29" s="84">
        <v>5.8235340983710032E-3</v>
      </c>
      <c r="P29" s="476"/>
      <c r="Q29" s="476"/>
      <c r="R29" s="156">
        <v>0.9</v>
      </c>
      <c r="S29" s="472"/>
      <c r="T29" s="476"/>
      <c r="U29" s="156">
        <f t="shared" si="37"/>
        <v>7.6923076923076927E-2</v>
      </c>
      <c r="V29" s="472"/>
      <c r="W29" s="476"/>
    </row>
    <row r="30" spans="2:23">
      <c r="B30" s="458"/>
      <c r="C30" s="471"/>
      <c r="D30" s="80">
        <f t="shared" si="28"/>
        <v>46046</v>
      </c>
      <c r="E30" s="80" t="s">
        <v>115</v>
      </c>
      <c r="F30" s="87">
        <v>486.54463077853933</v>
      </c>
      <c r="G30" s="474"/>
      <c r="H30" s="474"/>
      <c r="I30" s="156">
        <f t="shared" si="36"/>
        <v>0.97778261812407419</v>
      </c>
      <c r="J30" s="472"/>
      <c r="K30" s="474"/>
      <c r="L30" s="164">
        <v>2.4123420878463175E-3</v>
      </c>
      <c r="M30" s="475"/>
      <c r="N30" s="475"/>
      <c r="O30" s="84">
        <v>5.624463228771465E-3</v>
      </c>
      <c r="P30" s="476"/>
      <c r="Q30" s="476"/>
      <c r="R30" s="156">
        <v>0.9</v>
      </c>
      <c r="S30" s="472"/>
      <c r="T30" s="476"/>
      <c r="U30" s="156">
        <f t="shared" si="37"/>
        <v>7.6923076923076927E-2</v>
      </c>
      <c r="V30" s="472"/>
      <c r="W30" s="476"/>
    </row>
    <row r="31" spans="2:23">
      <c r="B31" s="458"/>
      <c r="C31" s="471"/>
      <c r="D31" s="80">
        <f t="shared" si="28"/>
        <v>46047</v>
      </c>
      <c r="E31" s="80" t="s">
        <v>116</v>
      </c>
      <c r="F31" s="87">
        <v>463.63628557099696</v>
      </c>
      <c r="G31" s="474"/>
      <c r="H31" s="474"/>
      <c r="I31" s="156">
        <f t="shared" si="36"/>
        <v>0.93174494688705167</v>
      </c>
      <c r="J31" s="472"/>
      <c r="K31" s="474"/>
      <c r="L31" s="164">
        <v>2.4223208945715296E-3</v>
      </c>
      <c r="M31" s="475"/>
      <c r="N31" s="475"/>
      <c r="O31" s="84">
        <v>5.5695871186920588E-3</v>
      </c>
      <c r="P31" s="476"/>
      <c r="Q31" s="476"/>
      <c r="R31" s="156">
        <v>0.9</v>
      </c>
      <c r="S31" s="472"/>
      <c r="T31" s="476"/>
      <c r="U31" s="156">
        <f t="shared" si="37"/>
        <v>7.6923076923076927E-2</v>
      </c>
      <c r="V31" s="472"/>
      <c r="W31" s="476"/>
    </row>
    <row r="32" spans="2:23">
      <c r="B32" s="458"/>
      <c r="C32" s="471"/>
      <c r="D32" s="80">
        <f t="shared" si="28"/>
        <v>46048</v>
      </c>
      <c r="E32" s="80" t="s">
        <v>117</v>
      </c>
      <c r="F32" s="87">
        <v>464.08157291644511</v>
      </c>
      <c r="G32" s="474"/>
      <c r="H32" s="474"/>
      <c r="I32" s="156">
        <f t="shared" si="36"/>
        <v>0.93263981695427067</v>
      </c>
      <c r="J32" s="472"/>
      <c r="K32" s="474"/>
      <c r="L32" s="164">
        <v>2.4138853821695288E-3</v>
      </c>
      <c r="M32" s="475"/>
      <c r="N32" s="475"/>
      <c r="O32" s="84">
        <v>5.5401145194236799E-3</v>
      </c>
      <c r="P32" s="476"/>
      <c r="Q32" s="476"/>
      <c r="R32" s="156">
        <v>0.9</v>
      </c>
      <c r="S32" s="472"/>
      <c r="T32" s="476"/>
      <c r="U32" s="156">
        <f t="shared" si="37"/>
        <v>7.6923076923076927E-2</v>
      </c>
      <c r="V32" s="472"/>
      <c r="W32" s="476"/>
    </row>
    <row r="33" spans="2:23">
      <c r="B33" s="458">
        <f t="shared" ref="B33" si="38">B26+7</f>
        <v>46057</v>
      </c>
      <c r="C33" s="471"/>
      <c r="D33" s="80">
        <f t="shared" si="28"/>
        <v>46049</v>
      </c>
      <c r="E33" s="80" t="s">
        <v>118</v>
      </c>
      <c r="F33" s="87"/>
      <c r="G33" s="474" t="e">
        <f t="shared" ref="G33" si="39">AVERAGE(F33:F39)</f>
        <v>#DIV/0!</v>
      </c>
      <c r="H33" s="474"/>
      <c r="I33" s="156">
        <f>F33/$C$1</f>
        <v>0</v>
      </c>
      <c r="J33" s="472">
        <f t="shared" ref="J33" si="40">AVERAGE(I33:I39)</f>
        <v>0</v>
      </c>
      <c r="K33" s="474"/>
      <c r="L33" s="164"/>
      <c r="M33" s="475" t="e">
        <f t="shared" ref="M33" si="41">AVERAGE(L33:L39)</f>
        <v>#DIV/0!</v>
      </c>
      <c r="N33" s="475"/>
      <c r="O33" s="84"/>
      <c r="P33" s="472" t="e">
        <f t="shared" ref="P33" si="42">AVERAGE(O33:O39)</f>
        <v>#DIV/0!</v>
      </c>
      <c r="Q33" s="476"/>
      <c r="R33" s="156"/>
      <c r="S33" s="472" t="e">
        <f t="shared" ref="S33" si="43">AVERAGE(R33:R39)</f>
        <v>#DIV/0!</v>
      </c>
      <c r="T33" s="476"/>
      <c r="U33" s="156"/>
      <c r="V33" s="472" t="e">
        <f t="shared" ref="V33" si="44">AVERAGE(U33:U39)</f>
        <v>#DIV/0!</v>
      </c>
      <c r="W33" s="476"/>
    </row>
    <row r="34" spans="2:23">
      <c r="B34" s="458"/>
      <c r="C34" s="471"/>
      <c r="D34" s="80">
        <f t="shared" si="28"/>
        <v>46050</v>
      </c>
      <c r="E34" s="80" t="s">
        <v>112</v>
      </c>
      <c r="F34" s="87"/>
      <c r="G34" s="474"/>
      <c r="H34" s="474"/>
      <c r="I34" s="156">
        <f t="shared" ref="I34:I39" si="45">F34/$C$1</f>
        <v>0</v>
      </c>
      <c r="J34" s="472"/>
      <c r="K34" s="474"/>
      <c r="L34" s="164"/>
      <c r="M34" s="475"/>
      <c r="N34" s="475"/>
      <c r="O34" s="84"/>
      <c r="P34" s="472"/>
      <c r="Q34" s="476"/>
      <c r="R34" s="156"/>
      <c r="S34" s="472"/>
      <c r="T34" s="476"/>
      <c r="U34" s="156"/>
      <c r="V34" s="472"/>
      <c r="W34" s="476"/>
    </row>
    <row r="35" spans="2:23">
      <c r="B35" s="458"/>
      <c r="C35" s="471"/>
      <c r="D35" s="80">
        <f t="shared" si="28"/>
        <v>46051</v>
      </c>
      <c r="E35" s="80" t="s">
        <v>113</v>
      </c>
      <c r="F35" s="87"/>
      <c r="G35" s="474"/>
      <c r="H35" s="474"/>
      <c r="I35" s="156">
        <f t="shared" si="45"/>
        <v>0</v>
      </c>
      <c r="J35" s="472"/>
      <c r="K35" s="474"/>
      <c r="L35" s="164"/>
      <c r="M35" s="475"/>
      <c r="N35" s="475"/>
      <c r="O35" s="84"/>
      <c r="P35" s="472"/>
      <c r="Q35" s="476"/>
      <c r="R35" s="156"/>
      <c r="S35" s="472"/>
      <c r="T35" s="476"/>
      <c r="U35" s="156"/>
      <c r="V35" s="472"/>
      <c r="W35" s="476"/>
    </row>
    <row r="36" spans="2:23">
      <c r="B36" s="458"/>
      <c r="C36" s="471"/>
      <c r="D36" s="80">
        <f t="shared" si="28"/>
        <v>46052</v>
      </c>
      <c r="E36" s="80" t="s">
        <v>114</v>
      </c>
      <c r="F36" s="87"/>
      <c r="G36" s="474"/>
      <c r="H36" s="474"/>
      <c r="I36" s="156">
        <f t="shared" si="45"/>
        <v>0</v>
      </c>
      <c r="J36" s="472"/>
      <c r="K36" s="474"/>
      <c r="L36" s="164"/>
      <c r="M36" s="475"/>
      <c r="N36" s="475"/>
      <c r="O36" s="84"/>
      <c r="P36" s="472"/>
      <c r="Q36" s="476"/>
      <c r="R36" s="156"/>
      <c r="S36" s="472"/>
      <c r="T36" s="476"/>
      <c r="U36" s="156"/>
      <c r="V36" s="472"/>
      <c r="W36" s="476"/>
    </row>
    <row r="37" spans="2:23">
      <c r="B37" s="458"/>
      <c r="C37" s="471"/>
      <c r="D37" s="80">
        <f t="shared" si="28"/>
        <v>46053</v>
      </c>
      <c r="E37" s="80" t="s">
        <v>115</v>
      </c>
      <c r="F37" s="87"/>
      <c r="G37" s="474"/>
      <c r="H37" s="474"/>
      <c r="I37" s="156">
        <f t="shared" si="45"/>
        <v>0</v>
      </c>
      <c r="J37" s="472"/>
      <c r="K37" s="474"/>
      <c r="L37" s="164"/>
      <c r="M37" s="475"/>
      <c r="N37" s="475"/>
      <c r="O37" s="84"/>
      <c r="P37" s="472"/>
      <c r="Q37" s="476"/>
      <c r="R37" s="156"/>
      <c r="S37" s="472"/>
      <c r="T37" s="476"/>
      <c r="U37" s="156"/>
      <c r="V37" s="472"/>
      <c r="W37" s="476"/>
    </row>
    <row r="38" spans="2:23">
      <c r="B38" s="458"/>
      <c r="D38" s="80">
        <f t="shared" si="28"/>
        <v>46054</v>
      </c>
      <c r="E38" s="80" t="s">
        <v>116</v>
      </c>
      <c r="F38" s="87"/>
      <c r="G38" s="474"/>
      <c r="H38" s="87"/>
      <c r="I38" s="156">
        <f t="shared" si="45"/>
        <v>0</v>
      </c>
      <c r="J38" s="472"/>
      <c r="L38" s="164"/>
      <c r="M38" s="475"/>
      <c r="O38" s="84"/>
      <c r="P38" s="472"/>
      <c r="R38" s="156"/>
      <c r="S38" s="472"/>
      <c r="U38" s="156"/>
      <c r="V38" s="472"/>
    </row>
    <row r="39" spans="2:23">
      <c r="B39" s="458"/>
      <c r="D39" s="80">
        <f t="shared" si="28"/>
        <v>46055</v>
      </c>
      <c r="E39" s="80" t="s">
        <v>117</v>
      </c>
      <c r="F39" s="87"/>
      <c r="G39" s="474"/>
      <c r="H39" s="87"/>
      <c r="I39" s="156">
        <f t="shared" si="45"/>
        <v>0</v>
      </c>
      <c r="J39" s="472"/>
      <c r="L39" s="164"/>
      <c r="M39" s="475"/>
      <c r="O39" s="84"/>
      <c r="P39" s="472"/>
      <c r="R39" s="156"/>
      <c r="S39" s="472"/>
      <c r="U39" s="156"/>
      <c r="V39" s="472"/>
    </row>
    <row r="40" spans="2:23">
      <c r="B40" s="458">
        <f t="shared" ref="B40" si="46">B33+7</f>
        <v>46064</v>
      </c>
      <c r="D40" s="80">
        <f t="shared" si="28"/>
        <v>46056</v>
      </c>
      <c r="E40" s="80" t="s">
        <v>118</v>
      </c>
      <c r="F40" s="87"/>
      <c r="G40" s="474" t="e">
        <f t="shared" ref="G40" si="47">AVERAGE(F40:F46)</f>
        <v>#DIV/0!</v>
      </c>
      <c r="I40" s="156">
        <f>F40/$C$1</f>
        <v>0</v>
      </c>
      <c r="J40" s="472">
        <f t="shared" ref="J40" si="48">AVERAGE(I40:I46)</f>
        <v>0</v>
      </c>
      <c r="L40" s="164"/>
      <c r="M40" s="475" t="e">
        <f t="shared" ref="M40" si="49">AVERAGE(L40:L46)</f>
        <v>#DIV/0!</v>
      </c>
      <c r="O40" s="84"/>
      <c r="P40" s="472" t="e">
        <f t="shared" ref="P40" si="50">AVERAGE(O40:O46)</f>
        <v>#DIV/0!</v>
      </c>
      <c r="R40" s="156"/>
      <c r="S40" s="472" t="e">
        <f t="shared" ref="S40" si="51">AVERAGE(R40:R46)</f>
        <v>#DIV/0!</v>
      </c>
      <c r="U40" s="156"/>
      <c r="V40" s="472" t="e">
        <f t="shared" ref="V40" si="52">AVERAGE(U40:U46)</f>
        <v>#DIV/0!</v>
      </c>
    </row>
    <row r="41" spans="2:23">
      <c r="B41" s="458"/>
      <c r="D41" s="80">
        <f t="shared" si="28"/>
        <v>46057</v>
      </c>
      <c r="E41" s="80" t="s">
        <v>112</v>
      </c>
      <c r="F41" s="87"/>
      <c r="G41" s="474"/>
      <c r="I41" s="156">
        <f t="shared" ref="I41:I46" si="53">F41/$C$1</f>
        <v>0</v>
      </c>
      <c r="J41" s="472"/>
      <c r="L41" s="164"/>
      <c r="M41" s="475"/>
      <c r="O41" s="84"/>
      <c r="P41" s="472"/>
      <c r="R41" s="156"/>
      <c r="S41" s="472"/>
      <c r="U41" s="156"/>
      <c r="V41" s="472"/>
    </row>
    <row r="42" spans="2:23">
      <c r="B42" s="458"/>
      <c r="D42" s="80">
        <f t="shared" si="28"/>
        <v>46058</v>
      </c>
      <c r="E42" s="80" t="s">
        <v>113</v>
      </c>
      <c r="F42" s="87"/>
      <c r="G42" s="474"/>
      <c r="I42" s="156">
        <f t="shared" si="53"/>
        <v>0</v>
      </c>
      <c r="J42" s="472"/>
      <c r="L42" s="164"/>
      <c r="M42" s="475"/>
      <c r="O42" s="84"/>
      <c r="P42" s="472"/>
      <c r="R42" s="156"/>
      <c r="S42" s="472"/>
      <c r="U42" s="156"/>
      <c r="V42" s="472"/>
    </row>
    <row r="43" spans="2:23">
      <c r="B43" s="458"/>
      <c r="D43" s="80">
        <f t="shared" si="28"/>
        <v>46059</v>
      </c>
      <c r="E43" s="80" t="s">
        <v>114</v>
      </c>
      <c r="F43" s="87"/>
      <c r="G43" s="474"/>
      <c r="I43" s="156">
        <f t="shared" si="53"/>
        <v>0</v>
      </c>
      <c r="J43" s="472"/>
      <c r="L43" s="164"/>
      <c r="M43" s="475"/>
      <c r="O43" s="84"/>
      <c r="P43" s="472"/>
      <c r="R43" s="156"/>
      <c r="S43" s="472"/>
      <c r="U43" s="156"/>
      <c r="V43" s="472"/>
    </row>
    <row r="44" spans="2:23">
      <c r="B44" s="458"/>
      <c r="D44" s="80">
        <f t="shared" si="28"/>
        <v>46060</v>
      </c>
      <c r="E44" s="80" t="s">
        <v>115</v>
      </c>
      <c r="F44" s="87"/>
      <c r="G44" s="474"/>
      <c r="I44" s="156">
        <f t="shared" si="53"/>
        <v>0</v>
      </c>
      <c r="J44" s="472"/>
      <c r="L44" s="164"/>
      <c r="M44" s="475"/>
      <c r="O44" s="84"/>
      <c r="P44" s="472"/>
      <c r="R44" s="156"/>
      <c r="S44" s="472"/>
      <c r="U44" s="156"/>
      <c r="V44" s="472"/>
    </row>
    <row r="45" spans="2:23">
      <c r="B45" s="458"/>
      <c r="D45" s="80">
        <f t="shared" si="28"/>
        <v>46061</v>
      </c>
      <c r="E45" s="80" t="s">
        <v>116</v>
      </c>
      <c r="F45" s="87"/>
      <c r="G45" s="474"/>
      <c r="I45" s="156">
        <f t="shared" si="53"/>
        <v>0</v>
      </c>
      <c r="J45" s="472"/>
      <c r="L45" s="164"/>
      <c r="M45" s="475"/>
      <c r="O45" s="84"/>
      <c r="P45" s="472"/>
      <c r="R45" s="156"/>
      <c r="S45" s="472"/>
      <c r="U45" s="156"/>
      <c r="V45" s="472"/>
    </row>
    <row r="46" spans="2:23">
      <c r="B46" s="458"/>
      <c r="D46" s="80">
        <f t="shared" si="28"/>
        <v>46062</v>
      </c>
      <c r="E46" s="80" t="s">
        <v>117</v>
      </c>
      <c r="F46" s="87"/>
      <c r="G46" s="474"/>
      <c r="I46" s="156">
        <f t="shared" si="53"/>
        <v>0</v>
      </c>
      <c r="J46" s="472"/>
      <c r="L46" s="164"/>
      <c r="M46" s="475"/>
      <c r="O46" s="84"/>
      <c r="P46" s="472"/>
      <c r="R46" s="156"/>
      <c r="S46" s="472"/>
      <c r="U46" s="156"/>
      <c r="V46" s="472"/>
    </row>
  </sheetData>
  <mergeCells count="65">
    <mergeCell ref="W5:W6"/>
    <mergeCell ref="W7:W37"/>
    <mergeCell ref="K5:K6"/>
    <mergeCell ref="K7:K37"/>
    <mergeCell ref="C7:C37"/>
    <mergeCell ref="S19:S25"/>
    <mergeCell ref="V19:V25"/>
    <mergeCell ref="S5:S11"/>
    <mergeCell ref="V5:V11"/>
    <mergeCell ref="B40:B46"/>
    <mergeCell ref="G40:G46"/>
    <mergeCell ref="J40:J46"/>
    <mergeCell ref="M40:M46"/>
    <mergeCell ref="P40:P46"/>
    <mergeCell ref="S40:S46"/>
    <mergeCell ref="V40:V46"/>
    <mergeCell ref="H7:H37"/>
    <mergeCell ref="H5:H6"/>
    <mergeCell ref="N5:N6"/>
    <mergeCell ref="N7:N37"/>
    <mergeCell ref="Q5:Q6"/>
    <mergeCell ref="Q7:Q37"/>
    <mergeCell ref="T5:T6"/>
    <mergeCell ref="T7:T37"/>
    <mergeCell ref="S26:S32"/>
    <mergeCell ref="V26:V32"/>
    <mergeCell ref="S33:S39"/>
    <mergeCell ref="V33:V39"/>
    <mergeCell ref="S12:S18"/>
    <mergeCell ref="V12:V18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B5:B11"/>
    <mergeCell ref="G5:G11"/>
    <mergeCell ref="J5:J11"/>
    <mergeCell ref="M5:M11"/>
    <mergeCell ref="P5:P11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69"/>
  <sheetViews>
    <sheetView topLeftCell="A7" zoomScale="85" zoomScaleNormal="85" workbookViewId="0">
      <selection activeCell="F32" sqref="F32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37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463" t="s">
        <v>329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40" ht="25.4" customHeight="1">
      <c r="B3" s="484" t="s">
        <v>152</v>
      </c>
      <c r="C3" s="485" t="s">
        <v>145</v>
      </c>
      <c r="D3" s="487" t="s">
        <v>105</v>
      </c>
      <c r="E3" s="487"/>
      <c r="F3" s="489" t="s">
        <v>136</v>
      </c>
      <c r="G3" s="489"/>
      <c r="H3" s="489"/>
      <c r="I3" s="490" t="s">
        <v>109</v>
      </c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</row>
    <row r="4" spans="1:40" ht="25.4" customHeight="1">
      <c r="B4" s="484"/>
      <c r="C4" s="485"/>
      <c r="D4" s="487"/>
      <c r="E4" s="487"/>
      <c r="F4" s="489"/>
      <c r="G4" s="489"/>
      <c r="H4" s="489"/>
      <c r="I4" s="482" t="s">
        <v>146</v>
      </c>
      <c r="J4" s="482"/>
      <c r="K4" s="482"/>
      <c r="L4" s="482"/>
      <c r="M4" s="482"/>
      <c r="N4" s="482"/>
      <c r="O4" s="482" t="s">
        <v>147</v>
      </c>
      <c r="P4" s="482"/>
      <c r="Q4" s="482"/>
      <c r="R4" s="482"/>
      <c r="S4" s="482"/>
      <c r="T4" s="482"/>
      <c r="U4" s="482" t="s">
        <v>148</v>
      </c>
      <c r="V4" s="482"/>
      <c r="W4" s="482" t="s">
        <v>149</v>
      </c>
      <c r="X4" s="482"/>
      <c r="Y4" s="482" t="s">
        <v>140</v>
      </c>
      <c r="Z4" s="482"/>
      <c r="AA4" s="482"/>
      <c r="AB4" s="482"/>
      <c r="AC4" s="482"/>
      <c r="AD4" s="482"/>
      <c r="AE4" s="482" t="s">
        <v>138</v>
      </c>
      <c r="AF4" s="482"/>
      <c r="AG4" s="482" t="s">
        <v>150</v>
      </c>
      <c r="AH4" s="482"/>
      <c r="AI4" s="482" t="s">
        <v>151</v>
      </c>
      <c r="AJ4" s="482"/>
      <c r="AK4" s="482" t="s">
        <v>144</v>
      </c>
      <c r="AL4" s="482"/>
    </row>
    <row r="5" spans="1:40" ht="25.4" customHeight="1">
      <c r="B5" s="484"/>
      <c r="C5" s="485"/>
      <c r="D5" s="487"/>
      <c r="E5" s="487"/>
      <c r="F5" s="492" t="s">
        <v>116</v>
      </c>
      <c r="G5" s="483" t="s">
        <v>120</v>
      </c>
      <c r="H5" s="483" t="s">
        <v>121</v>
      </c>
      <c r="I5" s="482" t="s">
        <v>134</v>
      </c>
      <c r="J5" s="482"/>
      <c r="K5" s="482" t="s">
        <v>135</v>
      </c>
      <c r="L5" s="482"/>
      <c r="M5" s="491" t="s">
        <v>153</v>
      </c>
      <c r="N5" s="482"/>
      <c r="O5" s="482" t="s">
        <v>134</v>
      </c>
      <c r="P5" s="482"/>
      <c r="Q5" s="482" t="s">
        <v>135</v>
      </c>
      <c r="R5" s="482"/>
      <c r="S5" s="491" t="s">
        <v>153</v>
      </c>
      <c r="T5" s="482"/>
      <c r="U5" s="482" t="s">
        <v>134</v>
      </c>
      <c r="V5" s="482"/>
      <c r="W5" s="482" t="s">
        <v>134</v>
      </c>
      <c r="X5" s="482"/>
      <c r="Y5" s="482" t="s">
        <v>134</v>
      </c>
      <c r="Z5" s="482"/>
      <c r="AA5" s="482" t="s">
        <v>135</v>
      </c>
      <c r="AB5" s="482"/>
      <c r="AC5" s="491" t="s">
        <v>153</v>
      </c>
      <c r="AD5" s="482"/>
      <c r="AE5" s="482" t="s">
        <v>134</v>
      </c>
      <c r="AF5" s="482"/>
      <c r="AG5" s="482" t="s">
        <v>134</v>
      </c>
      <c r="AH5" s="482"/>
      <c r="AI5" s="482" t="s">
        <v>134</v>
      </c>
      <c r="AJ5" s="482"/>
      <c r="AK5" s="482" t="s">
        <v>134</v>
      </c>
      <c r="AL5" s="482"/>
    </row>
    <row r="6" spans="1:40" s="77" customFormat="1" ht="23.5" customHeight="1">
      <c r="B6" s="484"/>
      <c r="C6" s="486"/>
      <c r="D6" s="488"/>
      <c r="E6" s="488"/>
      <c r="F6" s="493"/>
      <c r="G6" s="483"/>
      <c r="H6" s="483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 collapsed="1">
      <c r="B7" s="500">
        <f t="shared" ref="B7" si="0">D15</f>
        <v>46029</v>
      </c>
      <c r="C7" s="494"/>
      <c r="D7" s="173">
        <v>46021</v>
      </c>
      <c r="E7" s="173" t="s">
        <v>118</v>
      </c>
      <c r="F7" s="338">
        <f t="shared" ref="F7:F34" si="1">SUM(M7,S7,U7,W7,AC7,AE7,AG7,AI7,AK7)</f>
        <v>4991542.16</v>
      </c>
      <c r="G7" s="510">
        <f t="shared" ref="G7" si="2">SUM(F7:F13)</f>
        <v>32267366.500000004</v>
      </c>
      <c r="H7" s="494"/>
      <c r="I7" s="174">
        <v>802705.92999999993</v>
      </c>
      <c r="J7" s="175">
        <f t="shared" ref="J7:J34" si="3">I7/$F7</f>
        <v>0.16081321248421548</v>
      </c>
      <c r="K7" s="174">
        <v>896992.84000000008</v>
      </c>
      <c r="L7" s="175">
        <f t="shared" ref="L7:L34" si="4">K7/$F7</f>
        <v>0.17970254707815592</v>
      </c>
      <c r="M7" s="174">
        <f t="shared" ref="M7:M34" si="5">I7+K7</f>
        <v>1699698.77</v>
      </c>
      <c r="N7" s="175">
        <f t="shared" ref="N7" si="6">M7/$F7</f>
        <v>0.3405157595623714</v>
      </c>
      <c r="O7" s="174">
        <v>261073.91999999998</v>
      </c>
      <c r="P7" s="175">
        <f t="shared" ref="P7:P34" si="7">O7/$F7</f>
        <v>5.2303258518405456E-2</v>
      </c>
      <c r="Q7" s="174">
        <v>154968.15000000002</v>
      </c>
      <c r="R7" s="175">
        <f t="shared" ref="R7:R34" si="8">Q7/$F7</f>
        <v>3.1046146668227283E-2</v>
      </c>
      <c r="S7" s="174">
        <f t="shared" ref="S7:S34" si="9">O7+Q7</f>
        <v>416042.07</v>
      </c>
      <c r="T7" s="175">
        <f t="shared" ref="T7" si="10">S7/$F7</f>
        <v>8.3349405186632738E-2</v>
      </c>
      <c r="U7" s="174">
        <v>126348.91</v>
      </c>
      <c r="V7" s="175">
        <f t="shared" ref="V7" si="11">U7/$F7</f>
        <v>2.5312599984129956E-2</v>
      </c>
      <c r="W7" s="174">
        <v>0</v>
      </c>
      <c r="X7" s="175">
        <f t="shared" ref="X7:X34" si="12">W7/$F7</f>
        <v>0</v>
      </c>
      <c r="Y7" s="174">
        <v>216293.7</v>
      </c>
      <c r="Z7" s="175">
        <f t="shared" ref="Z7:Z34" si="13">Y7/$F7</f>
        <v>4.3332039090700582E-2</v>
      </c>
      <c r="AA7" s="174">
        <v>702239.58000000007</v>
      </c>
      <c r="AB7" s="175">
        <f t="shared" ref="AB7:AB34" si="14">AA7/$F7</f>
        <v>0.14068589575931781</v>
      </c>
      <c r="AC7" s="174">
        <f t="shared" ref="AC7:AC34" si="15">Y7+AA7</f>
        <v>918533.28</v>
      </c>
      <c r="AD7" s="175">
        <f t="shared" ref="AD7:AD34" si="16">AC7/$F7</f>
        <v>0.18401793485001838</v>
      </c>
      <c r="AE7" s="174">
        <v>1335435.8899999999</v>
      </c>
      <c r="AF7" s="175">
        <f t="shared" ref="AF7:AF34" si="17">AE7/F7</f>
        <v>0.26753973966234113</v>
      </c>
      <c r="AG7" s="174">
        <v>197570.39999999997</v>
      </c>
      <c r="AH7" s="175">
        <f t="shared" ref="AH7:AH34" si="18">AG7/$F7</f>
        <v>3.9581034010539133E-2</v>
      </c>
      <c r="AI7" s="174">
        <v>122009.18000000001</v>
      </c>
      <c r="AJ7" s="175">
        <f t="shared" ref="AJ7:AJ34" si="19">AI7/$F7</f>
        <v>2.4443183306699749E-2</v>
      </c>
      <c r="AK7" s="174">
        <v>175903.66</v>
      </c>
      <c r="AL7" s="175">
        <f t="shared" ref="AL7:AL34" si="20">AK7/$F7</f>
        <v>3.5240343437267493E-2</v>
      </c>
      <c r="AN7" s="72"/>
    </row>
    <row r="8" spans="1:40" s="73" customFormat="1" ht="14.25" customHeight="1">
      <c r="B8" s="501"/>
      <c r="C8" s="495"/>
      <c r="D8" s="173">
        <v>46022</v>
      </c>
      <c r="E8" s="173" t="s">
        <v>112</v>
      </c>
      <c r="F8" s="338">
        <f t="shared" si="1"/>
        <v>3992684.87</v>
      </c>
      <c r="G8" s="510"/>
      <c r="H8" s="495"/>
      <c r="I8" s="174">
        <v>538705.53</v>
      </c>
      <c r="J8" s="175">
        <f t="shared" si="3"/>
        <v>0.13492312755451696</v>
      </c>
      <c r="K8" s="174">
        <v>837711.87</v>
      </c>
      <c r="L8" s="175">
        <f t="shared" si="4"/>
        <v>0.20981166740564727</v>
      </c>
      <c r="M8" s="174">
        <f t="shared" si="5"/>
        <v>1376417.4</v>
      </c>
      <c r="N8" s="175">
        <f t="shared" ref="N8" si="21">M8/F8</f>
        <v>0.34473479496016418</v>
      </c>
      <c r="O8" s="174">
        <v>201360.75</v>
      </c>
      <c r="P8" s="175">
        <f t="shared" si="7"/>
        <v>5.0432417422414805E-2</v>
      </c>
      <c r="Q8" s="174">
        <v>127362.57</v>
      </c>
      <c r="R8" s="175">
        <f t="shared" si="8"/>
        <v>3.1898978794186683E-2</v>
      </c>
      <c r="S8" s="174">
        <f t="shared" si="9"/>
        <v>328723.32</v>
      </c>
      <c r="T8" s="175">
        <f t="shared" ref="T8" si="22">S8/F8</f>
        <v>8.2331396216601488E-2</v>
      </c>
      <c r="U8" s="174">
        <v>99108.65</v>
      </c>
      <c r="V8" s="175">
        <f t="shared" ref="V8" si="23">U8/F8</f>
        <v>2.4822557558868901E-2</v>
      </c>
      <c r="W8" s="174">
        <v>0</v>
      </c>
      <c r="X8" s="175">
        <f t="shared" si="12"/>
        <v>0</v>
      </c>
      <c r="Y8" s="174">
        <v>185183.74000000002</v>
      </c>
      <c r="Z8" s="175">
        <f t="shared" si="13"/>
        <v>4.6380755313654397E-2</v>
      </c>
      <c r="AA8" s="174">
        <v>635625.71</v>
      </c>
      <c r="AB8" s="175">
        <f t="shared" si="14"/>
        <v>0.15919756522131934</v>
      </c>
      <c r="AC8" s="174">
        <f t="shared" si="15"/>
        <v>820809.45</v>
      </c>
      <c r="AD8" s="175">
        <f t="shared" si="16"/>
        <v>0.20557832053497374</v>
      </c>
      <c r="AE8" s="174">
        <v>936523.95000000019</v>
      </c>
      <c r="AF8" s="175">
        <f t="shared" si="17"/>
        <v>0.23455994662558985</v>
      </c>
      <c r="AG8" s="174">
        <v>165654.29999999999</v>
      </c>
      <c r="AH8" s="175">
        <f t="shared" si="18"/>
        <v>4.1489450180424575E-2</v>
      </c>
      <c r="AI8" s="174">
        <v>105301.12000000001</v>
      </c>
      <c r="AJ8" s="175">
        <f t="shared" si="19"/>
        <v>2.6373511416141391E-2</v>
      </c>
      <c r="AK8" s="174">
        <v>160146.68</v>
      </c>
      <c r="AL8" s="175">
        <f t="shared" si="20"/>
        <v>4.0110022507235839E-2</v>
      </c>
      <c r="AN8" s="72"/>
    </row>
    <row r="9" spans="1:40" s="73" customFormat="1" ht="14.25" customHeight="1">
      <c r="B9" s="501"/>
      <c r="C9" s="496" t="s">
        <v>117</v>
      </c>
      <c r="D9" s="173">
        <v>46023</v>
      </c>
      <c r="E9" s="173" t="s">
        <v>113</v>
      </c>
      <c r="F9" s="338">
        <f t="shared" si="1"/>
        <v>4613445.45</v>
      </c>
      <c r="G9" s="510"/>
      <c r="H9" s="507">
        <f>SUM(F9:F39)</f>
        <v>124565126.31000003</v>
      </c>
      <c r="I9" s="174">
        <v>733836.13</v>
      </c>
      <c r="J9" s="175">
        <f t="shared" si="3"/>
        <v>0.15906465958105129</v>
      </c>
      <c r="K9" s="174">
        <v>867971.3</v>
      </c>
      <c r="L9" s="175">
        <f t="shared" si="4"/>
        <v>0.18813949561276377</v>
      </c>
      <c r="M9" s="174">
        <f t="shared" si="5"/>
        <v>1601807.4300000002</v>
      </c>
      <c r="N9" s="175">
        <f t="shared" ref="N9" si="24">M9/$F9</f>
        <v>0.34720415519381509</v>
      </c>
      <c r="O9" s="174">
        <v>258662.63</v>
      </c>
      <c r="P9" s="175">
        <f t="shared" si="7"/>
        <v>5.6067126576732365E-2</v>
      </c>
      <c r="Q9" s="174">
        <v>152453</v>
      </c>
      <c r="R9" s="175">
        <f t="shared" si="8"/>
        <v>3.3045367427071232E-2</v>
      </c>
      <c r="S9" s="174">
        <f t="shared" si="9"/>
        <v>411115.63</v>
      </c>
      <c r="T9" s="175">
        <f t="shared" ref="T9" si="25">S9/$F9</f>
        <v>8.9112494003803597E-2</v>
      </c>
      <c r="U9" s="174">
        <v>120898.22</v>
      </c>
      <c r="V9" s="175">
        <f t="shared" ref="V9" si="26">U9/$F9</f>
        <v>2.6205624692061762E-2</v>
      </c>
      <c r="W9" s="174">
        <v>0</v>
      </c>
      <c r="X9" s="175">
        <f t="shared" si="12"/>
        <v>0</v>
      </c>
      <c r="Y9" s="174">
        <v>198751.77000000002</v>
      </c>
      <c r="Z9" s="175">
        <f t="shared" si="13"/>
        <v>4.3080984083165005E-2</v>
      </c>
      <c r="AA9" s="174">
        <v>588606.35000000009</v>
      </c>
      <c r="AB9" s="175">
        <f t="shared" si="14"/>
        <v>0.12758498098205542</v>
      </c>
      <c r="AC9" s="174">
        <f t="shared" si="15"/>
        <v>787358.12000000011</v>
      </c>
      <c r="AD9" s="175">
        <f t="shared" si="16"/>
        <v>0.17066596506522042</v>
      </c>
      <c r="AE9" s="174">
        <v>1173809.6499999999</v>
      </c>
      <c r="AF9" s="175">
        <f t="shared" si="17"/>
        <v>0.25443232454390458</v>
      </c>
      <c r="AG9" s="174">
        <v>198258</v>
      </c>
      <c r="AH9" s="175">
        <f t="shared" si="18"/>
        <v>4.2973955614886483E-2</v>
      </c>
      <c r="AI9" s="174">
        <v>137100.22</v>
      </c>
      <c r="AJ9" s="175">
        <f t="shared" si="19"/>
        <v>2.9717533562686863E-2</v>
      </c>
      <c r="AK9" s="174">
        <v>183098.18</v>
      </c>
      <c r="AL9" s="175">
        <f t="shared" si="20"/>
        <v>3.9687947323621221E-2</v>
      </c>
      <c r="AN9" s="72"/>
    </row>
    <row r="10" spans="1:40" s="73" customFormat="1" ht="14.25" customHeight="1">
      <c r="B10" s="501"/>
      <c r="C10" s="496"/>
      <c r="D10" s="173">
        <v>46024</v>
      </c>
      <c r="E10" s="173" t="s">
        <v>114</v>
      </c>
      <c r="F10" s="338">
        <f t="shared" si="1"/>
        <v>3838107.8</v>
      </c>
      <c r="G10" s="510"/>
      <c r="H10" s="508"/>
      <c r="I10" s="174">
        <v>616848.89</v>
      </c>
      <c r="J10" s="175">
        <f t="shared" si="3"/>
        <v>0.16071692671060464</v>
      </c>
      <c r="K10" s="174">
        <v>804129.28000000003</v>
      </c>
      <c r="L10" s="175">
        <f t="shared" si="4"/>
        <v>0.20951190584068538</v>
      </c>
      <c r="M10" s="174">
        <f t="shared" si="5"/>
        <v>1420978.17</v>
      </c>
      <c r="N10" s="175">
        <f t="shared" ref="N10" si="27">M10/F10</f>
        <v>0.37022883255128997</v>
      </c>
      <c r="O10" s="174">
        <v>181633.29</v>
      </c>
      <c r="P10" s="175">
        <f t="shared" si="7"/>
        <v>4.732365516153559E-2</v>
      </c>
      <c r="Q10" s="174">
        <v>126817.27</v>
      </c>
      <c r="R10" s="175">
        <f t="shared" si="8"/>
        <v>3.3041612327824668E-2</v>
      </c>
      <c r="S10" s="174">
        <f t="shared" si="9"/>
        <v>308450.56</v>
      </c>
      <c r="T10" s="175">
        <f t="shared" ref="T10" si="28">S10/F10</f>
        <v>8.0365267489360251E-2</v>
      </c>
      <c r="U10" s="174">
        <v>89125.099999999991</v>
      </c>
      <c r="V10" s="175">
        <f t="shared" ref="V10" si="29">U10/F10</f>
        <v>2.3221103899166144E-2</v>
      </c>
      <c r="W10" s="174">
        <v>0</v>
      </c>
      <c r="X10" s="175">
        <f t="shared" si="12"/>
        <v>0</v>
      </c>
      <c r="Y10" s="174">
        <v>182856.17</v>
      </c>
      <c r="Z10" s="175">
        <f t="shared" si="13"/>
        <v>4.764227049589384E-2</v>
      </c>
      <c r="AA10" s="174">
        <v>614873.41</v>
      </c>
      <c r="AB10" s="175">
        <f t="shared" si="14"/>
        <v>0.16020222516939209</v>
      </c>
      <c r="AC10" s="174">
        <f t="shared" si="15"/>
        <v>797729.58000000007</v>
      </c>
      <c r="AD10" s="175">
        <f t="shared" si="16"/>
        <v>0.20784449566528593</v>
      </c>
      <c r="AE10" s="174">
        <v>841389.09</v>
      </c>
      <c r="AF10" s="175">
        <f t="shared" si="17"/>
        <v>0.21921976501024801</v>
      </c>
      <c r="AG10" s="174">
        <v>155283</v>
      </c>
      <c r="AH10" s="175">
        <f t="shared" si="18"/>
        <v>4.0458217458092242E-2</v>
      </c>
      <c r="AI10" s="174">
        <v>78120.3</v>
      </c>
      <c r="AJ10" s="175">
        <f t="shared" si="19"/>
        <v>2.0353857700401226E-2</v>
      </c>
      <c r="AK10" s="174">
        <v>147032</v>
      </c>
      <c r="AL10" s="175">
        <f t="shared" si="20"/>
        <v>3.8308460226156235E-2</v>
      </c>
      <c r="AN10" s="72"/>
    </row>
    <row r="11" spans="1:40" s="73" customFormat="1" ht="14.25" customHeight="1">
      <c r="B11" s="501"/>
      <c r="C11" s="496"/>
      <c r="D11" s="173">
        <v>46025</v>
      </c>
      <c r="E11" s="173" t="s">
        <v>115</v>
      </c>
      <c r="F11" s="338">
        <f t="shared" si="1"/>
        <v>4182799.17</v>
      </c>
      <c r="G11" s="510"/>
      <c r="H11" s="508"/>
      <c r="I11" s="174">
        <v>568561.78999999992</v>
      </c>
      <c r="J11" s="175">
        <f t="shared" si="3"/>
        <v>0.13592854136480093</v>
      </c>
      <c r="K11" s="174">
        <v>909430.02</v>
      </c>
      <c r="L11" s="175">
        <f t="shared" si="4"/>
        <v>0.21742139247866402</v>
      </c>
      <c r="M11" s="174">
        <f t="shared" si="5"/>
        <v>1477991.81</v>
      </c>
      <c r="N11" s="175">
        <f t="shared" ref="N11" si="30">M11/$F11</f>
        <v>0.35334993384346497</v>
      </c>
      <c r="O11" s="174">
        <v>158873.68</v>
      </c>
      <c r="P11" s="175">
        <f t="shared" si="7"/>
        <v>3.798262205354698E-2</v>
      </c>
      <c r="Q11" s="174">
        <v>117746.54000000001</v>
      </c>
      <c r="R11" s="175">
        <f t="shared" si="8"/>
        <v>2.8150177719385942E-2</v>
      </c>
      <c r="S11" s="174">
        <f t="shared" si="9"/>
        <v>276620.21999999997</v>
      </c>
      <c r="T11" s="175">
        <f t="shared" ref="T11" si="31">S11/$F11</f>
        <v>6.6132799772932918E-2</v>
      </c>
      <c r="U11" s="174">
        <v>101228.33</v>
      </c>
      <c r="V11" s="175">
        <f t="shared" ref="V11" si="32">U11/$F11</f>
        <v>2.4201097371834852E-2</v>
      </c>
      <c r="W11" s="174">
        <v>0</v>
      </c>
      <c r="X11" s="175">
        <f t="shared" si="12"/>
        <v>0</v>
      </c>
      <c r="Y11" s="174">
        <v>203463.68000000002</v>
      </c>
      <c r="Z11" s="175">
        <f t="shared" si="13"/>
        <v>4.864294739735258E-2</v>
      </c>
      <c r="AA11" s="174">
        <v>669974.60000000009</v>
      </c>
      <c r="AB11" s="175">
        <f t="shared" si="14"/>
        <v>0.16017374317304364</v>
      </c>
      <c r="AC11" s="174">
        <f t="shared" si="15"/>
        <v>873438.28000000014</v>
      </c>
      <c r="AD11" s="175">
        <f t="shared" si="16"/>
        <v>0.20881669057039623</v>
      </c>
      <c r="AE11" s="174">
        <v>1010860.18</v>
      </c>
      <c r="AF11" s="175">
        <f t="shared" si="17"/>
        <v>0.24167074222690926</v>
      </c>
      <c r="AG11" s="174">
        <v>172759.5</v>
      </c>
      <c r="AH11" s="175">
        <f t="shared" si="18"/>
        <v>4.13023654683378E-2</v>
      </c>
      <c r="AI11" s="174">
        <v>110152.8</v>
      </c>
      <c r="AJ11" s="175">
        <f t="shared" si="19"/>
        <v>2.633470925165169E-2</v>
      </c>
      <c r="AK11" s="174">
        <v>159748.04999999999</v>
      </c>
      <c r="AL11" s="175">
        <f t="shared" si="20"/>
        <v>3.8191661494472368E-2</v>
      </c>
      <c r="AN11" s="72"/>
    </row>
    <row r="12" spans="1:40" s="73" customFormat="1" ht="14.25" customHeight="1">
      <c r="B12" s="501"/>
      <c r="C12" s="496"/>
      <c r="D12" s="173">
        <v>46026</v>
      </c>
      <c r="E12" s="173" t="s">
        <v>116</v>
      </c>
      <c r="F12" s="338">
        <f t="shared" si="1"/>
        <v>5433229</v>
      </c>
      <c r="G12" s="510"/>
      <c r="H12" s="508"/>
      <c r="I12" s="174">
        <v>821434.85</v>
      </c>
      <c r="J12" s="175">
        <f t="shared" si="3"/>
        <v>0.15118723138671314</v>
      </c>
      <c r="K12" s="174">
        <v>995961.98999999987</v>
      </c>
      <c r="L12" s="175">
        <f t="shared" si="4"/>
        <v>0.18330940772052859</v>
      </c>
      <c r="M12" s="174">
        <f t="shared" si="5"/>
        <v>1817396.8399999999</v>
      </c>
      <c r="N12" s="175">
        <f t="shared" ref="N12" si="33">M12/F12</f>
        <v>0.3344966391072417</v>
      </c>
      <c r="O12" s="174">
        <v>267837.93999999994</v>
      </c>
      <c r="P12" s="175">
        <f t="shared" si="7"/>
        <v>4.9296272989781939E-2</v>
      </c>
      <c r="Q12" s="174">
        <v>143688.31</v>
      </c>
      <c r="R12" s="175">
        <f t="shared" si="8"/>
        <v>2.6446209059106471E-2</v>
      </c>
      <c r="S12" s="174">
        <f t="shared" si="9"/>
        <v>411526.24999999994</v>
      </c>
      <c r="T12" s="175">
        <f t="shared" ref="T12" si="34">S12/F12</f>
        <v>7.5742482048888407E-2</v>
      </c>
      <c r="U12" s="174">
        <v>133118.12</v>
      </c>
      <c r="V12" s="175">
        <f t="shared" ref="V12" si="35">U12/F12</f>
        <v>2.4500737958955899E-2</v>
      </c>
      <c r="W12" s="174">
        <v>0</v>
      </c>
      <c r="X12" s="175">
        <f t="shared" si="12"/>
        <v>0</v>
      </c>
      <c r="Y12" s="174">
        <v>239455.86000000002</v>
      </c>
      <c r="Z12" s="175">
        <f t="shared" si="13"/>
        <v>4.4072476974557857E-2</v>
      </c>
      <c r="AA12" s="174">
        <v>741705.58</v>
      </c>
      <c r="AB12" s="175">
        <f t="shared" si="14"/>
        <v>0.13651285082958955</v>
      </c>
      <c r="AC12" s="174">
        <f t="shared" si="15"/>
        <v>981161.44</v>
      </c>
      <c r="AD12" s="175">
        <f t="shared" si="16"/>
        <v>0.18058532780414741</v>
      </c>
      <c r="AE12" s="174">
        <v>1613752.8699999996</v>
      </c>
      <c r="AF12" s="175">
        <f t="shared" si="17"/>
        <v>0.29701543410005349</v>
      </c>
      <c r="AG12" s="174">
        <v>202612.8</v>
      </c>
      <c r="AH12" s="175">
        <f t="shared" si="18"/>
        <v>3.7291415473192827E-2</v>
      </c>
      <c r="AI12" s="174">
        <v>103840.40000000001</v>
      </c>
      <c r="AJ12" s="175">
        <f t="shared" si="19"/>
        <v>1.9112097060514109E-2</v>
      </c>
      <c r="AK12" s="174">
        <v>169820.28</v>
      </c>
      <c r="AL12" s="175">
        <f t="shared" si="20"/>
        <v>3.1255866447006009E-2</v>
      </c>
      <c r="AN12" s="72"/>
    </row>
    <row r="13" spans="1:40" s="73" customFormat="1" ht="14.25" customHeight="1">
      <c r="B13" s="501"/>
      <c r="C13" s="496"/>
      <c r="D13" s="173">
        <v>46027</v>
      </c>
      <c r="E13" s="173" t="s">
        <v>117</v>
      </c>
      <c r="F13" s="338">
        <f t="shared" si="1"/>
        <v>5215558.0500000017</v>
      </c>
      <c r="G13" s="510"/>
      <c r="H13" s="508"/>
      <c r="I13" s="174">
        <v>791674.72000000009</v>
      </c>
      <c r="J13" s="175">
        <f t="shared" si="3"/>
        <v>0.15179099003605181</v>
      </c>
      <c r="K13" s="174">
        <v>1050196.6100000001</v>
      </c>
      <c r="L13" s="175">
        <f t="shared" si="4"/>
        <v>0.20135843565196246</v>
      </c>
      <c r="M13" s="174">
        <f t="shared" si="5"/>
        <v>1841871.33</v>
      </c>
      <c r="N13" s="175">
        <f t="shared" ref="N13:N14" si="36">M13/$F13</f>
        <v>0.35314942568801422</v>
      </c>
      <c r="O13" s="174">
        <v>237986.69</v>
      </c>
      <c r="P13" s="175">
        <f t="shared" si="7"/>
        <v>4.56301488198372E-2</v>
      </c>
      <c r="Q13" s="174">
        <v>143481.64000000001</v>
      </c>
      <c r="R13" s="175">
        <f t="shared" si="8"/>
        <v>2.7510314068884722E-2</v>
      </c>
      <c r="S13" s="174">
        <f t="shared" si="9"/>
        <v>381468.33</v>
      </c>
      <c r="T13" s="175">
        <f t="shared" ref="T13:T14" si="37">S13/$F13</f>
        <v>7.3140462888721919E-2</v>
      </c>
      <c r="U13" s="174">
        <v>125146.83999999998</v>
      </c>
      <c r="V13" s="175">
        <f t="shared" ref="V13:V14" si="38">U13/$F13</f>
        <v>2.3994908847769406E-2</v>
      </c>
      <c r="W13" s="174">
        <v>0</v>
      </c>
      <c r="X13" s="175">
        <f t="shared" si="12"/>
        <v>0</v>
      </c>
      <c r="Y13" s="174">
        <v>228272.17</v>
      </c>
      <c r="Z13" s="175">
        <f t="shared" si="13"/>
        <v>4.37675446829702E-2</v>
      </c>
      <c r="AA13" s="174">
        <v>691812.51000000013</v>
      </c>
      <c r="AB13" s="175">
        <f t="shared" si="14"/>
        <v>0.13264400537158241</v>
      </c>
      <c r="AC13" s="174">
        <f t="shared" si="15"/>
        <v>920084.68000000017</v>
      </c>
      <c r="AD13" s="175">
        <f t="shared" si="16"/>
        <v>0.17641155005455261</v>
      </c>
      <c r="AE13" s="174">
        <v>1422290.7000000002</v>
      </c>
      <c r="AF13" s="175">
        <f t="shared" si="17"/>
        <v>0.27270153766191896</v>
      </c>
      <c r="AG13" s="174">
        <v>203357.7</v>
      </c>
      <c r="AH13" s="175">
        <f t="shared" si="18"/>
        <v>3.8990592770796591E-2</v>
      </c>
      <c r="AI13" s="174">
        <v>128528.52000000002</v>
      </c>
      <c r="AJ13" s="175">
        <f t="shared" si="19"/>
        <v>2.4643292005924463E-2</v>
      </c>
      <c r="AK13" s="174">
        <v>192809.94999999998</v>
      </c>
      <c r="AL13" s="175">
        <f t="shared" si="20"/>
        <v>3.6968230082301531E-2</v>
      </c>
      <c r="AN13" s="72"/>
    </row>
    <row r="14" spans="1:40" s="73" customFormat="1" ht="14.25" customHeight="1">
      <c r="B14" s="497">
        <f>B7+7</f>
        <v>46036</v>
      </c>
      <c r="C14" s="496"/>
      <c r="D14" s="173">
        <v>46028</v>
      </c>
      <c r="E14" s="173" t="s">
        <v>118</v>
      </c>
      <c r="F14" s="338">
        <f t="shared" si="1"/>
        <v>5249227.45</v>
      </c>
      <c r="G14" s="510">
        <f t="shared" ref="G14" si="39">SUM(F14:F20)</f>
        <v>34195479.890000001</v>
      </c>
      <c r="H14" s="508"/>
      <c r="I14" s="174">
        <v>884847.67000000016</v>
      </c>
      <c r="J14" s="175">
        <f t="shared" si="3"/>
        <v>0.16856721840087158</v>
      </c>
      <c r="K14" s="174">
        <v>1045584.5800000001</v>
      </c>
      <c r="L14" s="175">
        <f t="shared" si="4"/>
        <v>0.19918827864850855</v>
      </c>
      <c r="M14" s="174">
        <f t="shared" si="5"/>
        <v>1930432.2500000002</v>
      </c>
      <c r="N14" s="175">
        <f t="shared" si="36"/>
        <v>0.36775549704938015</v>
      </c>
      <c r="O14" s="174">
        <v>239355.84000000003</v>
      </c>
      <c r="P14" s="175">
        <f t="shared" si="7"/>
        <v>4.5598298469615758E-2</v>
      </c>
      <c r="Q14" s="174">
        <v>154596.19</v>
      </c>
      <c r="R14" s="175">
        <f t="shared" si="8"/>
        <v>2.9451227151530649E-2</v>
      </c>
      <c r="S14" s="174">
        <f t="shared" si="9"/>
        <v>393952.03</v>
      </c>
      <c r="T14" s="175">
        <f t="shared" si="37"/>
        <v>7.5049525621146404E-2</v>
      </c>
      <c r="U14" s="174">
        <v>122235.24999999999</v>
      </c>
      <c r="V14" s="175">
        <f t="shared" si="38"/>
        <v>2.3286331401014063E-2</v>
      </c>
      <c r="W14" s="174">
        <v>74762</v>
      </c>
      <c r="X14" s="175">
        <f t="shared" si="12"/>
        <v>1.4242476766747838E-2</v>
      </c>
      <c r="Y14" s="174">
        <v>225320.13</v>
      </c>
      <c r="Z14" s="175">
        <f t="shared" si="13"/>
        <v>4.2924436433022156E-2</v>
      </c>
      <c r="AA14" s="174">
        <v>647628.19999999995</v>
      </c>
      <c r="AB14" s="175">
        <f t="shared" si="14"/>
        <v>0.12337590743948425</v>
      </c>
      <c r="AC14" s="174">
        <f t="shared" si="15"/>
        <v>872948.33</v>
      </c>
      <c r="AD14" s="175">
        <f t="shared" si="16"/>
        <v>0.16630034387250642</v>
      </c>
      <c r="AE14" s="174">
        <v>1364310.06</v>
      </c>
      <c r="AF14" s="175">
        <f t="shared" si="17"/>
        <v>0.25990682876582155</v>
      </c>
      <c r="AG14" s="174">
        <v>196710.89999999997</v>
      </c>
      <c r="AH14" s="175">
        <f t="shared" si="18"/>
        <v>3.7474257283326512E-2</v>
      </c>
      <c r="AI14" s="174">
        <v>118337.16000000002</v>
      </c>
      <c r="AJ14" s="175">
        <f t="shared" si="19"/>
        <v>2.2543728791938708E-2</v>
      </c>
      <c r="AK14" s="174">
        <v>175539.46999999997</v>
      </c>
      <c r="AL14" s="175">
        <f t="shared" si="20"/>
        <v>3.3441010448118411E-2</v>
      </c>
      <c r="AN14" s="72"/>
    </row>
    <row r="15" spans="1:40" s="73" customFormat="1" ht="14.25" customHeight="1">
      <c r="B15" s="498"/>
      <c r="C15" s="496"/>
      <c r="D15" s="173">
        <v>46029</v>
      </c>
      <c r="E15" s="173" t="s">
        <v>112</v>
      </c>
      <c r="F15" s="338">
        <f t="shared" si="1"/>
        <v>5156925.3000000007</v>
      </c>
      <c r="G15" s="510"/>
      <c r="H15" s="508"/>
      <c r="I15" s="174">
        <v>847957.46</v>
      </c>
      <c r="J15" s="175">
        <f t="shared" si="3"/>
        <v>0.16443082082263241</v>
      </c>
      <c r="K15" s="174">
        <v>1006063.3300000001</v>
      </c>
      <c r="L15" s="175">
        <f t="shared" si="4"/>
        <v>0.19508976211076781</v>
      </c>
      <c r="M15" s="174">
        <f t="shared" si="5"/>
        <v>1854020.79</v>
      </c>
      <c r="N15" s="175">
        <f t="shared" ref="N15" si="40">M15/F15</f>
        <v>0.35952058293340022</v>
      </c>
      <c r="O15" s="174">
        <v>239419.33</v>
      </c>
      <c r="P15" s="175">
        <f t="shared" si="7"/>
        <v>4.6426759371519292E-2</v>
      </c>
      <c r="Q15" s="174">
        <v>159169.43</v>
      </c>
      <c r="R15" s="175">
        <f t="shared" si="8"/>
        <v>3.0865180459371783E-2</v>
      </c>
      <c r="S15" s="174">
        <f t="shared" si="9"/>
        <v>398588.76</v>
      </c>
      <c r="T15" s="175">
        <f t="shared" ref="T15" si="41">S15/F15</f>
        <v>7.7291939830891082E-2</v>
      </c>
      <c r="U15" s="174">
        <v>115364.1</v>
      </c>
      <c r="V15" s="175">
        <f t="shared" ref="V15" si="42">U15/F15</f>
        <v>2.2370713804987633E-2</v>
      </c>
      <c r="W15" s="174">
        <v>70637.2</v>
      </c>
      <c r="X15" s="175">
        <f t="shared" si="12"/>
        <v>1.3697541827879489E-2</v>
      </c>
      <c r="Y15" s="174">
        <v>47459.72</v>
      </c>
      <c r="Z15" s="175">
        <f t="shared" si="13"/>
        <v>9.2031040278981735E-3</v>
      </c>
      <c r="AA15" s="174">
        <v>641235.73</v>
      </c>
      <c r="AB15" s="175">
        <f t="shared" si="14"/>
        <v>0.12434458377746908</v>
      </c>
      <c r="AC15" s="174">
        <f t="shared" si="15"/>
        <v>688695.45</v>
      </c>
      <c r="AD15" s="175">
        <f t="shared" si="16"/>
        <v>0.13354768780536724</v>
      </c>
      <c r="AE15" s="174">
        <v>1409530.11</v>
      </c>
      <c r="AF15" s="175">
        <f t="shared" si="17"/>
        <v>0.27332761829999747</v>
      </c>
      <c r="AG15" s="174">
        <v>190694.39999999999</v>
      </c>
      <c r="AH15" s="175">
        <f t="shared" si="18"/>
        <v>3.697831341477837E-2</v>
      </c>
      <c r="AI15" s="174">
        <v>233237.76000000001</v>
      </c>
      <c r="AJ15" s="175">
        <f t="shared" si="19"/>
        <v>4.5228066421671841E-2</v>
      </c>
      <c r="AK15" s="174">
        <v>196156.73</v>
      </c>
      <c r="AL15" s="175">
        <f t="shared" si="20"/>
        <v>3.8037535661026536E-2</v>
      </c>
      <c r="AN15" s="72"/>
    </row>
    <row r="16" spans="1:40" s="73" customFormat="1" ht="14.25" customHeight="1">
      <c r="B16" s="498"/>
      <c r="C16" s="496"/>
      <c r="D16" s="173">
        <v>46030</v>
      </c>
      <c r="E16" s="173" t="s">
        <v>113</v>
      </c>
      <c r="F16" s="338">
        <f t="shared" si="1"/>
        <v>4787771.37</v>
      </c>
      <c r="G16" s="510"/>
      <c r="H16" s="508"/>
      <c r="I16" s="174">
        <v>812165.65000000014</v>
      </c>
      <c r="J16" s="175">
        <f t="shared" si="3"/>
        <v>0.16963334028207785</v>
      </c>
      <c r="K16" s="174">
        <v>895250.53000000026</v>
      </c>
      <c r="L16" s="175">
        <f t="shared" si="4"/>
        <v>0.18698690075503757</v>
      </c>
      <c r="M16" s="174">
        <f t="shared" si="5"/>
        <v>1707416.1800000004</v>
      </c>
      <c r="N16" s="175">
        <f t="shared" ref="N16" si="43">M16/$F16</f>
        <v>0.35662024103711543</v>
      </c>
      <c r="O16" s="174">
        <v>234745.32000000004</v>
      </c>
      <c r="P16" s="175">
        <f t="shared" si="7"/>
        <v>4.9030185833623049E-2</v>
      </c>
      <c r="Q16" s="174">
        <v>148770.76999999999</v>
      </c>
      <c r="R16" s="175">
        <f t="shared" si="8"/>
        <v>3.107307314885422E-2</v>
      </c>
      <c r="S16" s="174">
        <f t="shared" si="9"/>
        <v>383516.09</v>
      </c>
      <c r="T16" s="175">
        <f t="shared" ref="T16" si="44">S16/$F16</f>
        <v>8.0103258982477277E-2</v>
      </c>
      <c r="U16" s="174">
        <v>115227.25</v>
      </c>
      <c r="V16" s="175">
        <f t="shared" ref="V16" si="45">U16/$F16</f>
        <v>2.4066990901447326E-2</v>
      </c>
      <c r="W16" s="174">
        <v>10440.9</v>
      </c>
      <c r="X16" s="175">
        <f t="shared" si="12"/>
        <v>2.1807432295999547E-3</v>
      </c>
      <c r="Y16" s="174">
        <v>215101.53</v>
      </c>
      <c r="Z16" s="175">
        <f t="shared" si="13"/>
        <v>4.4927276884568525E-2</v>
      </c>
      <c r="AA16" s="174">
        <v>539460.28</v>
      </c>
      <c r="AB16" s="175">
        <f t="shared" si="14"/>
        <v>0.11267461169516957</v>
      </c>
      <c r="AC16" s="174">
        <f t="shared" si="15"/>
        <v>754561.81</v>
      </c>
      <c r="AD16" s="175">
        <f t="shared" si="16"/>
        <v>0.15760188857973809</v>
      </c>
      <c r="AE16" s="174">
        <v>1302891.6599999999</v>
      </c>
      <c r="AF16" s="175">
        <f t="shared" si="17"/>
        <v>0.27212904696407836</v>
      </c>
      <c r="AG16" s="174">
        <v>173332.5</v>
      </c>
      <c r="AH16" s="175">
        <f t="shared" si="18"/>
        <v>3.6203169826799809E-2</v>
      </c>
      <c r="AI16" s="174">
        <v>137563.46</v>
      </c>
      <c r="AJ16" s="175">
        <f t="shared" si="19"/>
        <v>2.8732253353192173E-2</v>
      </c>
      <c r="AK16" s="174">
        <v>202821.52</v>
      </c>
      <c r="AL16" s="175">
        <f t="shared" si="20"/>
        <v>4.2362407125551609E-2</v>
      </c>
      <c r="AN16" s="72"/>
    </row>
    <row r="17" spans="2:40" s="73" customFormat="1" ht="14.25" customHeight="1">
      <c r="B17" s="498"/>
      <c r="C17" s="496"/>
      <c r="D17" s="173">
        <v>46031</v>
      </c>
      <c r="E17" s="173" t="s">
        <v>114</v>
      </c>
      <c r="F17" s="338">
        <f t="shared" si="1"/>
        <v>3992298.3299999996</v>
      </c>
      <c r="G17" s="510"/>
      <c r="H17" s="508"/>
      <c r="I17" s="174">
        <v>660555.63000000012</v>
      </c>
      <c r="J17" s="175">
        <f t="shared" si="3"/>
        <v>0.16545748223179507</v>
      </c>
      <c r="K17" s="174">
        <v>819793.64</v>
      </c>
      <c r="L17" s="175">
        <f t="shared" si="4"/>
        <v>0.20534378251236551</v>
      </c>
      <c r="M17" s="174">
        <f t="shared" si="5"/>
        <v>1480349.27</v>
      </c>
      <c r="N17" s="175">
        <f t="shared" ref="N17" si="46">M17/F17</f>
        <v>0.37080126474416059</v>
      </c>
      <c r="O17" s="174">
        <v>154117.79</v>
      </c>
      <c r="P17" s="175">
        <f t="shared" si="7"/>
        <v>3.8603775885656326E-2</v>
      </c>
      <c r="Q17" s="174">
        <v>118237.22</v>
      </c>
      <c r="R17" s="175">
        <f t="shared" si="8"/>
        <v>2.9616328797752951E-2</v>
      </c>
      <c r="S17" s="174">
        <f t="shared" si="9"/>
        <v>272355.01</v>
      </c>
      <c r="T17" s="175">
        <f t="shared" ref="T17" si="47">S17/F17</f>
        <v>6.8220104683409277E-2</v>
      </c>
      <c r="U17" s="174">
        <v>89839.62000000001</v>
      </c>
      <c r="V17" s="175">
        <f t="shared" ref="V17" si="48">U17/F17</f>
        <v>2.2503233118853626E-2</v>
      </c>
      <c r="W17" s="174">
        <v>37653.599999999999</v>
      </c>
      <c r="X17" s="175">
        <f t="shared" si="12"/>
        <v>9.4315596900795742E-3</v>
      </c>
      <c r="Y17" s="174">
        <v>178144.26</v>
      </c>
      <c r="Z17" s="175">
        <f t="shared" si="13"/>
        <v>4.4621980942992308E-2</v>
      </c>
      <c r="AA17" s="174">
        <v>529134.13</v>
      </c>
      <c r="AB17" s="175">
        <f t="shared" si="14"/>
        <v>0.13253872488031226</v>
      </c>
      <c r="AC17" s="174">
        <f t="shared" si="15"/>
        <v>707278.39</v>
      </c>
      <c r="AD17" s="175">
        <f t="shared" si="16"/>
        <v>0.17716070582330457</v>
      </c>
      <c r="AE17" s="174">
        <v>1037369.4600000001</v>
      </c>
      <c r="AF17" s="175">
        <f t="shared" si="17"/>
        <v>0.25984267062526867</v>
      </c>
      <c r="AG17" s="174">
        <v>137978.4</v>
      </c>
      <c r="AH17" s="175">
        <f t="shared" si="18"/>
        <v>3.4561144632695828E-2</v>
      </c>
      <c r="AI17" s="174">
        <v>86506.78</v>
      </c>
      <c r="AJ17" s="175">
        <f t="shared" si="19"/>
        <v>2.1668415746876314E-2</v>
      </c>
      <c r="AK17" s="174">
        <v>142967.79999999999</v>
      </c>
      <c r="AL17" s="175">
        <f t="shared" si="20"/>
        <v>3.5810900935351692E-2</v>
      </c>
      <c r="AN17" s="72"/>
    </row>
    <row r="18" spans="2:40" s="73" customFormat="1" ht="14.25" customHeight="1">
      <c r="B18" s="498"/>
      <c r="C18" s="496"/>
      <c r="D18" s="173">
        <v>46032</v>
      </c>
      <c r="E18" s="173" t="s">
        <v>115</v>
      </c>
      <c r="F18" s="338">
        <f t="shared" si="1"/>
        <v>4224538.21</v>
      </c>
      <c r="G18" s="510"/>
      <c r="H18" s="508"/>
      <c r="I18" s="174">
        <v>618842.30999999994</v>
      </c>
      <c r="J18" s="175">
        <f t="shared" si="3"/>
        <v>0.14648756366675161</v>
      </c>
      <c r="K18" s="174">
        <v>910163.82</v>
      </c>
      <c r="L18" s="175">
        <f t="shared" si="4"/>
        <v>0.21544693757190564</v>
      </c>
      <c r="M18" s="174">
        <f t="shared" si="5"/>
        <v>1529006.13</v>
      </c>
      <c r="N18" s="175">
        <f t="shared" ref="N18" si="49">M18/$F18</f>
        <v>0.36193450123865728</v>
      </c>
      <c r="O18" s="174">
        <v>134935.15999999997</v>
      </c>
      <c r="P18" s="175">
        <f t="shared" si="7"/>
        <v>3.1940807087646149E-2</v>
      </c>
      <c r="Q18" s="174">
        <v>109950.09</v>
      </c>
      <c r="R18" s="175">
        <f t="shared" si="8"/>
        <v>2.6026534625662671E-2</v>
      </c>
      <c r="S18" s="174">
        <f t="shared" si="9"/>
        <v>244885.24999999997</v>
      </c>
      <c r="T18" s="175">
        <f t="shared" ref="T18" si="50">S18/$F18</f>
        <v>5.796734171330882E-2</v>
      </c>
      <c r="U18" s="174">
        <v>97884.629999999976</v>
      </c>
      <c r="V18" s="175">
        <f t="shared" ref="V18" si="51">U18/$F18</f>
        <v>2.3170492284409941E-2</v>
      </c>
      <c r="W18" s="174">
        <v>52504.05</v>
      </c>
      <c r="X18" s="175">
        <f t="shared" si="12"/>
        <v>1.2428352494413823E-2</v>
      </c>
      <c r="Y18" s="174">
        <v>211014.09000000003</v>
      </c>
      <c r="Z18" s="175">
        <f t="shared" si="13"/>
        <v>4.9949622777823104E-2</v>
      </c>
      <c r="AA18" s="174">
        <v>574904.44000000006</v>
      </c>
      <c r="AB18" s="175">
        <f t="shared" si="14"/>
        <v>0.13608693102577005</v>
      </c>
      <c r="AC18" s="174">
        <f t="shared" si="15"/>
        <v>785918.53</v>
      </c>
      <c r="AD18" s="175">
        <f t="shared" si="16"/>
        <v>0.18603655380359313</v>
      </c>
      <c r="AE18" s="174">
        <v>1081209.8900000001</v>
      </c>
      <c r="AF18" s="175">
        <f t="shared" si="17"/>
        <v>0.25593563988618773</v>
      </c>
      <c r="AG18" s="174">
        <v>152131.5</v>
      </c>
      <c r="AH18" s="175">
        <f t="shared" si="18"/>
        <v>3.6011391645100067E-2</v>
      </c>
      <c r="AI18" s="174">
        <v>119357.80000000002</v>
      </c>
      <c r="AJ18" s="175">
        <f t="shared" si="19"/>
        <v>2.8253454949813323E-2</v>
      </c>
      <c r="AK18" s="174">
        <v>161640.43</v>
      </c>
      <c r="AL18" s="175">
        <f t="shared" si="20"/>
        <v>3.8262271984515914E-2</v>
      </c>
      <c r="AN18" s="72"/>
    </row>
    <row r="19" spans="2:40" s="73" customFormat="1" ht="14.25" customHeight="1">
      <c r="B19" s="498"/>
      <c r="C19" s="496"/>
      <c r="D19" s="173">
        <v>46033</v>
      </c>
      <c r="E19" s="173" t="s">
        <v>116</v>
      </c>
      <c r="F19" s="338">
        <f t="shared" si="1"/>
        <v>5539416.9300000006</v>
      </c>
      <c r="G19" s="510"/>
      <c r="H19" s="508"/>
      <c r="I19" s="174">
        <v>880077.95</v>
      </c>
      <c r="J19" s="175">
        <f t="shared" si="3"/>
        <v>0.15887555696227398</v>
      </c>
      <c r="K19" s="174">
        <v>1015987.1400000002</v>
      </c>
      <c r="L19" s="175">
        <f t="shared" si="4"/>
        <v>0.18341048396225343</v>
      </c>
      <c r="M19" s="174">
        <f t="shared" si="5"/>
        <v>1896065.0900000003</v>
      </c>
      <c r="N19" s="175">
        <f t="shared" ref="N19" si="52">M19/F19</f>
        <v>0.34228604092452741</v>
      </c>
      <c r="O19" s="174">
        <v>229298.64999999994</v>
      </c>
      <c r="P19" s="175">
        <f t="shared" si="7"/>
        <v>4.1394004621349186E-2</v>
      </c>
      <c r="Q19" s="174">
        <v>141500.74</v>
      </c>
      <c r="R19" s="175">
        <f t="shared" si="8"/>
        <v>2.5544338291936437E-2</v>
      </c>
      <c r="S19" s="174">
        <f t="shared" si="9"/>
        <v>370799.3899999999</v>
      </c>
      <c r="T19" s="175">
        <f t="shared" ref="T19" si="53">S19/F19</f>
        <v>6.6938342913285612E-2</v>
      </c>
      <c r="U19" s="174">
        <v>125385.72</v>
      </c>
      <c r="V19" s="175">
        <f t="shared" ref="V19" si="54">U19/F19</f>
        <v>2.2635183735844919E-2</v>
      </c>
      <c r="W19" s="174">
        <v>97677.55</v>
      </c>
      <c r="X19" s="175">
        <f t="shared" si="12"/>
        <v>1.7633182559522557E-2</v>
      </c>
      <c r="Y19" s="174">
        <v>236901.21000000002</v>
      </c>
      <c r="Z19" s="175">
        <f t="shared" si="13"/>
        <v>4.2766452316850612E-2</v>
      </c>
      <c r="AA19" s="174">
        <v>676723.34</v>
      </c>
      <c r="AB19" s="175">
        <f t="shared" si="14"/>
        <v>0.12216508498124547</v>
      </c>
      <c r="AC19" s="174">
        <f t="shared" si="15"/>
        <v>913624.55</v>
      </c>
      <c r="AD19" s="175">
        <f t="shared" si="16"/>
        <v>0.16493153729809609</v>
      </c>
      <c r="AE19" s="174">
        <v>1673735</v>
      </c>
      <c r="AF19" s="175">
        <f t="shared" si="17"/>
        <v>0.30215003151965308</v>
      </c>
      <c r="AG19" s="174">
        <v>177171.59999999998</v>
      </c>
      <c r="AH19" s="175">
        <f t="shared" si="18"/>
        <v>3.1983799421286735E-2</v>
      </c>
      <c r="AI19" s="174">
        <v>123572</v>
      </c>
      <c r="AJ19" s="175">
        <f t="shared" si="19"/>
        <v>2.2307762994109921E-2</v>
      </c>
      <c r="AK19" s="174">
        <v>161386.03</v>
      </c>
      <c r="AL19" s="175">
        <f t="shared" si="20"/>
        <v>2.9134118633673597E-2</v>
      </c>
      <c r="AN19" s="72"/>
    </row>
    <row r="20" spans="2:40" s="73" customFormat="1" ht="14.25" customHeight="1">
      <c r="B20" s="499"/>
      <c r="C20" s="496"/>
      <c r="D20" s="173">
        <v>46034</v>
      </c>
      <c r="E20" s="173" t="s">
        <v>117</v>
      </c>
      <c r="F20" s="338">
        <f t="shared" si="1"/>
        <v>5245302.3</v>
      </c>
      <c r="G20" s="510"/>
      <c r="H20" s="508"/>
      <c r="I20" s="174">
        <v>862582.66</v>
      </c>
      <c r="J20" s="175">
        <f t="shared" si="3"/>
        <v>0.16444860766175479</v>
      </c>
      <c r="K20" s="174">
        <v>989835.57</v>
      </c>
      <c r="L20" s="175">
        <f t="shared" si="4"/>
        <v>0.188708965353627</v>
      </c>
      <c r="M20" s="174">
        <f t="shared" si="5"/>
        <v>1852418.23</v>
      </c>
      <c r="N20" s="175">
        <f t="shared" ref="N20:N21" si="55">M20/$F20</f>
        <v>0.35315757301538181</v>
      </c>
      <c r="O20" s="174">
        <v>213786.17</v>
      </c>
      <c r="P20" s="175">
        <f t="shared" si="7"/>
        <v>4.0757645179001413E-2</v>
      </c>
      <c r="Q20" s="174">
        <v>141697.06</v>
      </c>
      <c r="R20" s="175">
        <f t="shared" si="8"/>
        <v>2.7014088396773623E-2</v>
      </c>
      <c r="S20" s="174">
        <f t="shared" si="9"/>
        <v>355483.23</v>
      </c>
      <c r="T20" s="175">
        <f t="shared" ref="T20:T21" si="56">S20/$F20</f>
        <v>6.7771733575775026E-2</v>
      </c>
      <c r="U20" s="174">
        <v>117787.16</v>
      </c>
      <c r="V20" s="175">
        <f t="shared" ref="V20:V21" si="57">U20/$F20</f>
        <v>2.2455742922576648E-2</v>
      </c>
      <c r="W20" s="174">
        <v>64541.3</v>
      </c>
      <c r="X20" s="175">
        <f t="shared" si="12"/>
        <v>1.2304591100497678E-2</v>
      </c>
      <c r="Y20" s="174">
        <v>211979.18000000002</v>
      </c>
      <c r="Z20" s="175">
        <f t="shared" si="13"/>
        <v>4.0413148351811874E-2</v>
      </c>
      <c r="AA20" s="174">
        <v>628443.53</v>
      </c>
      <c r="AB20" s="175">
        <f t="shared" si="14"/>
        <v>0.11981073617053493</v>
      </c>
      <c r="AC20" s="174">
        <f t="shared" si="15"/>
        <v>840422.71000000008</v>
      </c>
      <c r="AD20" s="175">
        <f t="shared" si="16"/>
        <v>0.16022388452234682</v>
      </c>
      <c r="AE20" s="174">
        <v>1482471.7999999998</v>
      </c>
      <c r="AF20" s="175">
        <f t="shared" si="17"/>
        <v>0.28262847691352316</v>
      </c>
      <c r="AG20" s="174">
        <v>187542.9</v>
      </c>
      <c r="AH20" s="175">
        <f t="shared" si="18"/>
        <v>3.5754450224918403E-2</v>
      </c>
      <c r="AI20" s="174">
        <v>162804.68</v>
      </c>
      <c r="AJ20" s="175">
        <f t="shared" si="19"/>
        <v>3.1038188208904565E-2</v>
      </c>
      <c r="AK20" s="174">
        <v>181830.29</v>
      </c>
      <c r="AL20" s="175">
        <f t="shared" si="20"/>
        <v>3.4665359516075939E-2</v>
      </c>
      <c r="AN20" s="72"/>
    </row>
    <row r="21" spans="2:40" s="73" customFormat="1" ht="14.25" customHeight="1">
      <c r="B21" s="497">
        <f>B14+7</f>
        <v>46043</v>
      </c>
      <c r="C21" s="496"/>
      <c r="D21" s="173">
        <v>46035</v>
      </c>
      <c r="E21" s="173" t="s">
        <v>118</v>
      </c>
      <c r="F21" s="338">
        <f t="shared" si="1"/>
        <v>5099656.9899999993</v>
      </c>
      <c r="G21" s="510">
        <f t="shared" ref="G21" si="58">SUM(F21:F27)</f>
        <v>33161158.969999995</v>
      </c>
      <c r="H21" s="508"/>
      <c r="I21" s="174">
        <v>942550.84</v>
      </c>
      <c r="J21" s="175">
        <f t="shared" si="3"/>
        <v>0.18482632103458396</v>
      </c>
      <c r="K21" s="174">
        <v>970515.5</v>
      </c>
      <c r="L21" s="175">
        <f t="shared" si="4"/>
        <v>0.19030995651336938</v>
      </c>
      <c r="M21" s="174">
        <f t="shared" si="5"/>
        <v>1913066.3399999999</v>
      </c>
      <c r="N21" s="175">
        <f t="shared" si="55"/>
        <v>0.37513627754795331</v>
      </c>
      <c r="O21" s="174">
        <v>203416.81999999998</v>
      </c>
      <c r="P21" s="175">
        <f t="shared" si="7"/>
        <v>3.9888333744579951E-2</v>
      </c>
      <c r="Q21" s="174">
        <v>142952</v>
      </c>
      <c r="R21" s="175">
        <f t="shared" si="8"/>
        <v>2.8031689245044698E-2</v>
      </c>
      <c r="S21" s="174">
        <f t="shared" si="9"/>
        <v>346368.81999999995</v>
      </c>
      <c r="T21" s="175">
        <f t="shared" si="56"/>
        <v>6.7920022989624643E-2</v>
      </c>
      <c r="U21" s="174">
        <v>121455.03</v>
      </c>
      <c r="V21" s="175">
        <f t="shared" si="57"/>
        <v>2.3816313575239108E-2</v>
      </c>
      <c r="W21" s="174">
        <v>50583.5</v>
      </c>
      <c r="X21" s="175">
        <f t="shared" si="12"/>
        <v>9.9190004541854504E-3</v>
      </c>
      <c r="Y21" s="174">
        <v>198978.85</v>
      </c>
      <c r="Z21" s="175">
        <f t="shared" si="13"/>
        <v>3.9018085018302381E-2</v>
      </c>
      <c r="AA21" s="174">
        <v>623949.20000000007</v>
      </c>
      <c r="AB21" s="175">
        <f t="shared" si="14"/>
        <v>0.12235120935065089</v>
      </c>
      <c r="AC21" s="174">
        <f t="shared" si="15"/>
        <v>822928.05</v>
      </c>
      <c r="AD21" s="175">
        <f t="shared" si="16"/>
        <v>0.16136929436895325</v>
      </c>
      <c r="AE21" s="174">
        <v>1360429.25</v>
      </c>
      <c r="AF21" s="175">
        <f t="shared" si="17"/>
        <v>0.26676877536424271</v>
      </c>
      <c r="AG21" s="174">
        <v>169035</v>
      </c>
      <c r="AH21" s="175">
        <f t="shared" si="18"/>
        <v>3.3146346966367243E-2</v>
      </c>
      <c r="AI21" s="174">
        <v>136492.80000000002</v>
      </c>
      <c r="AJ21" s="175">
        <f t="shared" si="19"/>
        <v>2.6765094253917661E-2</v>
      </c>
      <c r="AK21" s="174">
        <v>179298.19999999995</v>
      </c>
      <c r="AL21" s="175">
        <f t="shared" si="20"/>
        <v>3.5158874479516704E-2</v>
      </c>
      <c r="AN21" s="72"/>
    </row>
    <row r="22" spans="2:40" s="73" customFormat="1" ht="14.25" customHeight="1">
      <c r="B22" s="498"/>
      <c r="C22" s="496"/>
      <c r="D22" s="173">
        <v>46036</v>
      </c>
      <c r="E22" s="173" t="s">
        <v>112</v>
      </c>
      <c r="F22" s="338">
        <f t="shared" si="1"/>
        <v>4896820.7299999995</v>
      </c>
      <c r="G22" s="510"/>
      <c r="H22" s="508"/>
      <c r="I22" s="174">
        <v>878533.38</v>
      </c>
      <c r="J22" s="175">
        <f t="shared" si="3"/>
        <v>0.17940893253815321</v>
      </c>
      <c r="K22" s="174">
        <v>924108.29999999993</v>
      </c>
      <c r="L22" s="175">
        <f t="shared" si="4"/>
        <v>0.18871597531404832</v>
      </c>
      <c r="M22" s="174">
        <f t="shared" si="5"/>
        <v>1802641.68</v>
      </c>
      <c r="N22" s="175">
        <f t="shared" ref="N22" si="59">M22/F22</f>
        <v>0.36812490785220153</v>
      </c>
      <c r="O22" s="174">
        <v>213825.17</v>
      </c>
      <c r="P22" s="175">
        <f t="shared" si="7"/>
        <v>4.3666121712403395E-2</v>
      </c>
      <c r="Q22" s="174">
        <v>146439.04999999999</v>
      </c>
      <c r="R22" s="175">
        <f t="shared" si="8"/>
        <v>2.9904923638076494E-2</v>
      </c>
      <c r="S22" s="174">
        <f t="shared" si="9"/>
        <v>360264.22</v>
      </c>
      <c r="T22" s="175">
        <f t="shared" ref="T22" si="60">S22/F22</f>
        <v>7.3571045350479883E-2</v>
      </c>
      <c r="U22" s="174">
        <v>110481.03</v>
      </c>
      <c r="V22" s="175">
        <f t="shared" ref="V22" si="61">U22/F22</f>
        <v>2.2561787758156301E-2</v>
      </c>
      <c r="W22" s="174">
        <v>69653.75</v>
      </c>
      <c r="X22" s="175">
        <f t="shared" si="12"/>
        <v>1.4224280168818843E-2</v>
      </c>
      <c r="Y22" s="174">
        <v>188306.09</v>
      </c>
      <c r="Z22" s="175">
        <f t="shared" si="13"/>
        <v>3.8454764914377416E-2</v>
      </c>
      <c r="AA22" s="174">
        <v>567026.74000000011</v>
      </c>
      <c r="AB22" s="175">
        <f t="shared" si="14"/>
        <v>0.11579487411621053</v>
      </c>
      <c r="AC22" s="174">
        <f t="shared" si="15"/>
        <v>755332.83000000007</v>
      </c>
      <c r="AD22" s="175">
        <f t="shared" si="16"/>
        <v>0.15424963903058794</v>
      </c>
      <c r="AE22" s="174">
        <v>1331077.3500000001</v>
      </c>
      <c r="AF22" s="175">
        <f t="shared" si="17"/>
        <v>0.27182480703147982</v>
      </c>
      <c r="AG22" s="174">
        <v>160210.79999999999</v>
      </c>
      <c r="AH22" s="175">
        <f t="shared" si="18"/>
        <v>3.2717309624687857E-2</v>
      </c>
      <c r="AI22" s="174">
        <v>136147.58000000002</v>
      </c>
      <c r="AJ22" s="175">
        <f t="shared" si="19"/>
        <v>2.7803260014380805E-2</v>
      </c>
      <c r="AK22" s="174">
        <v>171011.49</v>
      </c>
      <c r="AL22" s="175">
        <f t="shared" si="20"/>
        <v>3.4922963169207136E-2</v>
      </c>
      <c r="AN22" s="72"/>
    </row>
    <row r="23" spans="2:40" s="73" customFormat="1" ht="14.25" customHeight="1">
      <c r="B23" s="498"/>
      <c r="C23" s="496"/>
      <c r="D23" s="173">
        <v>46037</v>
      </c>
      <c r="E23" s="173" t="s">
        <v>113</v>
      </c>
      <c r="F23" s="338">
        <f t="shared" si="1"/>
        <v>4477044.2299999995</v>
      </c>
      <c r="G23" s="510"/>
      <c r="H23" s="508"/>
      <c r="I23" s="174">
        <v>834491.21</v>
      </c>
      <c r="J23" s="175">
        <f t="shared" si="3"/>
        <v>0.18639333612301615</v>
      </c>
      <c r="K23" s="174">
        <v>833194.26</v>
      </c>
      <c r="L23" s="175">
        <f t="shared" si="4"/>
        <v>0.1861036472270903</v>
      </c>
      <c r="M23" s="174">
        <f t="shared" si="5"/>
        <v>1667685.47</v>
      </c>
      <c r="N23" s="175">
        <f t="shared" ref="N23" si="62">M23/$F23</f>
        <v>0.37249698335010645</v>
      </c>
      <c r="O23" s="174">
        <v>218131.67</v>
      </c>
      <c r="P23" s="175">
        <f t="shared" si="7"/>
        <v>4.8722250394207078E-2</v>
      </c>
      <c r="Q23" s="174">
        <v>143287.51999999999</v>
      </c>
      <c r="R23" s="175">
        <f t="shared" si="8"/>
        <v>3.2004937328930519E-2</v>
      </c>
      <c r="S23" s="174">
        <f t="shared" si="9"/>
        <v>361419.19</v>
      </c>
      <c r="T23" s="175">
        <f t="shared" ref="T23" si="63">S23/$F23</f>
        <v>8.0727187723137597E-2</v>
      </c>
      <c r="U23" s="174">
        <v>108850.53</v>
      </c>
      <c r="V23" s="175">
        <f t="shared" ref="V23" si="64">U23/$F23</f>
        <v>2.4313034316393166E-2</v>
      </c>
      <c r="W23" s="174">
        <v>47770.3</v>
      </c>
      <c r="X23" s="175">
        <f t="shared" si="12"/>
        <v>1.0670053174792962E-2</v>
      </c>
      <c r="Y23" s="174">
        <v>185354.05000000002</v>
      </c>
      <c r="Z23" s="175">
        <f t="shared" si="13"/>
        <v>4.1400987007894727E-2</v>
      </c>
      <c r="AA23" s="174">
        <v>470354.39</v>
      </c>
      <c r="AB23" s="175">
        <f t="shared" si="14"/>
        <v>0.10505913407069468</v>
      </c>
      <c r="AC23" s="174">
        <f t="shared" si="15"/>
        <v>655708.44000000006</v>
      </c>
      <c r="AD23" s="175">
        <f t="shared" si="16"/>
        <v>0.14646012107858941</v>
      </c>
      <c r="AE23" s="174">
        <v>1122061.8800000001</v>
      </c>
      <c r="AF23" s="175">
        <f t="shared" si="17"/>
        <v>0.25062559634350545</v>
      </c>
      <c r="AG23" s="174">
        <v>158892.9</v>
      </c>
      <c r="AH23" s="175">
        <f t="shared" si="18"/>
        <v>3.5490580802236125E-2</v>
      </c>
      <c r="AI23" s="174">
        <v>189929.56</v>
      </c>
      <c r="AJ23" s="175">
        <f t="shared" si="19"/>
        <v>4.2422980485050964E-2</v>
      </c>
      <c r="AK23" s="174">
        <v>164725.96</v>
      </c>
      <c r="AL23" s="175">
        <f t="shared" si="20"/>
        <v>3.6793462726187991E-2</v>
      </c>
      <c r="AN23" s="72"/>
    </row>
    <row r="24" spans="2:40" s="73" customFormat="1" ht="14.25" customHeight="1">
      <c r="B24" s="498"/>
      <c r="C24" s="496"/>
      <c r="D24" s="173">
        <v>46038</v>
      </c>
      <c r="E24" s="173" t="s">
        <v>114</v>
      </c>
      <c r="F24" s="338">
        <f t="shared" si="1"/>
        <v>3898014.0799999996</v>
      </c>
      <c r="G24" s="510"/>
      <c r="H24" s="508"/>
      <c r="I24" s="174">
        <v>716969.34000000008</v>
      </c>
      <c r="J24" s="175">
        <f t="shared" si="3"/>
        <v>0.18393195234430762</v>
      </c>
      <c r="K24" s="174">
        <v>797548.95</v>
      </c>
      <c r="L24" s="175">
        <f t="shared" si="4"/>
        <v>0.20460391718236176</v>
      </c>
      <c r="M24" s="174">
        <f t="shared" si="5"/>
        <v>1514518.29</v>
      </c>
      <c r="N24" s="175">
        <f t="shared" ref="N24" si="65">M24/F24</f>
        <v>0.38853586952666941</v>
      </c>
      <c r="O24" s="174">
        <v>143324.35999999996</v>
      </c>
      <c r="P24" s="175">
        <f t="shared" si="7"/>
        <v>3.6768558824702854E-2</v>
      </c>
      <c r="Q24" s="174">
        <v>119907.68999999999</v>
      </c>
      <c r="R24" s="175">
        <f t="shared" si="8"/>
        <v>3.0761225469970597E-2</v>
      </c>
      <c r="S24" s="174">
        <f t="shared" si="9"/>
        <v>263232.04999999993</v>
      </c>
      <c r="T24" s="175">
        <f t="shared" ref="T24" si="66">S24/F24</f>
        <v>6.7529784294673448E-2</v>
      </c>
      <c r="U24" s="174">
        <v>86872.4</v>
      </c>
      <c r="V24" s="175">
        <f t="shared" ref="V24" si="67">U24/F24</f>
        <v>2.228632278311319E-2</v>
      </c>
      <c r="W24" s="174">
        <v>50015.450000000004</v>
      </c>
      <c r="X24" s="175">
        <f t="shared" si="12"/>
        <v>1.2831008039868344E-2</v>
      </c>
      <c r="Y24" s="174">
        <v>185240.51</v>
      </c>
      <c r="Z24" s="175">
        <f t="shared" si="13"/>
        <v>4.752176523692804E-2</v>
      </c>
      <c r="AA24" s="174">
        <v>490854.95</v>
      </c>
      <c r="AB24" s="175">
        <f t="shared" si="14"/>
        <v>0.1259243655682229</v>
      </c>
      <c r="AC24" s="174">
        <f t="shared" si="15"/>
        <v>676095.46</v>
      </c>
      <c r="AD24" s="175">
        <f t="shared" si="16"/>
        <v>0.17344613080515092</v>
      </c>
      <c r="AE24" s="174">
        <v>913609.28</v>
      </c>
      <c r="AF24" s="175">
        <f t="shared" si="17"/>
        <v>0.2343781374950806</v>
      </c>
      <c r="AG24" s="174">
        <v>120100.79999999999</v>
      </c>
      <c r="AH24" s="175">
        <f t="shared" si="18"/>
        <v>3.0810766081173314E-2</v>
      </c>
      <c r="AI24" s="174">
        <v>139486.12</v>
      </c>
      <c r="AJ24" s="175">
        <f t="shared" si="19"/>
        <v>3.5783893320364815E-2</v>
      </c>
      <c r="AK24" s="174">
        <v>134084.23000000001</v>
      </c>
      <c r="AL24" s="175">
        <f t="shared" si="20"/>
        <v>3.4398087653906069E-2</v>
      </c>
      <c r="AN24" s="72"/>
    </row>
    <row r="25" spans="2:40" s="73" customFormat="1" ht="14.25" customHeight="1">
      <c r="B25" s="498"/>
      <c r="C25" s="496"/>
      <c r="D25" s="173">
        <v>46039</v>
      </c>
      <c r="E25" s="173" t="s">
        <v>115</v>
      </c>
      <c r="F25" s="338">
        <f t="shared" si="1"/>
        <v>4192072.2300000004</v>
      </c>
      <c r="G25" s="510"/>
      <c r="H25" s="508"/>
      <c r="I25" s="174">
        <v>676753.55</v>
      </c>
      <c r="J25" s="175">
        <f t="shared" si="3"/>
        <v>0.16143651942752904</v>
      </c>
      <c r="K25" s="174">
        <v>905744.45</v>
      </c>
      <c r="L25" s="175">
        <f t="shared" si="4"/>
        <v>0.21606127001299305</v>
      </c>
      <c r="M25" s="174">
        <f t="shared" si="5"/>
        <v>1582498</v>
      </c>
      <c r="N25" s="175">
        <f t="shared" ref="N25" si="68">M25/$F25</f>
        <v>0.37749778944052209</v>
      </c>
      <c r="O25" s="174">
        <v>132818.52999999997</v>
      </c>
      <c r="P25" s="175">
        <f t="shared" si="7"/>
        <v>3.1683263720863886E-2</v>
      </c>
      <c r="Q25" s="174">
        <v>114455.77</v>
      </c>
      <c r="R25" s="175">
        <f t="shared" si="8"/>
        <v>2.7302909806971525E-2</v>
      </c>
      <c r="S25" s="174">
        <f t="shared" si="9"/>
        <v>247274.3</v>
      </c>
      <c r="T25" s="175">
        <f t="shared" ref="T25" si="69">S25/$F25</f>
        <v>5.898617352783541E-2</v>
      </c>
      <c r="U25" s="174">
        <v>95610.59</v>
      </c>
      <c r="V25" s="175">
        <f t="shared" ref="V25" si="70">U25/$F25</f>
        <v>2.2807476769072747E-2</v>
      </c>
      <c r="W25" s="174">
        <v>40953.700000000004</v>
      </c>
      <c r="X25" s="175">
        <f t="shared" si="12"/>
        <v>9.7693211741249029E-3</v>
      </c>
      <c r="Y25" s="174">
        <v>199773.63</v>
      </c>
      <c r="Z25" s="175">
        <f t="shared" si="13"/>
        <v>4.7655102068696935E-2</v>
      </c>
      <c r="AA25" s="174">
        <v>532967.31000000006</v>
      </c>
      <c r="AB25" s="175">
        <f t="shared" si="14"/>
        <v>0.12713695775227613</v>
      </c>
      <c r="AC25" s="174">
        <f t="shared" si="15"/>
        <v>732740.94000000006</v>
      </c>
      <c r="AD25" s="175">
        <f t="shared" si="16"/>
        <v>0.17479205982097307</v>
      </c>
      <c r="AE25" s="174">
        <v>1025917.52</v>
      </c>
      <c r="AF25" s="175">
        <f t="shared" si="17"/>
        <v>0.24472801605329209</v>
      </c>
      <c r="AG25" s="174">
        <v>142619.70000000001</v>
      </c>
      <c r="AH25" s="175">
        <f t="shared" si="18"/>
        <v>3.4021288798260996E-2</v>
      </c>
      <c r="AI25" s="174">
        <v>172861.88</v>
      </c>
      <c r="AJ25" s="175">
        <f t="shared" si="19"/>
        <v>4.1235424991711074E-2</v>
      </c>
      <c r="AK25" s="174">
        <v>151595.6</v>
      </c>
      <c r="AL25" s="175">
        <f t="shared" si="20"/>
        <v>3.6162449424207557E-2</v>
      </c>
      <c r="AN25" s="72"/>
    </row>
    <row r="26" spans="2:40" s="73" customFormat="1" ht="14.25" customHeight="1">
      <c r="B26" s="498"/>
      <c r="C26" s="496"/>
      <c r="D26" s="173">
        <v>46040</v>
      </c>
      <c r="E26" s="173" t="s">
        <v>116</v>
      </c>
      <c r="F26" s="338">
        <f t="shared" si="1"/>
        <v>5422198.4000000004</v>
      </c>
      <c r="G26" s="510"/>
      <c r="H26" s="508"/>
      <c r="I26" s="174">
        <v>943211.1100000001</v>
      </c>
      <c r="J26" s="175">
        <f t="shared" si="3"/>
        <v>0.17395363290284621</v>
      </c>
      <c r="K26" s="174">
        <v>999031.07999999984</v>
      </c>
      <c r="L26" s="175">
        <f t="shared" si="4"/>
        <v>0.18424834473043256</v>
      </c>
      <c r="M26" s="174">
        <f t="shared" si="5"/>
        <v>1942242.19</v>
      </c>
      <c r="N26" s="175">
        <f t="shared" ref="N26" si="71">M26/F26</f>
        <v>0.35820197763327877</v>
      </c>
      <c r="O26" s="174">
        <v>219539.52999999997</v>
      </c>
      <c r="P26" s="175">
        <f t="shared" si="7"/>
        <v>4.0489025632112603E-2</v>
      </c>
      <c r="Q26" s="174">
        <v>140913.34</v>
      </c>
      <c r="R26" s="175">
        <f t="shared" si="8"/>
        <v>2.5988230161404641E-2</v>
      </c>
      <c r="S26" s="174">
        <f t="shared" si="9"/>
        <v>360452.87</v>
      </c>
      <c r="T26" s="175">
        <f t="shared" ref="T26" si="72">S26/F26</f>
        <v>6.6477255793517251E-2</v>
      </c>
      <c r="U26" s="174">
        <v>120740.76</v>
      </c>
      <c r="V26" s="175">
        <f t="shared" ref="V26" si="73">U26/F26</f>
        <v>2.2267860947323505E-2</v>
      </c>
      <c r="W26" s="174">
        <v>61755.15</v>
      </c>
      <c r="X26" s="175">
        <f t="shared" si="12"/>
        <v>1.1389319505534876E-2</v>
      </c>
      <c r="Y26" s="174">
        <v>226398.76</v>
      </c>
      <c r="Z26" s="175">
        <f t="shared" si="13"/>
        <v>4.175405311616779E-2</v>
      </c>
      <c r="AA26" s="174">
        <v>643776.31000000006</v>
      </c>
      <c r="AB26" s="175">
        <f t="shared" si="14"/>
        <v>0.11872975913238439</v>
      </c>
      <c r="AC26" s="174">
        <f t="shared" si="15"/>
        <v>870175.07000000007</v>
      </c>
      <c r="AD26" s="175">
        <f t="shared" si="16"/>
        <v>0.16048381224855218</v>
      </c>
      <c r="AE26" s="174">
        <v>1613452.1100000003</v>
      </c>
      <c r="AF26" s="175">
        <f t="shared" si="17"/>
        <v>0.29756419647056814</v>
      </c>
      <c r="AG26" s="174">
        <v>159294</v>
      </c>
      <c r="AH26" s="175">
        <f t="shared" si="18"/>
        <v>2.9378120874367118E-2</v>
      </c>
      <c r="AI26" s="174">
        <v>146285.76000000001</v>
      </c>
      <c r="AJ26" s="175">
        <f t="shared" si="19"/>
        <v>2.6979049678447768E-2</v>
      </c>
      <c r="AK26" s="174">
        <v>147800.49</v>
      </c>
      <c r="AL26" s="175">
        <f t="shared" si="20"/>
        <v>2.7258406848410414E-2</v>
      </c>
      <c r="AN26" s="72"/>
    </row>
    <row r="27" spans="2:40" s="73" customFormat="1" ht="14.25" customHeight="1">
      <c r="B27" s="499"/>
      <c r="C27" s="496"/>
      <c r="D27" s="173">
        <v>46041</v>
      </c>
      <c r="E27" s="173" t="s">
        <v>117</v>
      </c>
      <c r="F27" s="338">
        <f t="shared" si="1"/>
        <v>5175352.3099999996</v>
      </c>
      <c r="G27" s="510"/>
      <c r="H27" s="508"/>
      <c r="I27" s="174">
        <v>901600.28</v>
      </c>
      <c r="J27" s="175">
        <f t="shared" si="3"/>
        <v>0.17421041621802172</v>
      </c>
      <c r="K27" s="174">
        <v>975742.67999999982</v>
      </c>
      <c r="L27" s="175">
        <f t="shared" si="4"/>
        <v>0.18853647472745674</v>
      </c>
      <c r="M27" s="174">
        <f t="shared" si="5"/>
        <v>1877342.96</v>
      </c>
      <c r="N27" s="175">
        <f t="shared" ref="N27:N28" si="74">M27/$F27</f>
        <v>0.36274689094547846</v>
      </c>
      <c r="O27" s="174">
        <v>203740.16000000003</v>
      </c>
      <c r="P27" s="175">
        <f t="shared" si="7"/>
        <v>3.9367399124949631E-2</v>
      </c>
      <c r="Q27" s="174">
        <v>143234.99</v>
      </c>
      <c r="R27" s="175">
        <f t="shared" si="8"/>
        <v>2.7676374750997386E-2</v>
      </c>
      <c r="S27" s="174">
        <f t="shared" si="9"/>
        <v>346975.15</v>
      </c>
      <c r="T27" s="175">
        <f t="shared" ref="T27:T28" si="75">S27/$F27</f>
        <v>6.7043773875947024E-2</v>
      </c>
      <c r="U27" s="174">
        <v>115409.96</v>
      </c>
      <c r="V27" s="175">
        <f t="shared" ref="V27:V28" si="76">U27/$F27</f>
        <v>2.2299923384346373E-2</v>
      </c>
      <c r="W27" s="174">
        <v>60997.75</v>
      </c>
      <c r="X27" s="175">
        <f t="shared" si="12"/>
        <v>1.1786202435366183E-2</v>
      </c>
      <c r="Y27" s="174">
        <v>227647.7</v>
      </c>
      <c r="Z27" s="175">
        <f t="shared" si="13"/>
        <v>4.3986899125713824E-2</v>
      </c>
      <c r="AA27" s="174">
        <v>600722.44000000006</v>
      </c>
      <c r="AB27" s="175">
        <f t="shared" si="14"/>
        <v>0.1160737287081428</v>
      </c>
      <c r="AC27" s="174">
        <f t="shared" si="15"/>
        <v>828370.14000000013</v>
      </c>
      <c r="AD27" s="175">
        <f t="shared" si="16"/>
        <v>0.16006062783385663</v>
      </c>
      <c r="AE27" s="174">
        <v>1411843.01</v>
      </c>
      <c r="AF27" s="175">
        <f t="shared" si="17"/>
        <v>0.27280133321010569</v>
      </c>
      <c r="AG27" s="174">
        <v>171670.8</v>
      </c>
      <c r="AH27" s="175">
        <f t="shared" si="18"/>
        <v>3.3170843203909339E-2</v>
      </c>
      <c r="AI27" s="174">
        <v>194985.66000000003</v>
      </c>
      <c r="AJ27" s="175">
        <f t="shared" si="19"/>
        <v>3.7675823464857032E-2</v>
      </c>
      <c r="AK27" s="174">
        <v>167756.88</v>
      </c>
      <c r="AL27" s="175">
        <f t="shared" si="20"/>
        <v>3.2414581646133388E-2</v>
      </c>
      <c r="AN27" s="72"/>
    </row>
    <row r="28" spans="2:40" s="73" customFormat="1" ht="14.25" customHeight="1">
      <c r="B28" s="497">
        <f>B21+7</f>
        <v>46050</v>
      </c>
      <c r="C28" s="496"/>
      <c r="D28" s="173">
        <v>46042</v>
      </c>
      <c r="E28" s="173" t="s">
        <v>118</v>
      </c>
      <c r="F28" s="338">
        <f t="shared" si="1"/>
        <v>5709399.8399999999</v>
      </c>
      <c r="G28" s="510">
        <f t="shared" ref="G28" si="77">SUM(F28:F34)</f>
        <v>33925347.980000004</v>
      </c>
      <c r="H28" s="508"/>
      <c r="I28" s="174">
        <v>1038749.49</v>
      </c>
      <c r="J28" s="175">
        <f t="shared" si="3"/>
        <v>0.18193672174131703</v>
      </c>
      <c r="K28" s="174">
        <v>975807.19</v>
      </c>
      <c r="L28" s="175">
        <f t="shared" si="4"/>
        <v>0.17091239313167458</v>
      </c>
      <c r="M28" s="174">
        <f t="shared" si="5"/>
        <v>2014556.68</v>
      </c>
      <c r="N28" s="175">
        <f t="shared" si="74"/>
        <v>0.35284911487299164</v>
      </c>
      <c r="O28" s="174">
        <v>203469.87</v>
      </c>
      <c r="P28" s="175">
        <f t="shared" si="7"/>
        <v>3.5637698480056004E-2</v>
      </c>
      <c r="Q28" s="174">
        <v>150065.56</v>
      </c>
      <c r="R28" s="175">
        <f t="shared" si="8"/>
        <v>2.6283946510216739E-2</v>
      </c>
      <c r="S28" s="174">
        <f t="shared" si="9"/>
        <v>353535.43</v>
      </c>
      <c r="T28" s="175">
        <f t="shared" si="75"/>
        <v>6.1921644990272744E-2</v>
      </c>
      <c r="U28" s="174">
        <v>113219.87</v>
      </c>
      <c r="V28" s="175">
        <f t="shared" si="76"/>
        <v>1.9830432825317764E-2</v>
      </c>
      <c r="W28" s="174">
        <v>64649.5</v>
      </c>
      <c r="X28" s="175">
        <f t="shared" si="12"/>
        <v>1.132334427640997E-2</v>
      </c>
      <c r="Y28" s="174">
        <v>205223.55000000002</v>
      </c>
      <c r="Z28" s="175">
        <f t="shared" si="13"/>
        <v>3.5944855107572921E-2</v>
      </c>
      <c r="AA28" s="174">
        <v>595732.82999999996</v>
      </c>
      <c r="AB28" s="175">
        <f t="shared" si="14"/>
        <v>0.10434246097572314</v>
      </c>
      <c r="AC28" s="174">
        <f t="shared" si="15"/>
        <v>800956.38</v>
      </c>
      <c r="AD28" s="175">
        <f t="shared" si="16"/>
        <v>0.14028731608329606</v>
      </c>
      <c r="AE28" s="174">
        <v>1638650.4000000001</v>
      </c>
      <c r="AF28" s="175">
        <f t="shared" si="17"/>
        <v>0.28700922092014491</v>
      </c>
      <c r="AG28" s="174">
        <v>94086.599999999991</v>
      </c>
      <c r="AH28" s="175">
        <f t="shared" si="18"/>
        <v>1.6479245216078613E-2</v>
      </c>
      <c r="AI28" s="174">
        <v>448435.25</v>
      </c>
      <c r="AJ28" s="175">
        <f t="shared" si="19"/>
        <v>7.8543325492509211E-2</v>
      </c>
      <c r="AK28" s="174">
        <v>181309.72999999998</v>
      </c>
      <c r="AL28" s="175">
        <f t="shared" si="20"/>
        <v>3.1756355322979095E-2</v>
      </c>
      <c r="AN28" s="72"/>
    </row>
    <row r="29" spans="2:40" s="73" customFormat="1" ht="14.25" customHeight="1">
      <c r="B29" s="498"/>
      <c r="C29" s="496"/>
      <c r="D29" s="173">
        <v>46043</v>
      </c>
      <c r="E29" s="173" t="s">
        <v>112</v>
      </c>
      <c r="F29" s="338">
        <f t="shared" si="1"/>
        <v>5079869.1999999993</v>
      </c>
      <c r="G29" s="510"/>
      <c r="H29" s="508"/>
      <c r="I29" s="174">
        <v>982959.08</v>
      </c>
      <c r="J29" s="175">
        <f t="shared" si="3"/>
        <v>0.19350086415610859</v>
      </c>
      <c r="K29" s="174">
        <v>930445.68</v>
      </c>
      <c r="L29" s="175">
        <f t="shared" si="4"/>
        <v>0.18316331451998807</v>
      </c>
      <c r="M29" s="174">
        <f t="shared" si="5"/>
        <v>1913404.76</v>
      </c>
      <c r="N29" s="175">
        <f t="shared" ref="N29" si="78">M29/F29</f>
        <v>0.37666417867609669</v>
      </c>
      <c r="O29" s="174">
        <v>207673.72</v>
      </c>
      <c r="P29" s="175">
        <f t="shared" si="7"/>
        <v>4.0881706166765085E-2</v>
      </c>
      <c r="Q29" s="174">
        <v>154562.65</v>
      </c>
      <c r="R29" s="175">
        <f t="shared" si="8"/>
        <v>3.0426501926466929E-2</v>
      </c>
      <c r="S29" s="174">
        <f t="shared" si="9"/>
        <v>362236.37</v>
      </c>
      <c r="T29" s="175">
        <f t="shared" ref="T29" si="79">S29/F29</f>
        <v>7.1308208093232017E-2</v>
      </c>
      <c r="U29" s="174">
        <v>96854.279999999984</v>
      </c>
      <c r="V29" s="175">
        <f t="shared" ref="V29" si="80">U29/F29</f>
        <v>1.9066294069146505E-2</v>
      </c>
      <c r="W29" s="174">
        <v>62106.8</v>
      </c>
      <c r="X29" s="175">
        <f t="shared" si="12"/>
        <v>1.2226062828546847E-2</v>
      </c>
      <c r="Y29" s="174">
        <v>166449.64000000001</v>
      </c>
      <c r="Z29" s="175">
        <f t="shared" si="13"/>
        <v>3.2766520838764912E-2</v>
      </c>
      <c r="AA29" s="174">
        <v>537579.29</v>
      </c>
      <c r="AB29" s="175">
        <f t="shared" si="14"/>
        <v>0.10582541967812874</v>
      </c>
      <c r="AC29" s="174">
        <f t="shared" si="15"/>
        <v>704028.93</v>
      </c>
      <c r="AD29" s="175">
        <f t="shared" si="16"/>
        <v>0.13859194051689366</v>
      </c>
      <c r="AE29" s="174">
        <v>1336469.3899999999</v>
      </c>
      <c r="AF29" s="175">
        <f t="shared" si="17"/>
        <v>0.26309129967362155</v>
      </c>
      <c r="AG29" s="174">
        <v>80506.5</v>
      </c>
      <c r="AH29" s="175">
        <f t="shared" si="18"/>
        <v>1.5848144278990492E-2</v>
      </c>
      <c r="AI29" s="174">
        <v>332833.63</v>
      </c>
      <c r="AJ29" s="175">
        <f t="shared" si="19"/>
        <v>6.5520118116427106E-2</v>
      </c>
      <c r="AK29" s="174">
        <v>191428.53999999998</v>
      </c>
      <c r="AL29" s="175">
        <f t="shared" si="20"/>
        <v>3.7683753747045301E-2</v>
      </c>
      <c r="AN29" s="72"/>
    </row>
    <row r="30" spans="2:40" s="73" customFormat="1" ht="14.25" customHeight="1">
      <c r="B30" s="498"/>
      <c r="C30" s="496"/>
      <c r="D30" s="173">
        <v>46044</v>
      </c>
      <c r="E30" s="173" t="s">
        <v>113</v>
      </c>
      <c r="F30" s="338">
        <f t="shared" si="1"/>
        <v>4686919.79</v>
      </c>
      <c r="G30" s="510"/>
      <c r="H30" s="508"/>
      <c r="I30" s="174">
        <v>924847.69000000018</v>
      </c>
      <c r="J30" s="175">
        <f t="shared" si="3"/>
        <v>0.19732526508630527</v>
      </c>
      <c r="K30" s="174">
        <v>829233.72</v>
      </c>
      <c r="L30" s="175">
        <f t="shared" si="4"/>
        <v>0.1769250930577585</v>
      </c>
      <c r="M30" s="174">
        <f t="shared" si="5"/>
        <v>1754081.4100000001</v>
      </c>
      <c r="N30" s="175">
        <f t="shared" ref="N30" si="81">M30/$F30</f>
        <v>0.37425035814406377</v>
      </c>
      <c r="O30" s="174">
        <v>198440.28</v>
      </c>
      <c r="P30" s="175">
        <f t="shared" si="7"/>
        <v>4.2339167063065952E-2</v>
      </c>
      <c r="Q30" s="174">
        <v>145046.96000000002</v>
      </c>
      <c r="R30" s="175">
        <f t="shared" si="8"/>
        <v>3.0947182051092884E-2</v>
      </c>
      <c r="S30" s="174">
        <f t="shared" si="9"/>
        <v>343487.24</v>
      </c>
      <c r="T30" s="175">
        <f t="shared" ref="T30" si="82">S30/$F30</f>
        <v>7.3286349114158836E-2</v>
      </c>
      <c r="U30" s="174">
        <v>97046.76</v>
      </c>
      <c r="V30" s="175">
        <f t="shared" ref="V30" si="83">U30/$F30</f>
        <v>2.0705871734152292E-2</v>
      </c>
      <c r="W30" s="174">
        <v>43198.85</v>
      </c>
      <c r="X30" s="175">
        <f t="shared" si="12"/>
        <v>9.2168955167888627E-3</v>
      </c>
      <c r="Y30" s="174">
        <v>162646.05000000002</v>
      </c>
      <c r="Z30" s="175">
        <f t="shared" si="13"/>
        <v>3.4702119363557535E-2</v>
      </c>
      <c r="AA30" s="174">
        <v>431131.16</v>
      </c>
      <c r="AB30" s="175">
        <f t="shared" si="14"/>
        <v>9.1986033326164507E-2</v>
      </c>
      <c r="AC30" s="174">
        <f t="shared" si="15"/>
        <v>593777.21</v>
      </c>
      <c r="AD30" s="175">
        <f t="shared" si="16"/>
        <v>0.12668815268972203</v>
      </c>
      <c r="AE30" s="174">
        <v>1262459.24</v>
      </c>
      <c r="AF30" s="175">
        <f t="shared" si="17"/>
        <v>0.26935797849444315</v>
      </c>
      <c r="AG30" s="174">
        <v>87783.599999999991</v>
      </c>
      <c r="AH30" s="175">
        <f t="shared" si="18"/>
        <v>1.872948630085261E-2</v>
      </c>
      <c r="AI30" s="174">
        <v>321725.06</v>
      </c>
      <c r="AJ30" s="175">
        <f t="shared" si="19"/>
        <v>6.8643175990856883E-2</v>
      </c>
      <c r="AK30" s="174">
        <v>183360.41999999998</v>
      </c>
      <c r="AL30" s="175">
        <f t="shared" si="20"/>
        <v>3.9121732014961573E-2</v>
      </c>
      <c r="AN30" s="72"/>
    </row>
    <row r="31" spans="2:40" s="73" customFormat="1" ht="14.25" customHeight="1">
      <c r="B31" s="498"/>
      <c r="C31" s="496"/>
      <c r="D31" s="173">
        <v>46045</v>
      </c>
      <c r="E31" s="173" t="s">
        <v>114</v>
      </c>
      <c r="F31" s="338">
        <f t="shared" si="1"/>
        <v>3890561.3700000006</v>
      </c>
      <c r="G31" s="510"/>
      <c r="H31" s="508"/>
      <c r="I31" s="174">
        <v>739838.28999999992</v>
      </c>
      <c r="J31" s="175">
        <f t="shared" si="3"/>
        <v>0.19016234924473119</v>
      </c>
      <c r="K31" s="174">
        <v>752653.62000000011</v>
      </c>
      <c r="L31" s="175">
        <f t="shared" si="4"/>
        <v>0.19345630319667725</v>
      </c>
      <c r="M31" s="174">
        <f t="shared" si="5"/>
        <v>1492491.9100000001</v>
      </c>
      <c r="N31" s="175">
        <f t="shared" ref="N31" si="84">M31/F31</f>
        <v>0.38361865244140847</v>
      </c>
      <c r="O31" s="174">
        <v>131927.15000000002</v>
      </c>
      <c r="P31" s="175">
        <f t="shared" si="7"/>
        <v>3.390954092570965E-2</v>
      </c>
      <c r="Q31" s="174">
        <v>116592.25</v>
      </c>
      <c r="R31" s="175">
        <f t="shared" si="8"/>
        <v>2.9967976060997076E-2</v>
      </c>
      <c r="S31" s="174">
        <f t="shared" si="9"/>
        <v>248519.40000000002</v>
      </c>
      <c r="T31" s="175">
        <f t="shared" ref="T31" si="85">S31/F31</f>
        <v>6.3877516986706726E-2</v>
      </c>
      <c r="U31" s="174">
        <v>80161.37</v>
      </c>
      <c r="V31" s="175">
        <f t="shared" ref="V31" si="86">U31/F31</f>
        <v>2.0604062595727664E-2</v>
      </c>
      <c r="W31" s="174">
        <v>27455.75</v>
      </c>
      <c r="X31" s="175">
        <f t="shared" si="12"/>
        <v>7.057015013748516E-3</v>
      </c>
      <c r="Y31" s="174">
        <v>172353.72</v>
      </c>
      <c r="Z31" s="175">
        <f t="shared" si="13"/>
        <v>4.4300475846240146E-2</v>
      </c>
      <c r="AA31" s="174">
        <v>456103.97000000009</v>
      </c>
      <c r="AB31" s="175">
        <f t="shared" si="14"/>
        <v>0.11723345980788372</v>
      </c>
      <c r="AC31" s="174">
        <f t="shared" si="15"/>
        <v>628457.69000000006</v>
      </c>
      <c r="AD31" s="175">
        <f t="shared" si="16"/>
        <v>0.16153393565412386</v>
      </c>
      <c r="AE31" s="174">
        <v>1001123.6400000001</v>
      </c>
      <c r="AF31" s="175">
        <f t="shared" si="17"/>
        <v>0.25732112792761319</v>
      </c>
      <c r="AG31" s="174">
        <v>76610.099999999991</v>
      </c>
      <c r="AH31" s="175">
        <f t="shared" si="18"/>
        <v>1.969127144240369E-2</v>
      </c>
      <c r="AI31" s="174">
        <v>194943.97</v>
      </c>
      <c r="AJ31" s="175">
        <f t="shared" si="19"/>
        <v>5.0106900125829391E-2</v>
      </c>
      <c r="AK31" s="174">
        <v>140797.54</v>
      </c>
      <c r="AL31" s="175">
        <f t="shared" si="20"/>
        <v>3.6189517812438461E-2</v>
      </c>
      <c r="AN31" s="72"/>
    </row>
    <row r="32" spans="2:40" s="73" customFormat="1" ht="14.25" customHeight="1">
      <c r="B32" s="498"/>
      <c r="C32" s="496"/>
      <c r="D32" s="173">
        <v>46046</v>
      </c>
      <c r="E32" s="173" t="s">
        <v>115</v>
      </c>
      <c r="F32" s="338">
        <f t="shared" si="1"/>
        <v>4094539.9700000007</v>
      </c>
      <c r="G32" s="510"/>
      <c r="H32" s="508"/>
      <c r="I32" s="174">
        <v>683851.14000000013</v>
      </c>
      <c r="J32" s="175">
        <f t="shared" si="3"/>
        <v>0.16701537779835129</v>
      </c>
      <c r="K32" s="174">
        <v>847104.44000000029</v>
      </c>
      <c r="L32" s="175">
        <f t="shared" si="4"/>
        <v>0.2068863526077632</v>
      </c>
      <c r="M32" s="174">
        <f t="shared" si="5"/>
        <v>1530955.5800000005</v>
      </c>
      <c r="N32" s="175">
        <f t="shared" ref="N32" si="87">M32/$F32</f>
        <v>0.37390173040611452</v>
      </c>
      <c r="O32" s="174">
        <v>124372.89000000001</v>
      </c>
      <c r="P32" s="175">
        <f t="shared" si="7"/>
        <v>3.0375302454307217E-2</v>
      </c>
      <c r="Q32" s="174">
        <v>109659.84</v>
      </c>
      <c r="R32" s="175">
        <f t="shared" si="8"/>
        <v>2.6781968378244939E-2</v>
      </c>
      <c r="S32" s="174">
        <f t="shared" si="9"/>
        <v>234032.73</v>
      </c>
      <c r="T32" s="175">
        <f t="shared" ref="T32" si="88">S32/$F32</f>
        <v>5.7157270832552155E-2</v>
      </c>
      <c r="U32" s="174">
        <v>88719.569999999992</v>
      </c>
      <c r="V32" s="175">
        <f t="shared" ref="V32" si="89">U32/$F32</f>
        <v>2.1667774804992313E-2</v>
      </c>
      <c r="W32" s="174">
        <v>27401.65</v>
      </c>
      <c r="X32" s="175">
        <f t="shared" si="12"/>
        <v>6.6922414241324399E-3</v>
      </c>
      <c r="Y32" s="174">
        <v>181607.23</v>
      </c>
      <c r="Z32" s="175">
        <f t="shared" si="13"/>
        <v>4.4353512563219642E-2</v>
      </c>
      <c r="AA32" s="174">
        <v>496190.43000000005</v>
      </c>
      <c r="AB32" s="175">
        <f t="shared" si="14"/>
        <v>0.12118343785516886</v>
      </c>
      <c r="AC32" s="174">
        <f t="shared" si="15"/>
        <v>677797.66</v>
      </c>
      <c r="AD32" s="175">
        <f t="shared" si="16"/>
        <v>0.16553695041838851</v>
      </c>
      <c r="AE32" s="174">
        <v>1067042.94</v>
      </c>
      <c r="AF32" s="175">
        <f t="shared" si="17"/>
        <v>0.26060142233756234</v>
      </c>
      <c r="AG32" s="174">
        <v>84746.7</v>
      </c>
      <c r="AH32" s="175">
        <f t="shared" si="18"/>
        <v>2.0697489979564172E-2</v>
      </c>
      <c r="AI32" s="174">
        <v>217721.31</v>
      </c>
      <c r="AJ32" s="175">
        <f t="shared" si="19"/>
        <v>5.3173570558648124E-2</v>
      </c>
      <c r="AK32" s="174">
        <v>166121.82999999999</v>
      </c>
      <c r="AL32" s="175">
        <f t="shared" si="20"/>
        <v>4.0571549238045408E-2</v>
      </c>
      <c r="AN32" s="72"/>
    </row>
    <row r="33" spans="2:40" s="73" customFormat="1" ht="14.25" customHeight="1">
      <c r="B33" s="498"/>
      <c r="C33" s="496"/>
      <c r="D33" s="173">
        <v>46047</v>
      </c>
      <c r="E33" s="173" t="s">
        <v>116</v>
      </c>
      <c r="F33" s="338">
        <f t="shared" si="1"/>
        <v>5451395.4899999993</v>
      </c>
      <c r="G33" s="510"/>
      <c r="H33" s="508"/>
      <c r="I33" s="174">
        <v>958250.01</v>
      </c>
      <c r="J33" s="175">
        <f t="shared" si="3"/>
        <v>0.17578068070053016</v>
      </c>
      <c r="K33" s="174">
        <v>945432.14</v>
      </c>
      <c r="L33" s="175">
        <f t="shared" si="4"/>
        <v>0.17342938000632938</v>
      </c>
      <c r="M33" s="174">
        <f t="shared" si="5"/>
        <v>1903682.15</v>
      </c>
      <c r="N33" s="175">
        <f t="shared" ref="N33" si="90">M33/F33</f>
        <v>0.3492100607068595</v>
      </c>
      <c r="O33" s="174">
        <v>198616.65</v>
      </c>
      <c r="P33" s="175">
        <f t="shared" si="7"/>
        <v>3.6434092951858101E-2</v>
      </c>
      <c r="Q33" s="174">
        <v>137036.52000000002</v>
      </c>
      <c r="R33" s="175">
        <f t="shared" si="8"/>
        <v>2.5137878961704177E-2</v>
      </c>
      <c r="S33" s="174">
        <f t="shared" si="9"/>
        <v>335653.17000000004</v>
      </c>
      <c r="T33" s="175">
        <f t="shared" ref="T33" si="91">S33/F33</f>
        <v>6.1571971913562278E-2</v>
      </c>
      <c r="U33" s="174">
        <v>114144.04999999999</v>
      </c>
      <c r="V33" s="175">
        <f t="shared" ref="V33" si="92">U33/F33</f>
        <v>2.0938501014902518E-2</v>
      </c>
      <c r="W33" s="174">
        <v>45308.75</v>
      </c>
      <c r="X33" s="175">
        <f t="shared" si="12"/>
        <v>8.3114039484227555E-3</v>
      </c>
      <c r="Y33" s="174">
        <v>212660.42</v>
      </c>
      <c r="Z33" s="175">
        <f t="shared" si="13"/>
        <v>3.9010271845090448E-2</v>
      </c>
      <c r="AA33" s="174">
        <v>597087.32000000007</v>
      </c>
      <c r="AB33" s="175">
        <f t="shared" si="14"/>
        <v>0.10952926110301349</v>
      </c>
      <c r="AC33" s="174">
        <f t="shared" si="15"/>
        <v>809747.74000000011</v>
      </c>
      <c r="AD33" s="175">
        <f t="shared" si="16"/>
        <v>0.14853953294810393</v>
      </c>
      <c r="AE33" s="174">
        <v>1713098.08</v>
      </c>
      <c r="AF33" s="175">
        <f t="shared" si="17"/>
        <v>0.31424945835291074</v>
      </c>
      <c r="AG33" s="174">
        <v>90018.299999999988</v>
      </c>
      <c r="AH33" s="175">
        <f t="shared" si="18"/>
        <v>1.6512891087269107E-2</v>
      </c>
      <c r="AI33" s="174">
        <v>293792.28999999998</v>
      </c>
      <c r="AJ33" s="175">
        <f t="shared" si="19"/>
        <v>5.3893042715196585E-2</v>
      </c>
      <c r="AK33" s="174">
        <v>145950.96</v>
      </c>
      <c r="AL33" s="175">
        <f t="shared" si="20"/>
        <v>2.6773137312772737E-2</v>
      </c>
      <c r="AN33" s="72"/>
    </row>
    <row r="34" spans="2:40" s="73" customFormat="1" ht="14.25" customHeight="1">
      <c r="B34" s="499"/>
      <c r="C34" s="496"/>
      <c r="D34" s="173">
        <v>46048</v>
      </c>
      <c r="E34" s="173" t="s">
        <v>117</v>
      </c>
      <c r="F34" s="338">
        <f t="shared" si="1"/>
        <v>5012662.32</v>
      </c>
      <c r="G34" s="510"/>
      <c r="H34" s="508"/>
      <c r="I34" s="174">
        <v>860128.21</v>
      </c>
      <c r="J34" s="175">
        <f t="shared" si="3"/>
        <v>0.17159109373240206</v>
      </c>
      <c r="K34" s="174">
        <v>923523.65</v>
      </c>
      <c r="L34" s="175">
        <f t="shared" si="4"/>
        <v>0.18423815350881245</v>
      </c>
      <c r="M34" s="174">
        <f t="shared" si="5"/>
        <v>1783651.8599999999</v>
      </c>
      <c r="N34" s="175">
        <f t="shared" ref="N34" si="93">M34/$F34</f>
        <v>0.35582924724121445</v>
      </c>
      <c r="O34" s="174">
        <v>188670.85</v>
      </c>
      <c r="P34" s="175">
        <f t="shared" si="7"/>
        <v>3.763885096492995E-2</v>
      </c>
      <c r="Q34" s="174">
        <v>139074.84</v>
      </c>
      <c r="R34" s="175">
        <f t="shared" si="8"/>
        <v>2.7744705532049482E-2</v>
      </c>
      <c r="S34" s="174">
        <f t="shared" si="9"/>
        <v>327745.69</v>
      </c>
      <c r="T34" s="175">
        <f t="shared" ref="T34" si="94">S34/$F34</f>
        <v>6.5383556496979425E-2</v>
      </c>
      <c r="U34" s="174">
        <v>110630.2</v>
      </c>
      <c r="V34" s="175">
        <f t="shared" ref="V34" si="95">U34/$F34</f>
        <v>2.2070148144349766E-2</v>
      </c>
      <c r="W34" s="174">
        <v>43090.65</v>
      </c>
      <c r="X34" s="175">
        <f t="shared" si="12"/>
        <v>8.5963600276988128E-3</v>
      </c>
      <c r="Y34" s="174">
        <v>209140.68000000002</v>
      </c>
      <c r="Z34" s="175">
        <f t="shared" si="13"/>
        <v>4.1722475333227718E-2</v>
      </c>
      <c r="AA34" s="174">
        <v>556622.73</v>
      </c>
      <c r="AB34" s="175">
        <f t="shared" si="14"/>
        <v>0.11104333275735198</v>
      </c>
      <c r="AC34" s="174">
        <f t="shared" si="15"/>
        <v>765763.41</v>
      </c>
      <c r="AD34" s="175">
        <f t="shared" si="16"/>
        <v>0.15276580809057969</v>
      </c>
      <c r="AE34" s="174">
        <v>1427610.4800000004</v>
      </c>
      <c r="AF34" s="175">
        <f t="shared" si="17"/>
        <v>0.28480084810500467</v>
      </c>
      <c r="AG34" s="174">
        <v>100676.09999999999</v>
      </c>
      <c r="AH34" s="175">
        <f t="shared" si="18"/>
        <v>2.0084357088709696E-2</v>
      </c>
      <c r="AI34" s="174">
        <v>282654.68000000005</v>
      </c>
      <c r="AJ34" s="175">
        <f t="shared" si="19"/>
        <v>5.6388135077888119E-2</v>
      </c>
      <c r="AK34" s="174">
        <v>170839.25</v>
      </c>
      <c r="AL34" s="175">
        <f t="shared" si="20"/>
        <v>3.4081539727575341E-2</v>
      </c>
      <c r="AN34" s="72"/>
    </row>
    <row r="35" spans="2:40" s="73" customFormat="1" ht="14.25" customHeight="1">
      <c r="B35" s="497">
        <f>B28+7</f>
        <v>46057</v>
      </c>
      <c r="C35" s="496"/>
      <c r="D35" s="173">
        <v>46049</v>
      </c>
      <c r="E35" s="173" t="s">
        <v>118</v>
      </c>
      <c r="F35" s="338"/>
      <c r="G35" s="504">
        <f t="shared" ref="G35" si="96">SUM(F35:F41)</f>
        <v>0</v>
      </c>
      <c r="H35" s="508"/>
      <c r="I35" s="174"/>
      <c r="J35" s="175" t="e">
        <f t="shared" ref="J35:J69" si="97">I35/$F35</f>
        <v>#DIV/0!</v>
      </c>
      <c r="K35" s="174"/>
      <c r="L35" s="175" t="e">
        <f t="shared" ref="L35:L69" si="98">K35/$F35</f>
        <v>#DIV/0!</v>
      </c>
      <c r="M35" s="174">
        <f t="shared" ref="M35:M69" si="99">I35+K35</f>
        <v>0</v>
      </c>
      <c r="N35" s="175" t="e">
        <f t="shared" ref="N35" si="100">M35/$F35</f>
        <v>#DIV/0!</v>
      </c>
      <c r="O35" s="174"/>
      <c r="P35" s="175" t="e">
        <f t="shared" ref="P35:P69" si="101">O35/$F35</f>
        <v>#DIV/0!</v>
      </c>
      <c r="Q35" s="174"/>
      <c r="R35" s="175" t="e">
        <f t="shared" ref="R35:R69" si="102">Q35/$F35</f>
        <v>#DIV/0!</v>
      </c>
      <c r="S35" s="174">
        <f t="shared" ref="S35:S69" si="103">O35+Q35</f>
        <v>0</v>
      </c>
      <c r="T35" s="175" t="e">
        <f t="shared" ref="T35" si="104">S35/$F35</f>
        <v>#DIV/0!</v>
      </c>
      <c r="U35" s="174"/>
      <c r="V35" s="175" t="e">
        <f t="shared" ref="V35" si="105">U35/$F35</f>
        <v>#DIV/0!</v>
      </c>
      <c r="W35" s="174"/>
      <c r="X35" s="175" t="e">
        <f t="shared" ref="X35:X69" si="106">W35/$F35</f>
        <v>#DIV/0!</v>
      </c>
      <c r="Y35" s="174"/>
      <c r="Z35" s="175" t="e">
        <f t="shared" ref="Z35:Z69" si="107">Y35/$F35</f>
        <v>#DIV/0!</v>
      </c>
      <c r="AA35" s="174"/>
      <c r="AB35" s="175" t="e">
        <f t="shared" ref="AB35:AB69" si="108">AA35/$F35</f>
        <v>#DIV/0!</v>
      </c>
      <c r="AC35" s="174">
        <f t="shared" ref="AC35:AC69" si="109">Y35+AA35</f>
        <v>0</v>
      </c>
      <c r="AD35" s="175" t="e">
        <f t="shared" ref="AD35:AD69" si="110">AC35/$F35</f>
        <v>#DIV/0!</v>
      </c>
      <c r="AE35" s="174"/>
      <c r="AF35" s="175" t="e">
        <f t="shared" ref="AF35:AF69" si="111">AE35/F35</f>
        <v>#DIV/0!</v>
      </c>
      <c r="AG35" s="174"/>
      <c r="AH35" s="175" t="e">
        <f t="shared" ref="AH35:AH69" si="112">AG35/$F35</f>
        <v>#DIV/0!</v>
      </c>
      <c r="AI35" s="174"/>
      <c r="AJ35" s="175" t="e">
        <f t="shared" ref="AJ35:AJ69" si="113">AI35/$F35</f>
        <v>#DIV/0!</v>
      </c>
      <c r="AK35" s="174"/>
      <c r="AL35" s="175" t="e">
        <f t="shared" ref="AL35:AL69" si="114">AK35/$F35</f>
        <v>#DIV/0!</v>
      </c>
      <c r="AN35" s="72"/>
    </row>
    <row r="36" spans="2:40" s="73" customFormat="1" ht="14.25" customHeight="1">
      <c r="B36" s="498"/>
      <c r="C36" s="496"/>
      <c r="D36" s="173">
        <v>46050</v>
      </c>
      <c r="E36" s="173" t="s">
        <v>112</v>
      </c>
      <c r="F36" s="338"/>
      <c r="G36" s="505"/>
      <c r="H36" s="508"/>
      <c r="I36" s="174"/>
      <c r="J36" s="175" t="e">
        <f t="shared" si="97"/>
        <v>#DIV/0!</v>
      </c>
      <c r="K36" s="174"/>
      <c r="L36" s="175" t="e">
        <f t="shared" si="98"/>
        <v>#DIV/0!</v>
      </c>
      <c r="M36" s="174">
        <f t="shared" si="99"/>
        <v>0</v>
      </c>
      <c r="N36" s="175" t="e">
        <f t="shared" ref="N36" si="115">M36/F36</f>
        <v>#DIV/0!</v>
      </c>
      <c r="O36" s="174"/>
      <c r="P36" s="175" t="e">
        <f t="shared" si="101"/>
        <v>#DIV/0!</v>
      </c>
      <c r="Q36" s="174"/>
      <c r="R36" s="175" t="e">
        <f t="shared" si="102"/>
        <v>#DIV/0!</v>
      </c>
      <c r="S36" s="174">
        <f t="shared" si="103"/>
        <v>0</v>
      </c>
      <c r="T36" s="175" t="e">
        <f t="shared" ref="T36:T38" si="116">S36/F36</f>
        <v>#DIV/0!</v>
      </c>
      <c r="U36" s="174"/>
      <c r="V36" s="175" t="e">
        <f t="shared" ref="V36:V38" si="117">U36/F36</f>
        <v>#DIV/0!</v>
      </c>
      <c r="W36" s="174"/>
      <c r="X36" s="175" t="e">
        <f t="shared" si="106"/>
        <v>#DIV/0!</v>
      </c>
      <c r="Y36" s="174"/>
      <c r="Z36" s="175" t="e">
        <f t="shared" si="107"/>
        <v>#DIV/0!</v>
      </c>
      <c r="AA36" s="174"/>
      <c r="AB36" s="175" t="e">
        <f t="shared" si="108"/>
        <v>#DIV/0!</v>
      </c>
      <c r="AC36" s="174">
        <f t="shared" si="109"/>
        <v>0</v>
      </c>
      <c r="AD36" s="175" t="e">
        <f t="shared" si="110"/>
        <v>#DIV/0!</v>
      </c>
      <c r="AE36" s="174"/>
      <c r="AF36" s="175" t="e">
        <f t="shared" si="111"/>
        <v>#DIV/0!</v>
      </c>
      <c r="AG36" s="174"/>
      <c r="AH36" s="175" t="e">
        <f t="shared" si="112"/>
        <v>#DIV/0!</v>
      </c>
      <c r="AI36" s="174"/>
      <c r="AJ36" s="175" t="e">
        <f t="shared" si="113"/>
        <v>#DIV/0!</v>
      </c>
      <c r="AK36" s="174"/>
      <c r="AL36" s="175" t="e">
        <f t="shared" si="114"/>
        <v>#DIV/0!</v>
      </c>
      <c r="AN36" s="72"/>
    </row>
    <row r="37" spans="2:40" s="73" customFormat="1" ht="14.25" customHeight="1">
      <c r="B37" s="498"/>
      <c r="C37" s="496"/>
      <c r="D37" s="173">
        <v>46051</v>
      </c>
      <c r="E37" s="173" t="s">
        <v>113</v>
      </c>
      <c r="F37" s="338"/>
      <c r="G37" s="505"/>
      <c r="H37" s="509"/>
      <c r="I37" s="174"/>
      <c r="J37" s="175" t="e">
        <f t="shared" si="97"/>
        <v>#DIV/0!</v>
      </c>
      <c r="K37" s="174"/>
      <c r="L37" s="175" t="e">
        <f t="shared" si="98"/>
        <v>#DIV/0!</v>
      </c>
      <c r="M37" s="174">
        <f t="shared" si="99"/>
        <v>0</v>
      </c>
      <c r="N37" s="175" t="e">
        <f t="shared" ref="N37" si="118">M37/$F37</f>
        <v>#DIV/0!</v>
      </c>
      <c r="O37" s="174"/>
      <c r="P37" s="175" t="e">
        <f t="shared" si="101"/>
        <v>#DIV/0!</v>
      </c>
      <c r="Q37" s="174"/>
      <c r="R37" s="175" t="e">
        <f t="shared" si="102"/>
        <v>#DIV/0!</v>
      </c>
      <c r="S37" s="174">
        <f t="shared" si="103"/>
        <v>0</v>
      </c>
      <c r="T37" s="175" t="e">
        <f t="shared" ref="T37" si="119">S37/$F37</f>
        <v>#DIV/0!</v>
      </c>
      <c r="U37" s="174"/>
      <c r="V37" s="175" t="e">
        <f t="shared" ref="V37" si="120">U37/$F37</f>
        <v>#DIV/0!</v>
      </c>
      <c r="W37" s="174"/>
      <c r="X37" s="175" t="e">
        <f t="shared" si="106"/>
        <v>#DIV/0!</v>
      </c>
      <c r="Y37" s="174"/>
      <c r="Z37" s="175" t="e">
        <f t="shared" si="107"/>
        <v>#DIV/0!</v>
      </c>
      <c r="AA37" s="174"/>
      <c r="AB37" s="175" t="e">
        <f t="shared" si="108"/>
        <v>#DIV/0!</v>
      </c>
      <c r="AC37" s="174">
        <f t="shared" si="109"/>
        <v>0</v>
      </c>
      <c r="AD37" s="175" t="e">
        <f t="shared" si="110"/>
        <v>#DIV/0!</v>
      </c>
      <c r="AE37" s="174"/>
      <c r="AF37" s="175" t="e">
        <f t="shared" si="111"/>
        <v>#DIV/0!</v>
      </c>
      <c r="AG37" s="174"/>
      <c r="AH37" s="175" t="e">
        <f t="shared" si="112"/>
        <v>#DIV/0!</v>
      </c>
      <c r="AI37" s="174"/>
      <c r="AJ37" s="175" t="e">
        <f t="shared" si="113"/>
        <v>#DIV/0!</v>
      </c>
      <c r="AK37" s="174"/>
      <c r="AL37" s="175" t="e">
        <f t="shared" si="114"/>
        <v>#DIV/0!</v>
      </c>
      <c r="AN37" s="72"/>
    </row>
    <row r="38" spans="2:40" s="73" customFormat="1" ht="14.25" customHeight="1" collapsed="1">
      <c r="B38" s="498"/>
      <c r="C38" s="496"/>
      <c r="D38" s="173">
        <v>46052</v>
      </c>
      <c r="E38" s="173" t="s">
        <v>114</v>
      </c>
      <c r="F38" s="338"/>
      <c r="G38" s="505"/>
      <c r="H38" s="511">
        <f>SUM(F40:F67)</f>
        <v>0</v>
      </c>
      <c r="I38" s="174"/>
      <c r="J38" s="175" t="e">
        <f t="shared" si="97"/>
        <v>#DIV/0!</v>
      </c>
      <c r="K38" s="174"/>
      <c r="L38" s="175" t="e">
        <f t="shared" si="98"/>
        <v>#DIV/0!</v>
      </c>
      <c r="M38" s="174">
        <f t="shared" si="99"/>
        <v>0</v>
      </c>
      <c r="N38" s="175" t="e">
        <f t="shared" ref="N38" si="121">M38/F38</f>
        <v>#DIV/0!</v>
      </c>
      <c r="O38" s="174"/>
      <c r="P38" s="175" t="e">
        <f t="shared" si="101"/>
        <v>#DIV/0!</v>
      </c>
      <c r="Q38" s="174"/>
      <c r="R38" s="175" t="e">
        <f t="shared" si="102"/>
        <v>#DIV/0!</v>
      </c>
      <c r="S38" s="174">
        <f t="shared" si="103"/>
        <v>0</v>
      </c>
      <c r="T38" s="175" t="e">
        <f t="shared" si="116"/>
        <v>#DIV/0!</v>
      </c>
      <c r="U38" s="174"/>
      <c r="V38" s="175" t="e">
        <f t="shared" si="117"/>
        <v>#DIV/0!</v>
      </c>
      <c r="W38" s="174"/>
      <c r="X38" s="175" t="e">
        <f t="shared" si="106"/>
        <v>#DIV/0!</v>
      </c>
      <c r="Y38" s="174"/>
      <c r="Z38" s="175" t="e">
        <f t="shared" si="107"/>
        <v>#DIV/0!</v>
      </c>
      <c r="AA38" s="174"/>
      <c r="AB38" s="175" t="e">
        <f t="shared" si="108"/>
        <v>#DIV/0!</v>
      </c>
      <c r="AC38" s="174">
        <f t="shared" si="109"/>
        <v>0</v>
      </c>
      <c r="AD38" s="175" t="e">
        <f t="shared" si="110"/>
        <v>#DIV/0!</v>
      </c>
      <c r="AE38" s="174"/>
      <c r="AF38" s="175" t="e">
        <f t="shared" si="111"/>
        <v>#DIV/0!</v>
      </c>
      <c r="AG38" s="174"/>
      <c r="AH38" s="175" t="e">
        <f t="shared" si="112"/>
        <v>#DIV/0!</v>
      </c>
      <c r="AI38" s="174"/>
      <c r="AJ38" s="175" t="e">
        <f t="shared" si="113"/>
        <v>#DIV/0!</v>
      </c>
      <c r="AK38" s="174"/>
      <c r="AL38" s="175" t="e">
        <f t="shared" si="114"/>
        <v>#DIV/0!</v>
      </c>
      <c r="AN38" s="72"/>
    </row>
    <row r="39" spans="2:40" s="73" customFormat="1" ht="14.25" customHeight="1">
      <c r="B39" s="498"/>
      <c r="C39" s="496"/>
      <c r="D39" s="173">
        <v>46053</v>
      </c>
      <c r="E39" s="173" t="s">
        <v>115</v>
      </c>
      <c r="F39" s="338"/>
      <c r="G39" s="505"/>
      <c r="H39" s="511"/>
      <c r="I39" s="174"/>
      <c r="J39" s="175" t="e">
        <f t="shared" si="97"/>
        <v>#DIV/0!</v>
      </c>
      <c r="K39" s="174"/>
      <c r="L39" s="175" t="e">
        <f t="shared" si="98"/>
        <v>#DIV/0!</v>
      </c>
      <c r="M39" s="174">
        <f t="shared" si="99"/>
        <v>0</v>
      </c>
      <c r="N39" s="175" t="e">
        <f t="shared" ref="N39" si="122">M39/$F39</f>
        <v>#DIV/0!</v>
      </c>
      <c r="O39" s="174"/>
      <c r="P39" s="175" t="e">
        <f t="shared" si="101"/>
        <v>#DIV/0!</v>
      </c>
      <c r="Q39" s="174"/>
      <c r="R39" s="175" t="e">
        <f t="shared" si="102"/>
        <v>#DIV/0!</v>
      </c>
      <c r="S39" s="174">
        <f t="shared" si="103"/>
        <v>0</v>
      </c>
      <c r="T39" s="175" t="e">
        <f t="shared" ref="T39" si="123">S39/$F39</f>
        <v>#DIV/0!</v>
      </c>
      <c r="U39" s="174"/>
      <c r="V39" s="175" t="e">
        <f t="shared" ref="V39" si="124">U39/$F39</f>
        <v>#DIV/0!</v>
      </c>
      <c r="W39" s="174"/>
      <c r="X39" s="175" t="e">
        <f t="shared" si="106"/>
        <v>#DIV/0!</v>
      </c>
      <c r="Y39" s="174"/>
      <c r="Z39" s="175" t="e">
        <f t="shared" si="107"/>
        <v>#DIV/0!</v>
      </c>
      <c r="AA39" s="174"/>
      <c r="AB39" s="175" t="e">
        <f t="shared" si="108"/>
        <v>#DIV/0!</v>
      </c>
      <c r="AC39" s="174">
        <f t="shared" si="109"/>
        <v>0</v>
      </c>
      <c r="AD39" s="175" t="e">
        <f t="shared" si="110"/>
        <v>#DIV/0!</v>
      </c>
      <c r="AE39" s="174"/>
      <c r="AF39" s="175" t="e">
        <f t="shared" si="111"/>
        <v>#DIV/0!</v>
      </c>
      <c r="AG39" s="174"/>
      <c r="AH39" s="175" t="e">
        <f t="shared" si="112"/>
        <v>#DIV/0!</v>
      </c>
      <c r="AI39" s="174"/>
      <c r="AJ39" s="175" t="e">
        <f t="shared" si="113"/>
        <v>#DIV/0!</v>
      </c>
      <c r="AK39" s="174"/>
      <c r="AL39" s="175" t="e">
        <f t="shared" si="114"/>
        <v>#DIV/0!</v>
      </c>
      <c r="AN39" s="72"/>
    </row>
    <row r="40" spans="2:40" s="73" customFormat="1" ht="14.25" customHeight="1">
      <c r="B40" s="498"/>
      <c r="C40" s="496" t="s">
        <v>118</v>
      </c>
      <c r="D40" s="173">
        <v>46054</v>
      </c>
      <c r="E40" s="173" t="s">
        <v>116</v>
      </c>
      <c r="F40" s="338"/>
      <c r="G40" s="505"/>
      <c r="H40" s="511"/>
      <c r="I40" s="174"/>
      <c r="J40" s="175" t="e">
        <f t="shared" si="97"/>
        <v>#DIV/0!</v>
      </c>
      <c r="K40" s="174"/>
      <c r="L40" s="175" t="e">
        <f t="shared" si="98"/>
        <v>#DIV/0!</v>
      </c>
      <c r="M40" s="174">
        <f t="shared" si="99"/>
        <v>0</v>
      </c>
      <c r="N40" s="175" t="e">
        <f t="shared" ref="N40" si="125">M40/F40</f>
        <v>#DIV/0!</v>
      </c>
      <c r="O40" s="174"/>
      <c r="P40" s="175" t="e">
        <f t="shared" si="101"/>
        <v>#DIV/0!</v>
      </c>
      <c r="Q40" s="174"/>
      <c r="R40" s="175" t="e">
        <f t="shared" si="102"/>
        <v>#DIV/0!</v>
      </c>
      <c r="S40" s="174">
        <f t="shared" si="103"/>
        <v>0</v>
      </c>
      <c r="T40" s="175" t="e">
        <f t="shared" ref="T40:T44" si="126">S40/F40</f>
        <v>#DIV/0!</v>
      </c>
      <c r="U40" s="174"/>
      <c r="V40" s="175" t="e">
        <f t="shared" ref="V40:V44" si="127">U40/F40</f>
        <v>#DIV/0!</v>
      </c>
      <c r="W40" s="174"/>
      <c r="X40" s="175" t="e">
        <f t="shared" si="106"/>
        <v>#DIV/0!</v>
      </c>
      <c r="Y40" s="174"/>
      <c r="Z40" s="175" t="e">
        <f t="shared" si="107"/>
        <v>#DIV/0!</v>
      </c>
      <c r="AA40" s="174"/>
      <c r="AB40" s="175" t="e">
        <f t="shared" si="108"/>
        <v>#DIV/0!</v>
      </c>
      <c r="AC40" s="174">
        <f t="shared" si="109"/>
        <v>0</v>
      </c>
      <c r="AD40" s="175" t="e">
        <f t="shared" si="110"/>
        <v>#DIV/0!</v>
      </c>
      <c r="AE40" s="174"/>
      <c r="AF40" s="175" t="e">
        <f t="shared" si="111"/>
        <v>#DIV/0!</v>
      </c>
      <c r="AG40" s="174"/>
      <c r="AH40" s="175" t="e">
        <f t="shared" si="112"/>
        <v>#DIV/0!</v>
      </c>
      <c r="AI40" s="174"/>
      <c r="AJ40" s="175" t="e">
        <f t="shared" si="113"/>
        <v>#DIV/0!</v>
      </c>
      <c r="AK40" s="174"/>
      <c r="AL40" s="175" t="e">
        <f t="shared" si="114"/>
        <v>#DIV/0!</v>
      </c>
      <c r="AN40" s="72"/>
    </row>
    <row r="41" spans="2:40" s="73" customFormat="1" ht="14.25" customHeight="1">
      <c r="B41" s="499"/>
      <c r="C41" s="496"/>
      <c r="D41" s="173">
        <v>46055</v>
      </c>
      <c r="E41" s="173" t="s">
        <v>117</v>
      </c>
      <c r="F41" s="338"/>
      <c r="G41" s="506"/>
      <c r="H41" s="511"/>
      <c r="I41" s="174"/>
      <c r="J41" s="175" t="e">
        <f t="shared" si="97"/>
        <v>#DIV/0!</v>
      </c>
      <c r="K41" s="174"/>
      <c r="L41" s="175" t="e">
        <f t="shared" si="98"/>
        <v>#DIV/0!</v>
      </c>
      <c r="M41" s="174">
        <f t="shared" si="99"/>
        <v>0</v>
      </c>
      <c r="N41" s="175" t="e">
        <f t="shared" ref="N41" si="128">M41/$F41</f>
        <v>#DIV/0!</v>
      </c>
      <c r="O41" s="174"/>
      <c r="P41" s="175" t="e">
        <f t="shared" si="101"/>
        <v>#DIV/0!</v>
      </c>
      <c r="Q41" s="174"/>
      <c r="R41" s="175" t="e">
        <f t="shared" si="102"/>
        <v>#DIV/0!</v>
      </c>
      <c r="S41" s="174">
        <f t="shared" si="103"/>
        <v>0</v>
      </c>
      <c r="T41" s="175" t="e">
        <f t="shared" ref="T41" si="129">S41/$F41</f>
        <v>#DIV/0!</v>
      </c>
      <c r="U41" s="174"/>
      <c r="V41" s="175" t="e">
        <f t="shared" ref="V41" si="130">U41/$F41</f>
        <v>#DIV/0!</v>
      </c>
      <c r="W41" s="174"/>
      <c r="X41" s="175" t="e">
        <f t="shared" si="106"/>
        <v>#DIV/0!</v>
      </c>
      <c r="Y41" s="174"/>
      <c r="Z41" s="175" t="e">
        <f t="shared" si="107"/>
        <v>#DIV/0!</v>
      </c>
      <c r="AA41" s="174"/>
      <c r="AB41" s="175" t="e">
        <f t="shared" si="108"/>
        <v>#DIV/0!</v>
      </c>
      <c r="AC41" s="174">
        <f t="shared" si="109"/>
        <v>0</v>
      </c>
      <c r="AD41" s="175" t="e">
        <f t="shared" si="110"/>
        <v>#DIV/0!</v>
      </c>
      <c r="AE41" s="174"/>
      <c r="AF41" s="175" t="e">
        <f t="shared" si="111"/>
        <v>#DIV/0!</v>
      </c>
      <c r="AG41" s="174"/>
      <c r="AH41" s="175" t="e">
        <f t="shared" si="112"/>
        <v>#DIV/0!</v>
      </c>
      <c r="AI41" s="174"/>
      <c r="AJ41" s="175" t="e">
        <f t="shared" si="113"/>
        <v>#DIV/0!</v>
      </c>
      <c r="AK41" s="174"/>
      <c r="AL41" s="175" t="e">
        <f t="shared" si="114"/>
        <v>#DIV/0!</v>
      </c>
      <c r="AN41" s="72"/>
    </row>
    <row r="42" spans="2:40" s="73" customFormat="1" ht="14.25" customHeight="1">
      <c r="B42" s="497">
        <f>B35+7</f>
        <v>46064</v>
      </c>
      <c r="C42" s="496"/>
      <c r="D42" s="173">
        <v>46056</v>
      </c>
      <c r="E42" s="173" t="s">
        <v>118</v>
      </c>
      <c r="F42" s="338"/>
      <c r="G42" s="504">
        <f t="shared" ref="G42" si="131">SUM(F42:F48)</f>
        <v>0</v>
      </c>
      <c r="H42" s="511"/>
      <c r="I42" s="174"/>
      <c r="J42" s="175" t="e">
        <f t="shared" si="97"/>
        <v>#DIV/0!</v>
      </c>
      <c r="K42" s="174"/>
      <c r="L42" s="175" t="e">
        <f t="shared" si="98"/>
        <v>#DIV/0!</v>
      </c>
      <c r="M42" s="174">
        <f t="shared" si="99"/>
        <v>0</v>
      </c>
      <c r="N42" s="175" t="e">
        <f t="shared" ref="N42" si="132">M42/F42</f>
        <v>#DIV/0!</v>
      </c>
      <c r="O42" s="174"/>
      <c r="P42" s="175" t="e">
        <f t="shared" si="101"/>
        <v>#DIV/0!</v>
      </c>
      <c r="Q42" s="174"/>
      <c r="R42" s="175" t="e">
        <f t="shared" si="102"/>
        <v>#DIV/0!</v>
      </c>
      <c r="S42" s="174">
        <f t="shared" si="103"/>
        <v>0</v>
      </c>
      <c r="T42" s="175" t="e">
        <f t="shared" si="126"/>
        <v>#DIV/0!</v>
      </c>
      <c r="U42" s="174"/>
      <c r="V42" s="175" t="e">
        <f t="shared" si="127"/>
        <v>#DIV/0!</v>
      </c>
      <c r="W42" s="174"/>
      <c r="X42" s="175" t="e">
        <f t="shared" si="106"/>
        <v>#DIV/0!</v>
      </c>
      <c r="Y42" s="174"/>
      <c r="Z42" s="175" t="e">
        <f t="shared" si="107"/>
        <v>#DIV/0!</v>
      </c>
      <c r="AA42" s="174"/>
      <c r="AB42" s="175" t="e">
        <f t="shared" si="108"/>
        <v>#DIV/0!</v>
      </c>
      <c r="AC42" s="174">
        <f t="shared" si="109"/>
        <v>0</v>
      </c>
      <c r="AD42" s="175" t="e">
        <f t="shared" si="110"/>
        <v>#DIV/0!</v>
      </c>
      <c r="AE42" s="174"/>
      <c r="AF42" s="175" t="e">
        <f t="shared" si="111"/>
        <v>#DIV/0!</v>
      </c>
      <c r="AG42" s="174"/>
      <c r="AH42" s="175" t="e">
        <f t="shared" si="112"/>
        <v>#DIV/0!</v>
      </c>
      <c r="AI42" s="174"/>
      <c r="AJ42" s="175" t="e">
        <f t="shared" si="113"/>
        <v>#DIV/0!</v>
      </c>
      <c r="AK42" s="174"/>
      <c r="AL42" s="175" t="e">
        <f t="shared" si="114"/>
        <v>#DIV/0!</v>
      </c>
      <c r="AN42" s="72"/>
    </row>
    <row r="43" spans="2:40" s="73" customFormat="1" ht="14.25" customHeight="1">
      <c r="B43" s="498"/>
      <c r="C43" s="496"/>
      <c r="D43" s="173">
        <v>46057</v>
      </c>
      <c r="E43" s="173" t="s">
        <v>112</v>
      </c>
      <c r="F43" s="338"/>
      <c r="G43" s="505"/>
      <c r="H43" s="511"/>
      <c r="I43" s="174"/>
      <c r="J43" s="175" t="e">
        <f t="shared" si="97"/>
        <v>#DIV/0!</v>
      </c>
      <c r="K43" s="174"/>
      <c r="L43" s="175" t="e">
        <f t="shared" si="98"/>
        <v>#DIV/0!</v>
      </c>
      <c r="M43" s="174">
        <f t="shared" si="99"/>
        <v>0</v>
      </c>
      <c r="N43" s="175" t="e">
        <f t="shared" ref="N43" si="133">M43/$F43</f>
        <v>#DIV/0!</v>
      </c>
      <c r="O43" s="174"/>
      <c r="P43" s="175" t="e">
        <f t="shared" si="101"/>
        <v>#DIV/0!</v>
      </c>
      <c r="Q43" s="174"/>
      <c r="R43" s="175" t="e">
        <f t="shared" si="102"/>
        <v>#DIV/0!</v>
      </c>
      <c r="S43" s="174">
        <f t="shared" si="103"/>
        <v>0</v>
      </c>
      <c r="T43" s="175" t="e">
        <f t="shared" ref="T43" si="134">S43/$F43</f>
        <v>#DIV/0!</v>
      </c>
      <c r="U43" s="174"/>
      <c r="V43" s="175" t="e">
        <f t="shared" ref="V43" si="135">U43/$F43</f>
        <v>#DIV/0!</v>
      </c>
      <c r="W43" s="174"/>
      <c r="X43" s="175" t="e">
        <f t="shared" si="106"/>
        <v>#DIV/0!</v>
      </c>
      <c r="Y43" s="174"/>
      <c r="Z43" s="175" t="e">
        <f t="shared" si="107"/>
        <v>#DIV/0!</v>
      </c>
      <c r="AA43" s="174"/>
      <c r="AB43" s="175" t="e">
        <f t="shared" si="108"/>
        <v>#DIV/0!</v>
      </c>
      <c r="AC43" s="174">
        <f t="shared" si="109"/>
        <v>0</v>
      </c>
      <c r="AD43" s="175" t="e">
        <f t="shared" si="110"/>
        <v>#DIV/0!</v>
      </c>
      <c r="AE43" s="174"/>
      <c r="AF43" s="175" t="e">
        <f t="shared" si="111"/>
        <v>#DIV/0!</v>
      </c>
      <c r="AG43" s="174"/>
      <c r="AH43" s="175" t="e">
        <f t="shared" si="112"/>
        <v>#DIV/0!</v>
      </c>
      <c r="AI43" s="174"/>
      <c r="AJ43" s="175" t="e">
        <f t="shared" si="113"/>
        <v>#DIV/0!</v>
      </c>
      <c r="AK43" s="174"/>
      <c r="AL43" s="175" t="e">
        <f t="shared" si="114"/>
        <v>#DIV/0!</v>
      </c>
      <c r="AN43" s="72"/>
    </row>
    <row r="44" spans="2:40" s="73" customFormat="1" ht="14.25" customHeight="1">
      <c r="B44" s="498"/>
      <c r="C44" s="496"/>
      <c r="D44" s="173">
        <v>46058</v>
      </c>
      <c r="E44" s="173" t="s">
        <v>113</v>
      </c>
      <c r="F44" s="338"/>
      <c r="G44" s="505"/>
      <c r="H44" s="511"/>
      <c r="I44" s="174"/>
      <c r="J44" s="175" t="e">
        <f t="shared" si="97"/>
        <v>#DIV/0!</v>
      </c>
      <c r="K44" s="174"/>
      <c r="L44" s="175" t="e">
        <f t="shared" si="98"/>
        <v>#DIV/0!</v>
      </c>
      <c r="M44" s="174">
        <f t="shared" si="99"/>
        <v>0</v>
      </c>
      <c r="N44" s="175" t="e">
        <f t="shared" ref="N44" si="136">M44/F44</f>
        <v>#DIV/0!</v>
      </c>
      <c r="O44" s="174"/>
      <c r="P44" s="175" t="e">
        <f t="shared" si="101"/>
        <v>#DIV/0!</v>
      </c>
      <c r="Q44" s="174"/>
      <c r="R44" s="175" t="e">
        <f t="shared" si="102"/>
        <v>#DIV/0!</v>
      </c>
      <c r="S44" s="174">
        <f t="shared" si="103"/>
        <v>0</v>
      </c>
      <c r="T44" s="175" t="e">
        <f t="shared" si="126"/>
        <v>#DIV/0!</v>
      </c>
      <c r="U44" s="174"/>
      <c r="V44" s="175" t="e">
        <f t="shared" si="127"/>
        <v>#DIV/0!</v>
      </c>
      <c r="W44" s="174"/>
      <c r="X44" s="175" t="e">
        <f t="shared" si="106"/>
        <v>#DIV/0!</v>
      </c>
      <c r="Y44" s="174"/>
      <c r="Z44" s="175" t="e">
        <f t="shared" si="107"/>
        <v>#DIV/0!</v>
      </c>
      <c r="AA44" s="174"/>
      <c r="AB44" s="175" t="e">
        <f t="shared" si="108"/>
        <v>#DIV/0!</v>
      </c>
      <c r="AC44" s="174">
        <f t="shared" si="109"/>
        <v>0</v>
      </c>
      <c r="AD44" s="175" t="e">
        <f t="shared" si="110"/>
        <v>#DIV/0!</v>
      </c>
      <c r="AE44" s="174"/>
      <c r="AF44" s="175" t="e">
        <f t="shared" si="111"/>
        <v>#DIV/0!</v>
      </c>
      <c r="AG44" s="174"/>
      <c r="AH44" s="175" t="e">
        <f t="shared" si="112"/>
        <v>#DIV/0!</v>
      </c>
      <c r="AI44" s="174"/>
      <c r="AJ44" s="175" t="e">
        <f t="shared" si="113"/>
        <v>#DIV/0!</v>
      </c>
      <c r="AK44" s="174"/>
      <c r="AL44" s="175" t="e">
        <f t="shared" si="114"/>
        <v>#DIV/0!</v>
      </c>
      <c r="AN44" s="72"/>
    </row>
    <row r="45" spans="2:40" s="73" customFormat="1" ht="14.25" customHeight="1">
      <c r="B45" s="498"/>
      <c r="C45" s="496"/>
      <c r="D45" s="173">
        <v>46059</v>
      </c>
      <c r="E45" s="173" t="s">
        <v>114</v>
      </c>
      <c r="F45" s="338"/>
      <c r="G45" s="505"/>
      <c r="H45" s="511"/>
      <c r="I45" s="174"/>
      <c r="J45" s="175" t="e">
        <f t="shared" si="97"/>
        <v>#DIV/0!</v>
      </c>
      <c r="K45" s="174"/>
      <c r="L45" s="175" t="e">
        <f t="shared" si="98"/>
        <v>#DIV/0!</v>
      </c>
      <c r="M45" s="174">
        <f t="shared" si="99"/>
        <v>0</v>
      </c>
      <c r="N45" s="175" t="e">
        <f t="shared" ref="N45:N46" si="137">M45/$F45</f>
        <v>#DIV/0!</v>
      </c>
      <c r="O45" s="174"/>
      <c r="P45" s="175" t="e">
        <f t="shared" si="101"/>
        <v>#DIV/0!</v>
      </c>
      <c r="Q45" s="174"/>
      <c r="R45" s="175" t="e">
        <f t="shared" si="102"/>
        <v>#DIV/0!</v>
      </c>
      <c r="S45" s="174">
        <f t="shared" si="103"/>
        <v>0</v>
      </c>
      <c r="T45" s="175" t="e">
        <f t="shared" ref="T45:T46" si="138">S45/$F45</f>
        <v>#DIV/0!</v>
      </c>
      <c r="U45" s="174"/>
      <c r="V45" s="175" t="e">
        <f t="shared" ref="V45:V46" si="139">U45/$F45</f>
        <v>#DIV/0!</v>
      </c>
      <c r="W45" s="174"/>
      <c r="X45" s="175" t="e">
        <f t="shared" si="106"/>
        <v>#DIV/0!</v>
      </c>
      <c r="Y45" s="174"/>
      <c r="Z45" s="175" t="e">
        <f t="shared" si="107"/>
        <v>#DIV/0!</v>
      </c>
      <c r="AA45" s="174"/>
      <c r="AB45" s="175" t="e">
        <f t="shared" si="108"/>
        <v>#DIV/0!</v>
      </c>
      <c r="AC45" s="174">
        <f t="shared" si="109"/>
        <v>0</v>
      </c>
      <c r="AD45" s="175" t="e">
        <f t="shared" si="110"/>
        <v>#DIV/0!</v>
      </c>
      <c r="AE45" s="174"/>
      <c r="AF45" s="175" t="e">
        <f t="shared" si="111"/>
        <v>#DIV/0!</v>
      </c>
      <c r="AG45" s="174"/>
      <c r="AH45" s="175" t="e">
        <f t="shared" si="112"/>
        <v>#DIV/0!</v>
      </c>
      <c r="AI45" s="174"/>
      <c r="AJ45" s="175" t="e">
        <f t="shared" si="113"/>
        <v>#DIV/0!</v>
      </c>
      <c r="AK45" s="174"/>
      <c r="AL45" s="175" t="e">
        <f t="shared" si="114"/>
        <v>#DIV/0!</v>
      </c>
      <c r="AN45" s="72"/>
    </row>
    <row r="46" spans="2:40" s="73" customFormat="1" ht="14.25" customHeight="1" collapsed="1">
      <c r="B46" s="498"/>
      <c r="C46" s="496"/>
      <c r="D46" s="173">
        <v>46060</v>
      </c>
      <c r="E46" s="173" t="s">
        <v>115</v>
      </c>
      <c r="F46" s="338"/>
      <c r="G46" s="505"/>
      <c r="H46" s="511"/>
      <c r="I46" s="174"/>
      <c r="J46" s="175" t="e">
        <f t="shared" si="97"/>
        <v>#DIV/0!</v>
      </c>
      <c r="K46" s="174"/>
      <c r="L46" s="175" t="e">
        <f t="shared" si="98"/>
        <v>#DIV/0!</v>
      </c>
      <c r="M46" s="174">
        <f t="shared" si="99"/>
        <v>0</v>
      </c>
      <c r="N46" s="175" t="e">
        <f t="shared" si="137"/>
        <v>#DIV/0!</v>
      </c>
      <c r="O46" s="174"/>
      <c r="P46" s="175" t="e">
        <f t="shared" si="101"/>
        <v>#DIV/0!</v>
      </c>
      <c r="Q46" s="174"/>
      <c r="R46" s="175" t="e">
        <f t="shared" si="102"/>
        <v>#DIV/0!</v>
      </c>
      <c r="S46" s="174">
        <f t="shared" si="103"/>
        <v>0</v>
      </c>
      <c r="T46" s="175" t="e">
        <f t="shared" si="138"/>
        <v>#DIV/0!</v>
      </c>
      <c r="U46" s="174"/>
      <c r="V46" s="175" t="e">
        <f t="shared" si="139"/>
        <v>#DIV/0!</v>
      </c>
      <c r="W46" s="174"/>
      <c r="X46" s="175" t="e">
        <f t="shared" si="106"/>
        <v>#DIV/0!</v>
      </c>
      <c r="Y46" s="174"/>
      <c r="Z46" s="175" t="e">
        <f t="shared" si="107"/>
        <v>#DIV/0!</v>
      </c>
      <c r="AA46" s="174"/>
      <c r="AB46" s="175" t="e">
        <f t="shared" si="108"/>
        <v>#DIV/0!</v>
      </c>
      <c r="AC46" s="174">
        <f t="shared" si="109"/>
        <v>0</v>
      </c>
      <c r="AD46" s="175" t="e">
        <f t="shared" si="110"/>
        <v>#DIV/0!</v>
      </c>
      <c r="AE46" s="174"/>
      <c r="AF46" s="175" t="e">
        <f t="shared" si="111"/>
        <v>#DIV/0!</v>
      </c>
      <c r="AG46" s="174"/>
      <c r="AH46" s="175" t="e">
        <f t="shared" si="112"/>
        <v>#DIV/0!</v>
      </c>
      <c r="AI46" s="174"/>
      <c r="AJ46" s="175" t="e">
        <f t="shared" si="113"/>
        <v>#DIV/0!</v>
      </c>
      <c r="AK46" s="174"/>
      <c r="AL46" s="175" t="e">
        <f t="shared" si="114"/>
        <v>#DIV/0!</v>
      </c>
      <c r="AN46" s="72"/>
    </row>
    <row r="47" spans="2:40" s="73" customFormat="1" ht="14.25" customHeight="1">
      <c r="B47" s="498"/>
      <c r="C47" s="496"/>
      <c r="D47" s="173">
        <v>46061</v>
      </c>
      <c r="E47" s="173" t="s">
        <v>116</v>
      </c>
      <c r="F47" s="338"/>
      <c r="G47" s="505"/>
      <c r="H47" s="511"/>
      <c r="I47" s="174"/>
      <c r="J47" s="175" t="e">
        <f t="shared" si="97"/>
        <v>#DIV/0!</v>
      </c>
      <c r="K47" s="174"/>
      <c r="L47" s="175" t="e">
        <f t="shared" si="98"/>
        <v>#DIV/0!</v>
      </c>
      <c r="M47" s="174">
        <f t="shared" si="99"/>
        <v>0</v>
      </c>
      <c r="N47" s="175" t="e">
        <f t="shared" ref="N47" si="140">M47/F47</f>
        <v>#DIV/0!</v>
      </c>
      <c r="O47" s="174"/>
      <c r="P47" s="175" t="e">
        <f t="shared" si="101"/>
        <v>#DIV/0!</v>
      </c>
      <c r="Q47" s="174"/>
      <c r="R47" s="175" t="e">
        <f t="shared" si="102"/>
        <v>#DIV/0!</v>
      </c>
      <c r="S47" s="174">
        <f t="shared" si="103"/>
        <v>0</v>
      </c>
      <c r="T47" s="175" t="e">
        <f t="shared" ref="T47" si="141">S47/F47</f>
        <v>#DIV/0!</v>
      </c>
      <c r="U47" s="174"/>
      <c r="V47" s="175" t="e">
        <f t="shared" ref="V47" si="142">U47/F47</f>
        <v>#DIV/0!</v>
      </c>
      <c r="W47" s="174"/>
      <c r="X47" s="175" t="e">
        <f t="shared" si="106"/>
        <v>#DIV/0!</v>
      </c>
      <c r="Y47" s="174"/>
      <c r="Z47" s="175" t="e">
        <f t="shared" si="107"/>
        <v>#DIV/0!</v>
      </c>
      <c r="AA47" s="174"/>
      <c r="AB47" s="175" t="e">
        <f t="shared" si="108"/>
        <v>#DIV/0!</v>
      </c>
      <c r="AC47" s="174">
        <f t="shared" si="109"/>
        <v>0</v>
      </c>
      <c r="AD47" s="175" t="e">
        <f t="shared" si="110"/>
        <v>#DIV/0!</v>
      </c>
      <c r="AE47" s="174"/>
      <c r="AF47" s="175" t="e">
        <f t="shared" si="111"/>
        <v>#DIV/0!</v>
      </c>
      <c r="AG47" s="174"/>
      <c r="AH47" s="175" t="e">
        <f t="shared" si="112"/>
        <v>#DIV/0!</v>
      </c>
      <c r="AI47" s="174"/>
      <c r="AJ47" s="175" t="e">
        <f t="shared" si="113"/>
        <v>#DIV/0!</v>
      </c>
      <c r="AK47" s="174"/>
      <c r="AL47" s="175" t="e">
        <f t="shared" si="114"/>
        <v>#DIV/0!</v>
      </c>
      <c r="AN47" s="72"/>
    </row>
    <row r="48" spans="2:40" s="73" customFormat="1" ht="14.25" customHeight="1">
      <c r="B48" s="499"/>
      <c r="C48" s="496"/>
      <c r="D48" s="173">
        <v>46062</v>
      </c>
      <c r="E48" s="173" t="s">
        <v>117</v>
      </c>
      <c r="F48" s="338"/>
      <c r="G48" s="506"/>
      <c r="H48" s="511"/>
      <c r="I48" s="174"/>
      <c r="J48" s="175" t="e">
        <f t="shared" si="97"/>
        <v>#DIV/0!</v>
      </c>
      <c r="K48" s="174"/>
      <c r="L48" s="175" t="e">
        <f t="shared" si="98"/>
        <v>#DIV/0!</v>
      </c>
      <c r="M48" s="174">
        <f t="shared" si="99"/>
        <v>0</v>
      </c>
      <c r="N48" s="175" t="e">
        <f t="shared" ref="N48" si="143">M48/$F48</f>
        <v>#DIV/0!</v>
      </c>
      <c r="O48" s="174"/>
      <c r="P48" s="175" t="e">
        <f t="shared" si="101"/>
        <v>#DIV/0!</v>
      </c>
      <c r="Q48" s="174"/>
      <c r="R48" s="175" t="e">
        <f t="shared" si="102"/>
        <v>#DIV/0!</v>
      </c>
      <c r="S48" s="174">
        <f t="shared" si="103"/>
        <v>0</v>
      </c>
      <c r="T48" s="175" t="e">
        <f t="shared" ref="T48" si="144">S48/$F48</f>
        <v>#DIV/0!</v>
      </c>
      <c r="U48" s="174"/>
      <c r="V48" s="175" t="e">
        <f t="shared" ref="V48" si="145">U48/$F48</f>
        <v>#DIV/0!</v>
      </c>
      <c r="W48" s="174"/>
      <c r="X48" s="175" t="e">
        <f t="shared" si="106"/>
        <v>#DIV/0!</v>
      </c>
      <c r="Y48" s="174"/>
      <c r="Z48" s="175" t="e">
        <f t="shared" si="107"/>
        <v>#DIV/0!</v>
      </c>
      <c r="AA48" s="174"/>
      <c r="AB48" s="175" t="e">
        <f t="shared" si="108"/>
        <v>#DIV/0!</v>
      </c>
      <c r="AC48" s="174">
        <f t="shared" si="109"/>
        <v>0</v>
      </c>
      <c r="AD48" s="175" t="e">
        <f t="shared" si="110"/>
        <v>#DIV/0!</v>
      </c>
      <c r="AE48" s="174"/>
      <c r="AF48" s="175" t="e">
        <f t="shared" si="111"/>
        <v>#DIV/0!</v>
      </c>
      <c r="AG48" s="174"/>
      <c r="AH48" s="175" t="e">
        <f t="shared" si="112"/>
        <v>#DIV/0!</v>
      </c>
      <c r="AI48" s="174"/>
      <c r="AJ48" s="175" t="e">
        <f t="shared" si="113"/>
        <v>#DIV/0!</v>
      </c>
      <c r="AK48" s="174"/>
      <c r="AL48" s="175" t="e">
        <f t="shared" si="114"/>
        <v>#DIV/0!</v>
      </c>
      <c r="AN48" s="72"/>
    </row>
    <row r="49" spans="2:40" s="73" customFormat="1" ht="14.25" customHeight="1">
      <c r="B49" s="497">
        <f>B42+7</f>
        <v>46071</v>
      </c>
      <c r="C49" s="496"/>
      <c r="D49" s="173">
        <v>46063</v>
      </c>
      <c r="E49" s="173" t="s">
        <v>118</v>
      </c>
      <c r="F49" s="338"/>
      <c r="G49" s="504">
        <f t="shared" ref="G49" si="146">SUM(F49:F55)</f>
        <v>0</v>
      </c>
      <c r="H49" s="511"/>
      <c r="I49" s="174"/>
      <c r="J49" s="175" t="e">
        <f t="shared" si="97"/>
        <v>#DIV/0!</v>
      </c>
      <c r="K49" s="174"/>
      <c r="L49" s="175" t="e">
        <f t="shared" si="98"/>
        <v>#DIV/0!</v>
      </c>
      <c r="M49" s="174">
        <f t="shared" si="99"/>
        <v>0</v>
      </c>
      <c r="N49" s="175" t="e">
        <f t="shared" ref="N49" si="147">M49/F49</f>
        <v>#DIV/0!</v>
      </c>
      <c r="O49" s="174"/>
      <c r="P49" s="175" t="e">
        <f t="shared" si="101"/>
        <v>#DIV/0!</v>
      </c>
      <c r="Q49" s="174"/>
      <c r="R49" s="175" t="e">
        <f t="shared" si="102"/>
        <v>#DIV/0!</v>
      </c>
      <c r="S49" s="174">
        <f t="shared" si="103"/>
        <v>0</v>
      </c>
      <c r="T49" s="175" t="e">
        <f t="shared" ref="T49" si="148">S49/F49</f>
        <v>#DIV/0!</v>
      </c>
      <c r="U49" s="174"/>
      <c r="V49" s="175" t="e">
        <f t="shared" ref="V49" si="149">U49/F49</f>
        <v>#DIV/0!</v>
      </c>
      <c r="W49" s="174"/>
      <c r="X49" s="175" t="e">
        <f t="shared" si="106"/>
        <v>#DIV/0!</v>
      </c>
      <c r="Y49" s="174"/>
      <c r="Z49" s="175" t="e">
        <f t="shared" si="107"/>
        <v>#DIV/0!</v>
      </c>
      <c r="AA49" s="174"/>
      <c r="AB49" s="175" t="e">
        <f t="shared" si="108"/>
        <v>#DIV/0!</v>
      </c>
      <c r="AC49" s="174">
        <f t="shared" si="109"/>
        <v>0</v>
      </c>
      <c r="AD49" s="175" t="e">
        <f t="shared" si="110"/>
        <v>#DIV/0!</v>
      </c>
      <c r="AE49" s="174"/>
      <c r="AF49" s="175" t="e">
        <f t="shared" si="111"/>
        <v>#DIV/0!</v>
      </c>
      <c r="AG49" s="174"/>
      <c r="AH49" s="175" t="e">
        <f t="shared" si="112"/>
        <v>#DIV/0!</v>
      </c>
      <c r="AI49" s="174"/>
      <c r="AJ49" s="175" t="e">
        <f t="shared" si="113"/>
        <v>#DIV/0!</v>
      </c>
      <c r="AK49" s="174"/>
      <c r="AL49" s="175" t="e">
        <f t="shared" si="114"/>
        <v>#DIV/0!</v>
      </c>
      <c r="AN49" s="72"/>
    </row>
    <row r="50" spans="2:40" s="73" customFormat="1" ht="14.25" customHeight="1">
      <c r="B50" s="498"/>
      <c r="C50" s="496"/>
      <c r="D50" s="173">
        <v>46064</v>
      </c>
      <c r="E50" s="173" t="s">
        <v>112</v>
      </c>
      <c r="F50" s="338"/>
      <c r="G50" s="505"/>
      <c r="H50" s="511"/>
      <c r="I50" s="174"/>
      <c r="J50" s="175" t="e">
        <f t="shared" si="97"/>
        <v>#DIV/0!</v>
      </c>
      <c r="K50" s="174"/>
      <c r="L50" s="175" t="e">
        <f t="shared" si="98"/>
        <v>#DIV/0!</v>
      </c>
      <c r="M50" s="174">
        <f t="shared" si="99"/>
        <v>0</v>
      </c>
      <c r="N50" s="175" t="e">
        <f t="shared" ref="N50" si="150">M50/$F50</f>
        <v>#DIV/0!</v>
      </c>
      <c r="O50" s="174"/>
      <c r="P50" s="175" t="e">
        <f t="shared" si="101"/>
        <v>#DIV/0!</v>
      </c>
      <c r="Q50" s="174"/>
      <c r="R50" s="175" t="e">
        <f t="shared" si="102"/>
        <v>#DIV/0!</v>
      </c>
      <c r="S50" s="174">
        <f t="shared" si="103"/>
        <v>0</v>
      </c>
      <c r="T50" s="175" t="e">
        <f t="shared" ref="T50" si="151">S50/$F50</f>
        <v>#DIV/0!</v>
      </c>
      <c r="U50" s="174"/>
      <c r="V50" s="175" t="e">
        <f t="shared" ref="V50" si="152">U50/$F50</f>
        <v>#DIV/0!</v>
      </c>
      <c r="W50" s="174"/>
      <c r="X50" s="175" t="e">
        <f t="shared" si="106"/>
        <v>#DIV/0!</v>
      </c>
      <c r="Y50" s="174"/>
      <c r="Z50" s="175" t="e">
        <f t="shared" si="107"/>
        <v>#DIV/0!</v>
      </c>
      <c r="AA50" s="174"/>
      <c r="AB50" s="175" t="e">
        <f t="shared" si="108"/>
        <v>#DIV/0!</v>
      </c>
      <c r="AC50" s="174">
        <f t="shared" si="109"/>
        <v>0</v>
      </c>
      <c r="AD50" s="175" t="e">
        <f t="shared" si="110"/>
        <v>#DIV/0!</v>
      </c>
      <c r="AE50" s="174"/>
      <c r="AF50" s="175" t="e">
        <f t="shared" si="111"/>
        <v>#DIV/0!</v>
      </c>
      <c r="AG50" s="174"/>
      <c r="AH50" s="175" t="e">
        <f t="shared" si="112"/>
        <v>#DIV/0!</v>
      </c>
      <c r="AI50" s="174"/>
      <c r="AJ50" s="175" t="e">
        <f t="shared" si="113"/>
        <v>#DIV/0!</v>
      </c>
      <c r="AK50" s="174"/>
      <c r="AL50" s="175" t="e">
        <f t="shared" si="114"/>
        <v>#DIV/0!</v>
      </c>
      <c r="AN50" s="72"/>
    </row>
    <row r="51" spans="2:40" s="73" customFormat="1" ht="14.25" customHeight="1">
      <c r="B51" s="498"/>
      <c r="C51" s="496"/>
      <c r="D51" s="173">
        <v>46065</v>
      </c>
      <c r="E51" s="173" t="s">
        <v>113</v>
      </c>
      <c r="F51" s="338"/>
      <c r="G51" s="505"/>
      <c r="H51" s="511"/>
      <c r="I51" s="174"/>
      <c r="J51" s="175" t="e">
        <f t="shared" si="97"/>
        <v>#DIV/0!</v>
      </c>
      <c r="K51" s="174"/>
      <c r="L51" s="175" t="e">
        <f t="shared" si="98"/>
        <v>#DIV/0!</v>
      </c>
      <c r="M51" s="174">
        <f t="shared" si="99"/>
        <v>0</v>
      </c>
      <c r="N51" s="175" t="e">
        <f t="shared" ref="N51" si="153">M51/F51</f>
        <v>#DIV/0!</v>
      </c>
      <c r="O51" s="174"/>
      <c r="P51" s="175" t="e">
        <f t="shared" si="101"/>
        <v>#DIV/0!</v>
      </c>
      <c r="Q51" s="174"/>
      <c r="R51" s="175" t="e">
        <f t="shared" si="102"/>
        <v>#DIV/0!</v>
      </c>
      <c r="S51" s="174">
        <f t="shared" si="103"/>
        <v>0</v>
      </c>
      <c r="T51" s="175" t="e">
        <f t="shared" ref="T51" si="154">S51/F51</f>
        <v>#DIV/0!</v>
      </c>
      <c r="U51" s="174"/>
      <c r="V51" s="175" t="e">
        <f t="shared" ref="V51" si="155">U51/F51</f>
        <v>#DIV/0!</v>
      </c>
      <c r="W51" s="174"/>
      <c r="X51" s="175" t="e">
        <f t="shared" si="106"/>
        <v>#DIV/0!</v>
      </c>
      <c r="Y51" s="174"/>
      <c r="Z51" s="175" t="e">
        <f t="shared" si="107"/>
        <v>#DIV/0!</v>
      </c>
      <c r="AA51" s="174"/>
      <c r="AB51" s="175" t="e">
        <f t="shared" si="108"/>
        <v>#DIV/0!</v>
      </c>
      <c r="AC51" s="174">
        <f t="shared" si="109"/>
        <v>0</v>
      </c>
      <c r="AD51" s="175" t="e">
        <f t="shared" si="110"/>
        <v>#DIV/0!</v>
      </c>
      <c r="AE51" s="174"/>
      <c r="AF51" s="175" t="e">
        <f t="shared" si="111"/>
        <v>#DIV/0!</v>
      </c>
      <c r="AG51" s="174"/>
      <c r="AH51" s="175" t="e">
        <f t="shared" si="112"/>
        <v>#DIV/0!</v>
      </c>
      <c r="AI51" s="174"/>
      <c r="AJ51" s="175" t="e">
        <f t="shared" si="113"/>
        <v>#DIV/0!</v>
      </c>
      <c r="AK51" s="174"/>
      <c r="AL51" s="175" t="e">
        <f t="shared" si="114"/>
        <v>#DIV/0!</v>
      </c>
      <c r="AN51" s="72"/>
    </row>
    <row r="52" spans="2:40" s="73" customFormat="1" ht="14.25" customHeight="1">
      <c r="B52" s="498"/>
      <c r="C52" s="496"/>
      <c r="D52" s="173">
        <v>46066</v>
      </c>
      <c r="E52" s="173" t="s">
        <v>114</v>
      </c>
      <c r="F52" s="338"/>
      <c r="G52" s="505"/>
      <c r="H52" s="511"/>
      <c r="I52" s="174"/>
      <c r="J52" s="175" t="e">
        <f t="shared" si="97"/>
        <v>#DIV/0!</v>
      </c>
      <c r="K52" s="174"/>
      <c r="L52" s="175" t="e">
        <f t="shared" si="98"/>
        <v>#DIV/0!</v>
      </c>
      <c r="M52" s="174">
        <f t="shared" si="99"/>
        <v>0</v>
      </c>
      <c r="N52" s="175" t="e">
        <f t="shared" ref="N52:N53" si="156">M52/$F52</f>
        <v>#DIV/0!</v>
      </c>
      <c r="O52" s="174"/>
      <c r="P52" s="175" t="e">
        <f t="shared" si="101"/>
        <v>#DIV/0!</v>
      </c>
      <c r="Q52" s="174"/>
      <c r="R52" s="175" t="e">
        <f t="shared" si="102"/>
        <v>#DIV/0!</v>
      </c>
      <c r="S52" s="174">
        <f t="shared" si="103"/>
        <v>0</v>
      </c>
      <c r="T52" s="175" t="e">
        <f t="shared" ref="T52:T53" si="157">S52/$F52</f>
        <v>#DIV/0!</v>
      </c>
      <c r="U52" s="174"/>
      <c r="V52" s="175" t="e">
        <f t="shared" ref="V52:V53" si="158">U52/$F52</f>
        <v>#DIV/0!</v>
      </c>
      <c r="W52" s="174"/>
      <c r="X52" s="175" t="e">
        <f t="shared" si="106"/>
        <v>#DIV/0!</v>
      </c>
      <c r="Y52" s="174"/>
      <c r="Z52" s="175" t="e">
        <f t="shared" si="107"/>
        <v>#DIV/0!</v>
      </c>
      <c r="AA52" s="174"/>
      <c r="AB52" s="175" t="e">
        <f t="shared" si="108"/>
        <v>#DIV/0!</v>
      </c>
      <c r="AC52" s="174">
        <f t="shared" si="109"/>
        <v>0</v>
      </c>
      <c r="AD52" s="175" t="e">
        <f t="shared" si="110"/>
        <v>#DIV/0!</v>
      </c>
      <c r="AE52" s="174"/>
      <c r="AF52" s="175" t="e">
        <f t="shared" si="111"/>
        <v>#DIV/0!</v>
      </c>
      <c r="AG52" s="174"/>
      <c r="AH52" s="175" t="e">
        <f t="shared" si="112"/>
        <v>#DIV/0!</v>
      </c>
      <c r="AI52" s="174"/>
      <c r="AJ52" s="175" t="e">
        <f t="shared" si="113"/>
        <v>#DIV/0!</v>
      </c>
      <c r="AK52" s="174"/>
      <c r="AL52" s="175" t="e">
        <f t="shared" si="114"/>
        <v>#DIV/0!</v>
      </c>
      <c r="AN52" s="72"/>
    </row>
    <row r="53" spans="2:40" s="73" customFormat="1" ht="14.25" customHeight="1" collapsed="1">
      <c r="B53" s="498"/>
      <c r="C53" s="496"/>
      <c r="D53" s="173">
        <v>46067</v>
      </c>
      <c r="E53" s="173" t="s">
        <v>115</v>
      </c>
      <c r="F53" s="338"/>
      <c r="G53" s="505"/>
      <c r="H53" s="511"/>
      <c r="I53" s="174"/>
      <c r="J53" s="175" t="e">
        <f t="shared" si="97"/>
        <v>#DIV/0!</v>
      </c>
      <c r="K53" s="174"/>
      <c r="L53" s="175" t="e">
        <f t="shared" si="98"/>
        <v>#DIV/0!</v>
      </c>
      <c r="M53" s="174">
        <f t="shared" si="99"/>
        <v>0</v>
      </c>
      <c r="N53" s="175" t="e">
        <f t="shared" si="156"/>
        <v>#DIV/0!</v>
      </c>
      <c r="O53" s="174"/>
      <c r="P53" s="175" t="e">
        <f t="shared" si="101"/>
        <v>#DIV/0!</v>
      </c>
      <c r="Q53" s="174"/>
      <c r="R53" s="175" t="e">
        <f t="shared" si="102"/>
        <v>#DIV/0!</v>
      </c>
      <c r="S53" s="174">
        <f t="shared" si="103"/>
        <v>0</v>
      </c>
      <c r="T53" s="175" t="e">
        <f t="shared" si="157"/>
        <v>#DIV/0!</v>
      </c>
      <c r="U53" s="174"/>
      <c r="V53" s="175" t="e">
        <f t="shared" si="158"/>
        <v>#DIV/0!</v>
      </c>
      <c r="W53" s="174"/>
      <c r="X53" s="175" t="e">
        <f t="shared" si="106"/>
        <v>#DIV/0!</v>
      </c>
      <c r="Y53" s="174"/>
      <c r="Z53" s="175" t="e">
        <f t="shared" si="107"/>
        <v>#DIV/0!</v>
      </c>
      <c r="AA53" s="174"/>
      <c r="AB53" s="175" t="e">
        <f t="shared" si="108"/>
        <v>#DIV/0!</v>
      </c>
      <c r="AC53" s="174">
        <f t="shared" si="109"/>
        <v>0</v>
      </c>
      <c r="AD53" s="175" t="e">
        <f t="shared" si="110"/>
        <v>#DIV/0!</v>
      </c>
      <c r="AE53" s="174"/>
      <c r="AF53" s="175" t="e">
        <f t="shared" si="111"/>
        <v>#DIV/0!</v>
      </c>
      <c r="AG53" s="174"/>
      <c r="AH53" s="175" t="e">
        <f t="shared" si="112"/>
        <v>#DIV/0!</v>
      </c>
      <c r="AI53" s="174"/>
      <c r="AJ53" s="175" t="e">
        <f t="shared" si="113"/>
        <v>#DIV/0!</v>
      </c>
      <c r="AK53" s="174"/>
      <c r="AL53" s="175" t="e">
        <f t="shared" si="114"/>
        <v>#DIV/0!</v>
      </c>
      <c r="AN53" s="72"/>
    </row>
    <row r="54" spans="2:40" s="73" customFormat="1" ht="14.25" customHeight="1">
      <c r="B54" s="498"/>
      <c r="C54" s="496"/>
      <c r="D54" s="173">
        <v>46068</v>
      </c>
      <c r="E54" s="173" t="s">
        <v>116</v>
      </c>
      <c r="F54" s="338"/>
      <c r="G54" s="505"/>
      <c r="H54" s="511"/>
      <c r="I54" s="174"/>
      <c r="J54" s="175" t="e">
        <f t="shared" si="97"/>
        <v>#DIV/0!</v>
      </c>
      <c r="K54" s="174"/>
      <c r="L54" s="175" t="e">
        <f t="shared" si="98"/>
        <v>#DIV/0!</v>
      </c>
      <c r="M54" s="174">
        <f t="shared" si="99"/>
        <v>0</v>
      </c>
      <c r="N54" s="175" t="e">
        <f t="shared" ref="N54" si="159">M54/F54</f>
        <v>#DIV/0!</v>
      </c>
      <c r="O54" s="174"/>
      <c r="P54" s="175" t="e">
        <f t="shared" si="101"/>
        <v>#DIV/0!</v>
      </c>
      <c r="Q54" s="174"/>
      <c r="R54" s="175" t="e">
        <f t="shared" si="102"/>
        <v>#DIV/0!</v>
      </c>
      <c r="S54" s="174">
        <f t="shared" si="103"/>
        <v>0</v>
      </c>
      <c r="T54" s="175" t="e">
        <f t="shared" ref="T54" si="160">S54/F54</f>
        <v>#DIV/0!</v>
      </c>
      <c r="U54" s="174"/>
      <c r="V54" s="175" t="e">
        <f t="shared" ref="V54" si="161">U54/F54</f>
        <v>#DIV/0!</v>
      </c>
      <c r="W54" s="174"/>
      <c r="X54" s="175" t="e">
        <f t="shared" si="106"/>
        <v>#DIV/0!</v>
      </c>
      <c r="Y54" s="174"/>
      <c r="Z54" s="175" t="e">
        <f t="shared" si="107"/>
        <v>#DIV/0!</v>
      </c>
      <c r="AA54" s="174"/>
      <c r="AB54" s="175" t="e">
        <f t="shared" si="108"/>
        <v>#DIV/0!</v>
      </c>
      <c r="AC54" s="174">
        <f t="shared" si="109"/>
        <v>0</v>
      </c>
      <c r="AD54" s="175" t="e">
        <f t="shared" si="110"/>
        <v>#DIV/0!</v>
      </c>
      <c r="AE54" s="174"/>
      <c r="AF54" s="175" t="e">
        <f t="shared" si="111"/>
        <v>#DIV/0!</v>
      </c>
      <c r="AG54" s="174"/>
      <c r="AH54" s="175" t="e">
        <f t="shared" si="112"/>
        <v>#DIV/0!</v>
      </c>
      <c r="AI54" s="174"/>
      <c r="AJ54" s="175" t="e">
        <f t="shared" si="113"/>
        <v>#DIV/0!</v>
      </c>
      <c r="AK54" s="174"/>
      <c r="AL54" s="175" t="e">
        <f t="shared" si="114"/>
        <v>#DIV/0!</v>
      </c>
      <c r="AN54" s="72"/>
    </row>
    <row r="55" spans="2:40" s="73" customFormat="1" ht="14.25" customHeight="1">
      <c r="B55" s="499"/>
      <c r="C55" s="496"/>
      <c r="D55" s="173">
        <v>46069</v>
      </c>
      <c r="E55" s="173" t="s">
        <v>117</v>
      </c>
      <c r="F55" s="338"/>
      <c r="G55" s="506"/>
      <c r="H55" s="511"/>
      <c r="I55" s="174"/>
      <c r="J55" s="175" t="e">
        <f t="shared" si="97"/>
        <v>#DIV/0!</v>
      </c>
      <c r="K55" s="174"/>
      <c r="L55" s="175" t="e">
        <f t="shared" si="98"/>
        <v>#DIV/0!</v>
      </c>
      <c r="M55" s="174">
        <f t="shared" si="99"/>
        <v>0</v>
      </c>
      <c r="N55" s="175" t="e">
        <f t="shared" ref="N55" si="162">M55/$F55</f>
        <v>#DIV/0!</v>
      </c>
      <c r="O55" s="174"/>
      <c r="P55" s="175" t="e">
        <f t="shared" si="101"/>
        <v>#DIV/0!</v>
      </c>
      <c r="Q55" s="174"/>
      <c r="R55" s="175" t="e">
        <f t="shared" si="102"/>
        <v>#DIV/0!</v>
      </c>
      <c r="S55" s="174">
        <f t="shared" si="103"/>
        <v>0</v>
      </c>
      <c r="T55" s="175" t="e">
        <f t="shared" ref="T55" si="163">S55/$F55</f>
        <v>#DIV/0!</v>
      </c>
      <c r="U55" s="174"/>
      <c r="V55" s="175" t="e">
        <f t="shared" ref="V55" si="164">U55/$F55</f>
        <v>#DIV/0!</v>
      </c>
      <c r="W55" s="174"/>
      <c r="X55" s="175" t="e">
        <f t="shared" si="106"/>
        <v>#DIV/0!</v>
      </c>
      <c r="Y55" s="174"/>
      <c r="Z55" s="175" t="e">
        <f t="shared" si="107"/>
        <v>#DIV/0!</v>
      </c>
      <c r="AA55" s="174"/>
      <c r="AB55" s="175" t="e">
        <f t="shared" si="108"/>
        <v>#DIV/0!</v>
      </c>
      <c r="AC55" s="174">
        <f t="shared" si="109"/>
        <v>0</v>
      </c>
      <c r="AD55" s="175" t="e">
        <f t="shared" si="110"/>
        <v>#DIV/0!</v>
      </c>
      <c r="AE55" s="174"/>
      <c r="AF55" s="175" t="e">
        <f t="shared" si="111"/>
        <v>#DIV/0!</v>
      </c>
      <c r="AG55" s="174"/>
      <c r="AH55" s="175" t="e">
        <f t="shared" si="112"/>
        <v>#DIV/0!</v>
      </c>
      <c r="AI55" s="174"/>
      <c r="AJ55" s="175" t="e">
        <f t="shared" si="113"/>
        <v>#DIV/0!</v>
      </c>
      <c r="AK55" s="174"/>
      <c r="AL55" s="175" t="e">
        <f t="shared" si="114"/>
        <v>#DIV/0!</v>
      </c>
      <c r="AN55" s="72"/>
    </row>
    <row r="56" spans="2:40" s="73" customFormat="1" ht="14.25" customHeight="1">
      <c r="B56" s="497">
        <f>B49+7</f>
        <v>46078</v>
      </c>
      <c r="C56" s="496"/>
      <c r="D56" s="173">
        <v>46070</v>
      </c>
      <c r="E56" s="173" t="s">
        <v>118</v>
      </c>
      <c r="F56" s="338"/>
      <c r="G56" s="504">
        <f t="shared" ref="G56" si="165">SUM(F56:F62)</f>
        <v>0</v>
      </c>
      <c r="H56" s="511"/>
      <c r="I56" s="174"/>
      <c r="J56" s="175" t="e">
        <f t="shared" si="97"/>
        <v>#DIV/0!</v>
      </c>
      <c r="K56" s="174"/>
      <c r="L56" s="175" t="e">
        <f t="shared" si="98"/>
        <v>#DIV/0!</v>
      </c>
      <c r="M56" s="174">
        <f t="shared" si="99"/>
        <v>0</v>
      </c>
      <c r="N56" s="175" t="e">
        <f t="shared" ref="N56" si="166">M56/F56</f>
        <v>#DIV/0!</v>
      </c>
      <c r="O56" s="174"/>
      <c r="P56" s="175" t="e">
        <f t="shared" si="101"/>
        <v>#DIV/0!</v>
      </c>
      <c r="Q56" s="174"/>
      <c r="R56" s="175" t="e">
        <f t="shared" si="102"/>
        <v>#DIV/0!</v>
      </c>
      <c r="S56" s="174">
        <f t="shared" si="103"/>
        <v>0</v>
      </c>
      <c r="T56" s="175" t="e">
        <f t="shared" ref="T56" si="167">S56/F56</f>
        <v>#DIV/0!</v>
      </c>
      <c r="U56" s="174"/>
      <c r="V56" s="175" t="e">
        <f t="shared" ref="V56" si="168">U56/F56</f>
        <v>#DIV/0!</v>
      </c>
      <c r="W56" s="174"/>
      <c r="X56" s="175" t="e">
        <f t="shared" si="106"/>
        <v>#DIV/0!</v>
      </c>
      <c r="Y56" s="174"/>
      <c r="Z56" s="175" t="e">
        <f t="shared" si="107"/>
        <v>#DIV/0!</v>
      </c>
      <c r="AA56" s="174"/>
      <c r="AB56" s="175" t="e">
        <f t="shared" si="108"/>
        <v>#DIV/0!</v>
      </c>
      <c r="AC56" s="174">
        <f t="shared" si="109"/>
        <v>0</v>
      </c>
      <c r="AD56" s="175" t="e">
        <f t="shared" si="110"/>
        <v>#DIV/0!</v>
      </c>
      <c r="AE56" s="174"/>
      <c r="AF56" s="175" t="e">
        <f t="shared" si="111"/>
        <v>#DIV/0!</v>
      </c>
      <c r="AG56" s="174"/>
      <c r="AH56" s="175" t="e">
        <f t="shared" si="112"/>
        <v>#DIV/0!</v>
      </c>
      <c r="AI56" s="174"/>
      <c r="AJ56" s="175" t="e">
        <f t="shared" si="113"/>
        <v>#DIV/0!</v>
      </c>
      <c r="AK56" s="174"/>
      <c r="AL56" s="175" t="e">
        <f t="shared" si="114"/>
        <v>#DIV/0!</v>
      </c>
      <c r="AN56" s="72"/>
    </row>
    <row r="57" spans="2:40" s="73" customFormat="1" ht="14.25" customHeight="1">
      <c r="B57" s="498"/>
      <c r="C57" s="496"/>
      <c r="D57" s="173">
        <v>46071</v>
      </c>
      <c r="E57" s="173" t="s">
        <v>112</v>
      </c>
      <c r="F57" s="338"/>
      <c r="G57" s="505"/>
      <c r="H57" s="511"/>
      <c r="I57" s="174"/>
      <c r="J57" s="175" t="e">
        <f t="shared" si="97"/>
        <v>#DIV/0!</v>
      </c>
      <c r="K57" s="174"/>
      <c r="L57" s="175" t="e">
        <f t="shared" si="98"/>
        <v>#DIV/0!</v>
      </c>
      <c r="M57" s="174">
        <f t="shared" si="99"/>
        <v>0</v>
      </c>
      <c r="N57" s="175" t="e">
        <f t="shared" ref="N57" si="169">M57/$F57</f>
        <v>#DIV/0!</v>
      </c>
      <c r="O57" s="174"/>
      <c r="P57" s="175" t="e">
        <f t="shared" si="101"/>
        <v>#DIV/0!</v>
      </c>
      <c r="Q57" s="174"/>
      <c r="R57" s="175" t="e">
        <f t="shared" si="102"/>
        <v>#DIV/0!</v>
      </c>
      <c r="S57" s="174">
        <f t="shared" si="103"/>
        <v>0</v>
      </c>
      <c r="T57" s="175" t="e">
        <f t="shared" ref="T57" si="170">S57/$F57</f>
        <v>#DIV/0!</v>
      </c>
      <c r="U57" s="174"/>
      <c r="V57" s="175" t="e">
        <f t="shared" ref="V57" si="171">U57/$F57</f>
        <v>#DIV/0!</v>
      </c>
      <c r="W57" s="174"/>
      <c r="X57" s="175" t="e">
        <f t="shared" si="106"/>
        <v>#DIV/0!</v>
      </c>
      <c r="Y57" s="174"/>
      <c r="Z57" s="175" t="e">
        <f t="shared" si="107"/>
        <v>#DIV/0!</v>
      </c>
      <c r="AA57" s="174"/>
      <c r="AB57" s="175" t="e">
        <f t="shared" si="108"/>
        <v>#DIV/0!</v>
      </c>
      <c r="AC57" s="174">
        <f t="shared" si="109"/>
        <v>0</v>
      </c>
      <c r="AD57" s="175" t="e">
        <f t="shared" si="110"/>
        <v>#DIV/0!</v>
      </c>
      <c r="AE57" s="174"/>
      <c r="AF57" s="175" t="e">
        <f t="shared" si="111"/>
        <v>#DIV/0!</v>
      </c>
      <c r="AG57" s="174"/>
      <c r="AH57" s="175" t="e">
        <f t="shared" si="112"/>
        <v>#DIV/0!</v>
      </c>
      <c r="AI57" s="174"/>
      <c r="AJ57" s="175" t="e">
        <f t="shared" si="113"/>
        <v>#DIV/0!</v>
      </c>
      <c r="AK57" s="174"/>
      <c r="AL57" s="175" t="e">
        <f t="shared" si="114"/>
        <v>#DIV/0!</v>
      </c>
      <c r="AN57" s="72"/>
    </row>
    <row r="58" spans="2:40" s="73" customFormat="1" ht="14.25" customHeight="1">
      <c r="B58" s="498"/>
      <c r="C58" s="496"/>
      <c r="D58" s="173">
        <v>46072</v>
      </c>
      <c r="E58" s="173" t="s">
        <v>113</v>
      </c>
      <c r="F58" s="338"/>
      <c r="G58" s="505"/>
      <c r="H58" s="511"/>
      <c r="I58" s="174"/>
      <c r="J58" s="175" t="e">
        <f t="shared" si="97"/>
        <v>#DIV/0!</v>
      </c>
      <c r="K58" s="174"/>
      <c r="L58" s="175" t="e">
        <f t="shared" si="98"/>
        <v>#DIV/0!</v>
      </c>
      <c r="M58" s="174">
        <f t="shared" si="99"/>
        <v>0</v>
      </c>
      <c r="N58" s="175" t="e">
        <f t="shared" ref="N58" si="172">M58/F58</f>
        <v>#DIV/0!</v>
      </c>
      <c r="O58" s="174"/>
      <c r="P58" s="175" t="e">
        <f t="shared" si="101"/>
        <v>#DIV/0!</v>
      </c>
      <c r="Q58" s="174"/>
      <c r="R58" s="175" t="e">
        <f t="shared" si="102"/>
        <v>#DIV/0!</v>
      </c>
      <c r="S58" s="174">
        <f t="shared" si="103"/>
        <v>0</v>
      </c>
      <c r="T58" s="175" t="e">
        <f t="shared" ref="T58" si="173">S58/F58</f>
        <v>#DIV/0!</v>
      </c>
      <c r="U58" s="174"/>
      <c r="V58" s="175" t="e">
        <f t="shared" ref="V58" si="174">U58/F58</f>
        <v>#DIV/0!</v>
      </c>
      <c r="W58" s="174"/>
      <c r="X58" s="175" t="e">
        <f t="shared" si="106"/>
        <v>#DIV/0!</v>
      </c>
      <c r="Y58" s="174"/>
      <c r="Z58" s="175" t="e">
        <f t="shared" si="107"/>
        <v>#DIV/0!</v>
      </c>
      <c r="AA58" s="174"/>
      <c r="AB58" s="175" t="e">
        <f t="shared" si="108"/>
        <v>#DIV/0!</v>
      </c>
      <c r="AC58" s="174">
        <f t="shared" si="109"/>
        <v>0</v>
      </c>
      <c r="AD58" s="175" t="e">
        <f t="shared" si="110"/>
        <v>#DIV/0!</v>
      </c>
      <c r="AE58" s="174"/>
      <c r="AF58" s="175" t="e">
        <f t="shared" si="111"/>
        <v>#DIV/0!</v>
      </c>
      <c r="AG58" s="174"/>
      <c r="AH58" s="175" t="e">
        <f t="shared" si="112"/>
        <v>#DIV/0!</v>
      </c>
      <c r="AI58" s="174"/>
      <c r="AJ58" s="175" t="e">
        <f t="shared" si="113"/>
        <v>#DIV/0!</v>
      </c>
      <c r="AK58" s="174"/>
      <c r="AL58" s="175" t="e">
        <f t="shared" si="114"/>
        <v>#DIV/0!</v>
      </c>
      <c r="AN58" s="72"/>
    </row>
    <row r="59" spans="2:40" s="73" customFormat="1" ht="14.25" customHeight="1">
      <c r="B59" s="498"/>
      <c r="C59" s="496"/>
      <c r="D59" s="173">
        <v>46073</v>
      </c>
      <c r="E59" s="173" t="s">
        <v>114</v>
      </c>
      <c r="F59" s="338"/>
      <c r="G59" s="505"/>
      <c r="H59" s="511"/>
      <c r="I59" s="174"/>
      <c r="J59" s="175" t="e">
        <f t="shared" si="97"/>
        <v>#DIV/0!</v>
      </c>
      <c r="K59" s="174"/>
      <c r="L59" s="175" t="e">
        <f t="shared" si="98"/>
        <v>#DIV/0!</v>
      </c>
      <c r="M59" s="174">
        <f t="shared" si="99"/>
        <v>0</v>
      </c>
      <c r="N59" s="175" t="e">
        <f t="shared" ref="N59:N60" si="175">M59/$F59</f>
        <v>#DIV/0!</v>
      </c>
      <c r="O59" s="174"/>
      <c r="P59" s="175" t="e">
        <f t="shared" si="101"/>
        <v>#DIV/0!</v>
      </c>
      <c r="Q59" s="174"/>
      <c r="R59" s="175" t="e">
        <f t="shared" si="102"/>
        <v>#DIV/0!</v>
      </c>
      <c r="S59" s="174">
        <f t="shared" si="103"/>
        <v>0</v>
      </c>
      <c r="T59" s="175" t="e">
        <f t="shared" ref="T59:T60" si="176">S59/$F59</f>
        <v>#DIV/0!</v>
      </c>
      <c r="U59" s="174"/>
      <c r="V59" s="175" t="e">
        <f t="shared" ref="V59:V60" si="177">U59/$F59</f>
        <v>#DIV/0!</v>
      </c>
      <c r="W59" s="174"/>
      <c r="X59" s="175" t="e">
        <f t="shared" si="106"/>
        <v>#DIV/0!</v>
      </c>
      <c r="Y59" s="174"/>
      <c r="Z59" s="175" t="e">
        <f t="shared" si="107"/>
        <v>#DIV/0!</v>
      </c>
      <c r="AA59" s="174"/>
      <c r="AB59" s="175" t="e">
        <f t="shared" si="108"/>
        <v>#DIV/0!</v>
      </c>
      <c r="AC59" s="174">
        <f t="shared" si="109"/>
        <v>0</v>
      </c>
      <c r="AD59" s="175" t="e">
        <f t="shared" si="110"/>
        <v>#DIV/0!</v>
      </c>
      <c r="AE59" s="174"/>
      <c r="AF59" s="175" t="e">
        <f t="shared" si="111"/>
        <v>#DIV/0!</v>
      </c>
      <c r="AG59" s="174"/>
      <c r="AH59" s="175" t="e">
        <f t="shared" si="112"/>
        <v>#DIV/0!</v>
      </c>
      <c r="AI59" s="174"/>
      <c r="AJ59" s="175" t="e">
        <f t="shared" si="113"/>
        <v>#DIV/0!</v>
      </c>
      <c r="AK59" s="174"/>
      <c r="AL59" s="175" t="e">
        <f t="shared" si="114"/>
        <v>#DIV/0!</v>
      </c>
      <c r="AN59" s="72"/>
    </row>
    <row r="60" spans="2:40" s="73" customFormat="1" ht="14.25" customHeight="1" collapsed="1">
      <c r="B60" s="498"/>
      <c r="C60" s="496"/>
      <c r="D60" s="173">
        <v>46074</v>
      </c>
      <c r="E60" s="173" t="s">
        <v>115</v>
      </c>
      <c r="F60" s="338"/>
      <c r="G60" s="505"/>
      <c r="H60" s="511"/>
      <c r="I60" s="174"/>
      <c r="J60" s="175" t="e">
        <f t="shared" si="97"/>
        <v>#DIV/0!</v>
      </c>
      <c r="K60" s="174"/>
      <c r="L60" s="175" t="e">
        <f t="shared" si="98"/>
        <v>#DIV/0!</v>
      </c>
      <c r="M60" s="174">
        <f t="shared" si="99"/>
        <v>0</v>
      </c>
      <c r="N60" s="175" t="e">
        <f t="shared" si="175"/>
        <v>#DIV/0!</v>
      </c>
      <c r="O60" s="174"/>
      <c r="P60" s="175" t="e">
        <f t="shared" si="101"/>
        <v>#DIV/0!</v>
      </c>
      <c r="Q60" s="174"/>
      <c r="R60" s="175" t="e">
        <f t="shared" si="102"/>
        <v>#DIV/0!</v>
      </c>
      <c r="S60" s="174">
        <f t="shared" si="103"/>
        <v>0</v>
      </c>
      <c r="T60" s="175" t="e">
        <f t="shared" si="176"/>
        <v>#DIV/0!</v>
      </c>
      <c r="U60" s="174"/>
      <c r="V60" s="175" t="e">
        <f t="shared" si="177"/>
        <v>#DIV/0!</v>
      </c>
      <c r="W60" s="174"/>
      <c r="X60" s="175" t="e">
        <f t="shared" si="106"/>
        <v>#DIV/0!</v>
      </c>
      <c r="Y60" s="174"/>
      <c r="Z60" s="175" t="e">
        <f t="shared" si="107"/>
        <v>#DIV/0!</v>
      </c>
      <c r="AA60" s="174"/>
      <c r="AB60" s="175" t="e">
        <f t="shared" si="108"/>
        <v>#DIV/0!</v>
      </c>
      <c r="AC60" s="174">
        <f t="shared" si="109"/>
        <v>0</v>
      </c>
      <c r="AD60" s="175" t="e">
        <f t="shared" si="110"/>
        <v>#DIV/0!</v>
      </c>
      <c r="AE60" s="174"/>
      <c r="AF60" s="175" t="e">
        <f t="shared" si="111"/>
        <v>#DIV/0!</v>
      </c>
      <c r="AG60" s="174"/>
      <c r="AH60" s="175" t="e">
        <f t="shared" si="112"/>
        <v>#DIV/0!</v>
      </c>
      <c r="AI60" s="174"/>
      <c r="AJ60" s="175" t="e">
        <f t="shared" si="113"/>
        <v>#DIV/0!</v>
      </c>
      <c r="AK60" s="174"/>
      <c r="AL60" s="175" t="e">
        <f t="shared" si="114"/>
        <v>#DIV/0!</v>
      </c>
      <c r="AN60" s="72"/>
    </row>
    <row r="61" spans="2:40" s="73" customFormat="1" ht="14.25" customHeight="1">
      <c r="B61" s="498"/>
      <c r="C61" s="496"/>
      <c r="D61" s="173">
        <v>46075</v>
      </c>
      <c r="E61" s="173" t="s">
        <v>116</v>
      </c>
      <c r="F61" s="338"/>
      <c r="G61" s="505"/>
      <c r="H61" s="511"/>
      <c r="I61" s="174"/>
      <c r="J61" s="175" t="e">
        <f t="shared" si="97"/>
        <v>#DIV/0!</v>
      </c>
      <c r="K61" s="174"/>
      <c r="L61" s="175" t="e">
        <f t="shared" si="98"/>
        <v>#DIV/0!</v>
      </c>
      <c r="M61" s="174">
        <f t="shared" si="99"/>
        <v>0</v>
      </c>
      <c r="N61" s="175" t="e">
        <f t="shared" ref="N61" si="178">M61/F61</f>
        <v>#DIV/0!</v>
      </c>
      <c r="O61" s="174"/>
      <c r="P61" s="175" t="e">
        <f t="shared" si="101"/>
        <v>#DIV/0!</v>
      </c>
      <c r="Q61" s="174"/>
      <c r="R61" s="175" t="e">
        <f t="shared" si="102"/>
        <v>#DIV/0!</v>
      </c>
      <c r="S61" s="174">
        <f t="shared" si="103"/>
        <v>0</v>
      </c>
      <c r="T61" s="175" t="e">
        <f t="shared" ref="T61" si="179">S61/F61</f>
        <v>#DIV/0!</v>
      </c>
      <c r="U61" s="174"/>
      <c r="V61" s="175" t="e">
        <f t="shared" ref="V61" si="180">U61/F61</f>
        <v>#DIV/0!</v>
      </c>
      <c r="W61" s="174"/>
      <c r="X61" s="175" t="e">
        <f t="shared" si="106"/>
        <v>#DIV/0!</v>
      </c>
      <c r="Y61" s="174"/>
      <c r="Z61" s="175" t="e">
        <f t="shared" si="107"/>
        <v>#DIV/0!</v>
      </c>
      <c r="AA61" s="174"/>
      <c r="AB61" s="175" t="e">
        <f t="shared" si="108"/>
        <v>#DIV/0!</v>
      </c>
      <c r="AC61" s="174">
        <f t="shared" si="109"/>
        <v>0</v>
      </c>
      <c r="AD61" s="175" t="e">
        <f t="shared" si="110"/>
        <v>#DIV/0!</v>
      </c>
      <c r="AE61" s="174"/>
      <c r="AF61" s="175" t="e">
        <f t="shared" si="111"/>
        <v>#DIV/0!</v>
      </c>
      <c r="AG61" s="174"/>
      <c r="AH61" s="175" t="e">
        <f t="shared" si="112"/>
        <v>#DIV/0!</v>
      </c>
      <c r="AI61" s="174"/>
      <c r="AJ61" s="175" t="e">
        <f t="shared" si="113"/>
        <v>#DIV/0!</v>
      </c>
      <c r="AK61" s="174"/>
      <c r="AL61" s="175" t="e">
        <f t="shared" si="114"/>
        <v>#DIV/0!</v>
      </c>
      <c r="AN61" s="72"/>
    </row>
    <row r="62" spans="2:40" s="73" customFormat="1" ht="14.25" customHeight="1">
      <c r="B62" s="499"/>
      <c r="C62" s="496"/>
      <c r="D62" s="173">
        <v>46076</v>
      </c>
      <c r="E62" s="173" t="s">
        <v>117</v>
      </c>
      <c r="F62" s="338"/>
      <c r="G62" s="506"/>
      <c r="H62" s="511"/>
      <c r="I62" s="174"/>
      <c r="J62" s="175" t="e">
        <f t="shared" si="97"/>
        <v>#DIV/0!</v>
      </c>
      <c r="K62" s="174"/>
      <c r="L62" s="175" t="e">
        <f t="shared" si="98"/>
        <v>#DIV/0!</v>
      </c>
      <c r="M62" s="174">
        <f t="shared" si="99"/>
        <v>0</v>
      </c>
      <c r="N62" s="175" t="e">
        <f t="shared" ref="N62" si="181">M62/$F62</f>
        <v>#DIV/0!</v>
      </c>
      <c r="O62" s="174"/>
      <c r="P62" s="175" t="e">
        <f t="shared" si="101"/>
        <v>#DIV/0!</v>
      </c>
      <c r="Q62" s="174"/>
      <c r="R62" s="175" t="e">
        <f t="shared" si="102"/>
        <v>#DIV/0!</v>
      </c>
      <c r="S62" s="174">
        <f t="shared" si="103"/>
        <v>0</v>
      </c>
      <c r="T62" s="175" t="e">
        <f t="shared" ref="T62" si="182">S62/$F62</f>
        <v>#DIV/0!</v>
      </c>
      <c r="U62" s="174"/>
      <c r="V62" s="175" t="e">
        <f t="shared" ref="V62" si="183">U62/$F62</f>
        <v>#DIV/0!</v>
      </c>
      <c r="W62" s="174"/>
      <c r="X62" s="175" t="e">
        <f t="shared" si="106"/>
        <v>#DIV/0!</v>
      </c>
      <c r="Y62" s="174"/>
      <c r="Z62" s="175" t="e">
        <f t="shared" si="107"/>
        <v>#DIV/0!</v>
      </c>
      <c r="AA62" s="174"/>
      <c r="AB62" s="175" t="e">
        <f t="shared" si="108"/>
        <v>#DIV/0!</v>
      </c>
      <c r="AC62" s="174">
        <f t="shared" si="109"/>
        <v>0</v>
      </c>
      <c r="AD62" s="175" t="e">
        <f t="shared" si="110"/>
        <v>#DIV/0!</v>
      </c>
      <c r="AE62" s="174"/>
      <c r="AF62" s="175" t="e">
        <f t="shared" si="111"/>
        <v>#DIV/0!</v>
      </c>
      <c r="AG62" s="174"/>
      <c r="AH62" s="175" t="e">
        <f t="shared" si="112"/>
        <v>#DIV/0!</v>
      </c>
      <c r="AI62" s="174"/>
      <c r="AJ62" s="175" t="e">
        <f t="shared" si="113"/>
        <v>#DIV/0!</v>
      </c>
      <c r="AK62" s="174"/>
      <c r="AL62" s="175" t="e">
        <f t="shared" si="114"/>
        <v>#DIV/0!</v>
      </c>
      <c r="AN62" s="72"/>
    </row>
    <row r="63" spans="2:40" s="73" customFormat="1" ht="14.25" customHeight="1">
      <c r="B63" s="497">
        <f>B56+7</f>
        <v>46085</v>
      </c>
      <c r="C63" s="496"/>
      <c r="D63" s="173">
        <v>46077</v>
      </c>
      <c r="E63" s="173" t="s">
        <v>118</v>
      </c>
      <c r="F63" s="338"/>
      <c r="G63" s="504">
        <f t="shared" ref="G63" si="184">SUM(F63:F69)</f>
        <v>0</v>
      </c>
      <c r="H63" s="511"/>
      <c r="I63" s="174"/>
      <c r="J63" s="175" t="e">
        <f t="shared" si="97"/>
        <v>#DIV/0!</v>
      </c>
      <c r="K63" s="174"/>
      <c r="L63" s="175" t="e">
        <f t="shared" si="98"/>
        <v>#DIV/0!</v>
      </c>
      <c r="M63" s="174">
        <f t="shared" si="99"/>
        <v>0</v>
      </c>
      <c r="N63" s="175" t="e">
        <f t="shared" ref="N63" si="185">M63/F63</f>
        <v>#DIV/0!</v>
      </c>
      <c r="O63" s="174"/>
      <c r="P63" s="175" t="e">
        <f t="shared" si="101"/>
        <v>#DIV/0!</v>
      </c>
      <c r="Q63" s="174"/>
      <c r="R63" s="175" t="e">
        <f t="shared" si="102"/>
        <v>#DIV/0!</v>
      </c>
      <c r="S63" s="174">
        <f t="shared" si="103"/>
        <v>0</v>
      </c>
      <c r="T63" s="175" t="e">
        <f t="shared" ref="T63" si="186">S63/F63</f>
        <v>#DIV/0!</v>
      </c>
      <c r="U63" s="174"/>
      <c r="V63" s="175" t="e">
        <f t="shared" ref="V63" si="187">U63/F63</f>
        <v>#DIV/0!</v>
      </c>
      <c r="W63" s="174"/>
      <c r="X63" s="175" t="e">
        <f t="shared" si="106"/>
        <v>#DIV/0!</v>
      </c>
      <c r="Y63" s="174"/>
      <c r="Z63" s="175" t="e">
        <f t="shared" si="107"/>
        <v>#DIV/0!</v>
      </c>
      <c r="AA63" s="174"/>
      <c r="AB63" s="175" t="e">
        <f t="shared" si="108"/>
        <v>#DIV/0!</v>
      </c>
      <c r="AC63" s="174">
        <f t="shared" si="109"/>
        <v>0</v>
      </c>
      <c r="AD63" s="175" t="e">
        <f t="shared" si="110"/>
        <v>#DIV/0!</v>
      </c>
      <c r="AE63" s="174"/>
      <c r="AF63" s="175" t="e">
        <f t="shared" si="111"/>
        <v>#DIV/0!</v>
      </c>
      <c r="AG63" s="174"/>
      <c r="AH63" s="175" t="e">
        <f t="shared" si="112"/>
        <v>#DIV/0!</v>
      </c>
      <c r="AI63" s="174"/>
      <c r="AJ63" s="175" t="e">
        <f t="shared" si="113"/>
        <v>#DIV/0!</v>
      </c>
      <c r="AK63" s="174"/>
      <c r="AL63" s="175" t="e">
        <f t="shared" si="114"/>
        <v>#DIV/0!</v>
      </c>
      <c r="AN63" s="72"/>
    </row>
    <row r="64" spans="2:40" s="73" customFormat="1" ht="14.25" customHeight="1">
      <c r="B64" s="498"/>
      <c r="C64" s="496"/>
      <c r="D64" s="173">
        <v>46078</v>
      </c>
      <c r="E64" s="173" t="s">
        <v>112</v>
      </c>
      <c r="F64" s="338"/>
      <c r="G64" s="505"/>
      <c r="H64" s="511"/>
      <c r="I64" s="174"/>
      <c r="J64" s="175" t="e">
        <f t="shared" si="97"/>
        <v>#DIV/0!</v>
      </c>
      <c r="K64" s="174"/>
      <c r="L64" s="175" t="e">
        <f t="shared" si="98"/>
        <v>#DIV/0!</v>
      </c>
      <c r="M64" s="174">
        <f t="shared" si="99"/>
        <v>0</v>
      </c>
      <c r="N64" s="175" t="e">
        <f t="shared" ref="N64" si="188">M64/$F64</f>
        <v>#DIV/0!</v>
      </c>
      <c r="O64" s="174"/>
      <c r="P64" s="175" t="e">
        <f t="shared" si="101"/>
        <v>#DIV/0!</v>
      </c>
      <c r="Q64" s="174"/>
      <c r="R64" s="175" t="e">
        <f t="shared" si="102"/>
        <v>#DIV/0!</v>
      </c>
      <c r="S64" s="174">
        <f t="shared" si="103"/>
        <v>0</v>
      </c>
      <c r="T64" s="175" t="e">
        <f t="shared" ref="T64" si="189">S64/$F64</f>
        <v>#DIV/0!</v>
      </c>
      <c r="U64" s="174"/>
      <c r="V64" s="175" t="e">
        <f t="shared" ref="V64" si="190">U64/$F64</f>
        <v>#DIV/0!</v>
      </c>
      <c r="W64" s="174"/>
      <c r="X64" s="175" t="e">
        <f t="shared" si="106"/>
        <v>#DIV/0!</v>
      </c>
      <c r="Y64" s="174"/>
      <c r="Z64" s="175" t="e">
        <f t="shared" si="107"/>
        <v>#DIV/0!</v>
      </c>
      <c r="AA64" s="174"/>
      <c r="AB64" s="175" t="e">
        <f t="shared" si="108"/>
        <v>#DIV/0!</v>
      </c>
      <c r="AC64" s="174">
        <f t="shared" si="109"/>
        <v>0</v>
      </c>
      <c r="AD64" s="175" t="e">
        <f t="shared" si="110"/>
        <v>#DIV/0!</v>
      </c>
      <c r="AE64" s="174"/>
      <c r="AF64" s="175" t="e">
        <f t="shared" si="111"/>
        <v>#DIV/0!</v>
      </c>
      <c r="AG64" s="174"/>
      <c r="AH64" s="175" t="e">
        <f t="shared" si="112"/>
        <v>#DIV/0!</v>
      </c>
      <c r="AI64" s="174"/>
      <c r="AJ64" s="175" t="e">
        <f t="shared" si="113"/>
        <v>#DIV/0!</v>
      </c>
      <c r="AK64" s="174"/>
      <c r="AL64" s="175" t="e">
        <f t="shared" si="114"/>
        <v>#DIV/0!</v>
      </c>
      <c r="AN64" s="72"/>
    </row>
    <row r="65" spans="2:40" s="73" customFormat="1" ht="14.25" customHeight="1">
      <c r="B65" s="498"/>
      <c r="C65" s="496"/>
      <c r="D65" s="173">
        <v>46079</v>
      </c>
      <c r="E65" s="173" t="s">
        <v>113</v>
      </c>
      <c r="F65" s="338"/>
      <c r="G65" s="505"/>
      <c r="H65" s="511"/>
      <c r="I65" s="174"/>
      <c r="J65" s="175" t="e">
        <f t="shared" si="97"/>
        <v>#DIV/0!</v>
      </c>
      <c r="K65" s="174"/>
      <c r="L65" s="175" t="e">
        <f t="shared" si="98"/>
        <v>#DIV/0!</v>
      </c>
      <c r="M65" s="174">
        <f t="shared" si="99"/>
        <v>0</v>
      </c>
      <c r="N65" s="175" t="e">
        <f t="shared" ref="N65" si="191">M65/F65</f>
        <v>#DIV/0!</v>
      </c>
      <c r="O65" s="174"/>
      <c r="P65" s="175" t="e">
        <f t="shared" si="101"/>
        <v>#DIV/0!</v>
      </c>
      <c r="Q65" s="174"/>
      <c r="R65" s="175" t="e">
        <f t="shared" si="102"/>
        <v>#DIV/0!</v>
      </c>
      <c r="S65" s="174">
        <f t="shared" si="103"/>
        <v>0</v>
      </c>
      <c r="T65" s="175" t="e">
        <f t="shared" ref="T65" si="192">S65/F65</f>
        <v>#DIV/0!</v>
      </c>
      <c r="U65" s="174"/>
      <c r="V65" s="175" t="e">
        <f t="shared" ref="V65" si="193">U65/F65</f>
        <v>#DIV/0!</v>
      </c>
      <c r="W65" s="174"/>
      <c r="X65" s="175" t="e">
        <f t="shared" si="106"/>
        <v>#DIV/0!</v>
      </c>
      <c r="Y65" s="174"/>
      <c r="Z65" s="175" t="e">
        <f t="shared" si="107"/>
        <v>#DIV/0!</v>
      </c>
      <c r="AA65" s="174"/>
      <c r="AB65" s="175" t="e">
        <f t="shared" si="108"/>
        <v>#DIV/0!</v>
      </c>
      <c r="AC65" s="174">
        <f t="shared" si="109"/>
        <v>0</v>
      </c>
      <c r="AD65" s="175" t="e">
        <f t="shared" si="110"/>
        <v>#DIV/0!</v>
      </c>
      <c r="AE65" s="174"/>
      <c r="AF65" s="175" t="e">
        <f t="shared" si="111"/>
        <v>#DIV/0!</v>
      </c>
      <c r="AG65" s="174"/>
      <c r="AH65" s="175" t="e">
        <f t="shared" si="112"/>
        <v>#DIV/0!</v>
      </c>
      <c r="AI65" s="174"/>
      <c r="AJ65" s="175" t="e">
        <f t="shared" si="113"/>
        <v>#DIV/0!</v>
      </c>
      <c r="AK65" s="174"/>
      <c r="AL65" s="175" t="e">
        <f t="shared" si="114"/>
        <v>#DIV/0!</v>
      </c>
      <c r="AN65" s="72"/>
    </row>
    <row r="66" spans="2:40" s="73" customFormat="1" ht="14.25" customHeight="1">
      <c r="B66" s="498"/>
      <c r="C66" s="496"/>
      <c r="D66" s="173">
        <v>46080</v>
      </c>
      <c r="E66" s="173" t="s">
        <v>114</v>
      </c>
      <c r="F66" s="338"/>
      <c r="G66" s="505"/>
      <c r="H66" s="511"/>
      <c r="I66" s="174"/>
      <c r="J66" s="175" t="e">
        <f t="shared" si="97"/>
        <v>#DIV/0!</v>
      </c>
      <c r="K66" s="174"/>
      <c r="L66" s="175" t="e">
        <f t="shared" si="98"/>
        <v>#DIV/0!</v>
      </c>
      <c r="M66" s="174">
        <f t="shared" si="99"/>
        <v>0</v>
      </c>
      <c r="N66" s="175" t="e">
        <f t="shared" ref="N66:N67" si="194">M66/$F66</f>
        <v>#DIV/0!</v>
      </c>
      <c r="O66" s="174"/>
      <c r="P66" s="175" t="e">
        <f t="shared" si="101"/>
        <v>#DIV/0!</v>
      </c>
      <c r="Q66" s="174"/>
      <c r="R66" s="175" t="e">
        <f t="shared" si="102"/>
        <v>#DIV/0!</v>
      </c>
      <c r="S66" s="174">
        <f t="shared" si="103"/>
        <v>0</v>
      </c>
      <c r="T66" s="175" t="e">
        <f t="shared" ref="T66:T67" si="195">S66/$F66</f>
        <v>#DIV/0!</v>
      </c>
      <c r="U66" s="174"/>
      <c r="V66" s="175" t="e">
        <f t="shared" ref="V66:V67" si="196">U66/$F66</f>
        <v>#DIV/0!</v>
      </c>
      <c r="W66" s="174"/>
      <c r="X66" s="175" t="e">
        <f t="shared" si="106"/>
        <v>#DIV/0!</v>
      </c>
      <c r="Y66" s="174"/>
      <c r="Z66" s="175" t="e">
        <f t="shared" si="107"/>
        <v>#DIV/0!</v>
      </c>
      <c r="AA66" s="174"/>
      <c r="AB66" s="175" t="e">
        <f t="shared" si="108"/>
        <v>#DIV/0!</v>
      </c>
      <c r="AC66" s="174">
        <f t="shared" si="109"/>
        <v>0</v>
      </c>
      <c r="AD66" s="175" t="e">
        <f t="shared" si="110"/>
        <v>#DIV/0!</v>
      </c>
      <c r="AE66" s="174"/>
      <c r="AF66" s="175" t="e">
        <f t="shared" si="111"/>
        <v>#DIV/0!</v>
      </c>
      <c r="AG66" s="174"/>
      <c r="AH66" s="175" t="e">
        <f t="shared" si="112"/>
        <v>#DIV/0!</v>
      </c>
      <c r="AI66" s="174"/>
      <c r="AJ66" s="175" t="e">
        <f t="shared" si="113"/>
        <v>#DIV/0!</v>
      </c>
      <c r="AK66" s="174"/>
      <c r="AL66" s="175" t="e">
        <f t="shared" si="114"/>
        <v>#DIV/0!</v>
      </c>
      <c r="AN66" s="72"/>
    </row>
    <row r="67" spans="2:40" s="73" customFormat="1" ht="14.25" customHeight="1" collapsed="1">
      <c r="B67" s="498"/>
      <c r="C67" s="496"/>
      <c r="D67" s="173">
        <v>46081</v>
      </c>
      <c r="E67" s="173" t="s">
        <v>115</v>
      </c>
      <c r="F67" s="338"/>
      <c r="G67" s="505"/>
      <c r="H67" s="511"/>
      <c r="I67" s="174"/>
      <c r="J67" s="175" t="e">
        <f t="shared" si="97"/>
        <v>#DIV/0!</v>
      </c>
      <c r="K67" s="174"/>
      <c r="L67" s="175" t="e">
        <f t="shared" si="98"/>
        <v>#DIV/0!</v>
      </c>
      <c r="M67" s="174">
        <f t="shared" si="99"/>
        <v>0</v>
      </c>
      <c r="N67" s="175" t="e">
        <f t="shared" si="194"/>
        <v>#DIV/0!</v>
      </c>
      <c r="O67" s="174"/>
      <c r="P67" s="175" t="e">
        <f t="shared" si="101"/>
        <v>#DIV/0!</v>
      </c>
      <c r="Q67" s="174"/>
      <c r="R67" s="175" t="e">
        <f t="shared" si="102"/>
        <v>#DIV/0!</v>
      </c>
      <c r="S67" s="174">
        <f t="shared" si="103"/>
        <v>0</v>
      </c>
      <c r="T67" s="175" t="e">
        <f t="shared" si="195"/>
        <v>#DIV/0!</v>
      </c>
      <c r="U67" s="174"/>
      <c r="V67" s="175" t="e">
        <f t="shared" si="196"/>
        <v>#DIV/0!</v>
      </c>
      <c r="W67" s="174"/>
      <c r="X67" s="175" t="e">
        <f t="shared" si="106"/>
        <v>#DIV/0!</v>
      </c>
      <c r="Y67" s="174"/>
      <c r="Z67" s="175" t="e">
        <f t="shared" si="107"/>
        <v>#DIV/0!</v>
      </c>
      <c r="AA67" s="174"/>
      <c r="AB67" s="175" t="e">
        <f t="shared" si="108"/>
        <v>#DIV/0!</v>
      </c>
      <c r="AC67" s="174">
        <f t="shared" si="109"/>
        <v>0</v>
      </c>
      <c r="AD67" s="175" t="e">
        <f t="shared" si="110"/>
        <v>#DIV/0!</v>
      </c>
      <c r="AE67" s="174"/>
      <c r="AF67" s="175" t="e">
        <f t="shared" si="111"/>
        <v>#DIV/0!</v>
      </c>
      <c r="AG67" s="174"/>
      <c r="AH67" s="175" t="e">
        <f t="shared" si="112"/>
        <v>#DIV/0!</v>
      </c>
      <c r="AI67" s="174"/>
      <c r="AJ67" s="175" t="e">
        <f t="shared" si="113"/>
        <v>#DIV/0!</v>
      </c>
      <c r="AK67" s="174"/>
      <c r="AL67" s="175" t="e">
        <f t="shared" si="114"/>
        <v>#DIV/0!</v>
      </c>
      <c r="AN67" s="72"/>
    </row>
    <row r="68" spans="2:40" s="73" customFormat="1" ht="14.25" customHeight="1" collapsed="1">
      <c r="B68" s="498"/>
      <c r="C68" s="502" t="s">
        <v>112</v>
      </c>
      <c r="D68" s="173">
        <v>46082</v>
      </c>
      <c r="E68" s="173" t="s">
        <v>116</v>
      </c>
      <c r="F68" s="338"/>
      <c r="G68" s="505"/>
      <c r="H68" s="511"/>
      <c r="I68" s="174"/>
      <c r="J68" s="175" t="e">
        <f t="shared" si="97"/>
        <v>#DIV/0!</v>
      </c>
      <c r="K68" s="174"/>
      <c r="L68" s="175" t="e">
        <f t="shared" si="98"/>
        <v>#DIV/0!</v>
      </c>
      <c r="M68" s="174">
        <f t="shared" si="99"/>
        <v>0</v>
      </c>
      <c r="N68" s="175" t="e">
        <f t="shared" ref="N68" si="197">M68/F68</f>
        <v>#DIV/0!</v>
      </c>
      <c r="O68" s="174"/>
      <c r="P68" s="175" t="e">
        <f t="shared" si="101"/>
        <v>#DIV/0!</v>
      </c>
      <c r="Q68" s="174"/>
      <c r="R68" s="175" t="e">
        <f t="shared" si="102"/>
        <v>#DIV/0!</v>
      </c>
      <c r="S68" s="174">
        <f t="shared" si="103"/>
        <v>0</v>
      </c>
      <c r="T68" s="175" t="e">
        <f t="shared" ref="T68" si="198">S68/F68</f>
        <v>#DIV/0!</v>
      </c>
      <c r="U68" s="174"/>
      <c r="V68" s="175" t="e">
        <f t="shared" ref="V68" si="199">U68/F68</f>
        <v>#DIV/0!</v>
      </c>
      <c r="W68" s="174"/>
      <c r="X68" s="175" t="e">
        <f t="shared" si="106"/>
        <v>#DIV/0!</v>
      </c>
      <c r="Y68" s="174"/>
      <c r="Z68" s="175" t="e">
        <f t="shared" si="107"/>
        <v>#DIV/0!</v>
      </c>
      <c r="AA68" s="174"/>
      <c r="AB68" s="175" t="e">
        <f t="shared" si="108"/>
        <v>#DIV/0!</v>
      </c>
      <c r="AC68" s="174">
        <f t="shared" si="109"/>
        <v>0</v>
      </c>
      <c r="AD68" s="175" t="e">
        <f t="shared" si="110"/>
        <v>#DIV/0!</v>
      </c>
      <c r="AE68" s="174"/>
      <c r="AF68" s="175" t="e">
        <f t="shared" si="111"/>
        <v>#DIV/0!</v>
      </c>
      <c r="AG68" s="174"/>
      <c r="AH68" s="175" t="e">
        <f t="shared" si="112"/>
        <v>#DIV/0!</v>
      </c>
      <c r="AI68" s="174"/>
      <c r="AJ68" s="175" t="e">
        <f t="shared" si="113"/>
        <v>#DIV/0!</v>
      </c>
      <c r="AK68" s="174"/>
      <c r="AL68" s="175" t="e">
        <f t="shared" si="114"/>
        <v>#DIV/0!</v>
      </c>
      <c r="AN68" s="72"/>
    </row>
    <row r="69" spans="2:40" s="73" customFormat="1" ht="14.25" customHeight="1">
      <c r="B69" s="499"/>
      <c r="C69" s="503"/>
      <c r="D69" s="173">
        <v>46083</v>
      </c>
      <c r="E69" s="173" t="s">
        <v>117</v>
      </c>
      <c r="F69" s="338"/>
      <c r="G69" s="506"/>
      <c r="H69" s="434">
        <f>SUM(F68:F69)</f>
        <v>0</v>
      </c>
      <c r="I69" s="174"/>
      <c r="J69" s="175" t="e">
        <f t="shared" si="97"/>
        <v>#DIV/0!</v>
      </c>
      <c r="K69" s="174"/>
      <c r="L69" s="175" t="e">
        <f t="shared" si="98"/>
        <v>#DIV/0!</v>
      </c>
      <c r="M69" s="174">
        <f t="shared" si="99"/>
        <v>0</v>
      </c>
      <c r="N69" s="175" t="e">
        <f t="shared" ref="N69" si="200">M69/$F69</f>
        <v>#DIV/0!</v>
      </c>
      <c r="O69" s="174"/>
      <c r="P69" s="175" t="e">
        <f t="shared" si="101"/>
        <v>#DIV/0!</v>
      </c>
      <c r="Q69" s="174"/>
      <c r="R69" s="175" t="e">
        <f t="shared" si="102"/>
        <v>#DIV/0!</v>
      </c>
      <c r="S69" s="174">
        <f t="shared" si="103"/>
        <v>0</v>
      </c>
      <c r="T69" s="175" t="e">
        <f t="shared" ref="T69" si="201">S69/$F69</f>
        <v>#DIV/0!</v>
      </c>
      <c r="U69" s="174"/>
      <c r="V69" s="175" t="e">
        <f t="shared" ref="V69" si="202">U69/$F69</f>
        <v>#DIV/0!</v>
      </c>
      <c r="W69" s="174"/>
      <c r="X69" s="175" t="e">
        <f t="shared" si="106"/>
        <v>#DIV/0!</v>
      </c>
      <c r="Y69" s="174"/>
      <c r="Z69" s="175" t="e">
        <f t="shared" si="107"/>
        <v>#DIV/0!</v>
      </c>
      <c r="AA69" s="174"/>
      <c r="AB69" s="175" t="e">
        <f t="shared" si="108"/>
        <v>#DIV/0!</v>
      </c>
      <c r="AC69" s="174">
        <f t="shared" si="109"/>
        <v>0</v>
      </c>
      <c r="AD69" s="175" t="e">
        <f t="shared" si="110"/>
        <v>#DIV/0!</v>
      </c>
      <c r="AE69" s="174"/>
      <c r="AF69" s="175" t="e">
        <f t="shared" si="111"/>
        <v>#DIV/0!</v>
      </c>
      <c r="AG69" s="174"/>
      <c r="AH69" s="175" t="e">
        <f t="shared" si="112"/>
        <v>#DIV/0!</v>
      </c>
      <c r="AI69" s="174"/>
      <c r="AJ69" s="175" t="e">
        <f t="shared" si="113"/>
        <v>#DIV/0!</v>
      </c>
      <c r="AK69" s="174"/>
      <c r="AL69" s="175" t="e">
        <f t="shared" si="114"/>
        <v>#DIV/0!</v>
      </c>
      <c r="AN69" s="72"/>
    </row>
  </sheetData>
  <mergeCells count="58">
    <mergeCell ref="G49:G55"/>
    <mergeCell ref="G56:G62"/>
    <mergeCell ref="G63:G69"/>
    <mergeCell ref="H9:H37"/>
    <mergeCell ref="H7:H8"/>
    <mergeCell ref="G14:G20"/>
    <mergeCell ref="G21:G27"/>
    <mergeCell ref="G28:G34"/>
    <mergeCell ref="G35:G41"/>
    <mergeCell ref="G42:G48"/>
    <mergeCell ref="G7:G13"/>
    <mergeCell ref="H38:H68"/>
    <mergeCell ref="B49:B55"/>
    <mergeCell ref="B56:B62"/>
    <mergeCell ref="B63:B69"/>
    <mergeCell ref="C40:C67"/>
    <mergeCell ref="C68:C69"/>
    <mergeCell ref="C7:C8"/>
    <mergeCell ref="C9:C39"/>
    <mergeCell ref="B28:B34"/>
    <mergeCell ref="B35:B41"/>
    <mergeCell ref="B42:B48"/>
    <mergeCell ref="B7:B13"/>
    <mergeCell ref="B14:B20"/>
    <mergeCell ref="B21:B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70"/>
  <sheetViews>
    <sheetView topLeftCell="A7" zoomScale="85" zoomScaleNormal="85" workbookViewId="0">
      <selection activeCell="F28" sqref="F28:F34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463" t="s">
        <v>330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38" ht="25.4" customHeight="1">
      <c r="B3" s="484" t="s">
        <v>430</v>
      </c>
      <c r="C3" s="485" t="s">
        <v>431</v>
      </c>
      <c r="D3" s="487" t="s">
        <v>105</v>
      </c>
      <c r="E3" s="487"/>
      <c r="F3" s="515" t="s">
        <v>155</v>
      </c>
      <c r="G3" s="515"/>
      <c r="H3" s="515"/>
      <c r="I3" s="516" t="s">
        <v>328</v>
      </c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6"/>
      <c r="AB3" s="516"/>
      <c r="AC3" s="516"/>
      <c r="AD3" s="516"/>
      <c r="AE3" s="516"/>
      <c r="AF3" s="516"/>
      <c r="AG3" s="516"/>
      <c r="AH3" s="516"/>
      <c r="AI3" s="516"/>
      <c r="AJ3" s="516"/>
      <c r="AK3" s="516"/>
      <c r="AL3" s="516"/>
    </row>
    <row r="4" spans="1:38" ht="25.4" customHeight="1">
      <c r="B4" s="484"/>
      <c r="C4" s="485"/>
      <c r="D4" s="487"/>
      <c r="E4" s="487"/>
      <c r="F4" s="515"/>
      <c r="G4" s="515"/>
      <c r="H4" s="515"/>
      <c r="I4" s="514" t="s">
        <v>432</v>
      </c>
      <c r="J4" s="514"/>
      <c r="K4" s="514"/>
      <c r="L4" s="514"/>
      <c r="M4" s="514"/>
      <c r="N4" s="514"/>
      <c r="O4" s="514" t="s">
        <v>433</v>
      </c>
      <c r="P4" s="514"/>
      <c r="Q4" s="514"/>
      <c r="R4" s="514"/>
      <c r="S4" s="514"/>
      <c r="T4" s="514"/>
      <c r="U4" s="514" t="s">
        <v>434</v>
      </c>
      <c r="V4" s="514"/>
      <c r="W4" s="514" t="s">
        <v>435</v>
      </c>
      <c r="X4" s="514"/>
      <c r="Y4" s="514" t="s">
        <v>140</v>
      </c>
      <c r="Z4" s="514"/>
      <c r="AA4" s="514"/>
      <c r="AB4" s="514"/>
      <c r="AC4" s="514"/>
      <c r="AD4" s="514"/>
      <c r="AE4" s="514" t="s">
        <v>138</v>
      </c>
      <c r="AF4" s="514"/>
      <c r="AG4" s="514" t="s">
        <v>436</v>
      </c>
      <c r="AH4" s="514"/>
      <c r="AI4" s="514" t="s">
        <v>437</v>
      </c>
      <c r="AJ4" s="514"/>
      <c r="AK4" s="514" t="s">
        <v>144</v>
      </c>
      <c r="AL4" s="514"/>
    </row>
    <row r="5" spans="1:38" ht="25.4" customHeight="1">
      <c r="B5" s="484"/>
      <c r="C5" s="485"/>
      <c r="D5" s="487"/>
      <c r="E5" s="487"/>
      <c r="F5" s="512" t="s">
        <v>116</v>
      </c>
      <c r="G5" s="512" t="s">
        <v>120</v>
      </c>
      <c r="H5" s="512" t="s">
        <v>121</v>
      </c>
      <c r="I5" s="514" t="s">
        <v>134</v>
      </c>
      <c r="J5" s="514"/>
      <c r="K5" s="514" t="s">
        <v>135</v>
      </c>
      <c r="L5" s="514"/>
      <c r="M5" s="514" t="s">
        <v>153</v>
      </c>
      <c r="N5" s="514"/>
      <c r="O5" s="514" t="s">
        <v>134</v>
      </c>
      <c r="P5" s="514"/>
      <c r="Q5" s="514" t="s">
        <v>135</v>
      </c>
      <c r="R5" s="514"/>
      <c r="S5" s="514" t="s">
        <v>153</v>
      </c>
      <c r="T5" s="514"/>
      <c r="U5" s="514" t="s">
        <v>134</v>
      </c>
      <c r="V5" s="514"/>
      <c r="W5" s="514" t="s">
        <v>134</v>
      </c>
      <c r="X5" s="514"/>
      <c r="Y5" s="514" t="s">
        <v>134</v>
      </c>
      <c r="Z5" s="514"/>
      <c r="AA5" s="514" t="s">
        <v>135</v>
      </c>
      <c r="AB5" s="514"/>
      <c r="AC5" s="514" t="s">
        <v>153</v>
      </c>
      <c r="AD5" s="514"/>
      <c r="AE5" s="514" t="s">
        <v>134</v>
      </c>
      <c r="AF5" s="514"/>
      <c r="AG5" s="514" t="s">
        <v>134</v>
      </c>
      <c r="AH5" s="514"/>
      <c r="AI5" s="514" t="s">
        <v>134</v>
      </c>
      <c r="AJ5" s="514"/>
      <c r="AK5" s="514" t="s">
        <v>134</v>
      </c>
      <c r="AL5" s="514"/>
    </row>
    <row r="6" spans="1:38" s="77" customFormat="1" ht="23.5" customHeight="1">
      <c r="B6" s="484"/>
      <c r="C6" s="486"/>
      <c r="D6" s="488"/>
      <c r="E6" s="488"/>
      <c r="F6" s="513"/>
      <c r="G6" s="512"/>
      <c r="H6" s="512"/>
      <c r="I6" s="217" t="s">
        <v>156</v>
      </c>
      <c r="J6" s="176" t="s">
        <v>111</v>
      </c>
      <c r="K6" s="217" t="s">
        <v>156</v>
      </c>
      <c r="L6" s="176" t="s">
        <v>111</v>
      </c>
      <c r="M6" s="217" t="s">
        <v>156</v>
      </c>
      <c r="N6" s="176" t="s">
        <v>111</v>
      </c>
      <c r="O6" s="217" t="s">
        <v>156</v>
      </c>
      <c r="P6" s="176" t="s">
        <v>111</v>
      </c>
      <c r="Q6" s="217" t="s">
        <v>156</v>
      </c>
      <c r="R6" s="176" t="s">
        <v>111</v>
      </c>
      <c r="S6" s="217" t="s">
        <v>156</v>
      </c>
      <c r="T6" s="176" t="s">
        <v>111</v>
      </c>
      <c r="U6" s="217" t="s">
        <v>156</v>
      </c>
      <c r="V6" s="176" t="s">
        <v>111</v>
      </c>
      <c r="W6" s="217" t="s">
        <v>156</v>
      </c>
      <c r="X6" s="176" t="s">
        <v>111</v>
      </c>
      <c r="Y6" s="217" t="s">
        <v>156</v>
      </c>
      <c r="Z6" s="176" t="s">
        <v>111</v>
      </c>
      <c r="AA6" s="217" t="s">
        <v>156</v>
      </c>
      <c r="AB6" s="176" t="s">
        <v>111</v>
      </c>
      <c r="AC6" s="217" t="s">
        <v>156</v>
      </c>
      <c r="AD6" s="176" t="s">
        <v>111</v>
      </c>
      <c r="AE6" s="217" t="s">
        <v>156</v>
      </c>
      <c r="AF6" s="176" t="s">
        <v>111</v>
      </c>
      <c r="AG6" s="217" t="s">
        <v>156</v>
      </c>
      <c r="AH6" s="176" t="s">
        <v>111</v>
      </c>
      <c r="AI6" s="217" t="s">
        <v>156</v>
      </c>
      <c r="AJ6" s="176" t="s">
        <v>111</v>
      </c>
      <c r="AK6" s="217" t="s">
        <v>156</v>
      </c>
      <c r="AL6" s="176" t="s">
        <v>111</v>
      </c>
    </row>
    <row r="7" spans="1:38" s="73" customFormat="1" ht="14.25" customHeight="1" collapsed="1">
      <c r="B7" s="500">
        <f t="shared" ref="B7" si="0">D15</f>
        <v>46029</v>
      </c>
      <c r="C7" s="494"/>
      <c r="D7" s="173">
        <v>46021</v>
      </c>
      <c r="E7" s="173" t="s">
        <v>118</v>
      </c>
      <c r="F7" s="339">
        <f t="shared" ref="F7:F34" si="1">SUM(M7,S7,U7,W7,AC7,AE7,AG7,AI7,AK7)</f>
        <v>160010</v>
      </c>
      <c r="G7" s="521">
        <f t="shared" ref="G7" si="2">SUM(F7:F13)</f>
        <v>1040875</v>
      </c>
      <c r="H7" s="518"/>
      <c r="I7" s="322">
        <v>41135</v>
      </c>
      <c r="J7" s="242">
        <f t="shared" ref="J7:J34" si="3">I7/$F7</f>
        <v>0.25707768264483472</v>
      </c>
      <c r="K7" s="322">
        <v>49025</v>
      </c>
      <c r="L7" s="242">
        <f t="shared" ref="L7:L34" si="4">K7/$F7</f>
        <v>0.30638710080619963</v>
      </c>
      <c r="M7" s="322">
        <f t="shared" ref="M7:M34" si="5">I7+K7</f>
        <v>90160</v>
      </c>
      <c r="N7" s="242">
        <f t="shared" ref="N7:N34" si="6">M7/$F7</f>
        <v>0.56346478345103435</v>
      </c>
      <c r="O7" s="322">
        <v>10414</v>
      </c>
      <c r="P7" s="242">
        <f t="shared" ref="P7:P34" si="7">O7/$F7</f>
        <v>6.5083432285482162E-2</v>
      </c>
      <c r="Q7" s="322">
        <v>5418</v>
      </c>
      <c r="R7" s="242">
        <f t="shared" ref="R7:R34" si="8">Q7/$F7</f>
        <v>3.3860383726017122E-2</v>
      </c>
      <c r="S7" s="322">
        <f t="shared" ref="S7:S34" si="9">O7+Q7</f>
        <v>15832</v>
      </c>
      <c r="T7" s="242">
        <f t="shared" ref="T7:T34" si="10">S7/$F7</f>
        <v>9.8943816011499278E-2</v>
      </c>
      <c r="U7" s="322">
        <v>4682</v>
      </c>
      <c r="V7" s="242">
        <f t="shared" ref="V7:V34" si="11">U7/$F7</f>
        <v>2.9260671208049496E-2</v>
      </c>
      <c r="W7" s="322">
        <v>0</v>
      </c>
      <c r="X7" s="242">
        <f t="shared" ref="X7:X34" si="12">W7/$F7</f>
        <v>0</v>
      </c>
      <c r="Y7" s="322">
        <v>3810</v>
      </c>
      <c r="Z7" s="242">
        <f t="shared" ref="Z7:Z34" si="13">Y7/$F7</f>
        <v>2.3811011811761765E-2</v>
      </c>
      <c r="AA7" s="322">
        <v>12841</v>
      </c>
      <c r="AB7" s="242">
        <f t="shared" ref="AB7:AB34" si="14">AA7/$F7</f>
        <v>8.0251234297856383E-2</v>
      </c>
      <c r="AC7" s="322">
        <f t="shared" ref="AC7:AC34" si="15">Y7+AA7</f>
        <v>16651</v>
      </c>
      <c r="AD7" s="242">
        <f t="shared" ref="AD7:AD34" si="16">AC7/$F7</f>
        <v>0.10406224610961815</v>
      </c>
      <c r="AE7" s="322">
        <v>22032</v>
      </c>
      <c r="AF7" s="242">
        <f t="shared" ref="AF7:AF34" si="17">AE7/$F7</f>
        <v>0.13769139428785701</v>
      </c>
      <c r="AG7" s="322">
        <v>3448</v>
      </c>
      <c r="AH7" s="242">
        <f t="shared" ref="AH7:AH34" si="18">AG7/$F7</f>
        <v>2.1548653209174425E-2</v>
      </c>
      <c r="AI7" s="322">
        <v>1909</v>
      </c>
      <c r="AJ7" s="242">
        <f t="shared" ref="AJ7:AJ34" si="19">AI7/$F7</f>
        <v>1.1930504343478532E-2</v>
      </c>
      <c r="AK7" s="322">
        <v>5296</v>
      </c>
      <c r="AL7" s="242">
        <f t="shared" ref="AL7:AL34" si="20">AK7/$F7</f>
        <v>3.3097931379288792E-2</v>
      </c>
    </row>
    <row r="8" spans="1:38" s="73" customFormat="1" ht="14.25" customHeight="1">
      <c r="B8" s="501"/>
      <c r="C8" s="495"/>
      <c r="D8" s="173">
        <v>46022</v>
      </c>
      <c r="E8" s="173" t="s">
        <v>112</v>
      </c>
      <c r="F8" s="339">
        <f t="shared" si="1"/>
        <v>129015</v>
      </c>
      <c r="G8" s="521"/>
      <c r="H8" s="520"/>
      <c r="I8" s="322">
        <v>27508</v>
      </c>
      <c r="J8" s="242">
        <f t="shared" si="3"/>
        <v>0.21321551757547572</v>
      </c>
      <c r="K8" s="322">
        <v>45667</v>
      </c>
      <c r="L8" s="242">
        <f t="shared" si="4"/>
        <v>0.35396659303181799</v>
      </c>
      <c r="M8" s="322">
        <f t="shared" si="5"/>
        <v>73175</v>
      </c>
      <c r="N8" s="242">
        <f t="shared" si="6"/>
        <v>0.56718211060729373</v>
      </c>
      <c r="O8" s="322">
        <v>7977</v>
      </c>
      <c r="P8" s="242">
        <f t="shared" si="7"/>
        <v>6.1830019765143587E-2</v>
      </c>
      <c r="Q8" s="322">
        <v>4464</v>
      </c>
      <c r="R8" s="242">
        <f t="shared" si="8"/>
        <v>3.4600627833972795E-2</v>
      </c>
      <c r="S8" s="322">
        <f t="shared" si="9"/>
        <v>12441</v>
      </c>
      <c r="T8" s="242">
        <f t="shared" si="10"/>
        <v>9.6430647599116376E-2</v>
      </c>
      <c r="U8" s="322">
        <v>3651</v>
      </c>
      <c r="V8" s="242">
        <f t="shared" si="11"/>
        <v>2.8299034995930707E-2</v>
      </c>
      <c r="W8" s="322">
        <v>0</v>
      </c>
      <c r="X8" s="242">
        <f t="shared" si="12"/>
        <v>0</v>
      </c>
      <c r="Y8" s="322">
        <v>3262</v>
      </c>
      <c r="Z8" s="242">
        <f t="shared" si="13"/>
        <v>2.5283881719179939E-2</v>
      </c>
      <c r="AA8" s="322">
        <v>11681</v>
      </c>
      <c r="AB8" s="242">
        <f t="shared" si="14"/>
        <v>9.0539859706235709E-2</v>
      </c>
      <c r="AC8" s="322">
        <f t="shared" si="15"/>
        <v>14943</v>
      </c>
      <c r="AD8" s="242">
        <f t="shared" si="16"/>
        <v>0.11582374142541565</v>
      </c>
      <c r="AE8" s="322">
        <v>15484</v>
      </c>
      <c r="AF8" s="242">
        <f t="shared" si="17"/>
        <v>0.12001705228074255</v>
      </c>
      <c r="AG8" s="322">
        <v>2891</v>
      </c>
      <c r="AH8" s="242">
        <f t="shared" si="18"/>
        <v>2.2408247103050033E-2</v>
      </c>
      <c r="AI8" s="322">
        <v>1652</v>
      </c>
      <c r="AJ8" s="242">
        <f t="shared" si="19"/>
        <v>1.2804712630314305E-2</v>
      </c>
      <c r="AK8" s="322">
        <v>4778</v>
      </c>
      <c r="AL8" s="242">
        <f t="shared" si="20"/>
        <v>3.7034453358136654E-2</v>
      </c>
    </row>
    <row r="9" spans="1:38" s="73" customFormat="1" ht="14.25" customHeight="1">
      <c r="B9" s="501"/>
      <c r="C9" s="496" t="s">
        <v>117</v>
      </c>
      <c r="D9" s="173">
        <v>46023</v>
      </c>
      <c r="E9" s="173" t="s">
        <v>113</v>
      </c>
      <c r="F9" s="339">
        <f t="shared" si="1"/>
        <v>149358</v>
      </c>
      <c r="G9" s="521"/>
      <c r="H9" s="518">
        <f>SUM(F9:F39)</f>
        <v>4065016</v>
      </c>
      <c r="I9" s="322">
        <v>37452</v>
      </c>
      <c r="J9" s="242">
        <f t="shared" si="3"/>
        <v>0.25075322379785481</v>
      </c>
      <c r="K9" s="322">
        <v>47285</v>
      </c>
      <c r="L9" s="242">
        <f t="shared" si="4"/>
        <v>0.31658833139168979</v>
      </c>
      <c r="M9" s="322">
        <f t="shared" si="5"/>
        <v>84737</v>
      </c>
      <c r="N9" s="242">
        <f t="shared" si="6"/>
        <v>0.56734155518954454</v>
      </c>
      <c r="O9" s="322">
        <v>10291</v>
      </c>
      <c r="P9" s="242">
        <f t="shared" si="7"/>
        <v>6.8901565366435005E-2</v>
      </c>
      <c r="Q9" s="322">
        <v>5336</v>
      </c>
      <c r="R9" s="242">
        <f t="shared" si="8"/>
        <v>3.5726241647584998E-2</v>
      </c>
      <c r="S9" s="322">
        <f t="shared" si="9"/>
        <v>15627</v>
      </c>
      <c r="T9" s="242">
        <f t="shared" si="10"/>
        <v>0.10462780701402001</v>
      </c>
      <c r="U9" s="322">
        <v>4491</v>
      </c>
      <c r="V9" s="242">
        <f t="shared" si="11"/>
        <v>3.0068694010364359E-2</v>
      </c>
      <c r="W9" s="322">
        <v>0</v>
      </c>
      <c r="X9" s="242">
        <f t="shared" si="12"/>
        <v>0</v>
      </c>
      <c r="Y9" s="322">
        <v>3501</v>
      </c>
      <c r="Z9" s="242">
        <f t="shared" si="13"/>
        <v>2.3440324589241956E-2</v>
      </c>
      <c r="AA9" s="322">
        <v>10812</v>
      </c>
      <c r="AB9" s="242">
        <f t="shared" si="14"/>
        <v>7.2389828465833764E-2</v>
      </c>
      <c r="AC9" s="322">
        <f t="shared" si="15"/>
        <v>14313</v>
      </c>
      <c r="AD9" s="242">
        <f t="shared" si="16"/>
        <v>9.5830153055075723E-2</v>
      </c>
      <c r="AE9" s="322">
        <v>19326</v>
      </c>
      <c r="AF9" s="242">
        <f t="shared" si="17"/>
        <v>0.12939380548748644</v>
      </c>
      <c r="AG9" s="322">
        <v>3460</v>
      </c>
      <c r="AH9" s="242">
        <f t="shared" si="18"/>
        <v>2.3165816360690421E-2</v>
      </c>
      <c r="AI9" s="322">
        <v>2098</v>
      </c>
      <c r="AJ9" s="242">
        <f t="shared" si="19"/>
        <v>1.4046786914661418E-2</v>
      </c>
      <c r="AK9" s="322">
        <v>5306</v>
      </c>
      <c r="AL9" s="242">
        <f t="shared" si="20"/>
        <v>3.5525381968157042E-2</v>
      </c>
    </row>
    <row r="10" spans="1:38" s="73" customFormat="1" ht="14.25" customHeight="1">
      <c r="B10" s="501"/>
      <c r="C10" s="496"/>
      <c r="D10" s="173">
        <v>46024</v>
      </c>
      <c r="E10" s="173" t="s">
        <v>114</v>
      </c>
      <c r="F10" s="339">
        <f t="shared" si="1"/>
        <v>127084</v>
      </c>
      <c r="G10" s="521"/>
      <c r="H10" s="519"/>
      <c r="I10" s="322">
        <v>31423</v>
      </c>
      <c r="J10" s="242">
        <f t="shared" si="3"/>
        <v>0.2472616537093576</v>
      </c>
      <c r="K10" s="322">
        <v>43837</v>
      </c>
      <c r="L10" s="242">
        <f t="shared" si="4"/>
        <v>0.34494507569796357</v>
      </c>
      <c r="M10" s="322">
        <f t="shared" si="5"/>
        <v>75260</v>
      </c>
      <c r="N10" s="242">
        <f t="shared" si="6"/>
        <v>0.59220672940732111</v>
      </c>
      <c r="O10" s="322">
        <v>7172</v>
      </c>
      <c r="P10" s="242">
        <f t="shared" si="7"/>
        <v>5.6435113783009666E-2</v>
      </c>
      <c r="Q10" s="322">
        <v>4438</v>
      </c>
      <c r="R10" s="242">
        <f t="shared" si="8"/>
        <v>3.4921784016870731E-2</v>
      </c>
      <c r="S10" s="322">
        <f t="shared" si="9"/>
        <v>11610</v>
      </c>
      <c r="T10" s="242">
        <f t="shared" si="10"/>
        <v>9.135689779988039E-2</v>
      </c>
      <c r="U10" s="322">
        <v>3270</v>
      </c>
      <c r="V10" s="242">
        <f t="shared" si="11"/>
        <v>2.5731012558622642E-2</v>
      </c>
      <c r="W10" s="322">
        <v>0</v>
      </c>
      <c r="X10" s="242">
        <f t="shared" si="12"/>
        <v>0</v>
      </c>
      <c r="Y10" s="322">
        <v>3221</v>
      </c>
      <c r="Z10" s="242">
        <f t="shared" si="13"/>
        <v>2.5345440810802304E-2</v>
      </c>
      <c r="AA10" s="322">
        <v>11287</v>
      </c>
      <c r="AB10" s="242">
        <f t="shared" si="14"/>
        <v>8.8815271788738159E-2</v>
      </c>
      <c r="AC10" s="322">
        <f t="shared" si="15"/>
        <v>14508</v>
      </c>
      <c r="AD10" s="242">
        <f t="shared" si="16"/>
        <v>0.11416071259954046</v>
      </c>
      <c r="AE10" s="322">
        <v>13863</v>
      </c>
      <c r="AF10" s="242">
        <f t="shared" si="17"/>
        <v>0.109085329388436</v>
      </c>
      <c r="AG10" s="322">
        <v>2710</v>
      </c>
      <c r="AH10" s="242">
        <f t="shared" si="18"/>
        <v>2.1324478297818767E-2</v>
      </c>
      <c r="AI10" s="322">
        <v>1160</v>
      </c>
      <c r="AJ10" s="242">
        <f t="shared" si="19"/>
        <v>9.1278209688080321E-3</v>
      </c>
      <c r="AK10" s="322">
        <v>4703</v>
      </c>
      <c r="AL10" s="242">
        <f t="shared" si="20"/>
        <v>3.7007018979572565E-2</v>
      </c>
    </row>
    <row r="11" spans="1:38" s="73" customFormat="1" ht="14.25" customHeight="1">
      <c r="B11" s="501"/>
      <c r="C11" s="496"/>
      <c r="D11" s="173">
        <v>46025</v>
      </c>
      <c r="E11" s="173" t="s">
        <v>115</v>
      </c>
      <c r="F11" s="339">
        <f t="shared" si="1"/>
        <v>134835</v>
      </c>
      <c r="G11" s="521"/>
      <c r="H11" s="519"/>
      <c r="I11" s="322">
        <v>29003</v>
      </c>
      <c r="J11" s="242">
        <f t="shared" si="3"/>
        <v>0.21509993695998814</v>
      </c>
      <c r="K11" s="322">
        <v>49620</v>
      </c>
      <c r="L11" s="242">
        <f t="shared" si="4"/>
        <v>0.3680053398598287</v>
      </c>
      <c r="M11" s="322">
        <f t="shared" si="5"/>
        <v>78623</v>
      </c>
      <c r="N11" s="242">
        <f t="shared" si="6"/>
        <v>0.58310527681981683</v>
      </c>
      <c r="O11" s="322">
        <v>6256</v>
      </c>
      <c r="P11" s="242">
        <f t="shared" si="7"/>
        <v>4.6397448733637409E-2</v>
      </c>
      <c r="Q11" s="322">
        <v>4122</v>
      </c>
      <c r="R11" s="242">
        <f t="shared" si="8"/>
        <v>3.0570697519190122E-2</v>
      </c>
      <c r="S11" s="322">
        <f t="shared" si="9"/>
        <v>10378</v>
      </c>
      <c r="T11" s="242">
        <f t="shared" si="10"/>
        <v>7.6968146252827524E-2</v>
      </c>
      <c r="U11" s="322">
        <v>3736</v>
      </c>
      <c r="V11" s="242">
        <f t="shared" si="11"/>
        <v>2.7707939333259168E-2</v>
      </c>
      <c r="W11" s="322">
        <v>0</v>
      </c>
      <c r="X11" s="242">
        <f t="shared" si="12"/>
        <v>0</v>
      </c>
      <c r="Y11" s="322">
        <v>3584</v>
      </c>
      <c r="Z11" s="242">
        <f t="shared" si="13"/>
        <v>2.6580635591649051E-2</v>
      </c>
      <c r="AA11" s="322">
        <v>12289</v>
      </c>
      <c r="AB11" s="242">
        <f t="shared" si="14"/>
        <v>9.1141024214781027E-2</v>
      </c>
      <c r="AC11" s="322">
        <f t="shared" si="15"/>
        <v>15873</v>
      </c>
      <c r="AD11" s="242">
        <f t="shared" si="16"/>
        <v>0.11772165980643008</v>
      </c>
      <c r="AE11" s="322">
        <v>16705</v>
      </c>
      <c r="AF11" s="242">
        <f t="shared" si="17"/>
        <v>0.12389216449734861</v>
      </c>
      <c r="AG11" s="322">
        <v>3015</v>
      </c>
      <c r="AH11" s="242">
        <f t="shared" si="18"/>
        <v>2.2360663032595395E-2</v>
      </c>
      <c r="AI11" s="322">
        <v>1726</v>
      </c>
      <c r="AJ11" s="242">
        <f t="shared" si="19"/>
        <v>1.2800830644862239E-2</v>
      </c>
      <c r="AK11" s="322">
        <v>4779</v>
      </c>
      <c r="AL11" s="242">
        <f t="shared" si="20"/>
        <v>3.5443319612860159E-2</v>
      </c>
    </row>
    <row r="12" spans="1:38" s="73" customFormat="1" ht="14.25" customHeight="1">
      <c r="B12" s="501"/>
      <c r="C12" s="496"/>
      <c r="D12" s="173">
        <v>46026</v>
      </c>
      <c r="E12" s="173" t="s">
        <v>116</v>
      </c>
      <c r="F12" s="339">
        <f t="shared" si="1"/>
        <v>171722</v>
      </c>
      <c r="G12" s="521"/>
      <c r="H12" s="519"/>
      <c r="I12" s="322">
        <v>41974</v>
      </c>
      <c r="J12" s="242">
        <f t="shared" si="3"/>
        <v>0.24442995073432641</v>
      </c>
      <c r="K12" s="322">
        <v>54588</v>
      </c>
      <c r="L12" s="242">
        <f t="shared" si="4"/>
        <v>0.3178858853262832</v>
      </c>
      <c r="M12" s="322">
        <f t="shared" si="5"/>
        <v>96562</v>
      </c>
      <c r="N12" s="242">
        <f t="shared" si="6"/>
        <v>0.56231583606060964</v>
      </c>
      <c r="O12" s="322">
        <v>10766</v>
      </c>
      <c r="P12" s="242">
        <f t="shared" si="7"/>
        <v>6.269435482931715E-2</v>
      </c>
      <c r="Q12" s="322">
        <v>5034</v>
      </c>
      <c r="R12" s="242">
        <f t="shared" si="8"/>
        <v>2.9314822794982588E-2</v>
      </c>
      <c r="S12" s="322">
        <f t="shared" si="9"/>
        <v>15800</v>
      </c>
      <c r="T12" s="242">
        <f t="shared" si="10"/>
        <v>9.2009177624299734E-2</v>
      </c>
      <c r="U12" s="322">
        <v>4855</v>
      </c>
      <c r="V12" s="242">
        <f t="shared" si="11"/>
        <v>2.8272440339618687E-2</v>
      </c>
      <c r="W12" s="322">
        <v>0</v>
      </c>
      <c r="X12" s="242">
        <f t="shared" si="12"/>
        <v>0</v>
      </c>
      <c r="Y12" s="322">
        <v>4218</v>
      </c>
      <c r="Z12" s="242">
        <f t="shared" si="13"/>
        <v>2.4562956406284576E-2</v>
      </c>
      <c r="AA12" s="322">
        <v>13631</v>
      </c>
      <c r="AB12" s="242">
        <f t="shared" si="14"/>
        <v>7.9378297480812016E-2</v>
      </c>
      <c r="AC12" s="322">
        <f t="shared" si="15"/>
        <v>17849</v>
      </c>
      <c r="AD12" s="242">
        <f t="shared" si="16"/>
        <v>0.10394125388709659</v>
      </c>
      <c r="AE12" s="322">
        <v>26492</v>
      </c>
      <c r="AF12" s="242">
        <f t="shared" si="17"/>
        <v>0.15427260339385751</v>
      </c>
      <c r="AG12" s="322">
        <v>3536</v>
      </c>
      <c r="AH12" s="242">
        <f t="shared" si="18"/>
        <v>2.0591421017691385E-2</v>
      </c>
      <c r="AI12" s="322">
        <v>1552</v>
      </c>
      <c r="AJ12" s="242">
        <f t="shared" si="19"/>
        <v>9.0378635236021011E-3</v>
      </c>
      <c r="AK12" s="322">
        <v>5076</v>
      </c>
      <c r="AL12" s="242">
        <f t="shared" si="20"/>
        <v>2.9559404153224396E-2</v>
      </c>
    </row>
    <row r="13" spans="1:38" s="73" customFormat="1" ht="14.25" customHeight="1">
      <c r="B13" s="501"/>
      <c r="C13" s="496"/>
      <c r="D13" s="173">
        <v>46027</v>
      </c>
      <c r="E13" s="173" t="s">
        <v>117</v>
      </c>
      <c r="F13" s="339">
        <f t="shared" si="1"/>
        <v>168851</v>
      </c>
      <c r="G13" s="521"/>
      <c r="H13" s="519"/>
      <c r="I13" s="322">
        <v>40455</v>
      </c>
      <c r="J13" s="242">
        <f t="shared" si="3"/>
        <v>0.2395899343207917</v>
      </c>
      <c r="K13" s="322">
        <v>57918</v>
      </c>
      <c r="L13" s="242">
        <f t="shared" si="4"/>
        <v>0.34301247845733812</v>
      </c>
      <c r="M13" s="322">
        <f t="shared" si="5"/>
        <v>98373</v>
      </c>
      <c r="N13" s="242">
        <f t="shared" si="6"/>
        <v>0.58260241277812985</v>
      </c>
      <c r="O13" s="322">
        <v>9493</v>
      </c>
      <c r="P13" s="242">
        <f t="shared" si="7"/>
        <v>5.6221165406186518E-2</v>
      </c>
      <c r="Q13" s="322">
        <v>5023</v>
      </c>
      <c r="R13" s="242">
        <f t="shared" si="8"/>
        <v>2.9748121124541754E-2</v>
      </c>
      <c r="S13" s="322">
        <f t="shared" si="9"/>
        <v>14516</v>
      </c>
      <c r="T13" s="242">
        <f t="shared" si="10"/>
        <v>8.5969286530728273E-2</v>
      </c>
      <c r="U13" s="322">
        <v>4622</v>
      </c>
      <c r="V13" s="242">
        <f t="shared" si="11"/>
        <v>2.7373246234846108E-2</v>
      </c>
      <c r="W13" s="322">
        <v>0</v>
      </c>
      <c r="X13" s="242">
        <f t="shared" si="12"/>
        <v>0</v>
      </c>
      <c r="Y13" s="322">
        <v>4021</v>
      </c>
      <c r="Z13" s="242">
        <f t="shared" si="13"/>
        <v>2.3813895090938165E-2</v>
      </c>
      <c r="AA13" s="322">
        <v>12694</v>
      </c>
      <c r="AB13" s="242">
        <f t="shared" si="14"/>
        <v>7.5178707854854282E-2</v>
      </c>
      <c r="AC13" s="322">
        <f t="shared" si="15"/>
        <v>16715</v>
      </c>
      <c r="AD13" s="242">
        <f t="shared" si="16"/>
        <v>9.8992602945792443E-2</v>
      </c>
      <c r="AE13" s="322">
        <v>23384</v>
      </c>
      <c r="AF13" s="242">
        <f t="shared" si="17"/>
        <v>0.13848896364250138</v>
      </c>
      <c r="AG13" s="322">
        <v>3549</v>
      </c>
      <c r="AH13" s="242">
        <f t="shared" si="18"/>
        <v>2.1018531130997151E-2</v>
      </c>
      <c r="AI13" s="322">
        <v>1949</v>
      </c>
      <c r="AJ13" s="242">
        <f t="shared" si="19"/>
        <v>1.1542721097298802E-2</v>
      </c>
      <c r="AK13" s="322">
        <v>5743</v>
      </c>
      <c r="AL13" s="242">
        <f t="shared" si="20"/>
        <v>3.4012235639706012E-2</v>
      </c>
    </row>
    <row r="14" spans="1:38" s="73" customFormat="1" ht="14.25" customHeight="1">
      <c r="B14" s="500">
        <f t="shared" ref="B14:B28" si="21">D22</f>
        <v>46036</v>
      </c>
      <c r="C14" s="496"/>
      <c r="D14" s="173">
        <v>46028</v>
      </c>
      <c r="E14" s="173" t="s">
        <v>118</v>
      </c>
      <c r="F14" s="339">
        <f t="shared" si="1"/>
        <v>174288</v>
      </c>
      <c r="G14" s="521">
        <f>SUM(F14:F20)</f>
        <v>1121087</v>
      </c>
      <c r="H14" s="519"/>
      <c r="I14" s="322">
        <v>45782</v>
      </c>
      <c r="J14" s="242">
        <f t="shared" si="3"/>
        <v>0.26268016157165153</v>
      </c>
      <c r="K14" s="322">
        <v>57378</v>
      </c>
      <c r="L14" s="242">
        <f t="shared" si="4"/>
        <v>0.32921371522996418</v>
      </c>
      <c r="M14" s="322">
        <f t="shared" si="5"/>
        <v>103160</v>
      </c>
      <c r="N14" s="242">
        <f t="shared" si="6"/>
        <v>0.59189387680161576</v>
      </c>
      <c r="O14" s="322">
        <v>9479</v>
      </c>
      <c r="P14" s="242">
        <f t="shared" si="7"/>
        <v>5.4386991646011199E-2</v>
      </c>
      <c r="Q14" s="322">
        <v>5415</v>
      </c>
      <c r="R14" s="242">
        <f t="shared" si="8"/>
        <v>3.1069264665381437E-2</v>
      </c>
      <c r="S14" s="322">
        <f t="shared" si="9"/>
        <v>14894</v>
      </c>
      <c r="T14" s="242">
        <f t="shared" si="10"/>
        <v>8.5456256311392642E-2</v>
      </c>
      <c r="U14" s="322">
        <v>4452</v>
      </c>
      <c r="V14" s="242">
        <f t="shared" si="11"/>
        <v>2.5543927292756816E-2</v>
      </c>
      <c r="W14" s="322">
        <v>2900</v>
      </c>
      <c r="X14" s="242">
        <f t="shared" si="12"/>
        <v>1.6639126044248598E-2</v>
      </c>
      <c r="Y14" s="322">
        <v>3969</v>
      </c>
      <c r="Z14" s="242">
        <f t="shared" si="13"/>
        <v>2.2772652161938859E-2</v>
      </c>
      <c r="AA14" s="322">
        <v>11938</v>
      </c>
      <c r="AB14" s="242">
        <f t="shared" si="14"/>
        <v>6.8495823005599921E-2</v>
      </c>
      <c r="AC14" s="322">
        <f t="shared" si="15"/>
        <v>15907</v>
      </c>
      <c r="AD14" s="242">
        <f t="shared" si="16"/>
        <v>9.126847516753879E-2</v>
      </c>
      <c r="AE14" s="322">
        <v>22495</v>
      </c>
      <c r="AF14" s="242">
        <f t="shared" si="17"/>
        <v>0.12906797943633527</v>
      </c>
      <c r="AG14" s="322">
        <v>3433</v>
      </c>
      <c r="AH14" s="242">
        <f t="shared" si="18"/>
        <v>1.9697282658588083E-2</v>
      </c>
      <c r="AI14" s="322">
        <v>1783</v>
      </c>
      <c r="AJ14" s="242">
        <f t="shared" si="19"/>
        <v>1.0230193702377674E-2</v>
      </c>
      <c r="AK14" s="322">
        <v>5264</v>
      </c>
      <c r="AL14" s="242">
        <f t="shared" si="20"/>
        <v>3.0202882585146425E-2</v>
      </c>
    </row>
    <row r="15" spans="1:38" s="73" customFormat="1" ht="14.25" customHeight="1">
      <c r="B15" s="501"/>
      <c r="C15" s="496"/>
      <c r="D15" s="173">
        <v>46029</v>
      </c>
      <c r="E15" s="173" t="s">
        <v>112</v>
      </c>
      <c r="F15" s="339">
        <f t="shared" si="1"/>
        <v>171001</v>
      </c>
      <c r="G15" s="521"/>
      <c r="H15" s="519"/>
      <c r="I15" s="322">
        <v>43497</v>
      </c>
      <c r="J15" s="242">
        <f t="shared" si="3"/>
        <v>0.25436693352670453</v>
      </c>
      <c r="K15" s="322">
        <v>55184</v>
      </c>
      <c r="L15" s="242">
        <f t="shared" si="4"/>
        <v>0.32271156309027432</v>
      </c>
      <c r="M15" s="322">
        <f t="shared" si="5"/>
        <v>98681</v>
      </c>
      <c r="N15" s="242">
        <f t="shared" si="6"/>
        <v>0.57707849661697885</v>
      </c>
      <c r="O15" s="322">
        <v>9709</v>
      </c>
      <c r="P15" s="242">
        <f t="shared" si="7"/>
        <v>5.6777445745931313E-2</v>
      </c>
      <c r="Q15" s="322">
        <v>5581</v>
      </c>
      <c r="R15" s="242">
        <f t="shared" si="8"/>
        <v>3.2637236039555324E-2</v>
      </c>
      <c r="S15" s="322">
        <f t="shared" si="9"/>
        <v>15290</v>
      </c>
      <c r="T15" s="242">
        <f t="shared" si="10"/>
        <v>8.941468178548663E-2</v>
      </c>
      <c r="U15" s="322">
        <v>4232</v>
      </c>
      <c r="V15" s="242">
        <f t="shared" si="11"/>
        <v>2.4748393284249801E-2</v>
      </c>
      <c r="W15" s="322">
        <v>2740</v>
      </c>
      <c r="X15" s="242">
        <f t="shared" si="12"/>
        <v>1.6023298109367781E-2</v>
      </c>
      <c r="Y15" s="322">
        <v>836</v>
      </c>
      <c r="Z15" s="242">
        <f t="shared" si="13"/>
        <v>4.8888602990625786E-3</v>
      </c>
      <c r="AA15" s="322">
        <v>11796</v>
      </c>
      <c r="AB15" s="242">
        <f t="shared" si="14"/>
        <v>6.8982052736533711E-2</v>
      </c>
      <c r="AC15" s="322">
        <f t="shared" si="15"/>
        <v>12632</v>
      </c>
      <c r="AD15" s="242">
        <f t="shared" si="16"/>
        <v>7.3870913035596286E-2</v>
      </c>
      <c r="AE15" s="322">
        <v>23212</v>
      </c>
      <c r="AF15" s="242">
        <f t="shared" si="17"/>
        <v>0.13574189624622079</v>
      </c>
      <c r="AG15" s="322">
        <v>3328</v>
      </c>
      <c r="AH15" s="242">
        <f t="shared" si="18"/>
        <v>1.9461874491962034E-2</v>
      </c>
      <c r="AI15" s="322">
        <v>5004</v>
      </c>
      <c r="AJ15" s="242">
        <f t="shared" si="19"/>
        <v>2.9262986766159262E-2</v>
      </c>
      <c r="AK15" s="322">
        <v>5882</v>
      </c>
      <c r="AL15" s="242">
        <f t="shared" si="20"/>
        <v>3.4397459663978572E-2</v>
      </c>
    </row>
    <row r="16" spans="1:38" s="73" customFormat="1" ht="14.25" customHeight="1">
      <c r="B16" s="501"/>
      <c r="C16" s="496"/>
      <c r="D16" s="173">
        <v>46030</v>
      </c>
      <c r="E16" s="173" t="s">
        <v>113</v>
      </c>
      <c r="F16" s="339">
        <f t="shared" si="1"/>
        <v>156400</v>
      </c>
      <c r="G16" s="521"/>
      <c r="H16" s="519"/>
      <c r="I16" s="322">
        <v>41733</v>
      </c>
      <c r="J16" s="242">
        <f t="shared" si="3"/>
        <v>0.26683503836317135</v>
      </c>
      <c r="K16" s="322">
        <v>48925</v>
      </c>
      <c r="L16" s="242">
        <f t="shared" si="4"/>
        <v>0.31281969309462915</v>
      </c>
      <c r="M16" s="322">
        <f t="shared" si="5"/>
        <v>90658</v>
      </c>
      <c r="N16" s="242">
        <f t="shared" si="6"/>
        <v>0.57965473145780055</v>
      </c>
      <c r="O16" s="322">
        <v>9429</v>
      </c>
      <c r="P16" s="242">
        <f t="shared" si="7"/>
        <v>6.0287723785166239E-2</v>
      </c>
      <c r="Q16" s="322">
        <v>5221</v>
      </c>
      <c r="R16" s="242">
        <f t="shared" si="8"/>
        <v>3.3382352941176467E-2</v>
      </c>
      <c r="S16" s="322">
        <f t="shared" si="9"/>
        <v>14650</v>
      </c>
      <c r="T16" s="242">
        <f t="shared" si="10"/>
        <v>9.3670076726342713E-2</v>
      </c>
      <c r="U16" s="322">
        <v>4215</v>
      </c>
      <c r="V16" s="242">
        <f t="shared" si="11"/>
        <v>2.6950127877237853E-2</v>
      </c>
      <c r="W16" s="322">
        <v>405</v>
      </c>
      <c r="X16" s="242">
        <f t="shared" si="12"/>
        <v>2.5895140664961638E-3</v>
      </c>
      <c r="Y16" s="322">
        <v>3789</v>
      </c>
      <c r="Z16" s="242">
        <f t="shared" si="13"/>
        <v>2.4226342710997443E-2</v>
      </c>
      <c r="AA16" s="322">
        <v>9859</v>
      </c>
      <c r="AB16" s="242">
        <f t="shared" si="14"/>
        <v>6.3037084398976984E-2</v>
      </c>
      <c r="AC16" s="322">
        <f t="shared" si="15"/>
        <v>13648</v>
      </c>
      <c r="AD16" s="242">
        <f t="shared" si="16"/>
        <v>8.7263427109974423E-2</v>
      </c>
      <c r="AE16" s="322">
        <v>21480</v>
      </c>
      <c r="AF16" s="242">
        <f t="shared" si="17"/>
        <v>0.13734015345268541</v>
      </c>
      <c r="AG16" s="322">
        <v>3025</v>
      </c>
      <c r="AH16" s="242">
        <f t="shared" si="18"/>
        <v>1.9341432225063938E-2</v>
      </c>
      <c r="AI16" s="322">
        <v>2201</v>
      </c>
      <c r="AJ16" s="242">
        <f t="shared" si="19"/>
        <v>1.4072890025575447E-2</v>
      </c>
      <c r="AK16" s="322">
        <v>6118</v>
      </c>
      <c r="AL16" s="242">
        <f t="shared" si="20"/>
        <v>3.9117647058823528E-2</v>
      </c>
    </row>
    <row r="17" spans="2:38" s="73" customFormat="1" ht="14.25" customHeight="1">
      <c r="B17" s="501"/>
      <c r="C17" s="496"/>
      <c r="D17" s="173">
        <v>46031</v>
      </c>
      <c r="E17" s="173" t="s">
        <v>114</v>
      </c>
      <c r="F17" s="339">
        <f t="shared" si="1"/>
        <v>132095</v>
      </c>
      <c r="G17" s="521"/>
      <c r="H17" s="519"/>
      <c r="I17" s="322">
        <v>33996</v>
      </c>
      <c r="J17" s="242">
        <f t="shared" si="3"/>
        <v>0.25736023316552481</v>
      </c>
      <c r="K17" s="322">
        <v>44886</v>
      </c>
      <c r="L17" s="242">
        <f t="shared" si="4"/>
        <v>0.33980090086680043</v>
      </c>
      <c r="M17" s="322">
        <f t="shared" si="5"/>
        <v>78882</v>
      </c>
      <c r="N17" s="242">
        <f t="shared" si="6"/>
        <v>0.59716113403232518</v>
      </c>
      <c r="O17" s="322">
        <v>6194</v>
      </c>
      <c r="P17" s="242">
        <f t="shared" si="7"/>
        <v>4.6890495476740228E-2</v>
      </c>
      <c r="Q17" s="322">
        <v>4142</v>
      </c>
      <c r="R17" s="242">
        <f t="shared" si="8"/>
        <v>3.1356220901623828E-2</v>
      </c>
      <c r="S17" s="322">
        <f t="shared" si="9"/>
        <v>10336</v>
      </c>
      <c r="T17" s="242">
        <f t="shared" si="10"/>
        <v>7.8246716378364056E-2</v>
      </c>
      <c r="U17" s="322">
        <v>3243</v>
      </c>
      <c r="V17" s="242">
        <f t="shared" si="11"/>
        <v>2.4550512888451493E-2</v>
      </c>
      <c r="W17" s="322">
        <v>1392</v>
      </c>
      <c r="X17" s="242">
        <f t="shared" si="12"/>
        <v>1.0537870472008782E-2</v>
      </c>
      <c r="Y17" s="322">
        <v>3138</v>
      </c>
      <c r="Z17" s="242">
        <f t="shared" si="13"/>
        <v>2.3755630417502557E-2</v>
      </c>
      <c r="AA17" s="322">
        <v>9632</v>
      </c>
      <c r="AB17" s="242">
        <f t="shared" si="14"/>
        <v>7.2917218668382605E-2</v>
      </c>
      <c r="AC17" s="322">
        <f t="shared" si="15"/>
        <v>12770</v>
      </c>
      <c r="AD17" s="242">
        <f t="shared" si="16"/>
        <v>9.6672849085885165E-2</v>
      </c>
      <c r="AE17" s="322">
        <v>17156</v>
      </c>
      <c r="AF17" s="242">
        <f t="shared" si="17"/>
        <v>0.12987622544380939</v>
      </c>
      <c r="AG17" s="322">
        <v>2408</v>
      </c>
      <c r="AH17" s="242">
        <f t="shared" si="18"/>
        <v>1.8229304667095651E-2</v>
      </c>
      <c r="AI17" s="322">
        <v>1392</v>
      </c>
      <c r="AJ17" s="242">
        <f t="shared" si="19"/>
        <v>1.0537870472008782E-2</v>
      </c>
      <c r="AK17" s="322">
        <v>4516</v>
      </c>
      <c r="AL17" s="242">
        <f t="shared" si="20"/>
        <v>3.4187516560051479E-2</v>
      </c>
    </row>
    <row r="18" spans="2:38" s="73" customFormat="1" ht="14.25" customHeight="1">
      <c r="B18" s="501"/>
      <c r="C18" s="496"/>
      <c r="D18" s="173">
        <v>46032</v>
      </c>
      <c r="E18" s="173" t="s">
        <v>115</v>
      </c>
      <c r="F18" s="339">
        <f t="shared" si="1"/>
        <v>138394</v>
      </c>
      <c r="G18" s="521"/>
      <c r="H18" s="519"/>
      <c r="I18" s="322">
        <v>31871</v>
      </c>
      <c r="J18" s="242">
        <f t="shared" si="3"/>
        <v>0.23029177565501394</v>
      </c>
      <c r="K18" s="322">
        <v>49880</v>
      </c>
      <c r="L18" s="242">
        <f t="shared" si="4"/>
        <v>0.36042024943277889</v>
      </c>
      <c r="M18" s="322">
        <f t="shared" si="5"/>
        <v>81751</v>
      </c>
      <c r="N18" s="242">
        <f t="shared" si="6"/>
        <v>0.59071202508779286</v>
      </c>
      <c r="O18" s="322">
        <v>5424</v>
      </c>
      <c r="P18" s="242">
        <f t="shared" si="7"/>
        <v>3.9192450539763286E-2</v>
      </c>
      <c r="Q18" s="322">
        <v>3850</v>
      </c>
      <c r="R18" s="242">
        <f t="shared" si="8"/>
        <v>2.7819125106579766E-2</v>
      </c>
      <c r="S18" s="322">
        <f t="shared" si="9"/>
        <v>9274</v>
      </c>
      <c r="T18" s="242">
        <f t="shared" si="10"/>
        <v>6.7011575646343052E-2</v>
      </c>
      <c r="U18" s="322">
        <v>3597</v>
      </c>
      <c r="V18" s="242">
        <f t="shared" si="11"/>
        <v>2.5991011171004524E-2</v>
      </c>
      <c r="W18" s="322">
        <v>1941</v>
      </c>
      <c r="X18" s="242">
        <f t="shared" si="12"/>
        <v>1.4025174501784759E-2</v>
      </c>
      <c r="Y18" s="322">
        <v>3717</v>
      </c>
      <c r="Z18" s="242">
        <f t="shared" si="13"/>
        <v>2.68581007847161E-2</v>
      </c>
      <c r="AA18" s="322">
        <v>10434</v>
      </c>
      <c r="AB18" s="242">
        <f t="shared" si="14"/>
        <v>7.5393441912221623E-2</v>
      </c>
      <c r="AC18" s="322">
        <f t="shared" si="15"/>
        <v>14151</v>
      </c>
      <c r="AD18" s="242">
        <f t="shared" si="16"/>
        <v>0.10225154269693773</v>
      </c>
      <c r="AE18" s="322">
        <v>17868</v>
      </c>
      <c r="AF18" s="242">
        <f t="shared" si="17"/>
        <v>0.12910964348165382</v>
      </c>
      <c r="AG18" s="322">
        <v>2655</v>
      </c>
      <c r="AH18" s="242">
        <f t="shared" si="18"/>
        <v>1.9184357703368644E-2</v>
      </c>
      <c r="AI18" s="322">
        <v>2197</v>
      </c>
      <c r="AJ18" s="242">
        <f t="shared" si="19"/>
        <v>1.5874965677702791E-2</v>
      </c>
      <c r="AK18" s="322">
        <v>4960</v>
      </c>
      <c r="AL18" s="242">
        <f t="shared" si="20"/>
        <v>3.583970403341185E-2</v>
      </c>
    </row>
    <row r="19" spans="2:38" s="73" customFormat="1" ht="14.25" customHeight="1">
      <c r="B19" s="501"/>
      <c r="C19" s="496"/>
      <c r="D19" s="173">
        <v>46033</v>
      </c>
      <c r="E19" s="173" t="s">
        <v>116</v>
      </c>
      <c r="F19" s="339">
        <f t="shared" si="1"/>
        <v>178077</v>
      </c>
      <c r="G19" s="521"/>
      <c r="H19" s="519"/>
      <c r="I19" s="322">
        <v>45355</v>
      </c>
      <c r="J19" s="242">
        <f t="shared" si="3"/>
        <v>0.25469319451697858</v>
      </c>
      <c r="K19" s="322">
        <v>55836</v>
      </c>
      <c r="L19" s="242">
        <f t="shared" si="4"/>
        <v>0.31354975656597989</v>
      </c>
      <c r="M19" s="322">
        <f t="shared" si="5"/>
        <v>101191</v>
      </c>
      <c r="N19" s="242">
        <f t="shared" si="6"/>
        <v>0.56824295108295853</v>
      </c>
      <c r="O19" s="322">
        <v>9274</v>
      </c>
      <c r="P19" s="242">
        <f t="shared" si="7"/>
        <v>5.2078595214429715E-2</v>
      </c>
      <c r="Q19" s="322">
        <v>4954</v>
      </c>
      <c r="R19" s="242">
        <f t="shared" si="8"/>
        <v>2.7819426427893552E-2</v>
      </c>
      <c r="S19" s="322">
        <f t="shared" si="9"/>
        <v>14228</v>
      </c>
      <c r="T19" s="242">
        <f t="shared" si="10"/>
        <v>7.9898021642323264E-2</v>
      </c>
      <c r="U19" s="322">
        <v>4516</v>
      </c>
      <c r="V19" s="242">
        <f t="shared" si="11"/>
        <v>2.5359816259258636E-2</v>
      </c>
      <c r="W19" s="322">
        <v>3611</v>
      </c>
      <c r="X19" s="242">
        <f t="shared" si="12"/>
        <v>2.0277745020412519E-2</v>
      </c>
      <c r="Y19" s="322">
        <v>4173</v>
      </c>
      <c r="Z19" s="242">
        <f t="shared" si="13"/>
        <v>2.3433683181994305E-2</v>
      </c>
      <c r="AA19" s="322">
        <v>12301</v>
      </c>
      <c r="AB19" s="242">
        <f t="shared" si="14"/>
        <v>6.9076860009995675E-2</v>
      </c>
      <c r="AC19" s="322">
        <f t="shared" si="15"/>
        <v>16474</v>
      </c>
      <c r="AD19" s="242">
        <f t="shared" si="16"/>
        <v>9.251054319198998E-2</v>
      </c>
      <c r="AE19" s="322">
        <v>27539</v>
      </c>
      <c r="AF19" s="242">
        <f t="shared" si="17"/>
        <v>0.15464658546583782</v>
      </c>
      <c r="AG19" s="322">
        <v>3092</v>
      </c>
      <c r="AH19" s="242">
        <f t="shared" si="18"/>
        <v>1.7363275437030048E-2</v>
      </c>
      <c r="AI19" s="322">
        <v>2421</v>
      </c>
      <c r="AJ19" s="242">
        <f t="shared" si="19"/>
        <v>1.3595242507454641E-2</v>
      </c>
      <c r="AK19" s="322">
        <v>5005</v>
      </c>
      <c r="AL19" s="242">
        <f t="shared" si="20"/>
        <v>2.8105819392734602E-2</v>
      </c>
    </row>
    <row r="20" spans="2:38" s="73" customFormat="1" ht="14.25" customHeight="1">
      <c r="B20" s="501"/>
      <c r="C20" s="496"/>
      <c r="D20" s="173">
        <v>46034</v>
      </c>
      <c r="E20" s="173" t="s">
        <v>117</v>
      </c>
      <c r="F20" s="339">
        <f t="shared" si="1"/>
        <v>170832</v>
      </c>
      <c r="G20" s="521"/>
      <c r="H20" s="519"/>
      <c r="I20" s="322">
        <v>44451</v>
      </c>
      <c r="J20" s="242">
        <f t="shared" si="3"/>
        <v>0.26020300646248945</v>
      </c>
      <c r="K20" s="322">
        <v>54424</v>
      </c>
      <c r="L20" s="242">
        <f t="shared" si="4"/>
        <v>0.31858199868877024</v>
      </c>
      <c r="M20" s="322">
        <f t="shared" si="5"/>
        <v>98875</v>
      </c>
      <c r="N20" s="242">
        <f t="shared" si="6"/>
        <v>0.57878500515125975</v>
      </c>
      <c r="O20" s="322">
        <v>8692</v>
      </c>
      <c r="P20" s="242">
        <f t="shared" si="7"/>
        <v>5.0880397115294559E-2</v>
      </c>
      <c r="Q20" s="322">
        <v>4961</v>
      </c>
      <c r="R20" s="242">
        <f t="shared" si="8"/>
        <v>2.9040226655427555E-2</v>
      </c>
      <c r="S20" s="322">
        <f t="shared" si="9"/>
        <v>13653</v>
      </c>
      <c r="T20" s="242">
        <f t="shared" si="10"/>
        <v>7.9920623770722107E-2</v>
      </c>
      <c r="U20" s="322">
        <v>4319</v>
      </c>
      <c r="V20" s="242">
        <f t="shared" si="11"/>
        <v>2.5282148543598389E-2</v>
      </c>
      <c r="W20" s="322">
        <v>2386</v>
      </c>
      <c r="X20" s="242">
        <f t="shared" si="12"/>
        <v>1.3966938278542661E-2</v>
      </c>
      <c r="Y20" s="322">
        <v>3734</v>
      </c>
      <c r="Z20" s="242">
        <f t="shared" si="13"/>
        <v>2.1857731572539101E-2</v>
      </c>
      <c r="AA20" s="322">
        <v>11420</v>
      </c>
      <c r="AB20" s="242">
        <f t="shared" si="14"/>
        <v>6.684930223845649E-2</v>
      </c>
      <c r="AC20" s="322">
        <f t="shared" si="15"/>
        <v>15154</v>
      </c>
      <c r="AD20" s="242">
        <f t="shared" si="16"/>
        <v>8.8707033810995595E-2</v>
      </c>
      <c r="AE20" s="322">
        <v>24431</v>
      </c>
      <c r="AF20" s="242">
        <f t="shared" si="17"/>
        <v>0.14301184789734944</v>
      </c>
      <c r="AG20" s="322">
        <v>3273</v>
      </c>
      <c r="AH20" s="242">
        <f t="shared" si="18"/>
        <v>1.9159173925259905E-2</v>
      </c>
      <c r="AI20" s="322">
        <v>3204</v>
      </c>
      <c r="AJ20" s="242">
        <f t="shared" si="19"/>
        <v>1.8755268333801631E-2</v>
      </c>
      <c r="AK20" s="322">
        <v>5537</v>
      </c>
      <c r="AL20" s="242">
        <f t="shared" si="20"/>
        <v>3.2411960288470543E-2</v>
      </c>
    </row>
    <row r="21" spans="2:38" s="73" customFormat="1" ht="14.25" customHeight="1">
      <c r="B21" s="500">
        <f t="shared" si="21"/>
        <v>46043</v>
      </c>
      <c r="C21" s="496"/>
      <c r="D21" s="173">
        <v>46035</v>
      </c>
      <c r="E21" s="173" t="s">
        <v>118</v>
      </c>
      <c r="F21" s="339">
        <f t="shared" si="1"/>
        <v>169120</v>
      </c>
      <c r="G21" s="521">
        <f t="shared" ref="G21" si="22">SUM(F21:F27)</f>
        <v>1095713</v>
      </c>
      <c r="H21" s="519"/>
      <c r="I21" s="322">
        <v>47821</v>
      </c>
      <c r="J21" s="242">
        <f t="shared" si="3"/>
        <v>0.28276371807000944</v>
      </c>
      <c r="K21" s="322">
        <v>53333</v>
      </c>
      <c r="L21" s="242">
        <f t="shared" si="4"/>
        <v>0.31535596026490065</v>
      </c>
      <c r="M21" s="322">
        <f t="shared" si="5"/>
        <v>101154</v>
      </c>
      <c r="N21" s="242">
        <f t="shared" si="6"/>
        <v>0.59811967833491009</v>
      </c>
      <c r="O21" s="322">
        <v>8229</v>
      </c>
      <c r="P21" s="242">
        <f t="shared" si="7"/>
        <v>4.8657757805108802E-2</v>
      </c>
      <c r="Q21" s="322">
        <v>5008</v>
      </c>
      <c r="R21" s="242">
        <f t="shared" si="8"/>
        <v>2.9612109744560074E-2</v>
      </c>
      <c r="S21" s="322">
        <f t="shared" si="9"/>
        <v>13237</v>
      </c>
      <c r="T21" s="242">
        <f t="shared" si="10"/>
        <v>7.8269867549668873E-2</v>
      </c>
      <c r="U21" s="322">
        <v>4395</v>
      </c>
      <c r="V21" s="242">
        <f t="shared" si="11"/>
        <v>2.5987464522232735E-2</v>
      </c>
      <c r="W21" s="322">
        <v>1870</v>
      </c>
      <c r="X21" s="242">
        <f t="shared" si="12"/>
        <v>1.1057237464522232E-2</v>
      </c>
      <c r="Y21" s="322">
        <v>3505</v>
      </c>
      <c r="Z21" s="242">
        <f t="shared" si="13"/>
        <v>2.0724929044465469E-2</v>
      </c>
      <c r="AA21" s="322">
        <v>11345</v>
      </c>
      <c r="AB21" s="242">
        <f t="shared" si="14"/>
        <v>6.7082544938505198E-2</v>
      </c>
      <c r="AC21" s="322">
        <f t="shared" si="15"/>
        <v>14850</v>
      </c>
      <c r="AD21" s="242">
        <f t="shared" si="16"/>
        <v>8.7807473982970674E-2</v>
      </c>
      <c r="AE21" s="322">
        <v>22509</v>
      </c>
      <c r="AF21" s="242">
        <f t="shared" si="17"/>
        <v>0.13309484389782403</v>
      </c>
      <c r="AG21" s="322">
        <v>2950</v>
      </c>
      <c r="AH21" s="242">
        <f t="shared" si="18"/>
        <v>1.7443235572374646E-2</v>
      </c>
      <c r="AI21" s="322">
        <v>2567</v>
      </c>
      <c r="AJ21" s="242">
        <f t="shared" si="19"/>
        <v>1.5178571428571428E-2</v>
      </c>
      <c r="AK21" s="322">
        <v>5588</v>
      </c>
      <c r="AL21" s="242">
        <f t="shared" si="20"/>
        <v>3.3041627246925262E-2</v>
      </c>
    </row>
    <row r="22" spans="2:38" s="73" customFormat="1" ht="14.25" customHeight="1">
      <c r="B22" s="501"/>
      <c r="C22" s="496"/>
      <c r="D22" s="173">
        <v>46036</v>
      </c>
      <c r="E22" s="173" t="s">
        <v>112</v>
      </c>
      <c r="F22" s="339">
        <f t="shared" si="1"/>
        <v>162179</v>
      </c>
      <c r="G22" s="521"/>
      <c r="H22" s="519"/>
      <c r="I22" s="322">
        <v>44648</v>
      </c>
      <c r="J22" s="242">
        <f t="shared" si="3"/>
        <v>0.27530074793900566</v>
      </c>
      <c r="K22" s="322">
        <v>50722</v>
      </c>
      <c r="L22" s="242">
        <f t="shared" si="4"/>
        <v>0.3127531924601829</v>
      </c>
      <c r="M22" s="322">
        <f t="shared" si="5"/>
        <v>95370</v>
      </c>
      <c r="N22" s="242">
        <f t="shared" si="6"/>
        <v>0.58805394039918857</v>
      </c>
      <c r="O22" s="322">
        <v>8729</v>
      </c>
      <c r="P22" s="242">
        <f t="shared" si="7"/>
        <v>5.3823244686426727E-2</v>
      </c>
      <c r="Q22" s="322">
        <v>5129</v>
      </c>
      <c r="R22" s="242">
        <f t="shared" si="8"/>
        <v>3.1625549547105357E-2</v>
      </c>
      <c r="S22" s="322">
        <f t="shared" si="9"/>
        <v>13858</v>
      </c>
      <c r="T22" s="242">
        <f t="shared" si="10"/>
        <v>8.5448794233532091E-2</v>
      </c>
      <c r="U22" s="322">
        <v>4024</v>
      </c>
      <c r="V22" s="242">
        <f t="shared" si="11"/>
        <v>2.4812090344619217E-2</v>
      </c>
      <c r="W22" s="322">
        <v>2575</v>
      </c>
      <c r="X22" s="242">
        <f t="shared" si="12"/>
        <v>1.5877518051042368E-2</v>
      </c>
      <c r="Y22" s="322">
        <v>3317</v>
      </c>
      <c r="Z22" s="242">
        <f t="shared" si="13"/>
        <v>2.0452709660313605E-2</v>
      </c>
      <c r="AA22" s="322">
        <v>10310</v>
      </c>
      <c r="AB22" s="242">
        <f t="shared" si="14"/>
        <v>6.3571732468445358E-2</v>
      </c>
      <c r="AC22" s="322">
        <f t="shared" si="15"/>
        <v>13627</v>
      </c>
      <c r="AD22" s="242">
        <f t="shared" si="16"/>
        <v>8.4024442128758967E-2</v>
      </c>
      <c r="AE22" s="322">
        <v>22110</v>
      </c>
      <c r="AF22" s="242">
        <f t="shared" si="17"/>
        <v>0.13633084431399872</v>
      </c>
      <c r="AG22" s="322">
        <v>2796</v>
      </c>
      <c r="AH22" s="242">
        <f t="shared" si="18"/>
        <v>1.7240209891539595E-2</v>
      </c>
      <c r="AI22" s="322">
        <v>2503</v>
      </c>
      <c r="AJ22" s="242">
        <f t="shared" si="19"/>
        <v>1.5433564148255939E-2</v>
      </c>
      <c r="AK22" s="322">
        <v>5316</v>
      </c>
      <c r="AL22" s="242">
        <f t="shared" si="20"/>
        <v>3.2778596489064553E-2</v>
      </c>
    </row>
    <row r="23" spans="2:38" s="73" customFormat="1" ht="14.25" customHeight="1">
      <c r="B23" s="501"/>
      <c r="C23" s="496"/>
      <c r="D23" s="173">
        <v>46037</v>
      </c>
      <c r="E23" s="173" t="s">
        <v>113</v>
      </c>
      <c r="F23" s="339">
        <f t="shared" si="1"/>
        <v>149377</v>
      </c>
      <c r="G23" s="521"/>
      <c r="H23" s="519"/>
      <c r="I23" s="322">
        <v>42435</v>
      </c>
      <c r="J23" s="242">
        <f t="shared" si="3"/>
        <v>0.28407987842840599</v>
      </c>
      <c r="K23" s="322">
        <v>45752</v>
      </c>
      <c r="L23" s="242">
        <f t="shared" si="4"/>
        <v>0.30628543885604881</v>
      </c>
      <c r="M23" s="322">
        <f t="shared" si="5"/>
        <v>88187</v>
      </c>
      <c r="N23" s="242">
        <f t="shared" si="6"/>
        <v>0.59036531728445474</v>
      </c>
      <c r="O23" s="322">
        <v>8844</v>
      </c>
      <c r="P23" s="242">
        <f t="shared" si="7"/>
        <v>5.9205901845665668E-2</v>
      </c>
      <c r="Q23" s="322">
        <v>5022</v>
      </c>
      <c r="R23" s="242">
        <f t="shared" si="8"/>
        <v>3.3619633544655469E-2</v>
      </c>
      <c r="S23" s="322">
        <f t="shared" si="9"/>
        <v>13866</v>
      </c>
      <c r="T23" s="242">
        <f t="shared" si="10"/>
        <v>9.2825535390321137E-2</v>
      </c>
      <c r="U23" s="322">
        <v>3955</v>
      </c>
      <c r="V23" s="242">
        <f t="shared" si="11"/>
        <v>2.6476632948847546E-2</v>
      </c>
      <c r="W23" s="322">
        <v>1766</v>
      </c>
      <c r="X23" s="242">
        <f t="shared" si="12"/>
        <v>1.1822435850231294E-2</v>
      </c>
      <c r="Y23" s="322">
        <v>3265</v>
      </c>
      <c r="Z23" s="242">
        <f t="shared" si="13"/>
        <v>2.1857447933751516E-2</v>
      </c>
      <c r="AA23" s="322">
        <v>8552</v>
      </c>
      <c r="AB23" s="242">
        <f t="shared" si="14"/>
        <v>5.7251116303045316E-2</v>
      </c>
      <c r="AC23" s="322">
        <f t="shared" si="15"/>
        <v>11817</v>
      </c>
      <c r="AD23" s="242">
        <f t="shared" si="16"/>
        <v>7.9108564236796824E-2</v>
      </c>
      <c r="AE23" s="322">
        <v>18589</v>
      </c>
      <c r="AF23" s="242">
        <f t="shared" si="17"/>
        <v>0.12444352209510165</v>
      </c>
      <c r="AG23" s="322">
        <v>2773</v>
      </c>
      <c r="AH23" s="242">
        <f t="shared" si="18"/>
        <v>1.8563768183856952E-2</v>
      </c>
      <c r="AI23" s="322">
        <v>3290</v>
      </c>
      <c r="AJ23" s="242">
        <f t="shared" si="19"/>
        <v>2.2024809709660791E-2</v>
      </c>
      <c r="AK23" s="322">
        <v>5134</v>
      </c>
      <c r="AL23" s="242">
        <f t="shared" si="20"/>
        <v>3.4369414300729026E-2</v>
      </c>
    </row>
    <row r="24" spans="2:38" s="73" customFormat="1" ht="14.25" customHeight="1">
      <c r="B24" s="501"/>
      <c r="C24" s="496"/>
      <c r="D24" s="173">
        <v>46038</v>
      </c>
      <c r="E24" s="173" t="s">
        <v>114</v>
      </c>
      <c r="F24" s="339">
        <f t="shared" si="1"/>
        <v>131262</v>
      </c>
      <c r="G24" s="521"/>
      <c r="H24" s="519"/>
      <c r="I24" s="322">
        <v>36000</v>
      </c>
      <c r="J24" s="242">
        <f t="shared" si="3"/>
        <v>0.27426063902728892</v>
      </c>
      <c r="K24" s="322">
        <v>43904</v>
      </c>
      <c r="L24" s="242">
        <f t="shared" si="4"/>
        <v>0.33447608599594703</v>
      </c>
      <c r="M24" s="322">
        <f t="shared" si="5"/>
        <v>79904</v>
      </c>
      <c r="N24" s="242">
        <f t="shared" si="6"/>
        <v>0.60873672502323595</v>
      </c>
      <c r="O24" s="322">
        <v>5826</v>
      </c>
      <c r="P24" s="242">
        <f t="shared" si="7"/>
        <v>4.438451341591626E-2</v>
      </c>
      <c r="Q24" s="322">
        <v>4200</v>
      </c>
      <c r="R24" s="242">
        <f t="shared" si="8"/>
        <v>3.1997074553183708E-2</v>
      </c>
      <c r="S24" s="322">
        <f t="shared" si="9"/>
        <v>10026</v>
      </c>
      <c r="T24" s="242">
        <f t="shared" si="10"/>
        <v>7.6381587969099968E-2</v>
      </c>
      <c r="U24" s="322">
        <v>3120</v>
      </c>
      <c r="V24" s="242">
        <f t="shared" si="11"/>
        <v>2.3769255382365042E-2</v>
      </c>
      <c r="W24" s="322">
        <v>1849</v>
      </c>
      <c r="X24" s="242">
        <f t="shared" si="12"/>
        <v>1.4086331154484924E-2</v>
      </c>
      <c r="Y24" s="322">
        <v>3263</v>
      </c>
      <c r="Z24" s="242">
        <f t="shared" si="13"/>
        <v>2.4858679587390107E-2</v>
      </c>
      <c r="AA24" s="322">
        <v>8927</v>
      </c>
      <c r="AB24" s="242">
        <f t="shared" si="14"/>
        <v>6.8009020127683562E-2</v>
      </c>
      <c r="AC24" s="322">
        <f t="shared" si="15"/>
        <v>12190</v>
      </c>
      <c r="AD24" s="242">
        <f t="shared" si="16"/>
        <v>9.2867699715073665E-2</v>
      </c>
      <c r="AE24" s="322">
        <v>15199</v>
      </c>
      <c r="AF24" s="242">
        <f t="shared" si="17"/>
        <v>0.11579131812710457</v>
      </c>
      <c r="AG24" s="322">
        <v>2096</v>
      </c>
      <c r="AH24" s="242">
        <f t="shared" si="18"/>
        <v>1.5968063872255488E-2</v>
      </c>
      <c r="AI24" s="322">
        <v>2506</v>
      </c>
      <c r="AJ24" s="242">
        <f t="shared" si="19"/>
        <v>1.9091587816732945E-2</v>
      </c>
      <c r="AK24" s="322">
        <v>4372</v>
      </c>
      <c r="AL24" s="242">
        <f t="shared" si="20"/>
        <v>3.3307430939647421E-2</v>
      </c>
    </row>
    <row r="25" spans="2:38" s="73" customFormat="1" ht="14.25" customHeight="1">
      <c r="B25" s="501"/>
      <c r="C25" s="496"/>
      <c r="D25" s="173">
        <v>46039</v>
      </c>
      <c r="E25" s="173" t="s">
        <v>115</v>
      </c>
      <c r="F25" s="339">
        <f t="shared" si="1"/>
        <v>138888</v>
      </c>
      <c r="G25" s="521"/>
      <c r="H25" s="519"/>
      <c r="I25" s="322">
        <v>34070</v>
      </c>
      <c r="J25" s="242">
        <f t="shared" si="3"/>
        <v>0.24530556995564773</v>
      </c>
      <c r="K25" s="322">
        <v>49860</v>
      </c>
      <c r="L25" s="242">
        <f t="shared" si="4"/>
        <v>0.35899429756350443</v>
      </c>
      <c r="M25" s="322">
        <f t="shared" si="5"/>
        <v>83930</v>
      </c>
      <c r="N25" s="242">
        <f t="shared" si="6"/>
        <v>0.6042998675191521</v>
      </c>
      <c r="O25" s="322">
        <v>5398</v>
      </c>
      <c r="P25" s="242">
        <f t="shared" si="7"/>
        <v>3.8865848741431945E-2</v>
      </c>
      <c r="Q25" s="322">
        <v>4012</v>
      </c>
      <c r="R25" s="242">
        <f t="shared" si="8"/>
        <v>2.8886584874143195E-2</v>
      </c>
      <c r="S25" s="322">
        <f t="shared" si="9"/>
        <v>9410</v>
      </c>
      <c r="T25" s="242">
        <f t="shared" si="10"/>
        <v>6.7752433615575133E-2</v>
      </c>
      <c r="U25" s="322">
        <v>3479</v>
      </c>
      <c r="V25" s="242">
        <f t="shared" si="11"/>
        <v>2.5048960313346004E-2</v>
      </c>
      <c r="W25" s="322">
        <v>1514</v>
      </c>
      <c r="X25" s="242">
        <f t="shared" si="12"/>
        <v>1.09008697655665E-2</v>
      </c>
      <c r="Y25" s="322">
        <v>3519</v>
      </c>
      <c r="Z25" s="242">
        <f t="shared" si="13"/>
        <v>2.5336962156557803E-2</v>
      </c>
      <c r="AA25" s="322">
        <v>9669</v>
      </c>
      <c r="AB25" s="242">
        <f t="shared" si="14"/>
        <v>6.961724555037152E-2</v>
      </c>
      <c r="AC25" s="322">
        <f t="shared" si="15"/>
        <v>13188</v>
      </c>
      <c r="AD25" s="242">
        <f t="shared" si="16"/>
        <v>9.4954207706929319E-2</v>
      </c>
      <c r="AE25" s="322">
        <v>17051</v>
      </c>
      <c r="AF25" s="242">
        <f t="shared" si="17"/>
        <v>0.12276798571510858</v>
      </c>
      <c r="AG25" s="322">
        <v>2489</v>
      </c>
      <c r="AH25" s="242">
        <f t="shared" si="18"/>
        <v>1.792091469385404E-2</v>
      </c>
      <c r="AI25" s="322">
        <v>3124</v>
      </c>
      <c r="AJ25" s="242">
        <f t="shared" si="19"/>
        <v>2.2492943954841312E-2</v>
      </c>
      <c r="AK25" s="322">
        <v>4703</v>
      </c>
      <c r="AL25" s="242">
        <f t="shared" si="20"/>
        <v>3.3861816715626977E-2</v>
      </c>
    </row>
    <row r="26" spans="2:38" s="73" customFormat="1" ht="14.25" customHeight="1">
      <c r="B26" s="501"/>
      <c r="C26" s="496"/>
      <c r="D26" s="173">
        <v>46040</v>
      </c>
      <c r="E26" s="173" t="s">
        <v>116</v>
      </c>
      <c r="F26" s="339">
        <f t="shared" si="1"/>
        <v>175701</v>
      </c>
      <c r="G26" s="521"/>
      <c r="H26" s="519"/>
      <c r="I26" s="322">
        <v>47604</v>
      </c>
      <c r="J26" s="242">
        <f t="shared" si="3"/>
        <v>0.2709375586934622</v>
      </c>
      <c r="K26" s="322">
        <v>55159</v>
      </c>
      <c r="L26" s="242">
        <f t="shared" si="4"/>
        <v>0.31393674481078648</v>
      </c>
      <c r="M26" s="322">
        <f t="shared" si="5"/>
        <v>102763</v>
      </c>
      <c r="N26" s="242">
        <f t="shared" si="6"/>
        <v>0.58487430350424874</v>
      </c>
      <c r="O26" s="322">
        <v>8918</v>
      </c>
      <c r="P26" s="242">
        <f t="shared" si="7"/>
        <v>5.0756683228894539E-2</v>
      </c>
      <c r="Q26" s="322">
        <v>4936</v>
      </c>
      <c r="R26" s="242">
        <f t="shared" si="8"/>
        <v>2.8093181029134724E-2</v>
      </c>
      <c r="S26" s="322">
        <f t="shared" si="9"/>
        <v>13854</v>
      </c>
      <c r="T26" s="242">
        <f t="shared" si="10"/>
        <v>7.884986425802927E-2</v>
      </c>
      <c r="U26" s="322">
        <v>4316</v>
      </c>
      <c r="V26" s="242">
        <f t="shared" si="11"/>
        <v>2.4564458938765289E-2</v>
      </c>
      <c r="W26" s="322">
        <v>2283</v>
      </c>
      <c r="X26" s="242">
        <f t="shared" si="12"/>
        <v>1.2993665374699063E-2</v>
      </c>
      <c r="Y26" s="322">
        <v>3988</v>
      </c>
      <c r="Z26" s="242">
        <f t="shared" si="13"/>
        <v>2.2697651123215007E-2</v>
      </c>
      <c r="AA26" s="322">
        <v>11705</v>
      </c>
      <c r="AB26" s="242">
        <f t="shared" si="14"/>
        <v>6.6618858173829398E-2</v>
      </c>
      <c r="AC26" s="322">
        <f t="shared" si="15"/>
        <v>15693</v>
      </c>
      <c r="AD26" s="242">
        <f t="shared" si="16"/>
        <v>8.9316509297044405E-2</v>
      </c>
      <c r="AE26" s="322">
        <v>26643</v>
      </c>
      <c r="AF26" s="242">
        <f t="shared" si="17"/>
        <v>0.15163829460276265</v>
      </c>
      <c r="AG26" s="322">
        <v>2780</v>
      </c>
      <c r="AH26" s="242">
        <f t="shared" si="18"/>
        <v>1.5822334534237141E-2</v>
      </c>
      <c r="AI26" s="322">
        <v>2710</v>
      </c>
      <c r="AJ26" s="242">
        <f t="shared" si="19"/>
        <v>1.5423930427259947E-2</v>
      </c>
      <c r="AK26" s="322">
        <v>4659</v>
      </c>
      <c r="AL26" s="242">
        <f t="shared" si="20"/>
        <v>2.651663906295354E-2</v>
      </c>
    </row>
    <row r="27" spans="2:38" s="73" customFormat="1" ht="14.25" customHeight="1">
      <c r="B27" s="501"/>
      <c r="C27" s="496"/>
      <c r="D27" s="173">
        <v>46041</v>
      </c>
      <c r="E27" s="173" t="s">
        <v>117</v>
      </c>
      <c r="F27" s="339">
        <f t="shared" si="1"/>
        <v>169186</v>
      </c>
      <c r="G27" s="521"/>
      <c r="H27" s="519"/>
      <c r="I27" s="322">
        <v>45661</v>
      </c>
      <c r="J27" s="242">
        <f t="shared" si="3"/>
        <v>0.26988639721962809</v>
      </c>
      <c r="K27" s="322">
        <v>53905</v>
      </c>
      <c r="L27" s="242">
        <f t="shared" si="4"/>
        <v>0.31861383329589921</v>
      </c>
      <c r="M27" s="322">
        <f t="shared" si="5"/>
        <v>99566</v>
      </c>
      <c r="N27" s="242">
        <f t="shared" si="6"/>
        <v>0.58850023051552725</v>
      </c>
      <c r="O27" s="322">
        <v>8284</v>
      </c>
      <c r="P27" s="242">
        <f t="shared" si="7"/>
        <v>4.8963862258106464E-2</v>
      </c>
      <c r="Q27" s="322">
        <v>5013</v>
      </c>
      <c r="R27" s="242">
        <f t="shared" si="8"/>
        <v>2.9630111238518553E-2</v>
      </c>
      <c r="S27" s="322">
        <f t="shared" si="9"/>
        <v>13297</v>
      </c>
      <c r="T27" s="242">
        <f t="shared" si="10"/>
        <v>7.8593973496625016E-2</v>
      </c>
      <c r="U27" s="322">
        <v>4183</v>
      </c>
      <c r="V27" s="242">
        <f t="shared" si="11"/>
        <v>2.4724267965434494E-2</v>
      </c>
      <c r="W27" s="322">
        <v>2255</v>
      </c>
      <c r="X27" s="242">
        <f t="shared" si="12"/>
        <v>1.3328526000969348E-2</v>
      </c>
      <c r="Y27" s="322">
        <v>4010</v>
      </c>
      <c r="Z27" s="242">
        <f t="shared" si="13"/>
        <v>2.3701724728996489E-2</v>
      </c>
      <c r="AA27" s="322">
        <v>10910</v>
      </c>
      <c r="AB27" s="242">
        <f t="shared" si="14"/>
        <v>6.448524109559893E-2</v>
      </c>
      <c r="AC27" s="322">
        <f t="shared" si="15"/>
        <v>14920</v>
      </c>
      <c r="AD27" s="242">
        <f t="shared" si="16"/>
        <v>8.8186965824595412E-2</v>
      </c>
      <c r="AE27" s="322">
        <v>23420</v>
      </c>
      <c r="AF27" s="242">
        <f t="shared" si="17"/>
        <v>0.13842752946461293</v>
      </c>
      <c r="AG27" s="322">
        <v>2996</v>
      </c>
      <c r="AH27" s="242">
        <f t="shared" si="18"/>
        <v>1.7708321019469696E-2</v>
      </c>
      <c r="AI27" s="322">
        <v>3404</v>
      </c>
      <c r="AJ27" s="242">
        <f t="shared" si="19"/>
        <v>2.0119868074190535E-2</v>
      </c>
      <c r="AK27" s="322">
        <v>5145</v>
      </c>
      <c r="AL27" s="242">
        <f t="shared" si="20"/>
        <v>3.0410317638575296E-2</v>
      </c>
    </row>
    <row r="28" spans="2:38" s="73" customFormat="1" ht="14.25" customHeight="1">
      <c r="B28" s="500">
        <f t="shared" si="21"/>
        <v>46050</v>
      </c>
      <c r="C28" s="496"/>
      <c r="D28" s="173">
        <v>46042</v>
      </c>
      <c r="E28" s="173" t="s">
        <v>118</v>
      </c>
      <c r="F28" s="339">
        <f t="shared" si="1"/>
        <v>181180</v>
      </c>
      <c r="G28" s="521">
        <f>SUM(F28:F34)</f>
        <v>1096366</v>
      </c>
      <c r="H28" s="519"/>
      <c r="I28" s="322">
        <v>50837</v>
      </c>
      <c r="J28" s="242">
        <f t="shared" si="3"/>
        <v>0.28058836516171765</v>
      </c>
      <c r="K28" s="322">
        <v>53834</v>
      </c>
      <c r="L28" s="242">
        <f t="shared" si="4"/>
        <v>0.29712992604040184</v>
      </c>
      <c r="M28" s="322">
        <f t="shared" si="5"/>
        <v>104671</v>
      </c>
      <c r="N28" s="242">
        <f t="shared" si="6"/>
        <v>0.57771829120211948</v>
      </c>
      <c r="O28" s="322">
        <v>8257</v>
      </c>
      <c r="P28" s="242">
        <f t="shared" si="7"/>
        <v>4.5573462854619717E-2</v>
      </c>
      <c r="Q28" s="322">
        <v>5249</v>
      </c>
      <c r="R28" s="242">
        <f t="shared" si="8"/>
        <v>2.8971188872944035E-2</v>
      </c>
      <c r="S28" s="322">
        <f t="shared" si="9"/>
        <v>13506</v>
      </c>
      <c r="T28" s="242">
        <f t="shared" si="10"/>
        <v>7.4544651727563749E-2</v>
      </c>
      <c r="U28" s="322">
        <v>4071</v>
      </c>
      <c r="V28" s="242">
        <f t="shared" si="11"/>
        <v>2.2469367479854289E-2</v>
      </c>
      <c r="W28" s="322">
        <v>2390</v>
      </c>
      <c r="X28" s="242">
        <f t="shared" si="12"/>
        <v>1.3191301468153218E-2</v>
      </c>
      <c r="Y28" s="322">
        <v>3615</v>
      </c>
      <c r="Z28" s="242">
        <f t="shared" si="13"/>
        <v>1.9952533392206644E-2</v>
      </c>
      <c r="AA28" s="322">
        <v>10835</v>
      </c>
      <c r="AB28" s="242">
        <f t="shared" si="14"/>
        <v>5.9802406446627661E-2</v>
      </c>
      <c r="AC28" s="322">
        <f t="shared" si="15"/>
        <v>14450</v>
      </c>
      <c r="AD28" s="242">
        <f t="shared" si="16"/>
        <v>7.9754939838834304E-2</v>
      </c>
      <c r="AE28" s="322">
        <v>27007</v>
      </c>
      <c r="AF28" s="242">
        <f t="shared" si="17"/>
        <v>0.14906170659013135</v>
      </c>
      <c r="AG28" s="322">
        <v>1642</v>
      </c>
      <c r="AH28" s="242">
        <f t="shared" si="18"/>
        <v>9.0628104647312059E-3</v>
      </c>
      <c r="AI28" s="322">
        <v>8083</v>
      </c>
      <c r="AJ28" s="242">
        <f t="shared" si="19"/>
        <v>4.4613091952754168E-2</v>
      </c>
      <c r="AK28" s="322">
        <v>5360</v>
      </c>
      <c r="AL28" s="242">
        <f t="shared" si="20"/>
        <v>2.9583839275858264E-2</v>
      </c>
    </row>
    <row r="29" spans="2:38" s="73" customFormat="1" ht="14.25" customHeight="1">
      <c r="B29" s="501"/>
      <c r="C29" s="496"/>
      <c r="D29" s="173">
        <v>46043</v>
      </c>
      <c r="E29" s="173" t="s">
        <v>112</v>
      </c>
      <c r="F29" s="339">
        <f t="shared" si="1"/>
        <v>167291</v>
      </c>
      <c r="G29" s="521"/>
      <c r="H29" s="519"/>
      <c r="I29" s="322">
        <v>48386</v>
      </c>
      <c r="J29" s="242">
        <f t="shared" si="3"/>
        <v>0.28923253492417406</v>
      </c>
      <c r="K29" s="322">
        <v>51256</v>
      </c>
      <c r="L29" s="242">
        <f t="shared" si="4"/>
        <v>0.30638826954229459</v>
      </c>
      <c r="M29" s="322">
        <f t="shared" si="5"/>
        <v>99642</v>
      </c>
      <c r="N29" s="242">
        <f t="shared" si="6"/>
        <v>0.59562080446646859</v>
      </c>
      <c r="O29" s="322">
        <v>8626</v>
      </c>
      <c r="P29" s="242">
        <f t="shared" si="7"/>
        <v>5.156284558045561E-2</v>
      </c>
      <c r="Q29" s="322">
        <v>5416</v>
      </c>
      <c r="R29" s="242">
        <f t="shared" si="8"/>
        <v>3.2374724282836498E-2</v>
      </c>
      <c r="S29" s="322">
        <f t="shared" si="9"/>
        <v>14042</v>
      </c>
      <c r="T29" s="242">
        <f t="shared" si="10"/>
        <v>8.3937569863292108E-2</v>
      </c>
      <c r="U29" s="322">
        <v>3534</v>
      </c>
      <c r="V29" s="242">
        <f t="shared" si="11"/>
        <v>2.1124866251023666E-2</v>
      </c>
      <c r="W29" s="322">
        <v>2296</v>
      </c>
      <c r="X29" s="242">
        <f t="shared" si="12"/>
        <v>1.3724587694496417E-2</v>
      </c>
      <c r="Y29" s="322">
        <v>2932</v>
      </c>
      <c r="Z29" s="242">
        <f t="shared" si="13"/>
        <v>1.7526346306734972E-2</v>
      </c>
      <c r="AA29" s="322">
        <v>9790</v>
      </c>
      <c r="AB29" s="242">
        <f t="shared" si="14"/>
        <v>5.8520781153797871E-2</v>
      </c>
      <c r="AC29" s="322">
        <f t="shared" si="15"/>
        <v>12722</v>
      </c>
      <c r="AD29" s="242">
        <f t="shared" si="16"/>
        <v>7.604712746053284E-2</v>
      </c>
      <c r="AE29" s="322">
        <v>22017</v>
      </c>
      <c r="AF29" s="242">
        <f t="shared" si="17"/>
        <v>0.13160899271329599</v>
      </c>
      <c r="AG29" s="322">
        <v>1405</v>
      </c>
      <c r="AH29" s="242">
        <f t="shared" si="18"/>
        <v>8.3985390726339128E-3</v>
      </c>
      <c r="AI29" s="322">
        <v>5908</v>
      </c>
      <c r="AJ29" s="242">
        <f t="shared" si="19"/>
        <v>3.5315707360228585E-2</v>
      </c>
      <c r="AK29" s="322">
        <v>5725</v>
      </c>
      <c r="AL29" s="242">
        <f t="shared" si="20"/>
        <v>3.4221805118027866E-2</v>
      </c>
    </row>
    <row r="30" spans="2:38" s="73" customFormat="1" ht="14.25" customHeight="1">
      <c r="B30" s="501"/>
      <c r="C30" s="496"/>
      <c r="D30" s="173">
        <v>46044</v>
      </c>
      <c r="E30" s="173" t="s">
        <v>113</v>
      </c>
      <c r="F30" s="339">
        <f t="shared" si="1"/>
        <v>153715</v>
      </c>
      <c r="G30" s="521"/>
      <c r="H30" s="519"/>
      <c r="I30" s="322">
        <v>45454</v>
      </c>
      <c r="J30" s="242">
        <f t="shared" si="3"/>
        <v>0.29570308688156655</v>
      </c>
      <c r="K30" s="322">
        <v>45652</v>
      </c>
      <c r="L30" s="242">
        <f t="shared" si="4"/>
        <v>0.29699118498519989</v>
      </c>
      <c r="M30" s="322">
        <f t="shared" si="5"/>
        <v>91106</v>
      </c>
      <c r="N30" s="242">
        <f t="shared" si="6"/>
        <v>0.59269427186676638</v>
      </c>
      <c r="O30" s="322">
        <v>8194</v>
      </c>
      <c r="P30" s="242">
        <f t="shared" si="7"/>
        <v>5.3306443743291153E-2</v>
      </c>
      <c r="Q30" s="322">
        <v>5083</v>
      </c>
      <c r="R30" s="242">
        <f t="shared" si="8"/>
        <v>3.306769020590053E-2</v>
      </c>
      <c r="S30" s="322">
        <f t="shared" si="9"/>
        <v>13277</v>
      </c>
      <c r="T30" s="242">
        <f t="shared" si="10"/>
        <v>8.6374133949191689E-2</v>
      </c>
      <c r="U30" s="322">
        <v>3514</v>
      </c>
      <c r="V30" s="242">
        <f t="shared" si="11"/>
        <v>2.2860488566502944E-2</v>
      </c>
      <c r="W30" s="322">
        <v>1597</v>
      </c>
      <c r="X30" s="242">
        <f t="shared" si="12"/>
        <v>1.038935692678008E-2</v>
      </c>
      <c r="Y30" s="322">
        <v>2865</v>
      </c>
      <c r="Z30" s="242">
        <f t="shared" si="13"/>
        <v>1.8638389226815859E-2</v>
      </c>
      <c r="AA30" s="322">
        <v>7852</v>
      </c>
      <c r="AB30" s="242">
        <f t="shared" si="14"/>
        <v>5.1081547018833558E-2</v>
      </c>
      <c r="AC30" s="322">
        <f t="shared" si="15"/>
        <v>10717</v>
      </c>
      <c r="AD30" s="242">
        <f t="shared" si="16"/>
        <v>6.9719936245649414E-2</v>
      </c>
      <c r="AE30" s="322">
        <v>20835</v>
      </c>
      <c r="AF30" s="242">
        <f t="shared" si="17"/>
        <v>0.13554305045050907</v>
      </c>
      <c r="AG30" s="322">
        <v>1532</v>
      </c>
      <c r="AH30" s="242">
        <f t="shared" si="18"/>
        <v>9.9664964382135766E-3</v>
      </c>
      <c r="AI30" s="322">
        <v>5698</v>
      </c>
      <c r="AJ30" s="242">
        <f t="shared" si="19"/>
        <v>3.7068600982337441E-2</v>
      </c>
      <c r="AK30" s="322">
        <v>5439</v>
      </c>
      <c r="AL30" s="242">
        <f t="shared" si="20"/>
        <v>3.538366457404938E-2</v>
      </c>
    </row>
    <row r="31" spans="2:38" s="73" customFormat="1" ht="14.25" customHeight="1">
      <c r="B31" s="501"/>
      <c r="C31" s="496"/>
      <c r="D31" s="173">
        <v>46045</v>
      </c>
      <c r="E31" s="173" t="s">
        <v>114</v>
      </c>
      <c r="F31" s="339">
        <f t="shared" si="1"/>
        <v>127797</v>
      </c>
      <c r="G31" s="521"/>
      <c r="H31" s="519"/>
      <c r="I31" s="322">
        <v>35867</v>
      </c>
      <c r="J31" s="242">
        <f t="shared" si="3"/>
        <v>0.28065604043913395</v>
      </c>
      <c r="K31" s="322">
        <v>41536</v>
      </c>
      <c r="L31" s="242">
        <f t="shared" si="4"/>
        <v>0.32501545419689037</v>
      </c>
      <c r="M31" s="322">
        <f t="shared" si="5"/>
        <v>77403</v>
      </c>
      <c r="N31" s="242">
        <f t="shared" si="6"/>
        <v>0.60567149463602432</v>
      </c>
      <c r="O31" s="322">
        <v>5445</v>
      </c>
      <c r="P31" s="242">
        <f t="shared" si="7"/>
        <v>4.2606633958543624E-2</v>
      </c>
      <c r="Q31" s="322">
        <v>4082</v>
      </c>
      <c r="R31" s="242">
        <f t="shared" si="8"/>
        <v>3.1941281876726374E-2</v>
      </c>
      <c r="S31" s="322">
        <f t="shared" si="9"/>
        <v>9527</v>
      </c>
      <c r="T31" s="242">
        <f t="shared" si="10"/>
        <v>7.4547915835269998E-2</v>
      </c>
      <c r="U31" s="322">
        <v>2846</v>
      </c>
      <c r="V31" s="242">
        <f t="shared" si="11"/>
        <v>2.2269693341784236E-2</v>
      </c>
      <c r="W31" s="322">
        <v>1015</v>
      </c>
      <c r="X31" s="242">
        <f t="shared" si="12"/>
        <v>7.9422834651830636E-3</v>
      </c>
      <c r="Y31" s="322">
        <v>3036</v>
      </c>
      <c r="Z31" s="242">
        <f t="shared" si="13"/>
        <v>2.3756426207187962E-2</v>
      </c>
      <c r="AA31" s="322">
        <v>8300</v>
      </c>
      <c r="AB31" s="242">
        <f t="shared" si="14"/>
        <v>6.4946751488689086E-2</v>
      </c>
      <c r="AC31" s="322">
        <f t="shared" si="15"/>
        <v>11336</v>
      </c>
      <c r="AD31" s="242">
        <f t="shared" si="16"/>
        <v>8.8703177695877058E-2</v>
      </c>
      <c r="AE31" s="322">
        <v>16543</v>
      </c>
      <c r="AF31" s="242">
        <f t="shared" si="17"/>
        <v>0.12944748311775706</v>
      </c>
      <c r="AG31" s="322">
        <v>1337</v>
      </c>
      <c r="AH31" s="242">
        <f t="shared" si="18"/>
        <v>1.0461904426551484E-2</v>
      </c>
      <c r="AI31" s="322">
        <v>3361</v>
      </c>
      <c r="AJ31" s="242">
        <f t="shared" si="19"/>
        <v>2.6299521898010124E-2</v>
      </c>
      <c r="AK31" s="322">
        <v>4429</v>
      </c>
      <c r="AL31" s="242">
        <f t="shared" si="20"/>
        <v>3.4656525583542652E-2</v>
      </c>
    </row>
    <row r="32" spans="2:38" s="73" customFormat="1" ht="14.25" customHeight="1">
      <c r="B32" s="501"/>
      <c r="C32" s="496"/>
      <c r="D32" s="173">
        <v>46046</v>
      </c>
      <c r="E32" s="173" t="s">
        <v>115</v>
      </c>
      <c r="F32" s="339">
        <f t="shared" si="1"/>
        <v>133316</v>
      </c>
      <c r="G32" s="521"/>
      <c r="H32" s="519"/>
      <c r="I32" s="322">
        <v>33338</v>
      </c>
      <c r="J32" s="242">
        <f t="shared" si="3"/>
        <v>0.25006750877614092</v>
      </c>
      <c r="K32" s="322">
        <v>46783</v>
      </c>
      <c r="L32" s="242">
        <f t="shared" si="4"/>
        <v>0.3509181193555162</v>
      </c>
      <c r="M32" s="322">
        <f t="shared" si="5"/>
        <v>80121</v>
      </c>
      <c r="N32" s="242">
        <f t="shared" si="6"/>
        <v>0.60098562813165712</v>
      </c>
      <c r="O32" s="322">
        <v>5076</v>
      </c>
      <c r="P32" s="242">
        <f t="shared" si="7"/>
        <v>3.8074949743466653E-2</v>
      </c>
      <c r="Q32" s="322">
        <v>3840</v>
      </c>
      <c r="R32" s="242">
        <f t="shared" si="8"/>
        <v>2.8803744486783283E-2</v>
      </c>
      <c r="S32" s="322">
        <f t="shared" si="9"/>
        <v>8916</v>
      </c>
      <c r="T32" s="242">
        <f t="shared" si="10"/>
        <v>6.6878694230249933E-2</v>
      </c>
      <c r="U32" s="322">
        <v>3194</v>
      </c>
      <c r="V32" s="242">
        <f t="shared" si="11"/>
        <v>2.3958114554892135E-2</v>
      </c>
      <c r="W32" s="322">
        <v>1013</v>
      </c>
      <c r="X32" s="242">
        <f t="shared" si="12"/>
        <v>7.5984878034144436E-3</v>
      </c>
      <c r="Y32" s="322">
        <v>3199</v>
      </c>
      <c r="Z32" s="242">
        <f t="shared" si="13"/>
        <v>2.3995619430525968E-2</v>
      </c>
      <c r="AA32" s="322">
        <v>9023</v>
      </c>
      <c r="AB32" s="242">
        <f t="shared" si="14"/>
        <v>6.7681298568813941E-2</v>
      </c>
      <c r="AC32" s="322">
        <f t="shared" si="15"/>
        <v>12222</v>
      </c>
      <c r="AD32" s="242">
        <f t="shared" si="16"/>
        <v>9.1676917999339913E-2</v>
      </c>
      <c r="AE32" s="322">
        <v>17646</v>
      </c>
      <c r="AF32" s="242">
        <f t="shared" si="17"/>
        <v>0.13236220708692131</v>
      </c>
      <c r="AG32" s="322">
        <v>1479</v>
      </c>
      <c r="AH32" s="242">
        <f t="shared" si="18"/>
        <v>1.1093942212487624E-2</v>
      </c>
      <c r="AI32" s="322">
        <v>3885</v>
      </c>
      <c r="AJ32" s="242">
        <f t="shared" si="19"/>
        <v>2.9141288367487774E-2</v>
      </c>
      <c r="AK32" s="322">
        <v>4840</v>
      </c>
      <c r="AL32" s="242">
        <f t="shared" si="20"/>
        <v>3.6304719613549759E-2</v>
      </c>
    </row>
    <row r="33" spans="2:38" s="73" customFormat="1" ht="14.25" customHeight="1">
      <c r="B33" s="501"/>
      <c r="C33" s="496"/>
      <c r="D33" s="173">
        <v>46047</v>
      </c>
      <c r="E33" s="173" t="s">
        <v>116</v>
      </c>
      <c r="F33" s="339">
        <f t="shared" si="1"/>
        <v>171924</v>
      </c>
      <c r="G33" s="521"/>
      <c r="H33" s="519"/>
      <c r="I33" s="322">
        <v>47028</v>
      </c>
      <c r="J33" s="242">
        <f t="shared" si="3"/>
        <v>0.27353947092901515</v>
      </c>
      <c r="K33" s="322">
        <v>52324</v>
      </c>
      <c r="L33" s="242">
        <f t="shared" si="4"/>
        <v>0.30434377980968336</v>
      </c>
      <c r="M33" s="322">
        <f t="shared" si="5"/>
        <v>99352</v>
      </c>
      <c r="N33" s="242">
        <f t="shared" si="6"/>
        <v>0.57788325073869851</v>
      </c>
      <c r="O33" s="322">
        <v>8148</v>
      </c>
      <c r="P33" s="242">
        <f t="shared" si="7"/>
        <v>4.7393034131360368E-2</v>
      </c>
      <c r="Q33" s="322">
        <v>4799</v>
      </c>
      <c r="R33" s="242">
        <f t="shared" si="8"/>
        <v>2.7913496661315464E-2</v>
      </c>
      <c r="S33" s="322">
        <f t="shared" si="9"/>
        <v>12947</v>
      </c>
      <c r="T33" s="242">
        <f t="shared" si="10"/>
        <v>7.5306530792675838E-2</v>
      </c>
      <c r="U33" s="322">
        <v>4052</v>
      </c>
      <c r="V33" s="242">
        <f t="shared" si="11"/>
        <v>2.3568553546916081E-2</v>
      </c>
      <c r="W33" s="322">
        <v>1675</v>
      </c>
      <c r="X33" s="242">
        <f t="shared" si="12"/>
        <v>9.7426769968125444E-3</v>
      </c>
      <c r="Y33" s="322">
        <v>3746</v>
      </c>
      <c r="Z33" s="242">
        <f t="shared" si="13"/>
        <v>2.1788697331378983E-2</v>
      </c>
      <c r="AA33" s="322">
        <v>10861</v>
      </c>
      <c r="AB33" s="242">
        <f t="shared" si="14"/>
        <v>6.3173262604406602E-2</v>
      </c>
      <c r="AC33" s="322">
        <f t="shared" si="15"/>
        <v>14607</v>
      </c>
      <c r="AD33" s="242">
        <f t="shared" si="16"/>
        <v>8.4961959935785578E-2</v>
      </c>
      <c r="AE33" s="322">
        <v>28102</v>
      </c>
      <c r="AF33" s="242">
        <f t="shared" si="17"/>
        <v>0.16345594565040367</v>
      </c>
      <c r="AG33" s="322">
        <v>1571</v>
      </c>
      <c r="AH33" s="242">
        <f t="shared" si="18"/>
        <v>9.1377585444731395E-3</v>
      </c>
      <c r="AI33" s="322">
        <v>5244</v>
      </c>
      <c r="AJ33" s="242">
        <f t="shared" si="19"/>
        <v>3.0501849654498498E-2</v>
      </c>
      <c r="AK33" s="322">
        <v>4374</v>
      </c>
      <c r="AL33" s="242">
        <f t="shared" si="20"/>
        <v>2.5441474139736162E-2</v>
      </c>
    </row>
    <row r="34" spans="2:38" s="73" customFormat="1" ht="14.25" customHeight="1">
      <c r="B34" s="501"/>
      <c r="C34" s="496"/>
      <c r="D34" s="173">
        <v>46048</v>
      </c>
      <c r="E34" s="173" t="s">
        <v>117</v>
      </c>
      <c r="F34" s="339">
        <f t="shared" si="1"/>
        <v>161143</v>
      </c>
      <c r="G34" s="521"/>
      <c r="H34" s="519"/>
      <c r="I34" s="322">
        <v>42809</v>
      </c>
      <c r="J34" s="242">
        <f t="shared" si="3"/>
        <v>0.26565845243045</v>
      </c>
      <c r="K34" s="322">
        <v>51118</v>
      </c>
      <c r="L34" s="242">
        <f t="shared" si="4"/>
        <v>0.31722134998107271</v>
      </c>
      <c r="M34" s="322">
        <f t="shared" si="5"/>
        <v>93927</v>
      </c>
      <c r="N34" s="242">
        <f t="shared" si="6"/>
        <v>0.58287980241152271</v>
      </c>
      <c r="O34" s="322">
        <v>7734</v>
      </c>
      <c r="P34" s="242">
        <f t="shared" si="7"/>
        <v>4.7994638302625618E-2</v>
      </c>
      <c r="Q34" s="322">
        <v>4869</v>
      </c>
      <c r="R34" s="242">
        <f t="shared" si="8"/>
        <v>3.0215398745213878E-2</v>
      </c>
      <c r="S34" s="322">
        <f t="shared" si="9"/>
        <v>12603</v>
      </c>
      <c r="T34" s="242">
        <f t="shared" si="10"/>
        <v>7.8210037047839492E-2</v>
      </c>
      <c r="U34" s="322">
        <v>3993</v>
      </c>
      <c r="V34" s="242">
        <f t="shared" si="11"/>
        <v>2.4779233351743483E-2</v>
      </c>
      <c r="W34" s="322">
        <v>1593</v>
      </c>
      <c r="X34" s="242">
        <f t="shared" si="12"/>
        <v>9.885629534016371E-3</v>
      </c>
      <c r="Y34" s="322">
        <v>3684</v>
      </c>
      <c r="Z34" s="242">
        <f t="shared" si="13"/>
        <v>2.2861681860211116E-2</v>
      </c>
      <c r="AA34" s="322">
        <v>10125</v>
      </c>
      <c r="AB34" s="242">
        <f t="shared" si="14"/>
        <v>6.2832391106036251E-2</v>
      </c>
      <c r="AC34" s="322">
        <f t="shared" si="15"/>
        <v>13809</v>
      </c>
      <c r="AD34" s="242">
        <f t="shared" si="16"/>
        <v>8.569407296624737E-2</v>
      </c>
      <c r="AE34" s="322">
        <v>23558</v>
      </c>
      <c r="AF34" s="242">
        <f t="shared" si="17"/>
        <v>0.14619313280750637</v>
      </c>
      <c r="AG34" s="322">
        <v>1757</v>
      </c>
      <c r="AH34" s="242">
        <f t="shared" si="18"/>
        <v>1.0903359128227723E-2</v>
      </c>
      <c r="AI34" s="322">
        <v>5005</v>
      </c>
      <c r="AJ34" s="242">
        <f t="shared" si="19"/>
        <v>3.1059369628218415E-2</v>
      </c>
      <c r="AK34" s="322">
        <v>4898</v>
      </c>
      <c r="AL34" s="242">
        <f t="shared" si="20"/>
        <v>3.0395363124678082E-2</v>
      </c>
    </row>
    <row r="35" spans="2:38" s="73" customFormat="1" ht="13.5">
      <c r="B35" s="497">
        <f>B28+7</f>
        <v>46057</v>
      </c>
      <c r="C35" s="496"/>
      <c r="D35" s="173">
        <v>46049</v>
      </c>
      <c r="E35" s="173" t="s">
        <v>118</v>
      </c>
      <c r="F35" s="226"/>
      <c r="G35" s="517">
        <f>SUM(F35:F41)</f>
        <v>0</v>
      </c>
      <c r="H35" s="519"/>
      <c r="I35" s="322"/>
      <c r="J35" s="242" t="e">
        <f t="shared" ref="J35:J69" si="23">I35/$F35</f>
        <v>#DIV/0!</v>
      </c>
      <c r="K35" s="322"/>
      <c r="L35" s="242" t="e">
        <f t="shared" ref="L35:L69" si="24">K35/$F35</f>
        <v>#DIV/0!</v>
      </c>
      <c r="M35" s="227">
        <f t="shared" ref="M35:M69" si="25">I35+K35</f>
        <v>0</v>
      </c>
      <c r="N35" s="242" t="e">
        <f t="shared" ref="N35:N69" si="26">M35/$F35</f>
        <v>#DIV/0!</v>
      </c>
      <c r="O35" s="322"/>
      <c r="P35" s="242" t="e">
        <f t="shared" ref="P35:P69" si="27">O35/$F35</f>
        <v>#DIV/0!</v>
      </c>
      <c r="Q35" s="322"/>
      <c r="R35" s="242" t="e">
        <f t="shared" ref="R35:R69" si="28">Q35/$F35</f>
        <v>#DIV/0!</v>
      </c>
      <c r="S35" s="227">
        <f t="shared" ref="S35:S69" si="29">O35+Q35</f>
        <v>0</v>
      </c>
      <c r="T35" s="242" t="e">
        <f t="shared" ref="T35:T69" si="30">S35/$F35</f>
        <v>#DIV/0!</v>
      </c>
      <c r="U35" s="322"/>
      <c r="V35" s="242" t="e">
        <f t="shared" ref="V35:V69" si="31">U35/$F35</f>
        <v>#DIV/0!</v>
      </c>
      <c r="W35" s="322"/>
      <c r="X35" s="242" t="e">
        <f t="shared" ref="X35:X69" si="32">W35/$F35</f>
        <v>#DIV/0!</v>
      </c>
      <c r="Y35" s="322"/>
      <c r="Z35" s="242" t="e">
        <f t="shared" ref="Z35:Z69" si="33">Y35/$F35</f>
        <v>#DIV/0!</v>
      </c>
      <c r="AA35" s="322"/>
      <c r="AB35" s="242" t="e">
        <f t="shared" ref="AB35:AB69" si="34">AA35/$F35</f>
        <v>#DIV/0!</v>
      </c>
      <c r="AC35" s="227">
        <f t="shared" ref="AC35:AC69" si="35">Y35+AA35</f>
        <v>0</v>
      </c>
      <c r="AD35" s="242" t="e">
        <f t="shared" ref="AD35:AD69" si="36">AC35/$F35</f>
        <v>#DIV/0!</v>
      </c>
      <c r="AE35" s="322"/>
      <c r="AF35" s="242" t="e">
        <f t="shared" ref="AF35:AF69" si="37">AE35/$F35</f>
        <v>#DIV/0!</v>
      </c>
      <c r="AG35" s="322"/>
      <c r="AH35" s="242" t="e">
        <f t="shared" ref="AH35:AH69" si="38">AG35/$F35</f>
        <v>#DIV/0!</v>
      </c>
      <c r="AI35" s="322"/>
      <c r="AJ35" s="242" t="e">
        <f t="shared" ref="AJ35:AJ69" si="39">AI35/$F35</f>
        <v>#DIV/0!</v>
      </c>
      <c r="AK35" s="322"/>
      <c r="AL35" s="242" t="e">
        <f t="shared" ref="AL35:AL69" si="40">AK35/$F35</f>
        <v>#DIV/0!</v>
      </c>
    </row>
    <row r="36" spans="2:38" s="73" customFormat="1" ht="13.5">
      <c r="B36" s="498"/>
      <c r="C36" s="496"/>
      <c r="D36" s="173">
        <v>46050</v>
      </c>
      <c r="E36" s="173" t="s">
        <v>112</v>
      </c>
      <c r="F36" s="226"/>
      <c r="G36" s="517"/>
      <c r="H36" s="519"/>
      <c r="I36" s="322"/>
      <c r="J36" s="242" t="e">
        <f t="shared" si="23"/>
        <v>#DIV/0!</v>
      </c>
      <c r="K36" s="322"/>
      <c r="L36" s="242" t="e">
        <f t="shared" si="24"/>
        <v>#DIV/0!</v>
      </c>
      <c r="M36" s="227">
        <f t="shared" si="25"/>
        <v>0</v>
      </c>
      <c r="N36" s="242" t="e">
        <f t="shared" si="26"/>
        <v>#DIV/0!</v>
      </c>
      <c r="O36" s="322"/>
      <c r="P36" s="242" t="e">
        <f t="shared" si="27"/>
        <v>#DIV/0!</v>
      </c>
      <c r="Q36" s="322"/>
      <c r="R36" s="242" t="e">
        <f t="shared" si="28"/>
        <v>#DIV/0!</v>
      </c>
      <c r="S36" s="227">
        <f t="shared" si="29"/>
        <v>0</v>
      </c>
      <c r="T36" s="242" t="e">
        <f t="shared" si="30"/>
        <v>#DIV/0!</v>
      </c>
      <c r="U36" s="322"/>
      <c r="V36" s="242" t="e">
        <f t="shared" si="31"/>
        <v>#DIV/0!</v>
      </c>
      <c r="W36" s="322"/>
      <c r="X36" s="242" t="e">
        <f t="shared" si="32"/>
        <v>#DIV/0!</v>
      </c>
      <c r="Y36" s="322"/>
      <c r="Z36" s="242" t="e">
        <f t="shared" si="33"/>
        <v>#DIV/0!</v>
      </c>
      <c r="AA36" s="322"/>
      <c r="AB36" s="242" t="e">
        <f t="shared" si="34"/>
        <v>#DIV/0!</v>
      </c>
      <c r="AC36" s="227">
        <f t="shared" si="35"/>
        <v>0</v>
      </c>
      <c r="AD36" s="242" t="e">
        <f t="shared" si="36"/>
        <v>#DIV/0!</v>
      </c>
      <c r="AE36" s="322"/>
      <c r="AF36" s="242" t="e">
        <f t="shared" si="37"/>
        <v>#DIV/0!</v>
      </c>
      <c r="AG36" s="322"/>
      <c r="AH36" s="242" t="e">
        <f t="shared" si="38"/>
        <v>#DIV/0!</v>
      </c>
      <c r="AI36" s="322"/>
      <c r="AJ36" s="242" t="e">
        <f t="shared" si="39"/>
        <v>#DIV/0!</v>
      </c>
      <c r="AK36" s="322"/>
      <c r="AL36" s="242" t="e">
        <f t="shared" si="40"/>
        <v>#DIV/0!</v>
      </c>
    </row>
    <row r="37" spans="2:38" s="73" customFormat="1" ht="13.5">
      <c r="B37" s="498"/>
      <c r="C37" s="496"/>
      <c r="D37" s="173">
        <v>46051</v>
      </c>
      <c r="E37" s="173" t="s">
        <v>113</v>
      </c>
      <c r="F37" s="226"/>
      <c r="G37" s="517"/>
      <c r="H37" s="519"/>
      <c r="I37" s="322"/>
      <c r="J37" s="242" t="e">
        <f t="shared" si="23"/>
        <v>#DIV/0!</v>
      </c>
      <c r="K37" s="322"/>
      <c r="L37" s="242" t="e">
        <f t="shared" si="24"/>
        <v>#DIV/0!</v>
      </c>
      <c r="M37" s="227">
        <f t="shared" si="25"/>
        <v>0</v>
      </c>
      <c r="N37" s="242" t="e">
        <f t="shared" si="26"/>
        <v>#DIV/0!</v>
      </c>
      <c r="O37" s="322"/>
      <c r="P37" s="242" t="e">
        <f t="shared" si="27"/>
        <v>#DIV/0!</v>
      </c>
      <c r="Q37" s="322"/>
      <c r="R37" s="242" t="e">
        <f t="shared" si="28"/>
        <v>#DIV/0!</v>
      </c>
      <c r="S37" s="227">
        <f t="shared" si="29"/>
        <v>0</v>
      </c>
      <c r="T37" s="242" t="e">
        <f t="shared" si="30"/>
        <v>#DIV/0!</v>
      </c>
      <c r="U37" s="322"/>
      <c r="V37" s="242" t="e">
        <f t="shared" si="31"/>
        <v>#DIV/0!</v>
      </c>
      <c r="W37" s="322"/>
      <c r="X37" s="242" t="e">
        <f t="shared" si="32"/>
        <v>#DIV/0!</v>
      </c>
      <c r="Y37" s="322"/>
      <c r="Z37" s="242" t="e">
        <f t="shared" si="33"/>
        <v>#DIV/0!</v>
      </c>
      <c r="AA37" s="322"/>
      <c r="AB37" s="242" t="e">
        <f t="shared" si="34"/>
        <v>#DIV/0!</v>
      </c>
      <c r="AC37" s="227">
        <f t="shared" si="35"/>
        <v>0</v>
      </c>
      <c r="AD37" s="242" t="e">
        <f t="shared" si="36"/>
        <v>#DIV/0!</v>
      </c>
      <c r="AE37" s="322"/>
      <c r="AF37" s="242" t="e">
        <f t="shared" si="37"/>
        <v>#DIV/0!</v>
      </c>
      <c r="AG37" s="322"/>
      <c r="AH37" s="242" t="e">
        <f t="shared" si="38"/>
        <v>#DIV/0!</v>
      </c>
      <c r="AI37" s="322"/>
      <c r="AJ37" s="242" t="e">
        <f t="shared" si="39"/>
        <v>#DIV/0!</v>
      </c>
      <c r="AK37" s="322"/>
      <c r="AL37" s="242" t="e">
        <f t="shared" si="40"/>
        <v>#DIV/0!</v>
      </c>
    </row>
    <row r="38" spans="2:38" s="73" customFormat="1" ht="13.5" collapsed="1">
      <c r="B38" s="498"/>
      <c r="C38" s="496"/>
      <c r="D38" s="173">
        <v>46052</v>
      </c>
      <c r="E38" s="173" t="s">
        <v>114</v>
      </c>
      <c r="F38" s="226"/>
      <c r="G38" s="517"/>
      <c r="H38" s="519"/>
      <c r="I38" s="322"/>
      <c r="J38" s="242" t="e">
        <f t="shared" si="23"/>
        <v>#DIV/0!</v>
      </c>
      <c r="K38" s="322"/>
      <c r="L38" s="242" t="e">
        <f t="shared" si="24"/>
        <v>#DIV/0!</v>
      </c>
      <c r="M38" s="227">
        <f t="shared" si="25"/>
        <v>0</v>
      </c>
      <c r="N38" s="242" t="e">
        <f t="shared" si="26"/>
        <v>#DIV/0!</v>
      </c>
      <c r="O38" s="322"/>
      <c r="P38" s="242" t="e">
        <f t="shared" si="27"/>
        <v>#DIV/0!</v>
      </c>
      <c r="Q38" s="322"/>
      <c r="R38" s="242" t="e">
        <f t="shared" si="28"/>
        <v>#DIV/0!</v>
      </c>
      <c r="S38" s="227">
        <f t="shared" si="29"/>
        <v>0</v>
      </c>
      <c r="T38" s="242" t="e">
        <f t="shared" si="30"/>
        <v>#DIV/0!</v>
      </c>
      <c r="U38" s="322"/>
      <c r="V38" s="242" t="e">
        <f t="shared" si="31"/>
        <v>#DIV/0!</v>
      </c>
      <c r="W38" s="322"/>
      <c r="X38" s="242" t="e">
        <f t="shared" si="32"/>
        <v>#DIV/0!</v>
      </c>
      <c r="Y38" s="322"/>
      <c r="Z38" s="242" t="e">
        <f t="shared" si="33"/>
        <v>#DIV/0!</v>
      </c>
      <c r="AA38" s="322"/>
      <c r="AB38" s="242" t="e">
        <f t="shared" si="34"/>
        <v>#DIV/0!</v>
      </c>
      <c r="AC38" s="227">
        <f t="shared" si="35"/>
        <v>0</v>
      </c>
      <c r="AD38" s="242" t="e">
        <f t="shared" si="36"/>
        <v>#DIV/0!</v>
      </c>
      <c r="AE38" s="322"/>
      <c r="AF38" s="242" t="e">
        <f t="shared" si="37"/>
        <v>#DIV/0!</v>
      </c>
      <c r="AG38" s="322"/>
      <c r="AH38" s="242" t="e">
        <f t="shared" si="38"/>
        <v>#DIV/0!</v>
      </c>
      <c r="AI38" s="322"/>
      <c r="AJ38" s="242" t="e">
        <f t="shared" si="39"/>
        <v>#DIV/0!</v>
      </c>
      <c r="AK38" s="322"/>
      <c r="AL38" s="242" t="e">
        <f t="shared" si="40"/>
        <v>#DIV/0!</v>
      </c>
    </row>
    <row r="39" spans="2:38" s="73" customFormat="1" ht="13.5">
      <c r="B39" s="498"/>
      <c r="C39" s="496"/>
      <c r="D39" s="173">
        <v>46053</v>
      </c>
      <c r="E39" s="173" t="s">
        <v>115</v>
      </c>
      <c r="F39" s="339"/>
      <c r="G39" s="517"/>
      <c r="H39" s="520"/>
      <c r="I39" s="322"/>
      <c r="J39" s="242" t="e">
        <f t="shared" si="23"/>
        <v>#DIV/0!</v>
      </c>
      <c r="K39" s="322"/>
      <c r="L39" s="242" t="e">
        <f t="shared" si="24"/>
        <v>#DIV/0!</v>
      </c>
      <c r="M39" s="227">
        <f t="shared" si="25"/>
        <v>0</v>
      </c>
      <c r="N39" s="242" t="e">
        <f t="shared" si="26"/>
        <v>#DIV/0!</v>
      </c>
      <c r="O39" s="322"/>
      <c r="P39" s="242" t="e">
        <f t="shared" si="27"/>
        <v>#DIV/0!</v>
      </c>
      <c r="Q39" s="322"/>
      <c r="R39" s="242" t="e">
        <f t="shared" si="28"/>
        <v>#DIV/0!</v>
      </c>
      <c r="S39" s="227">
        <f t="shared" si="29"/>
        <v>0</v>
      </c>
      <c r="T39" s="242" t="e">
        <f t="shared" si="30"/>
        <v>#DIV/0!</v>
      </c>
      <c r="U39" s="322"/>
      <c r="V39" s="242" t="e">
        <f t="shared" si="31"/>
        <v>#DIV/0!</v>
      </c>
      <c r="W39" s="322"/>
      <c r="X39" s="242" t="e">
        <f t="shared" si="32"/>
        <v>#DIV/0!</v>
      </c>
      <c r="Y39" s="322"/>
      <c r="Z39" s="242" t="e">
        <f t="shared" si="33"/>
        <v>#DIV/0!</v>
      </c>
      <c r="AA39" s="322"/>
      <c r="AB39" s="242" t="e">
        <f t="shared" si="34"/>
        <v>#DIV/0!</v>
      </c>
      <c r="AC39" s="227">
        <f t="shared" si="35"/>
        <v>0</v>
      </c>
      <c r="AD39" s="242" t="e">
        <f t="shared" si="36"/>
        <v>#DIV/0!</v>
      </c>
      <c r="AE39" s="322"/>
      <c r="AF39" s="242" t="e">
        <f t="shared" si="37"/>
        <v>#DIV/0!</v>
      </c>
      <c r="AG39" s="322"/>
      <c r="AH39" s="242" t="e">
        <f t="shared" si="38"/>
        <v>#DIV/0!</v>
      </c>
      <c r="AI39" s="322"/>
      <c r="AJ39" s="242" t="e">
        <f t="shared" si="39"/>
        <v>#DIV/0!</v>
      </c>
      <c r="AK39" s="322"/>
      <c r="AL39" s="242" t="e">
        <f t="shared" si="40"/>
        <v>#DIV/0!</v>
      </c>
    </row>
    <row r="40" spans="2:38" s="73" customFormat="1" ht="13.5">
      <c r="B40" s="498"/>
      <c r="C40" s="496" t="s">
        <v>118</v>
      </c>
      <c r="D40" s="173">
        <v>46054</v>
      </c>
      <c r="E40" s="173" t="s">
        <v>116</v>
      </c>
      <c r="F40" s="339"/>
      <c r="G40" s="517"/>
      <c r="H40" s="517">
        <f>SUM(F40:F67)</f>
        <v>0</v>
      </c>
      <c r="I40" s="436"/>
      <c r="J40" s="242" t="e">
        <f t="shared" si="23"/>
        <v>#DIV/0!</v>
      </c>
      <c r="K40" s="322"/>
      <c r="L40" s="242" t="e">
        <f t="shared" si="24"/>
        <v>#DIV/0!</v>
      </c>
      <c r="M40" s="227">
        <f t="shared" si="25"/>
        <v>0</v>
      </c>
      <c r="N40" s="242" t="e">
        <f t="shared" si="26"/>
        <v>#DIV/0!</v>
      </c>
      <c r="O40" s="322"/>
      <c r="P40" s="242" t="e">
        <f t="shared" si="27"/>
        <v>#DIV/0!</v>
      </c>
      <c r="Q40" s="322"/>
      <c r="R40" s="242" t="e">
        <f t="shared" si="28"/>
        <v>#DIV/0!</v>
      </c>
      <c r="S40" s="227">
        <f t="shared" si="29"/>
        <v>0</v>
      </c>
      <c r="T40" s="242" t="e">
        <f t="shared" si="30"/>
        <v>#DIV/0!</v>
      </c>
      <c r="U40" s="322"/>
      <c r="V40" s="242" t="e">
        <f t="shared" si="31"/>
        <v>#DIV/0!</v>
      </c>
      <c r="W40" s="322"/>
      <c r="X40" s="242" t="e">
        <f t="shared" si="32"/>
        <v>#DIV/0!</v>
      </c>
      <c r="Y40" s="322"/>
      <c r="Z40" s="242" t="e">
        <f t="shared" si="33"/>
        <v>#DIV/0!</v>
      </c>
      <c r="AA40" s="322"/>
      <c r="AB40" s="242" t="e">
        <f t="shared" si="34"/>
        <v>#DIV/0!</v>
      </c>
      <c r="AC40" s="227">
        <f t="shared" si="35"/>
        <v>0</v>
      </c>
      <c r="AD40" s="242" t="e">
        <f t="shared" si="36"/>
        <v>#DIV/0!</v>
      </c>
      <c r="AE40" s="322"/>
      <c r="AF40" s="242" t="e">
        <f t="shared" si="37"/>
        <v>#DIV/0!</v>
      </c>
      <c r="AG40" s="322"/>
      <c r="AH40" s="242" t="e">
        <f t="shared" si="38"/>
        <v>#DIV/0!</v>
      </c>
      <c r="AI40" s="322"/>
      <c r="AJ40" s="242" t="e">
        <f t="shared" si="39"/>
        <v>#DIV/0!</v>
      </c>
      <c r="AK40" s="322"/>
      <c r="AL40" s="242" t="e">
        <f t="shared" si="40"/>
        <v>#DIV/0!</v>
      </c>
    </row>
    <row r="41" spans="2:38" s="73" customFormat="1" ht="13.5">
      <c r="B41" s="499"/>
      <c r="C41" s="496"/>
      <c r="D41" s="173">
        <v>46055</v>
      </c>
      <c r="E41" s="173" t="s">
        <v>117</v>
      </c>
      <c r="F41" s="339"/>
      <c r="G41" s="517"/>
      <c r="H41" s="517"/>
      <c r="I41" s="436"/>
      <c r="J41" s="242" t="e">
        <f t="shared" si="23"/>
        <v>#DIV/0!</v>
      </c>
      <c r="K41" s="322"/>
      <c r="L41" s="242" t="e">
        <f t="shared" si="24"/>
        <v>#DIV/0!</v>
      </c>
      <c r="M41" s="227">
        <f t="shared" si="25"/>
        <v>0</v>
      </c>
      <c r="N41" s="242" t="e">
        <f t="shared" si="26"/>
        <v>#DIV/0!</v>
      </c>
      <c r="O41" s="322"/>
      <c r="P41" s="242" t="e">
        <f t="shared" si="27"/>
        <v>#DIV/0!</v>
      </c>
      <c r="Q41" s="322"/>
      <c r="R41" s="242" t="e">
        <f t="shared" si="28"/>
        <v>#DIV/0!</v>
      </c>
      <c r="S41" s="227">
        <f t="shared" si="29"/>
        <v>0</v>
      </c>
      <c r="T41" s="242" t="e">
        <f t="shared" si="30"/>
        <v>#DIV/0!</v>
      </c>
      <c r="U41" s="322"/>
      <c r="V41" s="242" t="e">
        <f t="shared" si="31"/>
        <v>#DIV/0!</v>
      </c>
      <c r="W41" s="322"/>
      <c r="X41" s="242" t="e">
        <f t="shared" si="32"/>
        <v>#DIV/0!</v>
      </c>
      <c r="Y41" s="322"/>
      <c r="Z41" s="242" t="e">
        <f t="shared" si="33"/>
        <v>#DIV/0!</v>
      </c>
      <c r="AA41" s="322"/>
      <c r="AB41" s="242" t="e">
        <f t="shared" si="34"/>
        <v>#DIV/0!</v>
      </c>
      <c r="AC41" s="227">
        <f t="shared" si="35"/>
        <v>0</v>
      </c>
      <c r="AD41" s="242" t="e">
        <f t="shared" si="36"/>
        <v>#DIV/0!</v>
      </c>
      <c r="AE41" s="322"/>
      <c r="AF41" s="242" t="e">
        <f t="shared" si="37"/>
        <v>#DIV/0!</v>
      </c>
      <c r="AG41" s="322"/>
      <c r="AH41" s="242" t="e">
        <f t="shared" si="38"/>
        <v>#DIV/0!</v>
      </c>
      <c r="AI41" s="322"/>
      <c r="AJ41" s="242" t="e">
        <f t="shared" si="39"/>
        <v>#DIV/0!</v>
      </c>
      <c r="AK41" s="322"/>
      <c r="AL41" s="242" t="e">
        <f t="shared" si="40"/>
        <v>#DIV/0!</v>
      </c>
    </row>
    <row r="42" spans="2:38" s="73" customFormat="1" ht="13.5">
      <c r="B42" s="497">
        <f>B35+7</f>
        <v>46064</v>
      </c>
      <c r="C42" s="496"/>
      <c r="D42" s="173">
        <v>46056</v>
      </c>
      <c r="E42" s="173" t="s">
        <v>118</v>
      </c>
      <c r="F42" s="339"/>
      <c r="G42" s="517">
        <f>SUM(F42:F48)</f>
        <v>0</v>
      </c>
      <c r="H42" s="517"/>
      <c r="I42" s="436"/>
      <c r="J42" s="242" t="e">
        <f t="shared" si="23"/>
        <v>#DIV/0!</v>
      </c>
      <c r="K42" s="322"/>
      <c r="L42" s="242" t="e">
        <f t="shared" si="24"/>
        <v>#DIV/0!</v>
      </c>
      <c r="M42" s="227">
        <f t="shared" si="25"/>
        <v>0</v>
      </c>
      <c r="N42" s="242" t="e">
        <f t="shared" si="26"/>
        <v>#DIV/0!</v>
      </c>
      <c r="O42" s="322"/>
      <c r="P42" s="242" t="e">
        <f t="shared" si="27"/>
        <v>#DIV/0!</v>
      </c>
      <c r="Q42" s="322"/>
      <c r="R42" s="242" t="e">
        <f t="shared" si="28"/>
        <v>#DIV/0!</v>
      </c>
      <c r="S42" s="227">
        <f t="shared" si="29"/>
        <v>0</v>
      </c>
      <c r="T42" s="242" t="e">
        <f t="shared" si="30"/>
        <v>#DIV/0!</v>
      </c>
      <c r="U42" s="322"/>
      <c r="V42" s="242" t="e">
        <f t="shared" si="31"/>
        <v>#DIV/0!</v>
      </c>
      <c r="W42" s="322"/>
      <c r="X42" s="242" t="e">
        <f t="shared" si="32"/>
        <v>#DIV/0!</v>
      </c>
      <c r="Y42" s="322"/>
      <c r="Z42" s="242" t="e">
        <f t="shared" si="33"/>
        <v>#DIV/0!</v>
      </c>
      <c r="AA42" s="322"/>
      <c r="AB42" s="242" t="e">
        <f t="shared" si="34"/>
        <v>#DIV/0!</v>
      </c>
      <c r="AC42" s="227">
        <f t="shared" si="35"/>
        <v>0</v>
      </c>
      <c r="AD42" s="242" t="e">
        <f t="shared" si="36"/>
        <v>#DIV/0!</v>
      </c>
      <c r="AE42" s="322"/>
      <c r="AF42" s="242" t="e">
        <f t="shared" si="37"/>
        <v>#DIV/0!</v>
      </c>
      <c r="AG42" s="322"/>
      <c r="AH42" s="242" t="e">
        <f t="shared" si="38"/>
        <v>#DIV/0!</v>
      </c>
      <c r="AI42" s="322"/>
      <c r="AJ42" s="242" t="e">
        <f t="shared" si="39"/>
        <v>#DIV/0!</v>
      </c>
      <c r="AK42" s="322"/>
      <c r="AL42" s="242" t="e">
        <f t="shared" si="40"/>
        <v>#DIV/0!</v>
      </c>
    </row>
    <row r="43" spans="2:38" s="73" customFormat="1" ht="13.5">
      <c r="B43" s="498"/>
      <c r="C43" s="496"/>
      <c r="D43" s="173">
        <v>46057</v>
      </c>
      <c r="E43" s="173" t="s">
        <v>112</v>
      </c>
      <c r="F43" s="339"/>
      <c r="G43" s="517"/>
      <c r="H43" s="517"/>
      <c r="I43" s="436"/>
      <c r="J43" s="242" t="e">
        <f t="shared" si="23"/>
        <v>#DIV/0!</v>
      </c>
      <c r="K43" s="322"/>
      <c r="L43" s="242" t="e">
        <f t="shared" si="24"/>
        <v>#DIV/0!</v>
      </c>
      <c r="M43" s="227">
        <f t="shared" si="25"/>
        <v>0</v>
      </c>
      <c r="N43" s="242" t="e">
        <f t="shared" si="26"/>
        <v>#DIV/0!</v>
      </c>
      <c r="O43" s="322"/>
      <c r="P43" s="242" t="e">
        <f t="shared" si="27"/>
        <v>#DIV/0!</v>
      </c>
      <c r="Q43" s="322"/>
      <c r="R43" s="242" t="e">
        <f t="shared" si="28"/>
        <v>#DIV/0!</v>
      </c>
      <c r="S43" s="227">
        <f t="shared" si="29"/>
        <v>0</v>
      </c>
      <c r="T43" s="242" t="e">
        <f t="shared" si="30"/>
        <v>#DIV/0!</v>
      </c>
      <c r="U43" s="322"/>
      <c r="V43" s="242" t="e">
        <f t="shared" si="31"/>
        <v>#DIV/0!</v>
      </c>
      <c r="W43" s="322"/>
      <c r="X43" s="242" t="e">
        <f t="shared" si="32"/>
        <v>#DIV/0!</v>
      </c>
      <c r="Y43" s="322"/>
      <c r="Z43" s="242" t="e">
        <f t="shared" si="33"/>
        <v>#DIV/0!</v>
      </c>
      <c r="AA43" s="322"/>
      <c r="AB43" s="242" t="e">
        <f t="shared" si="34"/>
        <v>#DIV/0!</v>
      </c>
      <c r="AC43" s="227">
        <f t="shared" si="35"/>
        <v>0</v>
      </c>
      <c r="AD43" s="242" t="e">
        <f t="shared" si="36"/>
        <v>#DIV/0!</v>
      </c>
      <c r="AE43" s="322"/>
      <c r="AF43" s="242" t="e">
        <f t="shared" si="37"/>
        <v>#DIV/0!</v>
      </c>
      <c r="AG43" s="322"/>
      <c r="AH43" s="242" t="e">
        <f t="shared" si="38"/>
        <v>#DIV/0!</v>
      </c>
      <c r="AI43" s="322"/>
      <c r="AJ43" s="242" t="e">
        <f t="shared" si="39"/>
        <v>#DIV/0!</v>
      </c>
      <c r="AK43" s="322"/>
      <c r="AL43" s="242" t="e">
        <f t="shared" si="40"/>
        <v>#DIV/0!</v>
      </c>
    </row>
    <row r="44" spans="2:38" s="73" customFormat="1" ht="13.5">
      <c r="B44" s="498"/>
      <c r="C44" s="496"/>
      <c r="D44" s="173">
        <v>46058</v>
      </c>
      <c r="E44" s="173" t="s">
        <v>113</v>
      </c>
      <c r="F44" s="339"/>
      <c r="G44" s="517"/>
      <c r="H44" s="517"/>
      <c r="I44" s="436"/>
      <c r="J44" s="242" t="e">
        <f t="shared" si="23"/>
        <v>#DIV/0!</v>
      </c>
      <c r="K44" s="322"/>
      <c r="L44" s="242" t="e">
        <f t="shared" si="24"/>
        <v>#DIV/0!</v>
      </c>
      <c r="M44" s="227">
        <f t="shared" si="25"/>
        <v>0</v>
      </c>
      <c r="N44" s="242" t="e">
        <f t="shared" si="26"/>
        <v>#DIV/0!</v>
      </c>
      <c r="O44" s="322"/>
      <c r="P44" s="242" t="e">
        <f t="shared" si="27"/>
        <v>#DIV/0!</v>
      </c>
      <c r="Q44" s="322"/>
      <c r="R44" s="242" t="e">
        <f t="shared" si="28"/>
        <v>#DIV/0!</v>
      </c>
      <c r="S44" s="227">
        <f t="shared" si="29"/>
        <v>0</v>
      </c>
      <c r="T44" s="242" t="e">
        <f t="shared" si="30"/>
        <v>#DIV/0!</v>
      </c>
      <c r="U44" s="322"/>
      <c r="V44" s="242" t="e">
        <f t="shared" si="31"/>
        <v>#DIV/0!</v>
      </c>
      <c r="W44" s="322"/>
      <c r="X44" s="242" t="e">
        <f t="shared" si="32"/>
        <v>#DIV/0!</v>
      </c>
      <c r="Y44" s="322"/>
      <c r="Z44" s="242" t="e">
        <f t="shared" si="33"/>
        <v>#DIV/0!</v>
      </c>
      <c r="AA44" s="322"/>
      <c r="AB44" s="242" t="e">
        <f t="shared" si="34"/>
        <v>#DIV/0!</v>
      </c>
      <c r="AC44" s="227">
        <f t="shared" si="35"/>
        <v>0</v>
      </c>
      <c r="AD44" s="242" t="e">
        <f t="shared" si="36"/>
        <v>#DIV/0!</v>
      </c>
      <c r="AE44" s="322"/>
      <c r="AF44" s="242" t="e">
        <f t="shared" si="37"/>
        <v>#DIV/0!</v>
      </c>
      <c r="AG44" s="322"/>
      <c r="AH44" s="242" t="e">
        <f t="shared" si="38"/>
        <v>#DIV/0!</v>
      </c>
      <c r="AI44" s="322"/>
      <c r="AJ44" s="242" t="e">
        <f t="shared" si="39"/>
        <v>#DIV/0!</v>
      </c>
      <c r="AK44" s="322"/>
      <c r="AL44" s="242" t="e">
        <f t="shared" si="40"/>
        <v>#DIV/0!</v>
      </c>
    </row>
    <row r="45" spans="2:38" s="73" customFormat="1" ht="13.5">
      <c r="B45" s="498"/>
      <c r="C45" s="496"/>
      <c r="D45" s="173">
        <v>46059</v>
      </c>
      <c r="E45" s="173" t="s">
        <v>114</v>
      </c>
      <c r="F45" s="339"/>
      <c r="G45" s="517"/>
      <c r="H45" s="517"/>
      <c r="I45" s="436"/>
      <c r="J45" s="242" t="e">
        <f t="shared" si="23"/>
        <v>#DIV/0!</v>
      </c>
      <c r="K45" s="322"/>
      <c r="L45" s="242" t="e">
        <f t="shared" si="24"/>
        <v>#DIV/0!</v>
      </c>
      <c r="M45" s="227">
        <f t="shared" si="25"/>
        <v>0</v>
      </c>
      <c r="N45" s="242" t="e">
        <f t="shared" si="26"/>
        <v>#DIV/0!</v>
      </c>
      <c r="O45" s="322"/>
      <c r="P45" s="242" t="e">
        <f t="shared" si="27"/>
        <v>#DIV/0!</v>
      </c>
      <c r="Q45" s="322"/>
      <c r="R45" s="242" t="e">
        <f t="shared" si="28"/>
        <v>#DIV/0!</v>
      </c>
      <c r="S45" s="227">
        <f t="shared" si="29"/>
        <v>0</v>
      </c>
      <c r="T45" s="242" t="e">
        <f t="shared" si="30"/>
        <v>#DIV/0!</v>
      </c>
      <c r="U45" s="322"/>
      <c r="V45" s="242" t="e">
        <f t="shared" si="31"/>
        <v>#DIV/0!</v>
      </c>
      <c r="W45" s="322"/>
      <c r="X45" s="242" t="e">
        <f t="shared" si="32"/>
        <v>#DIV/0!</v>
      </c>
      <c r="Y45" s="322"/>
      <c r="Z45" s="242" t="e">
        <f t="shared" si="33"/>
        <v>#DIV/0!</v>
      </c>
      <c r="AA45" s="322"/>
      <c r="AB45" s="242" t="e">
        <f t="shared" si="34"/>
        <v>#DIV/0!</v>
      </c>
      <c r="AC45" s="227">
        <f t="shared" si="35"/>
        <v>0</v>
      </c>
      <c r="AD45" s="242" t="e">
        <f t="shared" si="36"/>
        <v>#DIV/0!</v>
      </c>
      <c r="AE45" s="322"/>
      <c r="AF45" s="242" t="e">
        <f t="shared" si="37"/>
        <v>#DIV/0!</v>
      </c>
      <c r="AG45" s="322"/>
      <c r="AH45" s="242" t="e">
        <f t="shared" si="38"/>
        <v>#DIV/0!</v>
      </c>
      <c r="AI45" s="322"/>
      <c r="AJ45" s="242" t="e">
        <f t="shared" si="39"/>
        <v>#DIV/0!</v>
      </c>
      <c r="AK45" s="322"/>
      <c r="AL45" s="242" t="e">
        <f t="shared" si="40"/>
        <v>#DIV/0!</v>
      </c>
    </row>
    <row r="46" spans="2:38" s="73" customFormat="1" ht="13.5" collapsed="1">
      <c r="B46" s="498"/>
      <c r="C46" s="496"/>
      <c r="D46" s="173">
        <v>46060</v>
      </c>
      <c r="E46" s="173" t="s">
        <v>115</v>
      </c>
      <c r="F46" s="339"/>
      <c r="G46" s="517"/>
      <c r="H46" s="517"/>
      <c r="I46" s="436"/>
      <c r="J46" s="242" t="e">
        <f t="shared" si="23"/>
        <v>#DIV/0!</v>
      </c>
      <c r="K46" s="322"/>
      <c r="L46" s="242" t="e">
        <f t="shared" si="24"/>
        <v>#DIV/0!</v>
      </c>
      <c r="M46" s="227">
        <f t="shared" si="25"/>
        <v>0</v>
      </c>
      <c r="N46" s="242" t="e">
        <f t="shared" si="26"/>
        <v>#DIV/0!</v>
      </c>
      <c r="O46" s="322"/>
      <c r="P46" s="242" t="e">
        <f t="shared" si="27"/>
        <v>#DIV/0!</v>
      </c>
      <c r="Q46" s="322"/>
      <c r="R46" s="242" t="e">
        <f t="shared" si="28"/>
        <v>#DIV/0!</v>
      </c>
      <c r="S46" s="227">
        <f t="shared" si="29"/>
        <v>0</v>
      </c>
      <c r="T46" s="242" t="e">
        <f t="shared" si="30"/>
        <v>#DIV/0!</v>
      </c>
      <c r="U46" s="322"/>
      <c r="V46" s="242" t="e">
        <f t="shared" si="31"/>
        <v>#DIV/0!</v>
      </c>
      <c r="W46" s="322"/>
      <c r="X46" s="242" t="e">
        <f t="shared" si="32"/>
        <v>#DIV/0!</v>
      </c>
      <c r="Y46" s="322"/>
      <c r="Z46" s="242" t="e">
        <f t="shared" si="33"/>
        <v>#DIV/0!</v>
      </c>
      <c r="AA46" s="322"/>
      <c r="AB46" s="242" t="e">
        <f t="shared" si="34"/>
        <v>#DIV/0!</v>
      </c>
      <c r="AC46" s="227">
        <f t="shared" si="35"/>
        <v>0</v>
      </c>
      <c r="AD46" s="242" t="e">
        <f t="shared" si="36"/>
        <v>#DIV/0!</v>
      </c>
      <c r="AE46" s="322"/>
      <c r="AF46" s="242" t="e">
        <f t="shared" si="37"/>
        <v>#DIV/0!</v>
      </c>
      <c r="AG46" s="322"/>
      <c r="AH46" s="242" t="e">
        <f t="shared" si="38"/>
        <v>#DIV/0!</v>
      </c>
      <c r="AI46" s="322"/>
      <c r="AJ46" s="242" t="e">
        <f t="shared" si="39"/>
        <v>#DIV/0!</v>
      </c>
      <c r="AK46" s="322"/>
      <c r="AL46" s="242" t="e">
        <f t="shared" si="40"/>
        <v>#DIV/0!</v>
      </c>
    </row>
    <row r="47" spans="2:38" s="73" customFormat="1" ht="13.5">
      <c r="B47" s="498"/>
      <c r="C47" s="496"/>
      <c r="D47" s="173">
        <v>46061</v>
      </c>
      <c r="E47" s="173" t="s">
        <v>116</v>
      </c>
      <c r="F47" s="339"/>
      <c r="G47" s="517"/>
      <c r="H47" s="517"/>
      <c r="I47" s="436"/>
      <c r="J47" s="242" t="e">
        <f t="shared" si="23"/>
        <v>#DIV/0!</v>
      </c>
      <c r="K47" s="322"/>
      <c r="L47" s="242" t="e">
        <f t="shared" si="24"/>
        <v>#DIV/0!</v>
      </c>
      <c r="M47" s="227">
        <f t="shared" si="25"/>
        <v>0</v>
      </c>
      <c r="N47" s="242" t="e">
        <f t="shared" si="26"/>
        <v>#DIV/0!</v>
      </c>
      <c r="O47" s="322"/>
      <c r="P47" s="242" t="e">
        <f t="shared" si="27"/>
        <v>#DIV/0!</v>
      </c>
      <c r="Q47" s="322"/>
      <c r="R47" s="242" t="e">
        <f t="shared" si="28"/>
        <v>#DIV/0!</v>
      </c>
      <c r="S47" s="227">
        <f t="shared" si="29"/>
        <v>0</v>
      </c>
      <c r="T47" s="242" t="e">
        <f t="shared" si="30"/>
        <v>#DIV/0!</v>
      </c>
      <c r="U47" s="322"/>
      <c r="V47" s="242" t="e">
        <f t="shared" si="31"/>
        <v>#DIV/0!</v>
      </c>
      <c r="W47" s="322"/>
      <c r="X47" s="242" t="e">
        <f t="shared" si="32"/>
        <v>#DIV/0!</v>
      </c>
      <c r="Y47" s="322"/>
      <c r="Z47" s="242" t="e">
        <f t="shared" si="33"/>
        <v>#DIV/0!</v>
      </c>
      <c r="AA47" s="322"/>
      <c r="AB47" s="242" t="e">
        <f t="shared" si="34"/>
        <v>#DIV/0!</v>
      </c>
      <c r="AC47" s="227">
        <f t="shared" si="35"/>
        <v>0</v>
      </c>
      <c r="AD47" s="242" t="e">
        <f t="shared" si="36"/>
        <v>#DIV/0!</v>
      </c>
      <c r="AE47" s="322"/>
      <c r="AF47" s="242" t="e">
        <f t="shared" si="37"/>
        <v>#DIV/0!</v>
      </c>
      <c r="AG47" s="322"/>
      <c r="AH47" s="242" t="e">
        <f t="shared" si="38"/>
        <v>#DIV/0!</v>
      </c>
      <c r="AI47" s="322"/>
      <c r="AJ47" s="242" t="e">
        <f t="shared" si="39"/>
        <v>#DIV/0!</v>
      </c>
      <c r="AK47" s="322"/>
      <c r="AL47" s="242" t="e">
        <f t="shared" si="40"/>
        <v>#DIV/0!</v>
      </c>
    </row>
    <row r="48" spans="2:38" s="73" customFormat="1" ht="13.5">
      <c r="B48" s="499"/>
      <c r="C48" s="496"/>
      <c r="D48" s="173">
        <v>46062</v>
      </c>
      <c r="E48" s="173" t="s">
        <v>117</v>
      </c>
      <c r="F48" s="339"/>
      <c r="G48" s="517"/>
      <c r="H48" s="517"/>
      <c r="I48" s="436"/>
      <c r="J48" s="242" t="e">
        <f t="shared" si="23"/>
        <v>#DIV/0!</v>
      </c>
      <c r="K48" s="322"/>
      <c r="L48" s="242" t="e">
        <f t="shared" si="24"/>
        <v>#DIV/0!</v>
      </c>
      <c r="M48" s="227">
        <f t="shared" si="25"/>
        <v>0</v>
      </c>
      <c r="N48" s="242" t="e">
        <f t="shared" si="26"/>
        <v>#DIV/0!</v>
      </c>
      <c r="O48" s="322"/>
      <c r="P48" s="242" t="e">
        <f t="shared" si="27"/>
        <v>#DIV/0!</v>
      </c>
      <c r="Q48" s="322"/>
      <c r="R48" s="242" t="e">
        <f t="shared" si="28"/>
        <v>#DIV/0!</v>
      </c>
      <c r="S48" s="227">
        <f t="shared" si="29"/>
        <v>0</v>
      </c>
      <c r="T48" s="242" t="e">
        <f t="shared" si="30"/>
        <v>#DIV/0!</v>
      </c>
      <c r="U48" s="322"/>
      <c r="V48" s="242" t="e">
        <f t="shared" si="31"/>
        <v>#DIV/0!</v>
      </c>
      <c r="W48" s="322"/>
      <c r="X48" s="242" t="e">
        <f t="shared" si="32"/>
        <v>#DIV/0!</v>
      </c>
      <c r="Y48" s="322"/>
      <c r="Z48" s="242" t="e">
        <f t="shared" si="33"/>
        <v>#DIV/0!</v>
      </c>
      <c r="AA48" s="322"/>
      <c r="AB48" s="242" t="e">
        <f t="shared" si="34"/>
        <v>#DIV/0!</v>
      </c>
      <c r="AC48" s="227">
        <f t="shared" si="35"/>
        <v>0</v>
      </c>
      <c r="AD48" s="242" t="e">
        <f t="shared" si="36"/>
        <v>#DIV/0!</v>
      </c>
      <c r="AE48" s="322"/>
      <c r="AF48" s="242" t="e">
        <f t="shared" si="37"/>
        <v>#DIV/0!</v>
      </c>
      <c r="AG48" s="322"/>
      <c r="AH48" s="242" t="e">
        <f t="shared" si="38"/>
        <v>#DIV/0!</v>
      </c>
      <c r="AI48" s="322"/>
      <c r="AJ48" s="242" t="e">
        <f t="shared" si="39"/>
        <v>#DIV/0!</v>
      </c>
      <c r="AK48" s="322"/>
      <c r="AL48" s="242" t="e">
        <f t="shared" si="40"/>
        <v>#DIV/0!</v>
      </c>
    </row>
    <row r="49" spans="2:38" s="73" customFormat="1" ht="13.5">
      <c r="B49" s="497">
        <f>B42+7</f>
        <v>46071</v>
      </c>
      <c r="C49" s="496"/>
      <c r="D49" s="173">
        <v>46063</v>
      </c>
      <c r="E49" s="173" t="s">
        <v>118</v>
      </c>
      <c r="F49" s="339"/>
      <c r="G49" s="517">
        <f t="shared" ref="G49" si="41">SUM(F49:F55)</f>
        <v>0</v>
      </c>
      <c r="H49" s="517"/>
      <c r="I49" s="436"/>
      <c r="J49" s="242" t="e">
        <f t="shared" si="23"/>
        <v>#DIV/0!</v>
      </c>
      <c r="K49" s="322"/>
      <c r="L49" s="242" t="e">
        <f t="shared" si="24"/>
        <v>#DIV/0!</v>
      </c>
      <c r="M49" s="227">
        <f t="shared" si="25"/>
        <v>0</v>
      </c>
      <c r="N49" s="242" t="e">
        <f t="shared" si="26"/>
        <v>#DIV/0!</v>
      </c>
      <c r="O49" s="322"/>
      <c r="P49" s="242" t="e">
        <f t="shared" si="27"/>
        <v>#DIV/0!</v>
      </c>
      <c r="Q49" s="322"/>
      <c r="R49" s="242" t="e">
        <f t="shared" si="28"/>
        <v>#DIV/0!</v>
      </c>
      <c r="S49" s="227">
        <f t="shared" si="29"/>
        <v>0</v>
      </c>
      <c r="T49" s="242" t="e">
        <f t="shared" si="30"/>
        <v>#DIV/0!</v>
      </c>
      <c r="U49" s="322"/>
      <c r="V49" s="242" t="e">
        <f t="shared" si="31"/>
        <v>#DIV/0!</v>
      </c>
      <c r="W49" s="322"/>
      <c r="X49" s="242" t="e">
        <f t="shared" si="32"/>
        <v>#DIV/0!</v>
      </c>
      <c r="Y49" s="322"/>
      <c r="Z49" s="242" t="e">
        <f t="shared" si="33"/>
        <v>#DIV/0!</v>
      </c>
      <c r="AA49" s="322"/>
      <c r="AB49" s="242" t="e">
        <f t="shared" si="34"/>
        <v>#DIV/0!</v>
      </c>
      <c r="AC49" s="227">
        <f t="shared" si="35"/>
        <v>0</v>
      </c>
      <c r="AD49" s="242" t="e">
        <f t="shared" si="36"/>
        <v>#DIV/0!</v>
      </c>
      <c r="AE49" s="322"/>
      <c r="AF49" s="242" t="e">
        <f t="shared" si="37"/>
        <v>#DIV/0!</v>
      </c>
      <c r="AG49" s="322"/>
      <c r="AH49" s="242" t="e">
        <f t="shared" si="38"/>
        <v>#DIV/0!</v>
      </c>
      <c r="AI49" s="322"/>
      <c r="AJ49" s="242" t="e">
        <f t="shared" si="39"/>
        <v>#DIV/0!</v>
      </c>
      <c r="AK49" s="322"/>
      <c r="AL49" s="242" t="e">
        <f t="shared" si="40"/>
        <v>#DIV/0!</v>
      </c>
    </row>
    <row r="50" spans="2:38" s="73" customFormat="1" ht="13.5">
      <c r="B50" s="498"/>
      <c r="C50" s="496"/>
      <c r="D50" s="173">
        <v>46064</v>
      </c>
      <c r="E50" s="173" t="s">
        <v>112</v>
      </c>
      <c r="F50" s="339"/>
      <c r="G50" s="517"/>
      <c r="H50" s="517"/>
      <c r="I50" s="436"/>
      <c r="J50" s="242" t="e">
        <f t="shared" si="23"/>
        <v>#DIV/0!</v>
      </c>
      <c r="K50" s="322"/>
      <c r="L50" s="242" t="e">
        <f t="shared" si="24"/>
        <v>#DIV/0!</v>
      </c>
      <c r="M50" s="227">
        <f t="shared" si="25"/>
        <v>0</v>
      </c>
      <c r="N50" s="242" t="e">
        <f t="shared" si="26"/>
        <v>#DIV/0!</v>
      </c>
      <c r="O50" s="322"/>
      <c r="P50" s="242" t="e">
        <f t="shared" si="27"/>
        <v>#DIV/0!</v>
      </c>
      <c r="Q50" s="322"/>
      <c r="R50" s="242" t="e">
        <f t="shared" si="28"/>
        <v>#DIV/0!</v>
      </c>
      <c r="S50" s="227">
        <f t="shared" si="29"/>
        <v>0</v>
      </c>
      <c r="T50" s="242" t="e">
        <f t="shared" si="30"/>
        <v>#DIV/0!</v>
      </c>
      <c r="U50" s="322"/>
      <c r="V50" s="242" t="e">
        <f t="shared" si="31"/>
        <v>#DIV/0!</v>
      </c>
      <c r="W50" s="322"/>
      <c r="X50" s="242" t="e">
        <f t="shared" si="32"/>
        <v>#DIV/0!</v>
      </c>
      <c r="Y50" s="322"/>
      <c r="Z50" s="242" t="e">
        <f t="shared" si="33"/>
        <v>#DIV/0!</v>
      </c>
      <c r="AA50" s="322"/>
      <c r="AB50" s="242" t="e">
        <f t="shared" si="34"/>
        <v>#DIV/0!</v>
      </c>
      <c r="AC50" s="227">
        <f t="shared" si="35"/>
        <v>0</v>
      </c>
      <c r="AD50" s="242" t="e">
        <f t="shared" si="36"/>
        <v>#DIV/0!</v>
      </c>
      <c r="AE50" s="322"/>
      <c r="AF50" s="242" t="e">
        <f t="shared" si="37"/>
        <v>#DIV/0!</v>
      </c>
      <c r="AG50" s="322"/>
      <c r="AH50" s="242" t="e">
        <f t="shared" si="38"/>
        <v>#DIV/0!</v>
      </c>
      <c r="AI50" s="322"/>
      <c r="AJ50" s="242" t="e">
        <f t="shared" si="39"/>
        <v>#DIV/0!</v>
      </c>
      <c r="AK50" s="322"/>
      <c r="AL50" s="242" t="e">
        <f t="shared" si="40"/>
        <v>#DIV/0!</v>
      </c>
    </row>
    <row r="51" spans="2:38" s="73" customFormat="1" ht="13.5">
      <c r="B51" s="498"/>
      <c r="C51" s="496"/>
      <c r="D51" s="173">
        <v>46065</v>
      </c>
      <c r="E51" s="173" t="s">
        <v>113</v>
      </c>
      <c r="F51" s="339"/>
      <c r="G51" s="517"/>
      <c r="H51" s="517"/>
      <c r="I51" s="436"/>
      <c r="J51" s="242" t="e">
        <f t="shared" si="23"/>
        <v>#DIV/0!</v>
      </c>
      <c r="K51" s="322"/>
      <c r="L51" s="242" t="e">
        <f t="shared" si="24"/>
        <v>#DIV/0!</v>
      </c>
      <c r="M51" s="227">
        <f t="shared" si="25"/>
        <v>0</v>
      </c>
      <c r="N51" s="242" t="e">
        <f t="shared" si="26"/>
        <v>#DIV/0!</v>
      </c>
      <c r="O51" s="322"/>
      <c r="P51" s="242" t="e">
        <f t="shared" si="27"/>
        <v>#DIV/0!</v>
      </c>
      <c r="Q51" s="322"/>
      <c r="R51" s="242" t="e">
        <f t="shared" si="28"/>
        <v>#DIV/0!</v>
      </c>
      <c r="S51" s="227">
        <f t="shared" si="29"/>
        <v>0</v>
      </c>
      <c r="T51" s="242" t="e">
        <f t="shared" si="30"/>
        <v>#DIV/0!</v>
      </c>
      <c r="U51" s="322"/>
      <c r="V51" s="242" t="e">
        <f t="shared" si="31"/>
        <v>#DIV/0!</v>
      </c>
      <c r="W51" s="322"/>
      <c r="X51" s="242" t="e">
        <f t="shared" si="32"/>
        <v>#DIV/0!</v>
      </c>
      <c r="Y51" s="322"/>
      <c r="Z51" s="242" t="e">
        <f t="shared" si="33"/>
        <v>#DIV/0!</v>
      </c>
      <c r="AA51" s="322"/>
      <c r="AB51" s="242" t="e">
        <f t="shared" si="34"/>
        <v>#DIV/0!</v>
      </c>
      <c r="AC51" s="227">
        <f t="shared" si="35"/>
        <v>0</v>
      </c>
      <c r="AD51" s="242" t="e">
        <f t="shared" si="36"/>
        <v>#DIV/0!</v>
      </c>
      <c r="AE51" s="322"/>
      <c r="AF51" s="242" t="e">
        <f t="shared" si="37"/>
        <v>#DIV/0!</v>
      </c>
      <c r="AG51" s="322"/>
      <c r="AH51" s="242" t="e">
        <f t="shared" si="38"/>
        <v>#DIV/0!</v>
      </c>
      <c r="AI51" s="322"/>
      <c r="AJ51" s="242" t="e">
        <f t="shared" si="39"/>
        <v>#DIV/0!</v>
      </c>
      <c r="AK51" s="322"/>
      <c r="AL51" s="242" t="e">
        <f t="shared" si="40"/>
        <v>#DIV/0!</v>
      </c>
    </row>
    <row r="52" spans="2:38" s="73" customFormat="1" ht="13.5">
      <c r="B52" s="498"/>
      <c r="C52" s="496"/>
      <c r="D52" s="173">
        <v>46066</v>
      </c>
      <c r="E52" s="173" t="s">
        <v>114</v>
      </c>
      <c r="F52" s="339"/>
      <c r="G52" s="517"/>
      <c r="H52" s="517"/>
      <c r="I52" s="436"/>
      <c r="J52" s="242" t="e">
        <f t="shared" si="23"/>
        <v>#DIV/0!</v>
      </c>
      <c r="K52" s="322"/>
      <c r="L52" s="242" t="e">
        <f t="shared" si="24"/>
        <v>#DIV/0!</v>
      </c>
      <c r="M52" s="227">
        <f t="shared" si="25"/>
        <v>0</v>
      </c>
      <c r="N52" s="242" t="e">
        <f t="shared" si="26"/>
        <v>#DIV/0!</v>
      </c>
      <c r="O52" s="322"/>
      <c r="P52" s="242" t="e">
        <f t="shared" si="27"/>
        <v>#DIV/0!</v>
      </c>
      <c r="Q52" s="322"/>
      <c r="R52" s="242" t="e">
        <f t="shared" si="28"/>
        <v>#DIV/0!</v>
      </c>
      <c r="S52" s="227">
        <f t="shared" si="29"/>
        <v>0</v>
      </c>
      <c r="T52" s="242" t="e">
        <f t="shared" si="30"/>
        <v>#DIV/0!</v>
      </c>
      <c r="U52" s="322"/>
      <c r="V52" s="242" t="e">
        <f t="shared" si="31"/>
        <v>#DIV/0!</v>
      </c>
      <c r="W52" s="322"/>
      <c r="X52" s="242" t="e">
        <f t="shared" si="32"/>
        <v>#DIV/0!</v>
      </c>
      <c r="Y52" s="322"/>
      <c r="Z52" s="242" t="e">
        <f t="shared" si="33"/>
        <v>#DIV/0!</v>
      </c>
      <c r="AA52" s="322"/>
      <c r="AB52" s="242" t="e">
        <f t="shared" si="34"/>
        <v>#DIV/0!</v>
      </c>
      <c r="AC52" s="227">
        <f t="shared" si="35"/>
        <v>0</v>
      </c>
      <c r="AD52" s="242" t="e">
        <f t="shared" si="36"/>
        <v>#DIV/0!</v>
      </c>
      <c r="AE52" s="322"/>
      <c r="AF52" s="242" t="e">
        <f t="shared" si="37"/>
        <v>#DIV/0!</v>
      </c>
      <c r="AG52" s="322"/>
      <c r="AH52" s="242" t="e">
        <f t="shared" si="38"/>
        <v>#DIV/0!</v>
      </c>
      <c r="AI52" s="322"/>
      <c r="AJ52" s="242" t="e">
        <f t="shared" si="39"/>
        <v>#DIV/0!</v>
      </c>
      <c r="AK52" s="322"/>
      <c r="AL52" s="242" t="e">
        <f t="shared" si="40"/>
        <v>#DIV/0!</v>
      </c>
    </row>
    <row r="53" spans="2:38" s="73" customFormat="1" ht="13.5" collapsed="1">
      <c r="B53" s="498"/>
      <c r="C53" s="496"/>
      <c r="D53" s="173">
        <v>46067</v>
      </c>
      <c r="E53" s="173" t="s">
        <v>115</v>
      </c>
      <c r="F53" s="339"/>
      <c r="G53" s="517"/>
      <c r="H53" s="517"/>
      <c r="I53" s="436"/>
      <c r="J53" s="242" t="e">
        <f t="shared" si="23"/>
        <v>#DIV/0!</v>
      </c>
      <c r="K53" s="322"/>
      <c r="L53" s="242" t="e">
        <f t="shared" si="24"/>
        <v>#DIV/0!</v>
      </c>
      <c r="M53" s="227">
        <f t="shared" si="25"/>
        <v>0</v>
      </c>
      <c r="N53" s="242" t="e">
        <f t="shared" si="26"/>
        <v>#DIV/0!</v>
      </c>
      <c r="O53" s="322"/>
      <c r="P53" s="242" t="e">
        <f t="shared" si="27"/>
        <v>#DIV/0!</v>
      </c>
      <c r="Q53" s="322"/>
      <c r="R53" s="242" t="e">
        <f t="shared" si="28"/>
        <v>#DIV/0!</v>
      </c>
      <c r="S53" s="227">
        <f t="shared" si="29"/>
        <v>0</v>
      </c>
      <c r="T53" s="242" t="e">
        <f t="shared" si="30"/>
        <v>#DIV/0!</v>
      </c>
      <c r="U53" s="322"/>
      <c r="V53" s="242" t="e">
        <f t="shared" si="31"/>
        <v>#DIV/0!</v>
      </c>
      <c r="W53" s="322"/>
      <c r="X53" s="242" t="e">
        <f t="shared" si="32"/>
        <v>#DIV/0!</v>
      </c>
      <c r="Y53" s="322"/>
      <c r="Z53" s="242" t="e">
        <f t="shared" si="33"/>
        <v>#DIV/0!</v>
      </c>
      <c r="AA53" s="322"/>
      <c r="AB53" s="242" t="e">
        <f t="shared" si="34"/>
        <v>#DIV/0!</v>
      </c>
      <c r="AC53" s="227">
        <f t="shared" si="35"/>
        <v>0</v>
      </c>
      <c r="AD53" s="242" t="e">
        <f t="shared" si="36"/>
        <v>#DIV/0!</v>
      </c>
      <c r="AE53" s="322"/>
      <c r="AF53" s="242" t="e">
        <f t="shared" si="37"/>
        <v>#DIV/0!</v>
      </c>
      <c r="AG53" s="322"/>
      <c r="AH53" s="242" t="e">
        <f t="shared" si="38"/>
        <v>#DIV/0!</v>
      </c>
      <c r="AI53" s="322"/>
      <c r="AJ53" s="242" t="e">
        <f t="shared" si="39"/>
        <v>#DIV/0!</v>
      </c>
      <c r="AK53" s="322"/>
      <c r="AL53" s="242" t="e">
        <f t="shared" si="40"/>
        <v>#DIV/0!</v>
      </c>
    </row>
    <row r="54" spans="2:38" s="73" customFormat="1" ht="13.5">
      <c r="B54" s="498"/>
      <c r="C54" s="496"/>
      <c r="D54" s="173">
        <v>46068</v>
      </c>
      <c r="E54" s="173" t="s">
        <v>116</v>
      </c>
      <c r="F54" s="339"/>
      <c r="G54" s="517"/>
      <c r="H54" s="517"/>
      <c r="I54" s="436"/>
      <c r="J54" s="242" t="e">
        <f t="shared" si="23"/>
        <v>#DIV/0!</v>
      </c>
      <c r="K54" s="322"/>
      <c r="L54" s="242" t="e">
        <f t="shared" si="24"/>
        <v>#DIV/0!</v>
      </c>
      <c r="M54" s="227">
        <f t="shared" si="25"/>
        <v>0</v>
      </c>
      <c r="N54" s="242" t="e">
        <f t="shared" si="26"/>
        <v>#DIV/0!</v>
      </c>
      <c r="O54" s="322"/>
      <c r="P54" s="242" t="e">
        <f t="shared" si="27"/>
        <v>#DIV/0!</v>
      </c>
      <c r="Q54" s="322"/>
      <c r="R54" s="242" t="e">
        <f t="shared" si="28"/>
        <v>#DIV/0!</v>
      </c>
      <c r="S54" s="227">
        <f t="shared" si="29"/>
        <v>0</v>
      </c>
      <c r="T54" s="242" t="e">
        <f t="shared" si="30"/>
        <v>#DIV/0!</v>
      </c>
      <c r="U54" s="322"/>
      <c r="V54" s="242" t="e">
        <f t="shared" si="31"/>
        <v>#DIV/0!</v>
      </c>
      <c r="W54" s="322"/>
      <c r="X54" s="242" t="e">
        <f t="shared" si="32"/>
        <v>#DIV/0!</v>
      </c>
      <c r="Y54" s="322"/>
      <c r="Z54" s="242" t="e">
        <f t="shared" si="33"/>
        <v>#DIV/0!</v>
      </c>
      <c r="AA54" s="322"/>
      <c r="AB54" s="242" t="e">
        <f t="shared" si="34"/>
        <v>#DIV/0!</v>
      </c>
      <c r="AC54" s="227">
        <f t="shared" si="35"/>
        <v>0</v>
      </c>
      <c r="AD54" s="242" t="e">
        <f t="shared" si="36"/>
        <v>#DIV/0!</v>
      </c>
      <c r="AE54" s="322"/>
      <c r="AF54" s="242" t="e">
        <f t="shared" si="37"/>
        <v>#DIV/0!</v>
      </c>
      <c r="AG54" s="322"/>
      <c r="AH54" s="242" t="e">
        <f t="shared" si="38"/>
        <v>#DIV/0!</v>
      </c>
      <c r="AI54" s="322"/>
      <c r="AJ54" s="242" t="e">
        <f t="shared" si="39"/>
        <v>#DIV/0!</v>
      </c>
      <c r="AK54" s="322"/>
      <c r="AL54" s="242" t="e">
        <f t="shared" si="40"/>
        <v>#DIV/0!</v>
      </c>
    </row>
    <row r="55" spans="2:38" s="73" customFormat="1" ht="13.5">
      <c r="B55" s="499"/>
      <c r="C55" s="496"/>
      <c r="D55" s="173">
        <v>46069</v>
      </c>
      <c r="E55" s="173" t="s">
        <v>117</v>
      </c>
      <c r="F55" s="339"/>
      <c r="G55" s="517"/>
      <c r="H55" s="517"/>
      <c r="I55" s="436"/>
      <c r="J55" s="242" t="e">
        <f t="shared" si="23"/>
        <v>#DIV/0!</v>
      </c>
      <c r="K55" s="322"/>
      <c r="L55" s="242" t="e">
        <f t="shared" si="24"/>
        <v>#DIV/0!</v>
      </c>
      <c r="M55" s="227">
        <f t="shared" si="25"/>
        <v>0</v>
      </c>
      <c r="N55" s="242" t="e">
        <f t="shared" si="26"/>
        <v>#DIV/0!</v>
      </c>
      <c r="O55" s="322"/>
      <c r="P55" s="242" t="e">
        <f t="shared" si="27"/>
        <v>#DIV/0!</v>
      </c>
      <c r="Q55" s="322"/>
      <c r="R55" s="242" t="e">
        <f t="shared" si="28"/>
        <v>#DIV/0!</v>
      </c>
      <c r="S55" s="227">
        <f t="shared" si="29"/>
        <v>0</v>
      </c>
      <c r="T55" s="242" t="e">
        <f t="shared" si="30"/>
        <v>#DIV/0!</v>
      </c>
      <c r="U55" s="322"/>
      <c r="V55" s="242" t="e">
        <f t="shared" si="31"/>
        <v>#DIV/0!</v>
      </c>
      <c r="W55" s="322"/>
      <c r="X55" s="242" t="e">
        <f t="shared" si="32"/>
        <v>#DIV/0!</v>
      </c>
      <c r="Y55" s="322"/>
      <c r="Z55" s="242" t="e">
        <f t="shared" si="33"/>
        <v>#DIV/0!</v>
      </c>
      <c r="AA55" s="322"/>
      <c r="AB55" s="242" t="e">
        <f t="shared" si="34"/>
        <v>#DIV/0!</v>
      </c>
      <c r="AC55" s="227">
        <f t="shared" si="35"/>
        <v>0</v>
      </c>
      <c r="AD55" s="242" t="e">
        <f t="shared" si="36"/>
        <v>#DIV/0!</v>
      </c>
      <c r="AE55" s="322"/>
      <c r="AF55" s="242" t="e">
        <f t="shared" si="37"/>
        <v>#DIV/0!</v>
      </c>
      <c r="AG55" s="322"/>
      <c r="AH55" s="242" t="e">
        <f t="shared" si="38"/>
        <v>#DIV/0!</v>
      </c>
      <c r="AI55" s="322"/>
      <c r="AJ55" s="242" t="e">
        <f t="shared" si="39"/>
        <v>#DIV/0!</v>
      </c>
      <c r="AK55" s="322"/>
      <c r="AL55" s="242" t="e">
        <f t="shared" si="40"/>
        <v>#DIV/0!</v>
      </c>
    </row>
    <row r="56" spans="2:38" s="73" customFormat="1" ht="13.5">
      <c r="B56" s="497">
        <f>B49+7</f>
        <v>46078</v>
      </c>
      <c r="C56" s="496"/>
      <c r="D56" s="173">
        <v>46070</v>
      </c>
      <c r="E56" s="173" t="s">
        <v>118</v>
      </c>
      <c r="F56" s="339"/>
      <c r="G56" s="517">
        <f t="shared" ref="G56" si="42">SUM(F56:F62)</f>
        <v>0</v>
      </c>
      <c r="H56" s="517"/>
      <c r="I56" s="436"/>
      <c r="J56" s="242" t="e">
        <f t="shared" si="23"/>
        <v>#DIV/0!</v>
      </c>
      <c r="K56" s="322"/>
      <c r="L56" s="242" t="e">
        <f t="shared" si="24"/>
        <v>#DIV/0!</v>
      </c>
      <c r="M56" s="227">
        <f t="shared" si="25"/>
        <v>0</v>
      </c>
      <c r="N56" s="242" t="e">
        <f t="shared" si="26"/>
        <v>#DIV/0!</v>
      </c>
      <c r="O56" s="322"/>
      <c r="P56" s="242" t="e">
        <f t="shared" si="27"/>
        <v>#DIV/0!</v>
      </c>
      <c r="Q56" s="322"/>
      <c r="R56" s="242" t="e">
        <f t="shared" si="28"/>
        <v>#DIV/0!</v>
      </c>
      <c r="S56" s="227">
        <f t="shared" si="29"/>
        <v>0</v>
      </c>
      <c r="T56" s="242" t="e">
        <f t="shared" si="30"/>
        <v>#DIV/0!</v>
      </c>
      <c r="U56" s="322"/>
      <c r="V56" s="242" t="e">
        <f t="shared" si="31"/>
        <v>#DIV/0!</v>
      </c>
      <c r="W56" s="322"/>
      <c r="X56" s="242" t="e">
        <f t="shared" si="32"/>
        <v>#DIV/0!</v>
      </c>
      <c r="Y56" s="322"/>
      <c r="Z56" s="242" t="e">
        <f t="shared" si="33"/>
        <v>#DIV/0!</v>
      </c>
      <c r="AA56" s="322"/>
      <c r="AB56" s="242" t="e">
        <f t="shared" si="34"/>
        <v>#DIV/0!</v>
      </c>
      <c r="AC56" s="227">
        <f t="shared" si="35"/>
        <v>0</v>
      </c>
      <c r="AD56" s="242" t="e">
        <f t="shared" si="36"/>
        <v>#DIV/0!</v>
      </c>
      <c r="AE56" s="322"/>
      <c r="AF56" s="242" t="e">
        <f t="shared" si="37"/>
        <v>#DIV/0!</v>
      </c>
      <c r="AG56" s="322"/>
      <c r="AH56" s="242" t="e">
        <f t="shared" si="38"/>
        <v>#DIV/0!</v>
      </c>
      <c r="AI56" s="322"/>
      <c r="AJ56" s="242" t="e">
        <f t="shared" si="39"/>
        <v>#DIV/0!</v>
      </c>
      <c r="AK56" s="322"/>
      <c r="AL56" s="242" t="e">
        <f t="shared" si="40"/>
        <v>#DIV/0!</v>
      </c>
    </row>
    <row r="57" spans="2:38" s="73" customFormat="1" ht="13.5">
      <c r="B57" s="498"/>
      <c r="C57" s="496"/>
      <c r="D57" s="173">
        <v>46071</v>
      </c>
      <c r="E57" s="173" t="s">
        <v>112</v>
      </c>
      <c r="F57" s="339"/>
      <c r="G57" s="517"/>
      <c r="H57" s="517"/>
      <c r="I57" s="436"/>
      <c r="J57" s="242" t="e">
        <f t="shared" si="23"/>
        <v>#DIV/0!</v>
      </c>
      <c r="K57" s="322"/>
      <c r="L57" s="242" t="e">
        <f t="shared" si="24"/>
        <v>#DIV/0!</v>
      </c>
      <c r="M57" s="227">
        <f t="shared" si="25"/>
        <v>0</v>
      </c>
      <c r="N57" s="242" t="e">
        <f t="shared" si="26"/>
        <v>#DIV/0!</v>
      </c>
      <c r="O57" s="322"/>
      <c r="P57" s="242" t="e">
        <f t="shared" si="27"/>
        <v>#DIV/0!</v>
      </c>
      <c r="Q57" s="322"/>
      <c r="R57" s="242" t="e">
        <f t="shared" si="28"/>
        <v>#DIV/0!</v>
      </c>
      <c r="S57" s="227">
        <f t="shared" si="29"/>
        <v>0</v>
      </c>
      <c r="T57" s="242" t="e">
        <f t="shared" si="30"/>
        <v>#DIV/0!</v>
      </c>
      <c r="U57" s="322"/>
      <c r="V57" s="242" t="e">
        <f t="shared" si="31"/>
        <v>#DIV/0!</v>
      </c>
      <c r="W57" s="322"/>
      <c r="X57" s="242" t="e">
        <f t="shared" si="32"/>
        <v>#DIV/0!</v>
      </c>
      <c r="Y57" s="322"/>
      <c r="Z57" s="242" t="e">
        <f t="shared" si="33"/>
        <v>#DIV/0!</v>
      </c>
      <c r="AA57" s="322"/>
      <c r="AB57" s="242" t="e">
        <f t="shared" si="34"/>
        <v>#DIV/0!</v>
      </c>
      <c r="AC57" s="227">
        <f t="shared" si="35"/>
        <v>0</v>
      </c>
      <c r="AD57" s="242" t="e">
        <f t="shared" si="36"/>
        <v>#DIV/0!</v>
      </c>
      <c r="AE57" s="322"/>
      <c r="AF57" s="242" t="e">
        <f t="shared" si="37"/>
        <v>#DIV/0!</v>
      </c>
      <c r="AG57" s="322"/>
      <c r="AH57" s="242" t="e">
        <f t="shared" si="38"/>
        <v>#DIV/0!</v>
      </c>
      <c r="AI57" s="322"/>
      <c r="AJ57" s="242" t="e">
        <f t="shared" si="39"/>
        <v>#DIV/0!</v>
      </c>
      <c r="AK57" s="322"/>
      <c r="AL57" s="242" t="e">
        <f t="shared" si="40"/>
        <v>#DIV/0!</v>
      </c>
    </row>
    <row r="58" spans="2:38" s="73" customFormat="1" ht="13.5">
      <c r="B58" s="498"/>
      <c r="C58" s="496"/>
      <c r="D58" s="173">
        <v>46072</v>
      </c>
      <c r="E58" s="173" t="s">
        <v>113</v>
      </c>
      <c r="F58" s="339"/>
      <c r="G58" s="517"/>
      <c r="H58" s="517"/>
      <c r="I58" s="436"/>
      <c r="J58" s="242" t="e">
        <f t="shared" si="23"/>
        <v>#DIV/0!</v>
      </c>
      <c r="K58" s="322"/>
      <c r="L58" s="242" t="e">
        <f t="shared" si="24"/>
        <v>#DIV/0!</v>
      </c>
      <c r="M58" s="227">
        <f t="shared" si="25"/>
        <v>0</v>
      </c>
      <c r="N58" s="242" t="e">
        <f t="shared" si="26"/>
        <v>#DIV/0!</v>
      </c>
      <c r="O58" s="322"/>
      <c r="P58" s="242" t="e">
        <f t="shared" si="27"/>
        <v>#DIV/0!</v>
      </c>
      <c r="Q58" s="322"/>
      <c r="R58" s="242" t="e">
        <f t="shared" si="28"/>
        <v>#DIV/0!</v>
      </c>
      <c r="S58" s="227">
        <f t="shared" si="29"/>
        <v>0</v>
      </c>
      <c r="T58" s="242" t="e">
        <f t="shared" si="30"/>
        <v>#DIV/0!</v>
      </c>
      <c r="U58" s="322"/>
      <c r="V58" s="242" t="e">
        <f t="shared" si="31"/>
        <v>#DIV/0!</v>
      </c>
      <c r="W58" s="322"/>
      <c r="X58" s="242" t="e">
        <f t="shared" si="32"/>
        <v>#DIV/0!</v>
      </c>
      <c r="Y58" s="322"/>
      <c r="Z58" s="242" t="e">
        <f t="shared" si="33"/>
        <v>#DIV/0!</v>
      </c>
      <c r="AA58" s="322"/>
      <c r="AB58" s="242" t="e">
        <f t="shared" si="34"/>
        <v>#DIV/0!</v>
      </c>
      <c r="AC58" s="227">
        <f t="shared" si="35"/>
        <v>0</v>
      </c>
      <c r="AD58" s="242" t="e">
        <f t="shared" si="36"/>
        <v>#DIV/0!</v>
      </c>
      <c r="AE58" s="322"/>
      <c r="AF58" s="242" t="e">
        <f t="shared" si="37"/>
        <v>#DIV/0!</v>
      </c>
      <c r="AG58" s="322"/>
      <c r="AH58" s="242" t="e">
        <f t="shared" si="38"/>
        <v>#DIV/0!</v>
      </c>
      <c r="AI58" s="322"/>
      <c r="AJ58" s="242" t="e">
        <f t="shared" si="39"/>
        <v>#DIV/0!</v>
      </c>
      <c r="AK58" s="322"/>
      <c r="AL58" s="242" t="e">
        <f t="shared" si="40"/>
        <v>#DIV/0!</v>
      </c>
    </row>
    <row r="59" spans="2:38" s="73" customFormat="1" ht="13.5">
      <c r="B59" s="498"/>
      <c r="C59" s="496"/>
      <c r="D59" s="173">
        <v>46073</v>
      </c>
      <c r="E59" s="173" t="s">
        <v>114</v>
      </c>
      <c r="F59" s="339"/>
      <c r="G59" s="517"/>
      <c r="H59" s="517"/>
      <c r="I59" s="436"/>
      <c r="J59" s="242" t="e">
        <f t="shared" si="23"/>
        <v>#DIV/0!</v>
      </c>
      <c r="K59" s="322"/>
      <c r="L59" s="242" t="e">
        <f t="shared" si="24"/>
        <v>#DIV/0!</v>
      </c>
      <c r="M59" s="227">
        <f t="shared" si="25"/>
        <v>0</v>
      </c>
      <c r="N59" s="242" t="e">
        <f t="shared" si="26"/>
        <v>#DIV/0!</v>
      </c>
      <c r="O59" s="322"/>
      <c r="P59" s="242" t="e">
        <f t="shared" si="27"/>
        <v>#DIV/0!</v>
      </c>
      <c r="Q59" s="322"/>
      <c r="R59" s="242" t="e">
        <f t="shared" si="28"/>
        <v>#DIV/0!</v>
      </c>
      <c r="S59" s="227">
        <f t="shared" si="29"/>
        <v>0</v>
      </c>
      <c r="T59" s="242" t="e">
        <f t="shared" si="30"/>
        <v>#DIV/0!</v>
      </c>
      <c r="U59" s="322"/>
      <c r="V59" s="242" t="e">
        <f t="shared" si="31"/>
        <v>#DIV/0!</v>
      </c>
      <c r="W59" s="322"/>
      <c r="X59" s="242" t="e">
        <f t="shared" si="32"/>
        <v>#DIV/0!</v>
      </c>
      <c r="Y59" s="322"/>
      <c r="Z59" s="242" t="e">
        <f t="shared" si="33"/>
        <v>#DIV/0!</v>
      </c>
      <c r="AA59" s="322"/>
      <c r="AB59" s="242" t="e">
        <f t="shared" si="34"/>
        <v>#DIV/0!</v>
      </c>
      <c r="AC59" s="227">
        <f t="shared" si="35"/>
        <v>0</v>
      </c>
      <c r="AD59" s="242" t="e">
        <f t="shared" si="36"/>
        <v>#DIV/0!</v>
      </c>
      <c r="AE59" s="322"/>
      <c r="AF59" s="242" t="e">
        <f t="shared" si="37"/>
        <v>#DIV/0!</v>
      </c>
      <c r="AG59" s="322"/>
      <c r="AH59" s="242" t="e">
        <f t="shared" si="38"/>
        <v>#DIV/0!</v>
      </c>
      <c r="AI59" s="322"/>
      <c r="AJ59" s="242" t="e">
        <f t="shared" si="39"/>
        <v>#DIV/0!</v>
      </c>
      <c r="AK59" s="322"/>
      <c r="AL59" s="242" t="e">
        <f t="shared" si="40"/>
        <v>#DIV/0!</v>
      </c>
    </row>
    <row r="60" spans="2:38" s="73" customFormat="1" ht="13.5" collapsed="1">
      <c r="B60" s="498"/>
      <c r="C60" s="496"/>
      <c r="D60" s="173">
        <v>46074</v>
      </c>
      <c r="E60" s="173" t="s">
        <v>115</v>
      </c>
      <c r="F60" s="339"/>
      <c r="G60" s="517"/>
      <c r="H60" s="517"/>
      <c r="I60" s="436"/>
      <c r="J60" s="242" t="e">
        <f t="shared" si="23"/>
        <v>#DIV/0!</v>
      </c>
      <c r="K60" s="322"/>
      <c r="L60" s="242" t="e">
        <f t="shared" si="24"/>
        <v>#DIV/0!</v>
      </c>
      <c r="M60" s="227">
        <f t="shared" si="25"/>
        <v>0</v>
      </c>
      <c r="N60" s="242" t="e">
        <f t="shared" si="26"/>
        <v>#DIV/0!</v>
      </c>
      <c r="O60" s="322"/>
      <c r="P60" s="242" t="e">
        <f t="shared" si="27"/>
        <v>#DIV/0!</v>
      </c>
      <c r="Q60" s="322"/>
      <c r="R60" s="242" t="e">
        <f t="shared" si="28"/>
        <v>#DIV/0!</v>
      </c>
      <c r="S60" s="227">
        <f t="shared" si="29"/>
        <v>0</v>
      </c>
      <c r="T60" s="242" t="e">
        <f t="shared" si="30"/>
        <v>#DIV/0!</v>
      </c>
      <c r="U60" s="322"/>
      <c r="V60" s="242" t="e">
        <f t="shared" si="31"/>
        <v>#DIV/0!</v>
      </c>
      <c r="W60" s="322"/>
      <c r="X60" s="242" t="e">
        <f t="shared" si="32"/>
        <v>#DIV/0!</v>
      </c>
      <c r="Y60" s="322"/>
      <c r="Z60" s="242" t="e">
        <f t="shared" si="33"/>
        <v>#DIV/0!</v>
      </c>
      <c r="AA60" s="322"/>
      <c r="AB60" s="242" t="e">
        <f t="shared" si="34"/>
        <v>#DIV/0!</v>
      </c>
      <c r="AC60" s="227">
        <f t="shared" si="35"/>
        <v>0</v>
      </c>
      <c r="AD60" s="242" t="e">
        <f t="shared" si="36"/>
        <v>#DIV/0!</v>
      </c>
      <c r="AE60" s="322"/>
      <c r="AF60" s="242" t="e">
        <f t="shared" si="37"/>
        <v>#DIV/0!</v>
      </c>
      <c r="AG60" s="322"/>
      <c r="AH60" s="242" t="e">
        <f t="shared" si="38"/>
        <v>#DIV/0!</v>
      </c>
      <c r="AI60" s="322"/>
      <c r="AJ60" s="242" t="e">
        <f t="shared" si="39"/>
        <v>#DIV/0!</v>
      </c>
      <c r="AK60" s="322"/>
      <c r="AL60" s="242" t="e">
        <f t="shared" si="40"/>
        <v>#DIV/0!</v>
      </c>
    </row>
    <row r="61" spans="2:38" s="73" customFormat="1" ht="13.5">
      <c r="B61" s="498"/>
      <c r="C61" s="496"/>
      <c r="D61" s="173">
        <v>46075</v>
      </c>
      <c r="E61" s="173" t="s">
        <v>116</v>
      </c>
      <c r="F61" s="339"/>
      <c r="G61" s="517"/>
      <c r="H61" s="517"/>
      <c r="I61" s="436"/>
      <c r="J61" s="242" t="e">
        <f t="shared" si="23"/>
        <v>#DIV/0!</v>
      </c>
      <c r="K61" s="322"/>
      <c r="L61" s="242" t="e">
        <f t="shared" si="24"/>
        <v>#DIV/0!</v>
      </c>
      <c r="M61" s="227">
        <f t="shared" si="25"/>
        <v>0</v>
      </c>
      <c r="N61" s="242" t="e">
        <f t="shared" si="26"/>
        <v>#DIV/0!</v>
      </c>
      <c r="O61" s="322"/>
      <c r="P61" s="242" t="e">
        <f t="shared" si="27"/>
        <v>#DIV/0!</v>
      </c>
      <c r="Q61" s="322"/>
      <c r="R61" s="242" t="e">
        <f t="shared" si="28"/>
        <v>#DIV/0!</v>
      </c>
      <c r="S61" s="227">
        <f t="shared" si="29"/>
        <v>0</v>
      </c>
      <c r="T61" s="242" t="e">
        <f t="shared" si="30"/>
        <v>#DIV/0!</v>
      </c>
      <c r="U61" s="322"/>
      <c r="V61" s="242" t="e">
        <f t="shared" si="31"/>
        <v>#DIV/0!</v>
      </c>
      <c r="W61" s="322"/>
      <c r="X61" s="242" t="e">
        <f t="shared" si="32"/>
        <v>#DIV/0!</v>
      </c>
      <c r="Y61" s="322"/>
      <c r="Z61" s="242" t="e">
        <f t="shared" si="33"/>
        <v>#DIV/0!</v>
      </c>
      <c r="AA61" s="322"/>
      <c r="AB61" s="242" t="e">
        <f t="shared" si="34"/>
        <v>#DIV/0!</v>
      </c>
      <c r="AC61" s="227">
        <f t="shared" si="35"/>
        <v>0</v>
      </c>
      <c r="AD61" s="242" t="e">
        <f t="shared" si="36"/>
        <v>#DIV/0!</v>
      </c>
      <c r="AE61" s="322"/>
      <c r="AF61" s="242" t="e">
        <f t="shared" si="37"/>
        <v>#DIV/0!</v>
      </c>
      <c r="AG61" s="322"/>
      <c r="AH61" s="242" t="e">
        <f t="shared" si="38"/>
        <v>#DIV/0!</v>
      </c>
      <c r="AI61" s="322"/>
      <c r="AJ61" s="242" t="e">
        <f t="shared" si="39"/>
        <v>#DIV/0!</v>
      </c>
      <c r="AK61" s="322"/>
      <c r="AL61" s="242" t="e">
        <f t="shared" si="40"/>
        <v>#DIV/0!</v>
      </c>
    </row>
    <row r="62" spans="2:38" s="73" customFormat="1" ht="13.5">
      <c r="B62" s="499"/>
      <c r="C62" s="496"/>
      <c r="D62" s="173">
        <v>46076</v>
      </c>
      <c r="E62" s="173" t="s">
        <v>117</v>
      </c>
      <c r="F62" s="339"/>
      <c r="G62" s="517"/>
      <c r="H62" s="517"/>
      <c r="I62" s="436"/>
      <c r="J62" s="242" t="e">
        <f t="shared" si="23"/>
        <v>#DIV/0!</v>
      </c>
      <c r="K62" s="322"/>
      <c r="L62" s="242" t="e">
        <f t="shared" si="24"/>
        <v>#DIV/0!</v>
      </c>
      <c r="M62" s="227">
        <f t="shared" si="25"/>
        <v>0</v>
      </c>
      <c r="N62" s="242" t="e">
        <f t="shared" si="26"/>
        <v>#DIV/0!</v>
      </c>
      <c r="O62" s="322"/>
      <c r="P62" s="242" t="e">
        <f t="shared" si="27"/>
        <v>#DIV/0!</v>
      </c>
      <c r="Q62" s="322"/>
      <c r="R62" s="242" t="e">
        <f t="shared" si="28"/>
        <v>#DIV/0!</v>
      </c>
      <c r="S62" s="227">
        <f t="shared" si="29"/>
        <v>0</v>
      </c>
      <c r="T62" s="242" t="e">
        <f t="shared" si="30"/>
        <v>#DIV/0!</v>
      </c>
      <c r="U62" s="322"/>
      <c r="V62" s="242" t="e">
        <f t="shared" si="31"/>
        <v>#DIV/0!</v>
      </c>
      <c r="W62" s="322"/>
      <c r="X62" s="242" t="e">
        <f t="shared" si="32"/>
        <v>#DIV/0!</v>
      </c>
      <c r="Y62" s="322"/>
      <c r="Z62" s="242" t="e">
        <f t="shared" si="33"/>
        <v>#DIV/0!</v>
      </c>
      <c r="AA62" s="322"/>
      <c r="AB62" s="242" t="e">
        <f t="shared" si="34"/>
        <v>#DIV/0!</v>
      </c>
      <c r="AC62" s="227">
        <f t="shared" si="35"/>
        <v>0</v>
      </c>
      <c r="AD62" s="242" t="e">
        <f t="shared" si="36"/>
        <v>#DIV/0!</v>
      </c>
      <c r="AE62" s="322"/>
      <c r="AF62" s="242" t="e">
        <f t="shared" si="37"/>
        <v>#DIV/0!</v>
      </c>
      <c r="AG62" s="322"/>
      <c r="AH62" s="242" t="e">
        <f t="shared" si="38"/>
        <v>#DIV/0!</v>
      </c>
      <c r="AI62" s="322"/>
      <c r="AJ62" s="242" t="e">
        <f t="shared" si="39"/>
        <v>#DIV/0!</v>
      </c>
      <c r="AK62" s="322"/>
      <c r="AL62" s="242" t="e">
        <f t="shared" si="40"/>
        <v>#DIV/0!</v>
      </c>
    </row>
    <row r="63" spans="2:38" s="73" customFormat="1" ht="13.5">
      <c r="B63" s="497">
        <f>B56+7</f>
        <v>46085</v>
      </c>
      <c r="C63" s="496"/>
      <c r="D63" s="173">
        <v>46077</v>
      </c>
      <c r="E63" s="173" t="s">
        <v>118</v>
      </c>
      <c r="F63" s="339"/>
      <c r="G63" s="517">
        <f>SUM(F63:F69)</f>
        <v>0</v>
      </c>
      <c r="H63" s="517"/>
      <c r="I63" s="436"/>
      <c r="J63" s="242" t="e">
        <f t="shared" si="23"/>
        <v>#DIV/0!</v>
      </c>
      <c r="K63" s="322"/>
      <c r="L63" s="242" t="e">
        <f t="shared" si="24"/>
        <v>#DIV/0!</v>
      </c>
      <c r="M63" s="227">
        <f t="shared" si="25"/>
        <v>0</v>
      </c>
      <c r="N63" s="242" t="e">
        <f t="shared" si="26"/>
        <v>#DIV/0!</v>
      </c>
      <c r="O63" s="322"/>
      <c r="P63" s="242" t="e">
        <f t="shared" si="27"/>
        <v>#DIV/0!</v>
      </c>
      <c r="Q63" s="322"/>
      <c r="R63" s="242" t="e">
        <f t="shared" si="28"/>
        <v>#DIV/0!</v>
      </c>
      <c r="S63" s="227">
        <f t="shared" si="29"/>
        <v>0</v>
      </c>
      <c r="T63" s="242" t="e">
        <f t="shared" si="30"/>
        <v>#DIV/0!</v>
      </c>
      <c r="U63" s="322"/>
      <c r="V63" s="242" t="e">
        <f t="shared" si="31"/>
        <v>#DIV/0!</v>
      </c>
      <c r="W63" s="322"/>
      <c r="X63" s="242" t="e">
        <f t="shared" si="32"/>
        <v>#DIV/0!</v>
      </c>
      <c r="Y63" s="322"/>
      <c r="Z63" s="242" t="e">
        <f t="shared" si="33"/>
        <v>#DIV/0!</v>
      </c>
      <c r="AA63" s="322"/>
      <c r="AB63" s="242" t="e">
        <f t="shared" si="34"/>
        <v>#DIV/0!</v>
      </c>
      <c r="AC63" s="227">
        <f t="shared" si="35"/>
        <v>0</v>
      </c>
      <c r="AD63" s="242" t="e">
        <f t="shared" si="36"/>
        <v>#DIV/0!</v>
      </c>
      <c r="AE63" s="322"/>
      <c r="AF63" s="242" t="e">
        <f t="shared" si="37"/>
        <v>#DIV/0!</v>
      </c>
      <c r="AG63" s="322"/>
      <c r="AH63" s="242" t="e">
        <f t="shared" si="38"/>
        <v>#DIV/0!</v>
      </c>
      <c r="AI63" s="322"/>
      <c r="AJ63" s="242" t="e">
        <f t="shared" si="39"/>
        <v>#DIV/0!</v>
      </c>
      <c r="AK63" s="322"/>
      <c r="AL63" s="242" t="e">
        <f t="shared" si="40"/>
        <v>#DIV/0!</v>
      </c>
    </row>
    <row r="64" spans="2:38" s="73" customFormat="1" ht="13.5">
      <c r="B64" s="498"/>
      <c r="C64" s="496"/>
      <c r="D64" s="173">
        <v>46078</v>
      </c>
      <c r="E64" s="173" t="s">
        <v>112</v>
      </c>
      <c r="F64" s="339"/>
      <c r="G64" s="517"/>
      <c r="H64" s="517"/>
      <c r="I64" s="436"/>
      <c r="J64" s="242" t="e">
        <f t="shared" si="23"/>
        <v>#DIV/0!</v>
      </c>
      <c r="K64" s="322"/>
      <c r="L64" s="242" t="e">
        <f t="shared" si="24"/>
        <v>#DIV/0!</v>
      </c>
      <c r="M64" s="227">
        <f t="shared" si="25"/>
        <v>0</v>
      </c>
      <c r="N64" s="242" t="e">
        <f t="shared" si="26"/>
        <v>#DIV/0!</v>
      </c>
      <c r="O64" s="322"/>
      <c r="P64" s="242" t="e">
        <f t="shared" si="27"/>
        <v>#DIV/0!</v>
      </c>
      <c r="Q64" s="322"/>
      <c r="R64" s="242" t="e">
        <f t="shared" si="28"/>
        <v>#DIV/0!</v>
      </c>
      <c r="S64" s="227">
        <f t="shared" si="29"/>
        <v>0</v>
      </c>
      <c r="T64" s="242" t="e">
        <f t="shared" si="30"/>
        <v>#DIV/0!</v>
      </c>
      <c r="U64" s="322"/>
      <c r="V64" s="242" t="e">
        <f t="shared" si="31"/>
        <v>#DIV/0!</v>
      </c>
      <c r="W64" s="322"/>
      <c r="X64" s="242" t="e">
        <f t="shared" si="32"/>
        <v>#DIV/0!</v>
      </c>
      <c r="Y64" s="322"/>
      <c r="Z64" s="242" t="e">
        <f t="shared" si="33"/>
        <v>#DIV/0!</v>
      </c>
      <c r="AA64" s="322"/>
      <c r="AB64" s="242" t="e">
        <f t="shared" si="34"/>
        <v>#DIV/0!</v>
      </c>
      <c r="AC64" s="227">
        <f t="shared" si="35"/>
        <v>0</v>
      </c>
      <c r="AD64" s="242" t="e">
        <f t="shared" si="36"/>
        <v>#DIV/0!</v>
      </c>
      <c r="AE64" s="322"/>
      <c r="AF64" s="242" t="e">
        <f t="shared" si="37"/>
        <v>#DIV/0!</v>
      </c>
      <c r="AG64" s="322"/>
      <c r="AH64" s="242" t="e">
        <f t="shared" si="38"/>
        <v>#DIV/0!</v>
      </c>
      <c r="AI64" s="322"/>
      <c r="AJ64" s="242" t="e">
        <f t="shared" si="39"/>
        <v>#DIV/0!</v>
      </c>
      <c r="AK64" s="322"/>
      <c r="AL64" s="242" t="e">
        <f t="shared" si="40"/>
        <v>#DIV/0!</v>
      </c>
    </row>
    <row r="65" spans="2:38" s="73" customFormat="1" ht="13.5">
      <c r="B65" s="498"/>
      <c r="C65" s="496"/>
      <c r="D65" s="173">
        <v>46079</v>
      </c>
      <c r="E65" s="173" t="s">
        <v>113</v>
      </c>
      <c r="F65" s="339"/>
      <c r="G65" s="517"/>
      <c r="H65" s="517"/>
      <c r="I65" s="436"/>
      <c r="J65" s="242" t="e">
        <f t="shared" si="23"/>
        <v>#DIV/0!</v>
      </c>
      <c r="K65" s="322"/>
      <c r="L65" s="242" t="e">
        <f t="shared" si="24"/>
        <v>#DIV/0!</v>
      </c>
      <c r="M65" s="227">
        <f t="shared" si="25"/>
        <v>0</v>
      </c>
      <c r="N65" s="242" t="e">
        <f t="shared" si="26"/>
        <v>#DIV/0!</v>
      </c>
      <c r="O65" s="322"/>
      <c r="P65" s="242" t="e">
        <f t="shared" si="27"/>
        <v>#DIV/0!</v>
      </c>
      <c r="Q65" s="322"/>
      <c r="R65" s="242" t="e">
        <f t="shared" si="28"/>
        <v>#DIV/0!</v>
      </c>
      <c r="S65" s="227">
        <f t="shared" si="29"/>
        <v>0</v>
      </c>
      <c r="T65" s="242" t="e">
        <f t="shared" si="30"/>
        <v>#DIV/0!</v>
      </c>
      <c r="U65" s="322"/>
      <c r="V65" s="242" t="e">
        <f t="shared" si="31"/>
        <v>#DIV/0!</v>
      </c>
      <c r="W65" s="322"/>
      <c r="X65" s="242" t="e">
        <f t="shared" si="32"/>
        <v>#DIV/0!</v>
      </c>
      <c r="Y65" s="322"/>
      <c r="Z65" s="242" t="e">
        <f t="shared" si="33"/>
        <v>#DIV/0!</v>
      </c>
      <c r="AA65" s="322"/>
      <c r="AB65" s="242" t="e">
        <f t="shared" si="34"/>
        <v>#DIV/0!</v>
      </c>
      <c r="AC65" s="227">
        <f t="shared" si="35"/>
        <v>0</v>
      </c>
      <c r="AD65" s="242" t="e">
        <f t="shared" si="36"/>
        <v>#DIV/0!</v>
      </c>
      <c r="AE65" s="322"/>
      <c r="AF65" s="242" t="e">
        <f t="shared" si="37"/>
        <v>#DIV/0!</v>
      </c>
      <c r="AG65" s="322"/>
      <c r="AH65" s="242" t="e">
        <f t="shared" si="38"/>
        <v>#DIV/0!</v>
      </c>
      <c r="AI65" s="322"/>
      <c r="AJ65" s="242" t="e">
        <f t="shared" si="39"/>
        <v>#DIV/0!</v>
      </c>
      <c r="AK65" s="322"/>
      <c r="AL65" s="242" t="e">
        <f t="shared" si="40"/>
        <v>#DIV/0!</v>
      </c>
    </row>
    <row r="66" spans="2:38" s="73" customFormat="1" ht="13.5">
      <c r="B66" s="498"/>
      <c r="C66" s="496"/>
      <c r="D66" s="173">
        <v>46080</v>
      </c>
      <c r="E66" s="173" t="s">
        <v>114</v>
      </c>
      <c r="F66" s="339"/>
      <c r="G66" s="517"/>
      <c r="H66" s="517"/>
      <c r="I66" s="436"/>
      <c r="J66" s="242" t="e">
        <f t="shared" si="23"/>
        <v>#DIV/0!</v>
      </c>
      <c r="K66" s="322"/>
      <c r="L66" s="242" t="e">
        <f t="shared" si="24"/>
        <v>#DIV/0!</v>
      </c>
      <c r="M66" s="227">
        <f t="shared" si="25"/>
        <v>0</v>
      </c>
      <c r="N66" s="242" t="e">
        <f t="shared" si="26"/>
        <v>#DIV/0!</v>
      </c>
      <c r="O66" s="322"/>
      <c r="P66" s="242" t="e">
        <f t="shared" si="27"/>
        <v>#DIV/0!</v>
      </c>
      <c r="Q66" s="322"/>
      <c r="R66" s="242" t="e">
        <f t="shared" si="28"/>
        <v>#DIV/0!</v>
      </c>
      <c r="S66" s="227">
        <f t="shared" si="29"/>
        <v>0</v>
      </c>
      <c r="T66" s="242" t="e">
        <f t="shared" si="30"/>
        <v>#DIV/0!</v>
      </c>
      <c r="U66" s="322"/>
      <c r="V66" s="242" t="e">
        <f t="shared" si="31"/>
        <v>#DIV/0!</v>
      </c>
      <c r="W66" s="322"/>
      <c r="X66" s="242" t="e">
        <f t="shared" si="32"/>
        <v>#DIV/0!</v>
      </c>
      <c r="Y66" s="322"/>
      <c r="Z66" s="242" t="e">
        <f t="shared" si="33"/>
        <v>#DIV/0!</v>
      </c>
      <c r="AA66" s="322"/>
      <c r="AB66" s="242" t="e">
        <f t="shared" si="34"/>
        <v>#DIV/0!</v>
      </c>
      <c r="AC66" s="227">
        <f t="shared" si="35"/>
        <v>0</v>
      </c>
      <c r="AD66" s="242" t="e">
        <f t="shared" si="36"/>
        <v>#DIV/0!</v>
      </c>
      <c r="AE66" s="322"/>
      <c r="AF66" s="242" t="e">
        <f t="shared" si="37"/>
        <v>#DIV/0!</v>
      </c>
      <c r="AG66" s="322"/>
      <c r="AH66" s="242" t="e">
        <f t="shared" si="38"/>
        <v>#DIV/0!</v>
      </c>
      <c r="AI66" s="322"/>
      <c r="AJ66" s="242" t="e">
        <f t="shared" si="39"/>
        <v>#DIV/0!</v>
      </c>
      <c r="AK66" s="322"/>
      <c r="AL66" s="242" t="e">
        <f t="shared" si="40"/>
        <v>#DIV/0!</v>
      </c>
    </row>
    <row r="67" spans="2:38" s="73" customFormat="1" ht="13.5" collapsed="1">
      <c r="B67" s="498"/>
      <c r="C67" s="496"/>
      <c r="D67" s="173">
        <v>46081</v>
      </c>
      <c r="E67" s="173" t="s">
        <v>115</v>
      </c>
      <c r="F67" s="339"/>
      <c r="G67" s="517"/>
      <c r="H67" s="517"/>
      <c r="I67" s="436"/>
      <c r="J67" s="242" t="e">
        <f t="shared" si="23"/>
        <v>#DIV/0!</v>
      </c>
      <c r="K67" s="322"/>
      <c r="L67" s="242" t="e">
        <f t="shared" si="24"/>
        <v>#DIV/0!</v>
      </c>
      <c r="M67" s="227">
        <f t="shared" si="25"/>
        <v>0</v>
      </c>
      <c r="N67" s="242" t="e">
        <f t="shared" si="26"/>
        <v>#DIV/0!</v>
      </c>
      <c r="O67" s="322"/>
      <c r="P67" s="242" t="e">
        <f t="shared" si="27"/>
        <v>#DIV/0!</v>
      </c>
      <c r="Q67" s="322"/>
      <c r="R67" s="242" t="e">
        <f t="shared" si="28"/>
        <v>#DIV/0!</v>
      </c>
      <c r="S67" s="227">
        <f t="shared" si="29"/>
        <v>0</v>
      </c>
      <c r="T67" s="242" t="e">
        <f t="shared" si="30"/>
        <v>#DIV/0!</v>
      </c>
      <c r="U67" s="322"/>
      <c r="V67" s="242" t="e">
        <f t="shared" si="31"/>
        <v>#DIV/0!</v>
      </c>
      <c r="W67" s="322"/>
      <c r="X67" s="242" t="e">
        <f t="shared" si="32"/>
        <v>#DIV/0!</v>
      </c>
      <c r="Y67" s="322"/>
      <c r="Z67" s="242" t="e">
        <f t="shared" si="33"/>
        <v>#DIV/0!</v>
      </c>
      <c r="AA67" s="322"/>
      <c r="AB67" s="242" t="e">
        <f t="shared" si="34"/>
        <v>#DIV/0!</v>
      </c>
      <c r="AC67" s="227">
        <f t="shared" si="35"/>
        <v>0</v>
      </c>
      <c r="AD67" s="242" t="e">
        <f t="shared" si="36"/>
        <v>#DIV/0!</v>
      </c>
      <c r="AE67" s="322"/>
      <c r="AF67" s="242" t="e">
        <f t="shared" si="37"/>
        <v>#DIV/0!</v>
      </c>
      <c r="AG67" s="322"/>
      <c r="AH67" s="242" t="e">
        <f t="shared" si="38"/>
        <v>#DIV/0!</v>
      </c>
      <c r="AI67" s="322"/>
      <c r="AJ67" s="242" t="e">
        <f t="shared" si="39"/>
        <v>#DIV/0!</v>
      </c>
      <c r="AK67" s="322"/>
      <c r="AL67" s="242" t="e">
        <f t="shared" si="40"/>
        <v>#DIV/0!</v>
      </c>
    </row>
    <row r="68" spans="2:38" s="73" customFormat="1" ht="13.5">
      <c r="B68" s="498"/>
      <c r="C68" s="502" t="s">
        <v>112</v>
      </c>
      <c r="D68" s="173">
        <v>46082</v>
      </c>
      <c r="E68" s="173" t="s">
        <v>116</v>
      </c>
      <c r="F68" s="339"/>
      <c r="G68" s="517"/>
      <c r="H68" s="226"/>
      <c r="I68" s="436"/>
      <c r="J68" s="242" t="e">
        <f t="shared" si="23"/>
        <v>#DIV/0!</v>
      </c>
      <c r="K68" s="322"/>
      <c r="L68" s="242" t="e">
        <f t="shared" si="24"/>
        <v>#DIV/0!</v>
      </c>
      <c r="M68" s="227">
        <f>I68+K68</f>
        <v>0</v>
      </c>
      <c r="N68" s="242" t="e">
        <f t="shared" si="26"/>
        <v>#DIV/0!</v>
      </c>
      <c r="O68" s="322"/>
      <c r="P68" s="242" t="e">
        <f t="shared" si="27"/>
        <v>#DIV/0!</v>
      </c>
      <c r="Q68" s="322"/>
      <c r="R68" s="242" t="e">
        <f t="shared" si="28"/>
        <v>#DIV/0!</v>
      </c>
      <c r="S68" s="227">
        <f t="shared" si="29"/>
        <v>0</v>
      </c>
      <c r="T68" s="242" t="e">
        <f t="shared" si="30"/>
        <v>#DIV/0!</v>
      </c>
      <c r="U68" s="322"/>
      <c r="V68" s="242" t="e">
        <f t="shared" si="31"/>
        <v>#DIV/0!</v>
      </c>
      <c r="W68" s="322"/>
      <c r="X68" s="242" t="e">
        <f t="shared" si="32"/>
        <v>#DIV/0!</v>
      </c>
      <c r="Y68" s="322"/>
      <c r="Z68" s="242" t="e">
        <f t="shared" si="33"/>
        <v>#DIV/0!</v>
      </c>
      <c r="AA68" s="322"/>
      <c r="AB68" s="242" t="e">
        <f t="shared" si="34"/>
        <v>#DIV/0!</v>
      </c>
      <c r="AC68" s="227">
        <f t="shared" si="35"/>
        <v>0</v>
      </c>
      <c r="AD68" s="242" t="e">
        <f t="shared" si="36"/>
        <v>#DIV/0!</v>
      </c>
      <c r="AE68" s="322"/>
      <c r="AF68" s="242" t="e">
        <f t="shared" si="37"/>
        <v>#DIV/0!</v>
      </c>
      <c r="AG68" s="322"/>
      <c r="AH68" s="242" t="e">
        <f t="shared" si="38"/>
        <v>#DIV/0!</v>
      </c>
      <c r="AI68" s="322"/>
      <c r="AJ68" s="242" t="e">
        <f t="shared" si="39"/>
        <v>#DIV/0!</v>
      </c>
      <c r="AK68" s="322"/>
      <c r="AL68" s="242" t="e">
        <f t="shared" si="40"/>
        <v>#DIV/0!</v>
      </c>
    </row>
    <row r="69" spans="2:38" s="73" customFormat="1" ht="13.5">
      <c r="B69" s="499"/>
      <c r="C69" s="503"/>
      <c r="D69" s="173">
        <v>46083</v>
      </c>
      <c r="E69" s="173" t="s">
        <v>117</v>
      </c>
      <c r="F69" s="339"/>
      <c r="G69" s="517"/>
      <c r="H69" s="226"/>
      <c r="I69" s="436"/>
      <c r="J69" s="242" t="e">
        <f t="shared" si="23"/>
        <v>#DIV/0!</v>
      </c>
      <c r="K69" s="322"/>
      <c r="L69" s="242" t="e">
        <f t="shared" si="24"/>
        <v>#DIV/0!</v>
      </c>
      <c r="M69" s="227">
        <f t="shared" si="25"/>
        <v>0</v>
      </c>
      <c r="N69" s="242" t="e">
        <f t="shared" si="26"/>
        <v>#DIV/0!</v>
      </c>
      <c r="O69" s="322"/>
      <c r="P69" s="242" t="e">
        <f t="shared" si="27"/>
        <v>#DIV/0!</v>
      </c>
      <c r="Q69" s="322"/>
      <c r="R69" s="242" t="e">
        <f t="shared" si="28"/>
        <v>#DIV/0!</v>
      </c>
      <c r="S69" s="227">
        <f t="shared" si="29"/>
        <v>0</v>
      </c>
      <c r="T69" s="242" t="e">
        <f t="shared" si="30"/>
        <v>#DIV/0!</v>
      </c>
      <c r="U69" s="322"/>
      <c r="V69" s="242" t="e">
        <f t="shared" si="31"/>
        <v>#DIV/0!</v>
      </c>
      <c r="W69" s="322"/>
      <c r="X69" s="242" t="e">
        <f t="shared" si="32"/>
        <v>#DIV/0!</v>
      </c>
      <c r="Y69" s="322"/>
      <c r="Z69" s="242" t="e">
        <f t="shared" si="33"/>
        <v>#DIV/0!</v>
      </c>
      <c r="AA69" s="322"/>
      <c r="AB69" s="242" t="e">
        <f t="shared" si="34"/>
        <v>#DIV/0!</v>
      </c>
      <c r="AC69" s="227">
        <f t="shared" si="35"/>
        <v>0</v>
      </c>
      <c r="AD69" s="242" t="e">
        <f t="shared" si="36"/>
        <v>#DIV/0!</v>
      </c>
      <c r="AE69" s="322"/>
      <c r="AF69" s="242" t="e">
        <f t="shared" si="37"/>
        <v>#DIV/0!</v>
      </c>
      <c r="AG69" s="322"/>
      <c r="AH69" s="242" t="e">
        <f t="shared" si="38"/>
        <v>#DIV/0!</v>
      </c>
      <c r="AI69" s="322"/>
      <c r="AJ69" s="242" t="e">
        <f t="shared" si="39"/>
        <v>#DIV/0!</v>
      </c>
      <c r="AK69" s="322"/>
      <c r="AL69" s="242" t="e">
        <f t="shared" si="40"/>
        <v>#DIV/0!</v>
      </c>
    </row>
    <row r="70" spans="2:38">
      <c r="H70" s="216"/>
    </row>
  </sheetData>
  <mergeCells count="58">
    <mergeCell ref="H40:H67"/>
    <mergeCell ref="H7:H8"/>
    <mergeCell ref="G28:G34"/>
    <mergeCell ref="G35:G41"/>
    <mergeCell ref="G42:G48"/>
    <mergeCell ref="G49:G55"/>
    <mergeCell ref="G56:G62"/>
    <mergeCell ref="G7:G13"/>
    <mergeCell ref="G14:G20"/>
    <mergeCell ref="G21:G27"/>
    <mergeCell ref="I4:N4"/>
    <mergeCell ref="B7:B13"/>
    <mergeCell ref="C7:C8"/>
    <mergeCell ref="C9:C39"/>
    <mergeCell ref="B14:B20"/>
    <mergeCell ref="B21:B27"/>
    <mergeCell ref="B28:B34"/>
    <mergeCell ref="B35:B41"/>
    <mergeCell ref="C40:C67"/>
    <mergeCell ref="B42:B48"/>
    <mergeCell ref="B49:B55"/>
    <mergeCell ref="B56:B62"/>
    <mergeCell ref="B63:B69"/>
    <mergeCell ref="C68:C69"/>
    <mergeCell ref="G63:G69"/>
    <mergeCell ref="H9:H39"/>
    <mergeCell ref="B3:B6"/>
    <mergeCell ref="C3:C6"/>
    <mergeCell ref="G5:G6"/>
    <mergeCell ref="M5:N5"/>
    <mergeCell ref="H5:H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F5:F6"/>
    <mergeCell ref="D3:E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91"/>
  <sheetViews>
    <sheetView zoomScale="85" zoomScaleNormal="85" workbookViewId="0">
      <pane xSplit="13" ySplit="1" topLeftCell="AC116" activePane="bottomRight" state="frozen"/>
      <selection activeCell="E31" sqref="E31"/>
      <selection pane="topRight" activeCell="E31" sqref="E31"/>
      <selection pane="bottomLeft" activeCell="E31" sqref="E31"/>
      <selection pane="bottomRight" activeCell="AH122" sqref="AH122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80" customWidth="1"/>
    <col min="15" max="15" width="7.1796875" style="180" customWidth="1" collapsed="1"/>
    <col min="16" max="16" width="7.7265625" style="180" customWidth="1"/>
    <col min="17" max="18" width="8.7265625" style="180" customWidth="1"/>
    <col min="19" max="19" width="9.54296875" style="180" bestFit="1" customWidth="1"/>
    <col min="20" max="20" width="10.7265625" style="180" customWidth="1"/>
    <col min="21" max="21" width="7.7265625" style="181" customWidth="1"/>
    <col min="22" max="23" width="8.7265625" style="181" customWidth="1"/>
    <col min="24" max="24" width="5.453125" style="180" customWidth="1"/>
    <col min="25" max="25" width="10.7265625" style="181" customWidth="1"/>
    <col min="26" max="26" width="7.7265625" style="181" customWidth="1"/>
    <col min="27" max="28" width="8.7265625" style="181" customWidth="1"/>
    <col min="29" max="29" width="5.453125" style="180" customWidth="1"/>
    <col min="30" max="30" width="10.7265625" style="181" customWidth="1"/>
    <col min="31" max="31" width="7.7265625" style="181" customWidth="1"/>
    <col min="32" max="33" width="8.7265625" style="181" customWidth="1"/>
    <col min="34" max="34" width="5.453125" style="180" customWidth="1"/>
    <col min="35" max="35" width="10.7265625" style="181" customWidth="1"/>
    <col min="36" max="36" width="7.7265625" style="181" customWidth="1"/>
    <col min="37" max="38" width="8.7265625" style="181" customWidth="1"/>
    <col min="39" max="39" width="5.453125" style="180" customWidth="1"/>
    <col min="40" max="40" width="10.7265625" style="181" customWidth="1"/>
    <col min="41" max="41" width="7.7265625" style="181" customWidth="1"/>
    <col min="42" max="43" width="8.7265625" style="181" customWidth="1"/>
    <col min="44" max="44" width="5.453125" style="181" customWidth="1"/>
    <col min="45" max="45" width="10.7265625" style="181" customWidth="1"/>
    <col min="46" max="46" width="7.7265625" style="181" customWidth="1"/>
    <col min="47" max="48" width="8.7265625" style="181" customWidth="1"/>
    <col min="49" max="49" width="5.453125" style="181" customWidth="1"/>
    <col min="50" max="50" width="10.7265625" style="181" customWidth="1"/>
    <col min="51" max="16384" width="8.81640625" style="78"/>
  </cols>
  <sheetData>
    <row r="1" spans="1:50" ht="24.5">
      <c r="A1" s="74"/>
      <c r="B1" s="374" t="s">
        <v>599</v>
      </c>
      <c r="C1" s="177">
        <f>AVERAGE(L7,L45,L83,L121,L159)</f>
        <v>768.29723629859404</v>
      </c>
    </row>
    <row r="2" spans="1:50" collapsed="1">
      <c r="B2" s="545" t="s">
        <v>522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57"/>
      <c r="N2" s="550" t="s">
        <v>383</v>
      </c>
      <c r="O2" s="550" t="s">
        <v>105</v>
      </c>
      <c r="P2" s="523">
        <v>46021</v>
      </c>
      <c r="Q2" s="524"/>
      <c r="R2" s="524"/>
      <c r="S2" s="524"/>
      <c r="T2" s="525"/>
      <c r="U2" s="560">
        <f>P2+1</f>
        <v>46022</v>
      </c>
      <c r="V2" s="561"/>
      <c r="W2" s="561"/>
      <c r="X2" s="561"/>
      <c r="Y2" s="562"/>
      <c r="Z2" s="523">
        <f t="shared" ref="Z2" si="0">U2+1</f>
        <v>46023</v>
      </c>
      <c r="AA2" s="524"/>
      <c r="AB2" s="524"/>
      <c r="AC2" s="524"/>
      <c r="AD2" s="525"/>
      <c r="AE2" s="560">
        <f t="shared" ref="AE2" si="1">Z2+1</f>
        <v>46024</v>
      </c>
      <c r="AF2" s="561"/>
      <c r="AG2" s="561"/>
      <c r="AH2" s="561"/>
      <c r="AI2" s="562"/>
      <c r="AJ2" s="523">
        <f t="shared" ref="AJ2" si="2">AE2+1</f>
        <v>46025</v>
      </c>
      <c r="AK2" s="524"/>
      <c r="AL2" s="524"/>
      <c r="AM2" s="524"/>
      <c r="AN2" s="525"/>
      <c r="AO2" s="560">
        <f t="shared" ref="AO2" si="3">AJ2+1</f>
        <v>46026</v>
      </c>
      <c r="AP2" s="561"/>
      <c r="AQ2" s="561"/>
      <c r="AR2" s="561"/>
      <c r="AS2" s="562"/>
      <c r="AT2" s="523">
        <f t="shared" ref="AT2" si="4">AO2+1</f>
        <v>46027</v>
      </c>
      <c r="AU2" s="524"/>
      <c r="AV2" s="524"/>
      <c r="AW2" s="524"/>
      <c r="AX2" s="525"/>
    </row>
    <row r="3" spans="1:50" ht="14.25" customHeight="1"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9"/>
      <c r="N3" s="551"/>
      <c r="O3" s="551"/>
      <c r="P3" s="526">
        <f>P2</f>
        <v>46021</v>
      </c>
      <c r="Q3" s="527"/>
      <c r="R3" s="527"/>
      <c r="S3" s="527"/>
      <c r="T3" s="528"/>
      <c r="U3" s="529">
        <f>U2</f>
        <v>46022</v>
      </c>
      <c r="V3" s="530"/>
      <c r="W3" s="530"/>
      <c r="X3" s="530"/>
      <c r="Y3" s="531"/>
      <c r="Z3" s="526">
        <f t="shared" ref="Z3" si="5">Z2</f>
        <v>46023</v>
      </c>
      <c r="AA3" s="527"/>
      <c r="AB3" s="527"/>
      <c r="AC3" s="527"/>
      <c r="AD3" s="528"/>
      <c r="AE3" s="529">
        <f t="shared" ref="AE3" si="6">AE2</f>
        <v>46024</v>
      </c>
      <c r="AF3" s="530"/>
      <c r="AG3" s="530"/>
      <c r="AH3" s="530"/>
      <c r="AI3" s="531"/>
      <c r="AJ3" s="526">
        <f t="shared" ref="AJ3" si="7">AJ2</f>
        <v>46025</v>
      </c>
      <c r="AK3" s="527"/>
      <c r="AL3" s="527"/>
      <c r="AM3" s="527"/>
      <c r="AN3" s="528"/>
      <c r="AO3" s="529">
        <f t="shared" ref="AO3" si="8">AO2</f>
        <v>46026</v>
      </c>
      <c r="AP3" s="530"/>
      <c r="AQ3" s="530"/>
      <c r="AR3" s="530"/>
      <c r="AS3" s="531"/>
      <c r="AT3" s="526">
        <f t="shared" ref="AT3" si="9">AT2</f>
        <v>46027</v>
      </c>
      <c r="AU3" s="527"/>
      <c r="AV3" s="527"/>
      <c r="AW3" s="527"/>
      <c r="AX3" s="528"/>
    </row>
    <row r="4" spans="1:50" ht="14.25" customHeight="1">
      <c r="B4" s="563" t="s">
        <v>164</v>
      </c>
      <c r="C4" s="572" t="s">
        <v>159</v>
      </c>
      <c r="D4" s="573"/>
      <c r="E4" s="578" t="s">
        <v>160</v>
      </c>
      <c r="F4" s="579"/>
      <c r="G4" s="580"/>
      <c r="H4" s="563" t="s">
        <v>165</v>
      </c>
      <c r="I4" s="581" t="s">
        <v>384</v>
      </c>
      <c r="J4" s="582"/>
      <c r="K4" s="583"/>
      <c r="L4" s="584" t="s">
        <v>165</v>
      </c>
      <c r="M4" s="584" t="s">
        <v>167</v>
      </c>
      <c r="N4" s="587"/>
      <c r="O4" s="550" t="s">
        <v>166</v>
      </c>
      <c r="P4" s="533" t="s">
        <v>162</v>
      </c>
      <c r="Q4" s="534"/>
      <c r="R4" s="534"/>
      <c r="S4" s="535"/>
      <c r="T4" s="550" t="s">
        <v>165</v>
      </c>
      <c r="U4" s="533" t="s">
        <v>162</v>
      </c>
      <c r="V4" s="534"/>
      <c r="W4" s="534"/>
      <c r="X4" s="535"/>
      <c r="Y4" s="550" t="s">
        <v>165</v>
      </c>
      <c r="Z4" s="533" t="s">
        <v>162</v>
      </c>
      <c r="AA4" s="534"/>
      <c r="AB4" s="534"/>
      <c r="AC4" s="535"/>
      <c r="AD4" s="550" t="s">
        <v>165</v>
      </c>
      <c r="AE4" s="533" t="s">
        <v>162</v>
      </c>
      <c r="AF4" s="534"/>
      <c r="AG4" s="534"/>
      <c r="AH4" s="535"/>
      <c r="AI4" s="550" t="s">
        <v>165</v>
      </c>
      <c r="AJ4" s="533" t="s">
        <v>162</v>
      </c>
      <c r="AK4" s="534"/>
      <c r="AL4" s="534"/>
      <c r="AM4" s="535"/>
      <c r="AN4" s="550" t="s">
        <v>165</v>
      </c>
      <c r="AO4" s="533" t="s">
        <v>162</v>
      </c>
      <c r="AP4" s="534"/>
      <c r="AQ4" s="534"/>
      <c r="AR4" s="535"/>
      <c r="AS4" s="550" t="s">
        <v>165</v>
      </c>
      <c r="AT4" s="533" t="s">
        <v>162</v>
      </c>
      <c r="AU4" s="534"/>
      <c r="AV4" s="534"/>
      <c r="AW4" s="535"/>
      <c r="AX4" s="550" t="s">
        <v>165</v>
      </c>
    </row>
    <row r="5" spans="1:50" ht="14.25" customHeight="1">
      <c r="B5" s="564"/>
      <c r="C5" s="574"/>
      <c r="D5" s="575"/>
      <c r="E5" s="578" t="s">
        <v>385</v>
      </c>
      <c r="F5" s="579"/>
      <c r="G5" s="580"/>
      <c r="H5" s="564"/>
      <c r="I5" s="581" t="s">
        <v>385</v>
      </c>
      <c r="J5" s="582"/>
      <c r="K5" s="583"/>
      <c r="L5" s="585"/>
      <c r="M5" s="585"/>
      <c r="N5" s="588"/>
      <c r="O5" s="556"/>
      <c r="P5" s="533" t="s">
        <v>386</v>
      </c>
      <c r="Q5" s="534"/>
      <c r="R5" s="534"/>
      <c r="S5" s="535"/>
      <c r="T5" s="556"/>
      <c r="U5" s="533" t="s">
        <v>386</v>
      </c>
      <c r="V5" s="534"/>
      <c r="W5" s="534"/>
      <c r="X5" s="535"/>
      <c r="Y5" s="556"/>
      <c r="Z5" s="533" t="s">
        <v>386</v>
      </c>
      <c r="AA5" s="534"/>
      <c r="AB5" s="534"/>
      <c r="AC5" s="535"/>
      <c r="AD5" s="556"/>
      <c r="AE5" s="533" t="s">
        <v>386</v>
      </c>
      <c r="AF5" s="534"/>
      <c r="AG5" s="534"/>
      <c r="AH5" s="535"/>
      <c r="AI5" s="556"/>
      <c r="AJ5" s="533" t="s">
        <v>386</v>
      </c>
      <c r="AK5" s="534"/>
      <c r="AL5" s="534"/>
      <c r="AM5" s="535"/>
      <c r="AN5" s="556"/>
      <c r="AO5" s="533" t="s">
        <v>386</v>
      </c>
      <c r="AP5" s="534"/>
      <c r="AQ5" s="534"/>
      <c r="AR5" s="535"/>
      <c r="AS5" s="556"/>
      <c r="AT5" s="533" t="s">
        <v>386</v>
      </c>
      <c r="AU5" s="534"/>
      <c r="AV5" s="534"/>
      <c r="AW5" s="535"/>
      <c r="AX5" s="556"/>
    </row>
    <row r="6" spans="1:50" ht="14.25" customHeight="1">
      <c r="A6" s="179"/>
      <c r="B6" s="565"/>
      <c r="C6" s="576"/>
      <c r="D6" s="577"/>
      <c r="E6" s="182" t="s">
        <v>161</v>
      </c>
      <c r="F6" s="182" t="s">
        <v>387</v>
      </c>
      <c r="G6" s="182" t="s">
        <v>163</v>
      </c>
      <c r="H6" s="565"/>
      <c r="I6" s="183" t="s">
        <v>161</v>
      </c>
      <c r="J6" s="183" t="s">
        <v>387</v>
      </c>
      <c r="K6" s="183" t="s">
        <v>163</v>
      </c>
      <c r="L6" s="586"/>
      <c r="M6" s="586"/>
      <c r="N6" s="588"/>
      <c r="O6" s="556"/>
      <c r="P6" s="184" t="s">
        <v>161</v>
      </c>
      <c r="Q6" s="184" t="s">
        <v>387</v>
      </c>
      <c r="R6" s="184" t="s">
        <v>163</v>
      </c>
      <c r="S6" s="184" t="s">
        <v>167</v>
      </c>
      <c r="T6" s="551"/>
      <c r="U6" s="184" t="s">
        <v>161</v>
      </c>
      <c r="V6" s="184" t="s">
        <v>387</v>
      </c>
      <c r="W6" s="184" t="s">
        <v>163</v>
      </c>
      <c r="X6" s="184" t="s">
        <v>167</v>
      </c>
      <c r="Y6" s="551"/>
      <c r="Z6" s="184" t="s">
        <v>161</v>
      </c>
      <c r="AA6" s="184" t="s">
        <v>387</v>
      </c>
      <c r="AB6" s="184" t="s">
        <v>163</v>
      </c>
      <c r="AC6" s="184" t="s">
        <v>167</v>
      </c>
      <c r="AD6" s="551"/>
      <c r="AE6" s="184" t="s">
        <v>161</v>
      </c>
      <c r="AF6" s="184" t="s">
        <v>387</v>
      </c>
      <c r="AG6" s="184" t="s">
        <v>163</v>
      </c>
      <c r="AH6" s="184" t="s">
        <v>167</v>
      </c>
      <c r="AI6" s="551"/>
      <c r="AJ6" s="184" t="s">
        <v>161</v>
      </c>
      <c r="AK6" s="184" t="s">
        <v>387</v>
      </c>
      <c r="AL6" s="184" t="s">
        <v>163</v>
      </c>
      <c r="AM6" s="184" t="s">
        <v>167</v>
      </c>
      <c r="AN6" s="551"/>
      <c r="AO6" s="184" t="s">
        <v>161</v>
      </c>
      <c r="AP6" s="184" t="s">
        <v>387</v>
      </c>
      <c r="AQ6" s="184" t="s">
        <v>163</v>
      </c>
      <c r="AR6" s="184" t="s">
        <v>167</v>
      </c>
      <c r="AS6" s="551"/>
      <c r="AT6" s="184" t="s">
        <v>161</v>
      </c>
      <c r="AU6" s="184" t="s">
        <v>387</v>
      </c>
      <c r="AV6" s="184" t="s">
        <v>163</v>
      </c>
      <c r="AW6" s="184" t="s">
        <v>167</v>
      </c>
      <c r="AX6" s="551"/>
    </row>
    <row r="7" spans="1:50" ht="14.25" customHeight="1">
      <c r="B7" s="563" t="s">
        <v>388</v>
      </c>
      <c r="C7" s="182">
        <v>1</v>
      </c>
      <c r="D7" s="185" t="s">
        <v>413</v>
      </c>
      <c r="E7" s="186">
        <v>4</v>
      </c>
      <c r="F7" s="182">
        <v>3300</v>
      </c>
      <c r="G7" s="187">
        <f>F7/E7</f>
        <v>825</v>
      </c>
      <c r="H7" s="566">
        <f>AVERAGE(G7:G39)</f>
        <v>877.33333333333337</v>
      </c>
      <c r="I7" s="188">
        <f>AVERAGE(P7,U7,Z7,AE7,AJ7,AO7,AT7)</f>
        <v>4</v>
      </c>
      <c r="J7" s="188">
        <f>AVERAGE(Q7,V7,AA7,AF7,AK7,AP7,AU7)</f>
        <v>2947.9246378460603</v>
      </c>
      <c r="K7" s="189">
        <f>AVERAGE(R7,W7,AB7,AG7,AL7,AQ7,AV7)</f>
        <v>736.98115946151506</v>
      </c>
      <c r="L7" s="569">
        <f>IFERROR(AVERAGE(K7:K39),"-")</f>
        <v>771.71209621722289</v>
      </c>
      <c r="M7" s="188">
        <f>RANK(K7, K$7:$K$39)</f>
        <v>13</v>
      </c>
      <c r="N7" s="588"/>
      <c r="O7" s="556"/>
      <c r="P7" s="190">
        <v>4</v>
      </c>
      <c r="Q7" s="190">
        <v>2947.26919878015</v>
      </c>
      <c r="R7" s="187">
        <f t="shared" ref="R7:R35" si="10">Q7/P7</f>
        <v>736.81729969503749</v>
      </c>
      <c r="S7" s="184">
        <f>RANK(R7, R$7:R$39)</f>
        <v>13</v>
      </c>
      <c r="T7" s="553">
        <f>AVERAGE(R7:R39)</f>
        <v>773.38304714884794</v>
      </c>
      <c r="U7" s="190">
        <v>4</v>
      </c>
      <c r="V7" s="190">
        <v>2947.2763419483085</v>
      </c>
      <c r="W7" s="187">
        <f t="shared" ref="W7:W35" si="11">V7/U7</f>
        <v>736.81908548707713</v>
      </c>
      <c r="X7" s="184">
        <f>RANK(W7, W$7:W$39)</f>
        <v>13</v>
      </c>
      <c r="Y7" s="553">
        <f>AVERAGE(W7:W39)</f>
        <v>774.0228252491637</v>
      </c>
      <c r="Z7" s="190">
        <v>4</v>
      </c>
      <c r="AA7" s="190">
        <v>2947.5501113585728</v>
      </c>
      <c r="AB7" s="187">
        <f t="shared" ref="AB7:AB35" si="12">AA7/Z7</f>
        <v>736.88752783964321</v>
      </c>
      <c r="AC7" s="184">
        <f>RANK(AB7, AB$7:AB$39)</f>
        <v>13</v>
      </c>
      <c r="AD7" s="553">
        <f>AVERAGE(AB7:AB39)</f>
        <v>774.59424657933209</v>
      </c>
      <c r="AE7" s="190">
        <v>4</v>
      </c>
      <c r="AF7" s="190">
        <v>2947.9591836734689</v>
      </c>
      <c r="AG7" s="187">
        <f t="shared" ref="AG7:AG35" si="13">AF7/AE7</f>
        <v>736.98979591836724</v>
      </c>
      <c r="AH7" s="184">
        <f>RANK(AG7, AG$7:AG$39)</f>
        <v>13</v>
      </c>
      <c r="AI7" s="553">
        <f>AVERAGE(AG7:AG39)</f>
        <v>775.15995743440737</v>
      </c>
      <c r="AJ7" s="190">
        <v>4</v>
      </c>
      <c r="AK7" s="190">
        <v>2948.5179407176279</v>
      </c>
      <c r="AL7" s="187">
        <f t="shared" ref="AL7:AL35" si="14">AK7/AJ7</f>
        <v>737.12948517940697</v>
      </c>
      <c r="AM7" s="184">
        <f>RANK(AL7, AL$7:AL$39)</f>
        <v>13</v>
      </c>
      <c r="AN7" s="553">
        <f>AVERAGE(AL7:AL39)</f>
        <v>775.64040117792001</v>
      </c>
      <c r="AO7" s="190">
        <v>4</v>
      </c>
      <c r="AP7" s="190">
        <v>2948.3568075117337</v>
      </c>
      <c r="AQ7" s="187">
        <f t="shared" ref="AQ7:AQ35" si="15">AP7/AO7</f>
        <v>737.08920187793342</v>
      </c>
      <c r="AR7" s="184">
        <f>RANK(AQ7, AQ$7:AQ$39)</f>
        <v>13</v>
      </c>
      <c r="AS7" s="553">
        <f>AVERAGE(AQ7:AQ39)</f>
        <v>776.13678481233751</v>
      </c>
      <c r="AT7" s="190">
        <v>4</v>
      </c>
      <c r="AU7" s="190">
        <v>2948.5428809325585</v>
      </c>
      <c r="AV7" s="187">
        <f t="shared" ref="AV7:AV36" si="16">AU7/AT7</f>
        <v>737.13572023313964</v>
      </c>
      <c r="AW7" s="184">
        <f>RANK(AV7, AV$7:AV$39)</f>
        <v>13</v>
      </c>
      <c r="AX7" s="553">
        <f>AVERAGE(AV7:AV39)</f>
        <v>773.34457612894062</v>
      </c>
    </row>
    <row r="8" spans="1:50" ht="14.25" customHeight="1">
      <c r="B8" s="564"/>
      <c r="C8" s="182">
        <v>2</v>
      </c>
      <c r="D8" s="185" t="s">
        <v>411</v>
      </c>
      <c r="E8" s="186">
        <v>3</v>
      </c>
      <c r="F8" s="182">
        <v>3600</v>
      </c>
      <c r="G8" s="187">
        <f t="shared" ref="G8:G27" si="17">F8/E8</f>
        <v>1200</v>
      </c>
      <c r="H8" s="567"/>
      <c r="I8" s="188">
        <f t="shared" ref="I8:K35" si="18">AVERAGE(P8,U8,Z8,AE8,AJ8,AO8,AT8)</f>
        <v>3</v>
      </c>
      <c r="J8" s="188">
        <f t="shared" si="18"/>
        <v>3113.3641684703521</v>
      </c>
      <c r="K8" s="189">
        <f t="shared" si="18"/>
        <v>1037.7880561567838</v>
      </c>
      <c r="L8" s="570"/>
      <c r="M8" s="188">
        <f>RANK(K8, K$7:$K$39)</f>
        <v>6</v>
      </c>
      <c r="N8" s="588"/>
      <c r="O8" s="556"/>
      <c r="P8" s="190">
        <v>3</v>
      </c>
      <c r="Q8" s="190">
        <v>3112.7470638785453</v>
      </c>
      <c r="R8" s="187">
        <f t="shared" si="10"/>
        <v>1037.5823546261818</v>
      </c>
      <c r="S8" s="184">
        <f t="shared" ref="S8:S35" si="19">RANK(R8, R$7:R$39)</f>
        <v>6</v>
      </c>
      <c r="T8" s="554"/>
      <c r="U8" s="190">
        <v>3</v>
      </c>
      <c r="V8" s="190">
        <v>3112.6367732246317</v>
      </c>
      <c r="W8" s="187">
        <f t="shared" si="11"/>
        <v>1037.5455910748772</v>
      </c>
      <c r="X8" s="184">
        <f t="shared" ref="X8:X35" si="20">RANK(W8, W$7:W$39)</f>
        <v>6</v>
      </c>
      <c r="Y8" s="554"/>
      <c r="Z8" s="190">
        <v>3</v>
      </c>
      <c r="AA8" s="190">
        <v>3112.6034958601667</v>
      </c>
      <c r="AB8" s="187">
        <f t="shared" si="12"/>
        <v>1037.5344986200555</v>
      </c>
      <c r="AC8" s="184">
        <f t="shared" ref="AC8:AC35" si="21">RANK(AB8, AB$7:AB$39)</f>
        <v>6</v>
      </c>
      <c r="AD8" s="554"/>
      <c r="AE8" s="190">
        <v>3</v>
      </c>
      <c r="AF8" s="190">
        <v>3112.6880061704596</v>
      </c>
      <c r="AG8" s="187">
        <f t="shared" si="13"/>
        <v>1037.5626687234865</v>
      </c>
      <c r="AH8" s="184">
        <f t="shared" ref="AH8:AH35" si="22">RANK(AG8, AG$7:AG$39)</f>
        <v>5</v>
      </c>
      <c r="AI8" s="554"/>
      <c r="AJ8" s="190">
        <v>3</v>
      </c>
      <c r="AK8" s="190">
        <v>3113.1270903010018</v>
      </c>
      <c r="AL8" s="187">
        <f t="shared" si="14"/>
        <v>1037.7090301003338</v>
      </c>
      <c r="AM8" s="184">
        <f t="shared" ref="AM8:AM35" si="23">RANK(AL8, AL$7:AL$39)</f>
        <v>4</v>
      </c>
      <c r="AN8" s="554"/>
      <c r="AO8" s="190">
        <v>3</v>
      </c>
      <c r="AP8" s="190">
        <v>3112.985386221294</v>
      </c>
      <c r="AQ8" s="187">
        <f t="shared" si="15"/>
        <v>1037.661795407098</v>
      </c>
      <c r="AR8" s="184">
        <f t="shared" ref="AR8:AR35" si="24">RANK(AQ8, AQ$7:AQ$39)</f>
        <v>6</v>
      </c>
      <c r="AS8" s="554"/>
      <c r="AT8" s="190">
        <v>3</v>
      </c>
      <c r="AU8" s="190">
        <v>3116.7613636363635</v>
      </c>
      <c r="AV8" s="187">
        <f t="shared" si="16"/>
        <v>1038.9204545454545</v>
      </c>
      <c r="AW8" s="184">
        <f t="shared" ref="AW8:AW36" si="25">RANK(AV8, AV$7:AV$39)</f>
        <v>3</v>
      </c>
      <c r="AX8" s="554"/>
    </row>
    <row r="9" spans="1:50" ht="14.25" customHeight="1">
      <c r="B9" s="564"/>
      <c r="C9" s="182">
        <v>3</v>
      </c>
      <c r="D9" s="185" t="s">
        <v>412</v>
      </c>
      <c r="E9" s="186">
        <v>4</v>
      </c>
      <c r="F9" s="182">
        <v>3300</v>
      </c>
      <c r="G9" s="187">
        <f t="shared" si="17"/>
        <v>825</v>
      </c>
      <c r="H9" s="567"/>
      <c r="I9" s="188">
        <f t="shared" si="18"/>
        <v>4</v>
      </c>
      <c r="J9" s="188">
        <f t="shared" si="18"/>
        <v>2941.7916127347498</v>
      </c>
      <c r="K9" s="189">
        <f t="shared" si="18"/>
        <v>735.44790318368746</v>
      </c>
      <c r="L9" s="570"/>
      <c r="M9" s="188">
        <f>RANK(K9, K$7:$K$39)</f>
        <v>17</v>
      </c>
      <c r="N9" s="588"/>
      <c r="O9" s="556"/>
      <c r="P9" s="190">
        <v>4</v>
      </c>
      <c r="Q9" s="190">
        <v>2941.4484869092134</v>
      </c>
      <c r="R9" s="187">
        <f t="shared" si="10"/>
        <v>735.36212172730336</v>
      </c>
      <c r="S9" s="184">
        <f>RANK(R9, R$7:R$39)</f>
        <v>17</v>
      </c>
      <c r="T9" s="554"/>
      <c r="U9" s="190">
        <v>4</v>
      </c>
      <c r="V9" s="190">
        <v>2941.7505030181055</v>
      </c>
      <c r="W9" s="187">
        <f t="shared" si="11"/>
        <v>735.43762575452638</v>
      </c>
      <c r="X9" s="184">
        <f>RANK(W9, W$7:W$39)</f>
        <v>17</v>
      </c>
      <c r="Y9" s="554"/>
      <c r="Z9" s="190">
        <v>4</v>
      </c>
      <c r="AA9" s="190">
        <v>2941.6955332725611</v>
      </c>
      <c r="AB9" s="187">
        <f t="shared" si="12"/>
        <v>735.42388331814027</v>
      </c>
      <c r="AC9" s="184">
        <f>RANK(AB9, AB$7:AB$39)</f>
        <v>17</v>
      </c>
      <c r="AD9" s="554"/>
      <c r="AE9" s="190">
        <v>4</v>
      </c>
      <c r="AF9" s="190">
        <v>2941.8305084745757</v>
      </c>
      <c r="AG9" s="187">
        <f t="shared" si="13"/>
        <v>735.45762711864393</v>
      </c>
      <c r="AH9" s="184">
        <f>RANK(AG9, AG$7:AG$39)</f>
        <v>17</v>
      </c>
      <c r="AI9" s="554"/>
      <c r="AJ9" s="190">
        <v>4</v>
      </c>
      <c r="AK9" s="190">
        <v>2941.7647058823532</v>
      </c>
      <c r="AL9" s="187">
        <f t="shared" si="14"/>
        <v>735.44117647058829</v>
      </c>
      <c r="AM9" s="184">
        <f>RANK(AL9, AL$7:AL$39)</f>
        <v>17</v>
      </c>
      <c r="AN9" s="554"/>
      <c r="AO9" s="190">
        <v>4</v>
      </c>
      <c r="AP9" s="190">
        <v>2942.0118343195281</v>
      </c>
      <c r="AQ9" s="187">
        <f t="shared" si="15"/>
        <v>735.50295857988203</v>
      </c>
      <c r="AR9" s="184">
        <f>RANK(AQ9, AQ$7:AQ$39)</f>
        <v>17</v>
      </c>
      <c r="AS9" s="554"/>
      <c r="AT9" s="190">
        <v>4</v>
      </c>
      <c r="AU9" s="190">
        <v>2942.0397172669127</v>
      </c>
      <c r="AV9" s="187">
        <f t="shared" si="16"/>
        <v>735.50992931672818</v>
      </c>
      <c r="AW9" s="184">
        <f>RANK(AV9, AV$7:AV$39)</f>
        <v>17</v>
      </c>
      <c r="AX9" s="554"/>
    </row>
    <row r="10" spans="1:50" ht="14.25" customHeight="1">
      <c r="B10" s="564"/>
      <c r="C10" s="182">
        <v>4</v>
      </c>
      <c r="D10" s="185" t="s">
        <v>232</v>
      </c>
      <c r="E10" s="186">
        <v>5</v>
      </c>
      <c r="F10" s="182">
        <v>3300</v>
      </c>
      <c r="G10" s="187">
        <f t="shared" si="17"/>
        <v>660</v>
      </c>
      <c r="H10" s="567"/>
      <c r="I10" s="188">
        <f t="shared" si="18"/>
        <v>5</v>
      </c>
      <c r="J10" s="188">
        <f t="shared" si="18"/>
        <v>2950.2421081354655</v>
      </c>
      <c r="K10" s="189">
        <f t="shared" si="18"/>
        <v>590.04842162709315</v>
      </c>
      <c r="L10" s="570"/>
      <c r="M10" s="188">
        <f>RANK(K10, K$7:$K$39)</f>
        <v>26</v>
      </c>
      <c r="N10" s="588"/>
      <c r="O10" s="556"/>
      <c r="P10" s="190">
        <v>5</v>
      </c>
      <c r="Q10" s="190">
        <v>2948.9847715736018</v>
      </c>
      <c r="R10" s="187">
        <f t="shared" si="10"/>
        <v>589.79695431472032</v>
      </c>
      <c r="S10" s="184">
        <f t="shared" si="19"/>
        <v>25</v>
      </c>
      <c r="T10" s="554"/>
      <c r="U10" s="190">
        <v>5</v>
      </c>
      <c r="V10" s="190">
        <v>2950.7014028056087</v>
      </c>
      <c r="W10" s="187">
        <f t="shared" si="11"/>
        <v>590.1402805611217</v>
      </c>
      <c r="X10" s="184">
        <f t="shared" si="20"/>
        <v>25</v>
      </c>
      <c r="Y10" s="554"/>
      <c r="Z10" s="190">
        <v>5</v>
      </c>
      <c r="AA10" s="190">
        <v>2950.3030303030264</v>
      </c>
      <c r="AB10" s="187">
        <f t="shared" si="12"/>
        <v>590.06060606060532</v>
      </c>
      <c r="AC10" s="184">
        <f t="shared" si="21"/>
        <v>25</v>
      </c>
      <c r="AD10" s="554"/>
      <c r="AE10" s="190">
        <v>5</v>
      </c>
      <c r="AF10" s="190">
        <v>2949.2063492063494</v>
      </c>
      <c r="AG10" s="187">
        <f t="shared" si="13"/>
        <v>589.84126984126988</v>
      </c>
      <c r="AH10" s="184">
        <f t="shared" si="22"/>
        <v>25</v>
      </c>
      <c r="AI10" s="554"/>
      <c r="AJ10" s="190">
        <v>5</v>
      </c>
      <c r="AK10" s="190">
        <v>2950.2439024390233</v>
      </c>
      <c r="AL10" s="187">
        <f t="shared" si="14"/>
        <v>590.04878048780461</v>
      </c>
      <c r="AM10" s="184">
        <f t="shared" si="23"/>
        <v>25</v>
      </c>
      <c r="AN10" s="554"/>
      <c r="AO10" s="190">
        <v>5</v>
      </c>
      <c r="AP10" s="190">
        <v>2950.8586525759574</v>
      </c>
      <c r="AQ10" s="187">
        <f t="shared" si="15"/>
        <v>590.17173051519148</v>
      </c>
      <c r="AR10" s="184">
        <f t="shared" si="24"/>
        <v>25</v>
      </c>
      <c r="AS10" s="554"/>
      <c r="AT10" s="190">
        <v>5</v>
      </c>
      <c r="AU10" s="190">
        <v>2951.3966480446925</v>
      </c>
      <c r="AV10" s="187">
        <f t="shared" si="16"/>
        <v>590.2793296089385</v>
      </c>
      <c r="AW10" s="184">
        <f t="shared" si="25"/>
        <v>26</v>
      </c>
      <c r="AX10" s="554"/>
    </row>
    <row r="11" spans="1:50" ht="14.25" customHeight="1">
      <c r="B11" s="564"/>
      <c r="C11" s="182">
        <v>5</v>
      </c>
      <c r="D11" s="185" t="s">
        <v>408</v>
      </c>
      <c r="E11" s="186">
        <v>3</v>
      </c>
      <c r="F11" s="182">
        <v>3600</v>
      </c>
      <c r="G11" s="187">
        <f t="shared" si="17"/>
        <v>1200</v>
      </c>
      <c r="H11" s="567"/>
      <c r="I11" s="188">
        <f t="shared" si="18"/>
        <v>3</v>
      </c>
      <c r="J11" s="188">
        <f t="shared" si="18"/>
        <v>3113.430668640292</v>
      </c>
      <c r="K11" s="189">
        <f t="shared" si="18"/>
        <v>1037.8102228800972</v>
      </c>
      <c r="L11" s="570"/>
      <c r="M11" s="188">
        <f>RANK(K11, K$7:$K$39)</f>
        <v>5</v>
      </c>
      <c r="N11" s="588"/>
      <c r="O11" s="556"/>
      <c r="P11" s="190">
        <v>3</v>
      </c>
      <c r="Q11" s="190">
        <v>3112.8964059196592</v>
      </c>
      <c r="R11" s="187">
        <f t="shared" si="10"/>
        <v>1037.632135306553</v>
      </c>
      <c r="S11" s="184">
        <f t="shared" si="19"/>
        <v>5</v>
      </c>
      <c r="T11" s="554"/>
      <c r="U11" s="190">
        <v>3</v>
      </c>
      <c r="V11" s="190">
        <v>3112.9629629629603</v>
      </c>
      <c r="W11" s="187">
        <f t="shared" si="11"/>
        <v>1037.6543209876534</v>
      </c>
      <c r="X11" s="184">
        <f t="shared" si="20"/>
        <v>5</v>
      </c>
      <c r="Y11" s="554"/>
      <c r="Z11" s="190">
        <v>3</v>
      </c>
      <c r="AA11" s="190">
        <v>3113.0699088145893</v>
      </c>
      <c r="AB11" s="187">
        <f t="shared" si="12"/>
        <v>1037.6899696048631</v>
      </c>
      <c r="AC11" s="184">
        <f t="shared" si="21"/>
        <v>5</v>
      </c>
      <c r="AD11" s="554"/>
      <c r="AE11" s="190">
        <v>3</v>
      </c>
      <c r="AF11" s="190">
        <v>3113.1914893617027</v>
      </c>
      <c r="AG11" s="187">
        <f t="shared" si="13"/>
        <v>1037.730496453901</v>
      </c>
      <c r="AH11" s="184">
        <f t="shared" si="22"/>
        <v>4</v>
      </c>
      <c r="AI11" s="554"/>
      <c r="AJ11" s="190">
        <v>3</v>
      </c>
      <c r="AK11" s="190">
        <v>3112.8231120121645</v>
      </c>
      <c r="AL11" s="187">
        <f t="shared" si="14"/>
        <v>1037.6077040040548</v>
      </c>
      <c r="AM11" s="184">
        <f t="shared" si="23"/>
        <v>5</v>
      </c>
      <c r="AN11" s="554"/>
      <c r="AO11" s="190">
        <v>3</v>
      </c>
      <c r="AP11" s="190">
        <v>3113.1044148563406</v>
      </c>
      <c r="AQ11" s="187">
        <f t="shared" si="15"/>
        <v>1037.7014716187803</v>
      </c>
      <c r="AR11" s="184">
        <f t="shared" si="24"/>
        <v>4</v>
      </c>
      <c r="AS11" s="554"/>
      <c r="AT11" s="190">
        <v>3</v>
      </c>
      <c r="AU11" s="190">
        <v>3115.9663865546245</v>
      </c>
      <c r="AV11" s="187">
        <f t="shared" si="16"/>
        <v>1038.6554621848748</v>
      </c>
      <c r="AW11" s="184">
        <f t="shared" si="25"/>
        <v>6</v>
      </c>
      <c r="AX11" s="554"/>
    </row>
    <row r="12" spans="1:50" ht="14.25" customHeight="1">
      <c r="B12" s="564"/>
      <c r="C12" s="182">
        <v>6</v>
      </c>
      <c r="D12" s="185" t="s">
        <v>348</v>
      </c>
      <c r="E12" s="186">
        <v>3</v>
      </c>
      <c r="F12" s="182">
        <v>3000</v>
      </c>
      <c r="G12" s="187">
        <f t="shared" si="17"/>
        <v>1000</v>
      </c>
      <c r="H12" s="567"/>
      <c r="I12" s="188">
        <f t="shared" si="18"/>
        <v>3</v>
      </c>
      <c r="J12" s="188">
        <f t="shared" si="18"/>
        <v>2687.3609875462666</v>
      </c>
      <c r="K12" s="189">
        <f t="shared" si="18"/>
        <v>895.7869958487554</v>
      </c>
      <c r="L12" s="570"/>
      <c r="M12" s="188">
        <f>RANK(K12, K$7:$K$39)</f>
        <v>9</v>
      </c>
      <c r="N12" s="588"/>
      <c r="O12" s="556"/>
      <c r="P12" s="190">
        <v>3</v>
      </c>
      <c r="Q12" s="190">
        <v>2686.9022869022865</v>
      </c>
      <c r="R12" s="187">
        <f t="shared" si="10"/>
        <v>895.6340956340955</v>
      </c>
      <c r="S12" s="184">
        <f t="shared" si="19"/>
        <v>9</v>
      </c>
      <c r="T12" s="554"/>
      <c r="U12" s="190">
        <v>3</v>
      </c>
      <c r="V12" s="190">
        <v>2686.9477234401352</v>
      </c>
      <c r="W12" s="187">
        <f t="shared" si="11"/>
        <v>895.64924114671169</v>
      </c>
      <c r="X12" s="184">
        <f t="shared" si="20"/>
        <v>9</v>
      </c>
      <c r="Y12" s="554"/>
      <c r="Z12" s="190">
        <v>3</v>
      </c>
      <c r="AA12" s="190">
        <v>2687.5370919881311</v>
      </c>
      <c r="AB12" s="187">
        <f t="shared" si="12"/>
        <v>895.845697329377</v>
      </c>
      <c r="AC12" s="184">
        <f t="shared" si="21"/>
        <v>9</v>
      </c>
      <c r="AD12" s="554"/>
      <c r="AE12" s="190">
        <v>3</v>
      </c>
      <c r="AF12" s="190">
        <v>2687.8078817734008</v>
      </c>
      <c r="AG12" s="187">
        <f t="shared" si="13"/>
        <v>895.93596059113361</v>
      </c>
      <c r="AH12" s="184">
        <f t="shared" si="22"/>
        <v>9</v>
      </c>
      <c r="AI12" s="554"/>
      <c r="AJ12" s="190">
        <v>3</v>
      </c>
      <c r="AK12" s="190">
        <v>2687.4391431353438</v>
      </c>
      <c r="AL12" s="187">
        <f t="shared" si="14"/>
        <v>895.81304771178122</v>
      </c>
      <c r="AM12" s="184">
        <f t="shared" si="23"/>
        <v>9</v>
      </c>
      <c r="AN12" s="554"/>
      <c r="AO12" s="190">
        <v>3</v>
      </c>
      <c r="AP12" s="190">
        <v>2687.474332648871</v>
      </c>
      <c r="AQ12" s="187">
        <f t="shared" si="15"/>
        <v>895.82477754962372</v>
      </c>
      <c r="AR12" s="184">
        <f t="shared" si="24"/>
        <v>9</v>
      </c>
      <c r="AS12" s="554"/>
      <c r="AT12" s="190">
        <v>3</v>
      </c>
      <c r="AU12" s="190">
        <v>2687.4184529356953</v>
      </c>
      <c r="AV12" s="187">
        <f t="shared" si="16"/>
        <v>895.80615097856514</v>
      </c>
      <c r="AW12" s="184">
        <f t="shared" si="25"/>
        <v>9</v>
      </c>
      <c r="AX12" s="554"/>
    </row>
    <row r="13" spans="1:50" ht="14.25" customHeight="1">
      <c r="B13" s="564"/>
      <c r="C13" s="182">
        <v>7</v>
      </c>
      <c r="D13" s="185" t="s">
        <v>410</v>
      </c>
      <c r="E13" s="186">
        <v>3</v>
      </c>
      <c r="F13" s="182">
        <v>3600</v>
      </c>
      <c r="G13" s="187">
        <f t="shared" si="17"/>
        <v>1200</v>
      </c>
      <c r="H13" s="567"/>
      <c r="I13" s="188">
        <f t="shared" si="18"/>
        <v>3</v>
      </c>
      <c r="J13" s="188">
        <f t="shared" si="18"/>
        <v>3113.5846224156535</v>
      </c>
      <c r="K13" s="189">
        <f t="shared" si="18"/>
        <v>1037.8615408052178</v>
      </c>
      <c r="L13" s="570"/>
      <c r="M13" s="188">
        <f>RANK(K13, K$7:$K$39)</f>
        <v>4</v>
      </c>
      <c r="N13" s="588"/>
      <c r="O13" s="556"/>
      <c r="P13" s="190">
        <v>3</v>
      </c>
      <c r="Q13" s="190">
        <v>3113.7603043753957</v>
      </c>
      <c r="R13" s="187">
        <f t="shared" si="10"/>
        <v>1037.9201014584653</v>
      </c>
      <c r="S13" s="184">
        <f t="shared" si="19"/>
        <v>4</v>
      </c>
      <c r="T13" s="554"/>
      <c r="U13" s="190">
        <v>3</v>
      </c>
      <c r="V13" s="190">
        <v>3113.6060894386355</v>
      </c>
      <c r="W13" s="187">
        <f t="shared" si="11"/>
        <v>1037.8686964795452</v>
      </c>
      <c r="X13" s="184">
        <f t="shared" si="20"/>
        <v>4</v>
      </c>
      <c r="Y13" s="554"/>
      <c r="Z13" s="190">
        <v>3</v>
      </c>
      <c r="AA13" s="190">
        <v>3113.4502923976593</v>
      </c>
      <c r="AB13" s="187">
        <f t="shared" si="12"/>
        <v>1037.8167641325531</v>
      </c>
      <c r="AC13" s="184">
        <f t="shared" si="21"/>
        <v>4</v>
      </c>
      <c r="AD13" s="554"/>
      <c r="AE13" s="190">
        <v>3</v>
      </c>
      <c r="AF13" s="190">
        <v>3112.5964010282769</v>
      </c>
      <c r="AG13" s="187">
        <f t="shared" si="13"/>
        <v>1037.5321336760924</v>
      </c>
      <c r="AH13" s="184">
        <f t="shared" si="22"/>
        <v>6</v>
      </c>
      <c r="AI13" s="554"/>
      <c r="AJ13" s="190">
        <v>3</v>
      </c>
      <c r="AK13" s="190">
        <v>3112.4631992149184</v>
      </c>
      <c r="AL13" s="187">
        <f t="shared" si="14"/>
        <v>1037.4877330716395</v>
      </c>
      <c r="AM13" s="184">
        <f t="shared" si="23"/>
        <v>6</v>
      </c>
      <c r="AN13" s="554"/>
      <c r="AO13" s="190">
        <v>3</v>
      </c>
      <c r="AP13" s="190">
        <v>3113.0870381966197</v>
      </c>
      <c r="AQ13" s="187">
        <f t="shared" si="15"/>
        <v>1037.6956793988732</v>
      </c>
      <c r="AR13" s="184">
        <f t="shared" si="24"/>
        <v>5</v>
      </c>
      <c r="AS13" s="554"/>
      <c r="AT13" s="190">
        <v>3</v>
      </c>
      <c r="AU13" s="190">
        <v>3116.1290322580694</v>
      </c>
      <c r="AV13" s="187">
        <f t="shared" si="16"/>
        <v>1038.7096774193565</v>
      </c>
      <c r="AW13" s="184">
        <f t="shared" si="25"/>
        <v>5</v>
      </c>
      <c r="AX13" s="554"/>
    </row>
    <row r="14" spans="1:50" ht="14.25" customHeight="1">
      <c r="B14" s="564"/>
      <c r="C14" s="182">
        <v>8</v>
      </c>
      <c r="D14" s="185" t="s">
        <v>409</v>
      </c>
      <c r="E14" s="186">
        <v>4</v>
      </c>
      <c r="F14" s="182">
        <v>3300</v>
      </c>
      <c r="G14" s="187">
        <f t="shared" si="17"/>
        <v>825</v>
      </c>
      <c r="H14" s="567"/>
      <c r="I14" s="188">
        <f t="shared" si="18"/>
        <v>4</v>
      </c>
      <c r="J14" s="188">
        <f t="shared" si="18"/>
        <v>2922.3210150622722</v>
      </c>
      <c r="K14" s="189">
        <f t="shared" si="18"/>
        <v>730.58025376556805</v>
      </c>
      <c r="L14" s="570"/>
      <c r="M14" s="188">
        <f>RANK(K14, K$7:$K$39)</f>
        <v>21</v>
      </c>
      <c r="N14" s="588"/>
      <c r="O14" s="556"/>
      <c r="P14" s="190">
        <v>4</v>
      </c>
      <c r="Q14" s="190">
        <v>2921.0084033613457</v>
      </c>
      <c r="R14" s="187">
        <f t="shared" si="10"/>
        <v>730.25210084033642</v>
      </c>
      <c r="S14" s="184">
        <f t="shared" si="19"/>
        <v>21</v>
      </c>
      <c r="T14" s="554"/>
      <c r="U14" s="190">
        <v>4</v>
      </c>
      <c r="V14" s="190">
        <v>2922.2302679218024</v>
      </c>
      <c r="W14" s="187">
        <f t="shared" si="11"/>
        <v>730.55756698045059</v>
      </c>
      <c r="X14" s="184">
        <f t="shared" si="20"/>
        <v>21</v>
      </c>
      <c r="Y14" s="554"/>
      <c r="Z14" s="190">
        <v>4</v>
      </c>
      <c r="AA14" s="190">
        <v>2923.000987166829</v>
      </c>
      <c r="AB14" s="187">
        <f t="shared" si="12"/>
        <v>730.75024679170724</v>
      </c>
      <c r="AC14" s="184">
        <f t="shared" si="21"/>
        <v>19</v>
      </c>
      <c r="AD14" s="554"/>
      <c r="AE14" s="190">
        <v>4</v>
      </c>
      <c r="AF14" s="190">
        <v>2922.3803363518782</v>
      </c>
      <c r="AG14" s="187">
        <f t="shared" si="13"/>
        <v>730.59508408796955</v>
      </c>
      <c r="AH14" s="184">
        <f t="shared" si="22"/>
        <v>20</v>
      </c>
      <c r="AI14" s="554"/>
      <c r="AJ14" s="190">
        <v>4</v>
      </c>
      <c r="AK14" s="190">
        <v>2922.3837209302278</v>
      </c>
      <c r="AL14" s="187">
        <f t="shared" si="14"/>
        <v>730.59593023255695</v>
      </c>
      <c r="AM14" s="184">
        <f t="shared" si="23"/>
        <v>19</v>
      </c>
      <c r="AN14" s="554"/>
      <c r="AO14" s="190">
        <v>4</v>
      </c>
      <c r="AP14" s="190">
        <v>2922.0779220779223</v>
      </c>
      <c r="AQ14" s="187">
        <f t="shared" si="15"/>
        <v>730.51948051948057</v>
      </c>
      <c r="AR14" s="184">
        <f t="shared" si="24"/>
        <v>20</v>
      </c>
      <c r="AS14" s="554"/>
      <c r="AT14" s="190">
        <v>4</v>
      </c>
      <c r="AU14" s="190">
        <v>2923.1654676258991</v>
      </c>
      <c r="AV14" s="187">
        <f t="shared" si="16"/>
        <v>730.79136690647476</v>
      </c>
      <c r="AW14" s="184">
        <f t="shared" si="25"/>
        <v>19</v>
      </c>
      <c r="AX14" s="554"/>
    </row>
    <row r="15" spans="1:50" ht="14.25" customHeight="1">
      <c r="B15" s="564"/>
      <c r="C15" s="182">
        <v>9</v>
      </c>
      <c r="D15" s="185" t="s">
        <v>464</v>
      </c>
      <c r="E15" s="186">
        <v>4</v>
      </c>
      <c r="F15" s="182">
        <v>3300</v>
      </c>
      <c r="G15" s="187">
        <f t="shared" si="17"/>
        <v>825</v>
      </c>
      <c r="H15" s="567"/>
      <c r="I15" s="188">
        <f t="shared" si="18"/>
        <v>4</v>
      </c>
      <c r="J15" s="188">
        <f t="shared" si="18"/>
        <v>2922.3788722878166</v>
      </c>
      <c r="K15" s="189">
        <f t="shared" si="18"/>
        <v>730.59471807195416</v>
      </c>
      <c r="L15" s="570"/>
      <c r="M15" s="188">
        <f>RANK(K15, K$7:$K$39)</f>
        <v>19</v>
      </c>
      <c r="N15" s="588"/>
      <c r="O15" s="556"/>
      <c r="P15" s="190">
        <v>4</v>
      </c>
      <c r="Q15" s="190">
        <v>2921.7830109335564</v>
      </c>
      <c r="R15" s="187">
        <f t="shared" si="10"/>
        <v>730.4457527333891</v>
      </c>
      <c r="S15" s="184">
        <f t="shared" si="19"/>
        <v>20</v>
      </c>
      <c r="T15" s="554"/>
      <c r="U15" s="190">
        <v>4</v>
      </c>
      <c r="V15" s="190">
        <v>2922.5274725274844</v>
      </c>
      <c r="W15" s="187">
        <f t="shared" si="11"/>
        <v>730.6318681318711</v>
      </c>
      <c r="X15" s="184">
        <f t="shared" si="20"/>
        <v>19</v>
      </c>
      <c r="Y15" s="554"/>
      <c r="Z15" s="190">
        <v>4</v>
      </c>
      <c r="AA15" s="190">
        <v>2922.6804123711349</v>
      </c>
      <c r="AB15" s="187">
        <f t="shared" si="12"/>
        <v>730.67010309278373</v>
      </c>
      <c r="AC15" s="184">
        <f t="shared" si="21"/>
        <v>20</v>
      </c>
      <c r="AD15" s="554"/>
      <c r="AE15" s="190">
        <v>4</v>
      </c>
      <c r="AF15" s="190">
        <v>2922.7722772277284</v>
      </c>
      <c r="AG15" s="187">
        <f t="shared" si="13"/>
        <v>730.6930693069321</v>
      </c>
      <c r="AH15" s="184">
        <f t="shared" si="22"/>
        <v>19</v>
      </c>
      <c r="AI15" s="554"/>
      <c r="AJ15" s="190">
        <v>4</v>
      </c>
      <c r="AK15" s="190">
        <v>2922.1112696148457</v>
      </c>
      <c r="AL15" s="187">
        <f t="shared" si="14"/>
        <v>730.52781740371142</v>
      </c>
      <c r="AM15" s="184">
        <f t="shared" si="23"/>
        <v>21</v>
      </c>
      <c r="AN15" s="554"/>
      <c r="AO15" s="190">
        <v>4</v>
      </c>
      <c r="AP15" s="190">
        <v>2921.7830109335564</v>
      </c>
      <c r="AQ15" s="187">
        <f t="shared" si="15"/>
        <v>730.4457527333891</v>
      </c>
      <c r="AR15" s="184">
        <f t="shared" si="24"/>
        <v>21</v>
      </c>
      <c r="AS15" s="554"/>
      <c r="AT15" s="190">
        <v>4</v>
      </c>
      <c r="AU15" s="190">
        <v>2922.9946524064098</v>
      </c>
      <c r="AV15" s="187">
        <f t="shared" si="16"/>
        <v>730.74866310160246</v>
      </c>
      <c r="AW15" s="184">
        <f t="shared" si="25"/>
        <v>20</v>
      </c>
      <c r="AX15" s="554"/>
    </row>
    <row r="16" spans="1:50" ht="14.25" customHeight="1">
      <c r="B16" s="564"/>
      <c r="C16" s="182">
        <v>10</v>
      </c>
      <c r="D16" s="185" t="s">
        <v>407</v>
      </c>
      <c r="E16" s="186">
        <v>4</v>
      </c>
      <c r="F16" s="182">
        <v>3300</v>
      </c>
      <c r="G16" s="187">
        <f t="shared" si="17"/>
        <v>825</v>
      </c>
      <c r="H16" s="567"/>
      <c r="I16" s="188">
        <f t="shared" si="18"/>
        <v>4</v>
      </c>
      <c r="J16" s="188">
        <f t="shared" si="18"/>
        <v>2923.9031301533901</v>
      </c>
      <c r="K16" s="189">
        <f t="shared" si="18"/>
        <v>730.97578253834752</v>
      </c>
      <c r="L16" s="570"/>
      <c r="M16" s="188">
        <f>RANK(K16, K$7:$K$39)</f>
        <v>18</v>
      </c>
      <c r="N16" s="588"/>
      <c r="O16" s="556"/>
      <c r="P16" s="190">
        <v>4</v>
      </c>
      <c r="Q16" s="190">
        <v>2922.6842321943195</v>
      </c>
      <c r="R16" s="187">
        <f t="shared" si="10"/>
        <v>730.67105804857988</v>
      </c>
      <c r="S16" s="184">
        <f t="shared" si="19"/>
        <v>19</v>
      </c>
      <c r="T16" s="554"/>
      <c r="U16" s="190">
        <v>4</v>
      </c>
      <c r="V16" s="190">
        <v>2923.1664726426106</v>
      </c>
      <c r="W16" s="187">
        <f t="shared" si="11"/>
        <v>730.79161816065266</v>
      </c>
      <c r="X16" s="184">
        <f t="shared" si="20"/>
        <v>18</v>
      </c>
      <c r="Y16" s="554"/>
      <c r="Z16" s="190">
        <v>4</v>
      </c>
      <c r="AA16" s="190">
        <v>2923.5216819973693</v>
      </c>
      <c r="AB16" s="187">
        <f t="shared" si="12"/>
        <v>730.88042049934234</v>
      </c>
      <c r="AC16" s="184">
        <f t="shared" si="21"/>
        <v>18</v>
      </c>
      <c r="AD16" s="554"/>
      <c r="AE16" s="190">
        <v>4</v>
      </c>
      <c r="AF16" s="190">
        <v>2924.0506329113937</v>
      </c>
      <c r="AG16" s="187">
        <f t="shared" si="13"/>
        <v>731.01265822784842</v>
      </c>
      <c r="AH16" s="184">
        <f t="shared" si="22"/>
        <v>18</v>
      </c>
      <c r="AI16" s="554"/>
      <c r="AJ16" s="190">
        <v>4</v>
      </c>
      <c r="AK16" s="190">
        <v>2924.736225087931</v>
      </c>
      <c r="AL16" s="187">
        <f t="shared" si="14"/>
        <v>731.18405627198274</v>
      </c>
      <c r="AM16" s="184">
        <f t="shared" si="23"/>
        <v>18</v>
      </c>
      <c r="AN16" s="554"/>
      <c r="AO16" s="190">
        <v>4</v>
      </c>
      <c r="AP16" s="190">
        <v>2924.3531827515399</v>
      </c>
      <c r="AQ16" s="187">
        <f t="shared" si="15"/>
        <v>731.08829568788497</v>
      </c>
      <c r="AR16" s="184">
        <f t="shared" si="24"/>
        <v>18</v>
      </c>
      <c r="AS16" s="554"/>
      <c r="AT16" s="190">
        <v>4</v>
      </c>
      <c r="AU16" s="190">
        <v>2924.8094834885674</v>
      </c>
      <c r="AV16" s="187">
        <f t="shared" si="16"/>
        <v>731.20237087214184</v>
      </c>
      <c r="AW16" s="184">
        <f t="shared" si="25"/>
        <v>18</v>
      </c>
      <c r="AX16" s="554"/>
    </row>
    <row r="17" spans="2:50" ht="14.25" customHeight="1">
      <c r="B17" s="564"/>
      <c r="C17" s="182">
        <v>11</v>
      </c>
      <c r="D17" s="185" t="s">
        <v>473</v>
      </c>
      <c r="E17" s="186">
        <v>4</v>
      </c>
      <c r="F17" s="182">
        <v>3300</v>
      </c>
      <c r="G17" s="187">
        <f t="shared" si="17"/>
        <v>825</v>
      </c>
      <c r="H17" s="567"/>
      <c r="I17" s="188">
        <f t="shared" si="18"/>
        <v>4</v>
      </c>
      <c r="J17" s="188">
        <f t="shared" si="18"/>
        <v>2952.3267525348579</v>
      </c>
      <c r="K17" s="189">
        <f t="shared" si="18"/>
        <v>738.08168813371447</v>
      </c>
      <c r="L17" s="570"/>
      <c r="M17" s="188">
        <f>RANK(K17, K$7:$K$39)</f>
        <v>12</v>
      </c>
      <c r="N17" s="588"/>
      <c r="O17" s="556"/>
      <c r="P17" s="190">
        <v>4</v>
      </c>
      <c r="Q17" s="190">
        <v>2951.8471337579631</v>
      </c>
      <c r="R17" s="187">
        <f t="shared" si="10"/>
        <v>737.96178343949077</v>
      </c>
      <c r="S17" s="184">
        <f t="shared" si="19"/>
        <v>12</v>
      </c>
      <c r="T17" s="554"/>
      <c r="U17" s="190">
        <v>4</v>
      </c>
      <c r="V17" s="190">
        <v>2952.622478386168</v>
      </c>
      <c r="W17" s="187">
        <f t="shared" si="11"/>
        <v>738.15561959654201</v>
      </c>
      <c r="X17" s="184">
        <f t="shared" si="20"/>
        <v>12</v>
      </c>
      <c r="Y17" s="554"/>
      <c r="Z17" s="190">
        <v>4</v>
      </c>
      <c r="AA17" s="190">
        <v>2952.8795811518344</v>
      </c>
      <c r="AB17" s="187">
        <f t="shared" si="12"/>
        <v>738.21989528795859</v>
      </c>
      <c r="AC17" s="184">
        <f t="shared" si="21"/>
        <v>12</v>
      </c>
      <c r="AD17" s="554"/>
      <c r="AE17" s="190">
        <v>4</v>
      </c>
      <c r="AF17" s="190">
        <v>2952.2355507088323</v>
      </c>
      <c r="AG17" s="187">
        <f t="shared" si="13"/>
        <v>738.05888767720808</v>
      </c>
      <c r="AH17" s="184">
        <f t="shared" si="22"/>
        <v>12</v>
      </c>
      <c r="AI17" s="554"/>
      <c r="AJ17" s="190">
        <v>4</v>
      </c>
      <c r="AK17" s="190">
        <v>2952.2257053291478</v>
      </c>
      <c r="AL17" s="187">
        <f t="shared" si="14"/>
        <v>738.05642633228695</v>
      </c>
      <c r="AM17" s="184">
        <f t="shared" si="23"/>
        <v>12</v>
      </c>
      <c r="AN17" s="554"/>
      <c r="AO17" s="190">
        <v>4</v>
      </c>
      <c r="AP17" s="190">
        <v>2951.879699248123</v>
      </c>
      <c r="AQ17" s="187">
        <f t="shared" si="15"/>
        <v>737.96992481203074</v>
      </c>
      <c r="AR17" s="184">
        <f t="shared" si="24"/>
        <v>12</v>
      </c>
      <c r="AS17" s="554"/>
      <c r="AT17" s="190">
        <v>4</v>
      </c>
      <c r="AU17" s="190">
        <v>2952.5971191619387</v>
      </c>
      <c r="AV17" s="187">
        <f t="shared" si="16"/>
        <v>738.14927979048468</v>
      </c>
      <c r="AW17" s="184">
        <f t="shared" si="25"/>
        <v>12</v>
      </c>
      <c r="AX17" s="554"/>
    </row>
    <row r="18" spans="2:50" ht="14.25" customHeight="1">
      <c r="B18" s="564"/>
      <c r="C18" s="182">
        <v>12</v>
      </c>
      <c r="D18" s="185" t="s">
        <v>231</v>
      </c>
      <c r="E18" s="186">
        <v>3</v>
      </c>
      <c r="F18" s="182">
        <v>3000</v>
      </c>
      <c r="G18" s="187">
        <f t="shared" si="17"/>
        <v>1000</v>
      </c>
      <c r="H18" s="567"/>
      <c r="I18" s="188">
        <f t="shared" si="18"/>
        <v>3</v>
      </c>
      <c r="J18" s="188">
        <f t="shared" si="18"/>
        <v>2683.7728085515746</v>
      </c>
      <c r="K18" s="189">
        <f t="shared" si="18"/>
        <v>894.59093618385828</v>
      </c>
      <c r="L18" s="570"/>
      <c r="M18" s="188">
        <f>RANK(K18, K$7:$K$39)</f>
        <v>11</v>
      </c>
      <c r="N18" s="588"/>
      <c r="O18" s="556"/>
      <c r="P18" s="190">
        <v>3</v>
      </c>
      <c r="Q18" s="190">
        <v>2683.185840707964</v>
      </c>
      <c r="R18" s="187">
        <f t="shared" si="10"/>
        <v>894.39528023598803</v>
      </c>
      <c r="S18" s="184">
        <f t="shared" si="19"/>
        <v>11</v>
      </c>
      <c r="T18" s="554"/>
      <c r="U18" s="190">
        <v>3</v>
      </c>
      <c r="V18" s="190">
        <v>2683.6206896551721</v>
      </c>
      <c r="W18" s="187">
        <f t="shared" si="11"/>
        <v>894.54022988505733</v>
      </c>
      <c r="X18" s="184">
        <f t="shared" si="20"/>
        <v>11</v>
      </c>
      <c r="Y18" s="554"/>
      <c r="Z18" s="190">
        <v>3</v>
      </c>
      <c r="AA18" s="190">
        <v>2683.5346910597168</v>
      </c>
      <c r="AB18" s="187">
        <f t="shared" si="12"/>
        <v>894.51156368657223</v>
      </c>
      <c r="AC18" s="184">
        <f t="shared" si="21"/>
        <v>11</v>
      </c>
      <c r="AD18" s="554"/>
      <c r="AE18" s="190">
        <v>3</v>
      </c>
      <c r="AF18" s="190">
        <v>2683.9596306635171</v>
      </c>
      <c r="AG18" s="187">
        <f t="shared" si="13"/>
        <v>894.65321022117234</v>
      </c>
      <c r="AH18" s="184">
        <f t="shared" si="22"/>
        <v>11</v>
      </c>
      <c r="AI18" s="554"/>
      <c r="AJ18" s="190">
        <v>3</v>
      </c>
      <c r="AK18" s="190">
        <v>2683.9652809502054</v>
      </c>
      <c r="AL18" s="187">
        <f t="shared" si="14"/>
        <v>894.65509365006847</v>
      </c>
      <c r="AM18" s="184">
        <f t="shared" si="23"/>
        <v>11</v>
      </c>
      <c r="AN18" s="554"/>
      <c r="AO18" s="190">
        <v>3</v>
      </c>
      <c r="AP18" s="190">
        <v>2684.1267363820825</v>
      </c>
      <c r="AQ18" s="187">
        <f t="shared" si="15"/>
        <v>894.7089121273608</v>
      </c>
      <c r="AR18" s="184">
        <f t="shared" si="24"/>
        <v>10</v>
      </c>
      <c r="AS18" s="554"/>
      <c r="AT18" s="190">
        <v>3</v>
      </c>
      <c r="AU18" s="190">
        <v>2684.0167904423647</v>
      </c>
      <c r="AV18" s="187">
        <f t="shared" si="16"/>
        <v>894.67226348078827</v>
      </c>
      <c r="AW18" s="184">
        <f t="shared" si="25"/>
        <v>11</v>
      </c>
      <c r="AX18" s="554"/>
    </row>
    <row r="19" spans="2:50" ht="14.25" customHeight="1">
      <c r="B19" s="564"/>
      <c r="C19" s="182">
        <v>13</v>
      </c>
      <c r="D19" s="185" t="s">
        <v>501</v>
      </c>
      <c r="E19" s="186">
        <v>12</v>
      </c>
      <c r="F19" s="182">
        <v>3600</v>
      </c>
      <c r="G19" s="187">
        <f t="shared" si="17"/>
        <v>300</v>
      </c>
      <c r="H19" s="567"/>
      <c r="I19" s="188">
        <f t="shared" si="18"/>
        <v>12</v>
      </c>
      <c r="J19" s="188">
        <f t="shared" si="18"/>
        <v>3111.0022797335987</v>
      </c>
      <c r="K19" s="189">
        <f t="shared" si="18"/>
        <v>259.25018997779989</v>
      </c>
      <c r="L19" s="570"/>
      <c r="M19" s="188">
        <f>RANK(K19, K$7:$K$39)</f>
        <v>30</v>
      </c>
      <c r="N19" s="588"/>
      <c r="O19" s="556"/>
      <c r="P19" s="190">
        <v>12</v>
      </c>
      <c r="Q19" s="190">
        <v>3110.3611204859981</v>
      </c>
      <c r="R19" s="187">
        <f t="shared" si="10"/>
        <v>259.19676004049984</v>
      </c>
      <c r="S19" s="184">
        <f t="shared" si="19"/>
        <v>29</v>
      </c>
      <c r="T19" s="554"/>
      <c r="U19" s="190">
        <v>12</v>
      </c>
      <c r="V19" s="190">
        <v>3110.860366713679</v>
      </c>
      <c r="W19" s="187">
        <f t="shared" si="11"/>
        <v>259.2383638928066</v>
      </c>
      <c r="X19" s="184">
        <f t="shared" si="20"/>
        <v>29</v>
      </c>
      <c r="Y19" s="554"/>
      <c r="Z19" s="190">
        <v>12</v>
      </c>
      <c r="AA19" s="190">
        <v>3110.4307582769725</v>
      </c>
      <c r="AB19" s="187">
        <f t="shared" si="12"/>
        <v>259.20256318974771</v>
      </c>
      <c r="AC19" s="184">
        <f t="shared" si="21"/>
        <v>29</v>
      </c>
      <c r="AD19" s="554"/>
      <c r="AE19" s="190">
        <v>12</v>
      </c>
      <c r="AF19" s="190">
        <v>3111.1111111111009</v>
      </c>
      <c r="AG19" s="187">
        <f t="shared" si="13"/>
        <v>259.25925925925839</v>
      </c>
      <c r="AH19" s="184">
        <f t="shared" si="22"/>
        <v>29</v>
      </c>
      <c r="AI19" s="554"/>
      <c r="AJ19" s="190">
        <v>12</v>
      </c>
      <c r="AK19" s="190">
        <v>3110.3865859338639</v>
      </c>
      <c r="AL19" s="187">
        <f t="shared" si="14"/>
        <v>259.19888216115532</v>
      </c>
      <c r="AM19" s="184">
        <f t="shared" si="23"/>
        <v>29</v>
      </c>
      <c r="AN19" s="554"/>
      <c r="AO19" s="190">
        <v>12</v>
      </c>
      <c r="AP19" s="190">
        <v>3110.9616677874901</v>
      </c>
      <c r="AQ19" s="187">
        <f t="shared" si="15"/>
        <v>259.24680564895749</v>
      </c>
      <c r="AR19" s="184">
        <f t="shared" si="24"/>
        <v>29</v>
      </c>
      <c r="AS19" s="554"/>
      <c r="AT19" s="190">
        <v>12</v>
      </c>
      <c r="AU19" s="190">
        <v>3112.9043478260869</v>
      </c>
      <c r="AV19" s="187">
        <f t="shared" si="16"/>
        <v>259.40869565217389</v>
      </c>
      <c r="AW19" s="184">
        <f t="shared" si="25"/>
        <v>30</v>
      </c>
      <c r="AX19" s="554"/>
    </row>
    <row r="20" spans="2:50" ht="14.25" customHeight="1">
      <c r="B20" s="564"/>
      <c r="C20" s="182">
        <v>14</v>
      </c>
      <c r="D20" s="185" t="s">
        <v>586</v>
      </c>
      <c r="E20" s="186">
        <v>3</v>
      </c>
      <c r="F20" s="182">
        <v>3300</v>
      </c>
      <c r="G20" s="187">
        <f t="shared" si="17"/>
        <v>1100</v>
      </c>
      <c r="H20" s="567"/>
      <c r="I20" s="188">
        <f t="shared" si="18"/>
        <v>3</v>
      </c>
      <c r="J20" s="188">
        <f t="shared" si="18"/>
        <v>2822.3526153045973</v>
      </c>
      <c r="K20" s="189">
        <f t="shared" si="18"/>
        <v>940.78420510153228</v>
      </c>
      <c r="L20" s="570"/>
      <c r="M20" s="188">
        <f>RANK(K20, K$7:$K$39)</f>
        <v>8</v>
      </c>
      <c r="N20" s="588"/>
      <c r="O20" s="556"/>
      <c r="P20" s="190">
        <v>3</v>
      </c>
      <c r="Q20" s="190">
        <v>2687.2881355932209</v>
      </c>
      <c r="R20" s="187">
        <f t="shared" si="10"/>
        <v>895.76271186440692</v>
      </c>
      <c r="S20" s="184">
        <f t="shared" si="19"/>
        <v>8</v>
      </c>
      <c r="T20" s="554"/>
      <c r="U20" s="190">
        <v>3</v>
      </c>
      <c r="V20" s="190">
        <v>2737.2490706319686</v>
      </c>
      <c r="W20" s="187">
        <f t="shared" si="11"/>
        <v>912.41635687732287</v>
      </c>
      <c r="X20" s="184">
        <f t="shared" si="20"/>
        <v>8</v>
      </c>
      <c r="Y20" s="554"/>
      <c r="Z20" s="190">
        <v>3</v>
      </c>
      <c r="AA20" s="190">
        <v>2781.6000000000013</v>
      </c>
      <c r="AB20" s="187">
        <f t="shared" si="12"/>
        <v>927.20000000000039</v>
      </c>
      <c r="AC20" s="184">
        <f t="shared" si="21"/>
        <v>8</v>
      </c>
      <c r="AD20" s="554"/>
      <c r="AE20" s="190">
        <v>3</v>
      </c>
      <c r="AF20" s="190">
        <v>2825.744680851064</v>
      </c>
      <c r="AG20" s="187">
        <f t="shared" si="13"/>
        <v>941.91489361702133</v>
      </c>
      <c r="AH20" s="184">
        <f t="shared" si="22"/>
        <v>8</v>
      </c>
      <c r="AI20" s="554"/>
      <c r="AJ20" s="190">
        <v>3</v>
      </c>
      <c r="AK20" s="190">
        <v>2867.727272727273</v>
      </c>
      <c r="AL20" s="187">
        <f t="shared" si="14"/>
        <v>955.90909090909099</v>
      </c>
      <c r="AM20" s="184">
        <f t="shared" si="23"/>
        <v>8</v>
      </c>
      <c r="AN20" s="554"/>
      <c r="AO20" s="190">
        <v>3</v>
      </c>
      <c r="AP20" s="190">
        <v>2908.6238532110087</v>
      </c>
      <c r="AQ20" s="187">
        <f t="shared" si="15"/>
        <v>969.54128440366958</v>
      </c>
      <c r="AR20" s="184">
        <f t="shared" si="24"/>
        <v>8</v>
      </c>
      <c r="AS20" s="554"/>
      <c r="AT20" s="190">
        <v>3</v>
      </c>
      <c r="AU20" s="190">
        <v>2948.2352941176459</v>
      </c>
      <c r="AV20" s="187">
        <f t="shared" si="16"/>
        <v>982.74509803921535</v>
      </c>
      <c r="AW20" s="184">
        <f t="shared" si="25"/>
        <v>8</v>
      </c>
      <c r="AX20" s="554"/>
    </row>
    <row r="21" spans="2:50" ht="14.25" customHeight="1">
      <c r="B21" s="564"/>
      <c r="C21" s="182">
        <v>15</v>
      </c>
      <c r="D21" s="185" t="s">
        <v>421</v>
      </c>
      <c r="E21" s="186">
        <v>4</v>
      </c>
      <c r="F21" s="182">
        <v>3300</v>
      </c>
      <c r="G21" s="187">
        <f t="shared" si="17"/>
        <v>825</v>
      </c>
      <c r="H21" s="567"/>
      <c r="I21" s="188">
        <f t="shared" si="18"/>
        <v>4</v>
      </c>
      <c r="J21" s="188">
        <f t="shared" si="18"/>
        <v>2942.8135372358547</v>
      </c>
      <c r="K21" s="189">
        <f t="shared" si="18"/>
        <v>735.70338430896368</v>
      </c>
      <c r="L21" s="570"/>
      <c r="M21" s="188">
        <f>RANK(K21, K$7:$K$39)</f>
        <v>16</v>
      </c>
      <c r="N21" s="588"/>
      <c r="O21" s="556"/>
      <c r="P21" s="190">
        <v>4</v>
      </c>
      <c r="Q21" s="190">
        <v>2942.5724217844731</v>
      </c>
      <c r="R21" s="187">
        <f t="shared" si="10"/>
        <v>735.64310544611828</v>
      </c>
      <c r="S21" s="184">
        <f t="shared" si="19"/>
        <v>15</v>
      </c>
      <c r="T21" s="554"/>
      <c r="U21" s="190">
        <v>4</v>
      </c>
      <c r="V21" s="190">
        <v>2942.6876971608849</v>
      </c>
      <c r="W21" s="187">
        <f t="shared" si="11"/>
        <v>735.67192429022123</v>
      </c>
      <c r="X21" s="184">
        <f t="shared" si="20"/>
        <v>15</v>
      </c>
      <c r="Y21" s="554"/>
      <c r="Z21" s="190">
        <v>4</v>
      </c>
      <c r="AA21" s="190">
        <v>2942.9339853300744</v>
      </c>
      <c r="AB21" s="187">
        <f t="shared" si="12"/>
        <v>735.7334963325186</v>
      </c>
      <c r="AC21" s="184">
        <f t="shared" si="21"/>
        <v>15</v>
      </c>
      <c r="AD21" s="554"/>
      <c r="AE21" s="190">
        <v>4</v>
      </c>
      <c r="AF21" s="190">
        <v>2942.9061633892052</v>
      </c>
      <c r="AG21" s="187">
        <f t="shared" si="13"/>
        <v>735.72654084730129</v>
      </c>
      <c r="AH21" s="184">
        <f t="shared" si="22"/>
        <v>16</v>
      </c>
      <c r="AI21" s="554"/>
      <c r="AJ21" s="190">
        <v>4</v>
      </c>
      <c r="AK21" s="190">
        <v>2942.8210139096441</v>
      </c>
      <c r="AL21" s="187">
        <f t="shared" si="14"/>
        <v>735.70525347741102</v>
      </c>
      <c r="AM21" s="184">
        <f t="shared" si="23"/>
        <v>16</v>
      </c>
      <c r="AN21" s="554"/>
      <c r="AO21" s="190">
        <v>4</v>
      </c>
      <c r="AP21" s="190">
        <v>2942.8273561301085</v>
      </c>
      <c r="AQ21" s="187">
        <f t="shared" si="15"/>
        <v>735.70683903252711</v>
      </c>
      <c r="AR21" s="184">
        <f t="shared" si="24"/>
        <v>16</v>
      </c>
      <c r="AS21" s="554"/>
      <c r="AT21" s="190">
        <v>4</v>
      </c>
      <c r="AU21" s="190">
        <v>2942.9461229465937</v>
      </c>
      <c r="AV21" s="187">
        <f t="shared" si="16"/>
        <v>735.73653073664843</v>
      </c>
      <c r="AW21" s="184">
        <f t="shared" si="25"/>
        <v>16</v>
      </c>
      <c r="AX21" s="554"/>
    </row>
    <row r="22" spans="2:50" ht="14.25" customHeight="1">
      <c r="B22" s="564"/>
      <c r="C22" s="182">
        <v>16</v>
      </c>
      <c r="D22" s="185" t="s">
        <v>420</v>
      </c>
      <c r="E22" s="186">
        <v>3</v>
      </c>
      <c r="F22" s="182">
        <v>3600</v>
      </c>
      <c r="G22" s="187">
        <f t="shared" si="17"/>
        <v>1200</v>
      </c>
      <c r="H22" s="567"/>
      <c r="I22" s="188">
        <f t="shared" si="18"/>
        <v>3</v>
      </c>
      <c r="J22" s="188">
        <f t="shared" si="18"/>
        <v>3116.1626198445861</v>
      </c>
      <c r="K22" s="189">
        <f t="shared" si="18"/>
        <v>1038.7208732815288</v>
      </c>
      <c r="L22" s="570"/>
      <c r="M22" s="188">
        <f>RANK(K22, K$7:$K$39)</f>
        <v>3</v>
      </c>
      <c r="N22" s="588"/>
      <c r="O22" s="556"/>
      <c r="P22" s="190">
        <v>3</v>
      </c>
      <c r="Q22" s="190">
        <v>3115.7189521561713</v>
      </c>
      <c r="R22" s="187">
        <f t="shared" si="10"/>
        <v>1038.5729840520571</v>
      </c>
      <c r="S22" s="184">
        <f t="shared" si="19"/>
        <v>3</v>
      </c>
      <c r="T22" s="554"/>
      <c r="U22" s="190">
        <v>3</v>
      </c>
      <c r="V22" s="190">
        <v>3115.9180819615094</v>
      </c>
      <c r="W22" s="187">
        <f t="shared" si="11"/>
        <v>1038.6393606538365</v>
      </c>
      <c r="X22" s="184">
        <f t="shared" si="20"/>
        <v>3</v>
      </c>
      <c r="Y22" s="554"/>
      <c r="Z22" s="190">
        <v>3</v>
      </c>
      <c r="AA22" s="190">
        <v>3116.1470876519502</v>
      </c>
      <c r="AB22" s="187">
        <f t="shared" si="12"/>
        <v>1038.7156958839835</v>
      </c>
      <c r="AC22" s="184">
        <f t="shared" si="21"/>
        <v>3</v>
      </c>
      <c r="AD22" s="554"/>
      <c r="AE22" s="190">
        <v>3</v>
      </c>
      <c r="AF22" s="190">
        <v>3116.051918810148</v>
      </c>
      <c r="AG22" s="187">
        <f t="shared" si="13"/>
        <v>1038.6839729367159</v>
      </c>
      <c r="AH22" s="184">
        <f t="shared" si="22"/>
        <v>3</v>
      </c>
      <c r="AI22" s="554"/>
      <c r="AJ22" s="190">
        <v>3</v>
      </c>
      <c r="AK22" s="190">
        <v>3116.1955515713744</v>
      </c>
      <c r="AL22" s="187">
        <f t="shared" si="14"/>
        <v>1038.7318505237915</v>
      </c>
      <c r="AM22" s="184">
        <f t="shared" si="23"/>
        <v>3</v>
      </c>
      <c r="AN22" s="554"/>
      <c r="AO22" s="190">
        <v>3</v>
      </c>
      <c r="AP22" s="190">
        <v>3116.3981312598448</v>
      </c>
      <c r="AQ22" s="187">
        <f t="shared" si="15"/>
        <v>1038.7993770866149</v>
      </c>
      <c r="AR22" s="184">
        <f t="shared" si="24"/>
        <v>3</v>
      </c>
      <c r="AS22" s="554"/>
      <c r="AT22" s="190">
        <v>3</v>
      </c>
      <c r="AU22" s="190">
        <v>3116.7086155011052</v>
      </c>
      <c r="AV22" s="187">
        <f t="shared" si="16"/>
        <v>1038.9028718337017</v>
      </c>
      <c r="AW22" s="184">
        <f t="shared" si="25"/>
        <v>4</v>
      </c>
      <c r="AX22" s="554"/>
    </row>
    <row r="23" spans="2:50" ht="14.25" customHeight="1">
      <c r="B23" s="564"/>
      <c r="C23" s="182">
        <v>17</v>
      </c>
      <c r="D23" s="185" t="s">
        <v>422</v>
      </c>
      <c r="E23" s="186">
        <v>4</v>
      </c>
      <c r="F23" s="182">
        <v>3300</v>
      </c>
      <c r="G23" s="187">
        <f t="shared" si="17"/>
        <v>825</v>
      </c>
      <c r="H23" s="567"/>
      <c r="I23" s="188">
        <f t="shared" si="18"/>
        <v>4</v>
      </c>
      <c r="J23" s="188">
        <f t="shared" si="18"/>
        <v>2943.1981969491853</v>
      </c>
      <c r="K23" s="189">
        <f t="shared" si="18"/>
        <v>735.79954923729633</v>
      </c>
      <c r="L23" s="570"/>
      <c r="M23" s="188">
        <f>RANK(K23, K$7:$K$39)</f>
        <v>15</v>
      </c>
      <c r="N23" s="588"/>
      <c r="O23" s="556"/>
      <c r="P23" s="190">
        <v>4</v>
      </c>
      <c r="Q23" s="190">
        <v>2942.3553719008237</v>
      </c>
      <c r="R23" s="187">
        <f t="shared" si="10"/>
        <v>735.58884297520592</v>
      </c>
      <c r="S23" s="184">
        <f t="shared" si="19"/>
        <v>16</v>
      </c>
      <c r="T23" s="554"/>
      <c r="U23" s="190">
        <v>4</v>
      </c>
      <c r="V23" s="190">
        <v>2942.6267281105997</v>
      </c>
      <c r="W23" s="187">
        <f t="shared" si="11"/>
        <v>735.65668202764994</v>
      </c>
      <c r="X23" s="184">
        <f t="shared" si="20"/>
        <v>16</v>
      </c>
      <c r="Y23" s="554"/>
      <c r="Z23" s="190">
        <v>4</v>
      </c>
      <c r="AA23" s="190">
        <v>2942.925482980676</v>
      </c>
      <c r="AB23" s="187">
        <f t="shared" si="12"/>
        <v>735.73137074516899</v>
      </c>
      <c r="AC23" s="184">
        <f t="shared" si="21"/>
        <v>16</v>
      </c>
      <c r="AD23" s="554"/>
      <c r="AE23" s="190">
        <v>4</v>
      </c>
      <c r="AF23" s="190">
        <v>2943.1430253090048</v>
      </c>
      <c r="AG23" s="187">
        <f t="shared" si="13"/>
        <v>735.78575632725119</v>
      </c>
      <c r="AH23" s="184">
        <f t="shared" si="22"/>
        <v>15</v>
      </c>
      <c r="AI23" s="554"/>
      <c r="AJ23" s="190">
        <v>4</v>
      </c>
      <c r="AK23" s="190">
        <v>2943.2856644576204</v>
      </c>
      <c r="AL23" s="187">
        <f t="shared" si="14"/>
        <v>735.82141611440511</v>
      </c>
      <c r="AM23" s="184">
        <f t="shared" si="23"/>
        <v>15</v>
      </c>
      <c r="AN23" s="554"/>
      <c r="AO23" s="190">
        <v>4</v>
      </c>
      <c r="AP23" s="190">
        <v>2943.3926602614579</v>
      </c>
      <c r="AQ23" s="187">
        <f t="shared" si="15"/>
        <v>735.84816506536447</v>
      </c>
      <c r="AR23" s="184">
        <f t="shared" si="24"/>
        <v>15</v>
      </c>
      <c r="AS23" s="554"/>
      <c r="AT23" s="190">
        <v>4</v>
      </c>
      <c r="AU23" s="190">
        <v>2944.6584456241139</v>
      </c>
      <c r="AV23" s="187">
        <f t="shared" si="16"/>
        <v>736.16461140602848</v>
      </c>
      <c r="AW23" s="184">
        <f t="shared" si="25"/>
        <v>15</v>
      </c>
      <c r="AX23" s="554"/>
    </row>
    <row r="24" spans="2:50" ht="14.25" customHeight="1">
      <c r="B24" s="564"/>
      <c r="C24" s="182">
        <v>18</v>
      </c>
      <c r="D24" s="185" t="s">
        <v>354</v>
      </c>
      <c r="E24" s="186">
        <v>5</v>
      </c>
      <c r="F24" s="182">
        <v>3300</v>
      </c>
      <c r="G24" s="187">
        <f t="shared" si="17"/>
        <v>660</v>
      </c>
      <c r="H24" s="567"/>
      <c r="I24" s="188">
        <f t="shared" si="18"/>
        <v>5</v>
      </c>
      <c r="J24" s="188">
        <f t="shared" si="18"/>
        <v>2946.5485352631285</v>
      </c>
      <c r="K24" s="189">
        <f t="shared" si="18"/>
        <v>589.30970705262564</v>
      </c>
      <c r="L24" s="570"/>
      <c r="M24" s="188">
        <f>RANK(K24, K$7:$K$39)</f>
        <v>27</v>
      </c>
      <c r="N24" s="588"/>
      <c r="O24" s="556"/>
      <c r="P24" s="190">
        <v>5</v>
      </c>
      <c r="Q24" s="190">
        <v>2944.4613050075986</v>
      </c>
      <c r="R24" s="187">
        <f t="shared" si="10"/>
        <v>588.89226100151973</v>
      </c>
      <c r="S24" s="184">
        <f t="shared" si="19"/>
        <v>26</v>
      </c>
      <c r="T24" s="554"/>
      <c r="U24" s="190">
        <v>5</v>
      </c>
      <c r="V24" s="190">
        <v>2945.2810180275706</v>
      </c>
      <c r="W24" s="187">
        <f t="shared" si="11"/>
        <v>589.05620360551416</v>
      </c>
      <c r="X24" s="184">
        <f t="shared" si="20"/>
        <v>26</v>
      </c>
      <c r="Y24" s="554"/>
      <c r="Z24" s="190">
        <v>5</v>
      </c>
      <c r="AA24" s="190">
        <v>2946.1457233368601</v>
      </c>
      <c r="AB24" s="187">
        <f t="shared" si="12"/>
        <v>589.229144667372</v>
      </c>
      <c r="AC24" s="184">
        <f t="shared" si="21"/>
        <v>26</v>
      </c>
      <c r="AD24" s="554"/>
      <c r="AE24" s="190">
        <v>5</v>
      </c>
      <c r="AF24" s="190">
        <v>2947.2747497219138</v>
      </c>
      <c r="AG24" s="187">
        <f t="shared" si="13"/>
        <v>589.45494994438275</v>
      </c>
      <c r="AH24" s="184">
        <f t="shared" si="22"/>
        <v>26</v>
      </c>
      <c r="AI24" s="554"/>
      <c r="AJ24" s="190">
        <v>5</v>
      </c>
      <c r="AK24" s="190">
        <v>2947.1217524197705</v>
      </c>
      <c r="AL24" s="187">
        <f t="shared" si="14"/>
        <v>589.42435048395407</v>
      </c>
      <c r="AM24" s="184">
        <f t="shared" si="23"/>
        <v>26</v>
      </c>
      <c r="AN24" s="554"/>
      <c r="AO24" s="190">
        <v>5</v>
      </c>
      <c r="AP24" s="190">
        <v>2947.6510067114141</v>
      </c>
      <c r="AQ24" s="187">
        <f t="shared" si="15"/>
        <v>589.53020134228279</v>
      </c>
      <c r="AR24" s="184">
        <f t="shared" si="24"/>
        <v>26</v>
      </c>
      <c r="AS24" s="554"/>
      <c r="AT24" s="190">
        <v>5</v>
      </c>
      <c r="AU24" s="190">
        <v>2947.9041916167712</v>
      </c>
      <c r="AV24" s="187">
        <f t="shared" si="16"/>
        <v>589.58083832335421</v>
      </c>
      <c r="AW24" s="184">
        <f t="shared" si="25"/>
        <v>27</v>
      </c>
      <c r="AX24" s="554"/>
    </row>
    <row r="25" spans="2:50" ht="14.25" customHeight="1">
      <c r="B25" s="564"/>
      <c r="C25" s="182">
        <v>19</v>
      </c>
      <c r="D25" s="185" t="s">
        <v>415</v>
      </c>
      <c r="E25" s="186">
        <v>3</v>
      </c>
      <c r="F25" s="182">
        <v>3600</v>
      </c>
      <c r="G25" s="187">
        <f t="shared" si="17"/>
        <v>1200</v>
      </c>
      <c r="H25" s="567"/>
      <c r="I25" s="188">
        <f t="shared" si="18"/>
        <v>3</v>
      </c>
      <c r="J25" s="188">
        <f t="shared" si="18"/>
        <v>3117.7899172234725</v>
      </c>
      <c r="K25" s="189">
        <f t="shared" si="18"/>
        <v>1039.2633057411574</v>
      </c>
      <c r="L25" s="570"/>
      <c r="M25" s="188">
        <f>RANK(K25, K$7:$K$39)</f>
        <v>2</v>
      </c>
      <c r="N25" s="588"/>
      <c r="O25" s="556"/>
      <c r="P25" s="190">
        <v>3</v>
      </c>
      <c r="Q25" s="190">
        <v>3117.3501577286988</v>
      </c>
      <c r="R25" s="187">
        <f t="shared" si="10"/>
        <v>1039.1167192428995</v>
      </c>
      <c r="S25" s="184">
        <f t="shared" si="19"/>
        <v>2</v>
      </c>
      <c r="T25" s="554"/>
      <c r="U25" s="190">
        <v>3</v>
      </c>
      <c r="V25" s="190">
        <v>3117.8036605657257</v>
      </c>
      <c r="W25" s="187">
        <f t="shared" si="11"/>
        <v>1039.2678868552418</v>
      </c>
      <c r="X25" s="184">
        <f t="shared" si="20"/>
        <v>2</v>
      </c>
      <c r="Y25" s="554"/>
      <c r="Z25" s="190">
        <v>3</v>
      </c>
      <c r="AA25" s="190">
        <v>3117.7540106951851</v>
      </c>
      <c r="AB25" s="187">
        <f t="shared" si="12"/>
        <v>1039.251336898395</v>
      </c>
      <c r="AC25" s="184">
        <f t="shared" si="21"/>
        <v>2</v>
      </c>
      <c r="AD25" s="554"/>
      <c r="AE25" s="190">
        <v>3</v>
      </c>
      <c r="AF25" s="190">
        <v>3117.8571428571495</v>
      </c>
      <c r="AG25" s="187">
        <f t="shared" si="13"/>
        <v>1039.2857142857165</v>
      </c>
      <c r="AH25" s="184">
        <f t="shared" si="22"/>
        <v>2</v>
      </c>
      <c r="AI25" s="554"/>
      <c r="AJ25" s="190">
        <v>3</v>
      </c>
      <c r="AK25" s="190">
        <v>3117.6470588235234</v>
      </c>
      <c r="AL25" s="187">
        <f t="shared" si="14"/>
        <v>1039.2156862745078</v>
      </c>
      <c r="AM25" s="184">
        <f t="shared" si="23"/>
        <v>2</v>
      </c>
      <c r="AN25" s="554"/>
      <c r="AO25" s="190">
        <v>3</v>
      </c>
      <c r="AP25" s="190">
        <v>3117.9766723842131</v>
      </c>
      <c r="AQ25" s="187">
        <f t="shared" si="15"/>
        <v>1039.3255574614043</v>
      </c>
      <c r="AR25" s="184">
        <f t="shared" si="24"/>
        <v>2</v>
      </c>
      <c r="AS25" s="554"/>
      <c r="AT25" s="190">
        <v>3</v>
      </c>
      <c r="AU25" s="190">
        <v>3118.1407175098129</v>
      </c>
      <c r="AV25" s="187">
        <f t="shared" si="16"/>
        <v>1039.3802391699376</v>
      </c>
      <c r="AW25" s="184">
        <f t="shared" si="25"/>
        <v>2</v>
      </c>
      <c r="AX25" s="554"/>
    </row>
    <row r="26" spans="2:50" ht="14.25" customHeight="1">
      <c r="B26" s="564"/>
      <c r="C26" s="182">
        <v>20</v>
      </c>
      <c r="D26" s="185" t="s">
        <v>419</v>
      </c>
      <c r="E26" s="186">
        <v>3</v>
      </c>
      <c r="F26" s="182">
        <v>3600</v>
      </c>
      <c r="G26" s="187">
        <f t="shared" si="17"/>
        <v>1200</v>
      </c>
      <c r="H26" s="567"/>
      <c r="I26" s="188">
        <f t="shared" si="18"/>
        <v>3</v>
      </c>
      <c r="J26" s="188">
        <f t="shared" si="18"/>
        <v>3120.1998784328198</v>
      </c>
      <c r="K26" s="189">
        <f t="shared" si="18"/>
        <v>1040.0666261442732</v>
      </c>
      <c r="L26" s="570"/>
      <c r="M26" s="188">
        <f>RANK(K26, K$7:$K$39)</f>
        <v>1</v>
      </c>
      <c r="N26" s="588"/>
      <c r="O26" s="556"/>
      <c r="P26" s="190">
        <v>3</v>
      </c>
      <c r="Q26" s="190">
        <v>3119.4805194805285</v>
      </c>
      <c r="R26" s="187">
        <f t="shared" si="10"/>
        <v>1039.8268398268428</v>
      </c>
      <c r="S26" s="184">
        <f t="shared" si="19"/>
        <v>1</v>
      </c>
      <c r="T26" s="554"/>
      <c r="U26" s="190">
        <v>3</v>
      </c>
      <c r="V26" s="190">
        <v>3119.1143911439244</v>
      </c>
      <c r="W26" s="187">
        <f t="shared" si="11"/>
        <v>1039.7047970479748</v>
      </c>
      <c r="X26" s="184">
        <f t="shared" si="20"/>
        <v>1</v>
      </c>
      <c r="Y26" s="554"/>
      <c r="Z26" s="190">
        <v>3</v>
      </c>
      <c r="AA26" s="190">
        <v>3119.6629213483243</v>
      </c>
      <c r="AB26" s="187">
        <f t="shared" si="12"/>
        <v>1039.8876404494415</v>
      </c>
      <c r="AC26" s="184">
        <f t="shared" si="21"/>
        <v>1</v>
      </c>
      <c r="AD26" s="554"/>
      <c r="AE26" s="190">
        <v>3</v>
      </c>
      <c r="AF26" s="190">
        <v>3120.380650277576</v>
      </c>
      <c r="AG26" s="187">
        <f t="shared" si="13"/>
        <v>1040.1268834258588</v>
      </c>
      <c r="AH26" s="184">
        <f t="shared" si="22"/>
        <v>1</v>
      </c>
      <c r="AI26" s="554"/>
      <c r="AJ26" s="190">
        <v>3</v>
      </c>
      <c r="AK26" s="190">
        <v>3120.3401842664848</v>
      </c>
      <c r="AL26" s="187">
        <f t="shared" si="14"/>
        <v>1040.1133947554949</v>
      </c>
      <c r="AM26" s="184">
        <f t="shared" si="23"/>
        <v>1</v>
      </c>
      <c r="AN26" s="554"/>
      <c r="AO26" s="190">
        <v>3</v>
      </c>
      <c r="AP26" s="190">
        <v>3121.4428857715552</v>
      </c>
      <c r="AQ26" s="187">
        <f t="shared" si="15"/>
        <v>1040.4809619238517</v>
      </c>
      <c r="AR26" s="184">
        <f t="shared" si="24"/>
        <v>1</v>
      </c>
      <c r="AS26" s="554"/>
      <c r="AT26" s="190">
        <v>3</v>
      </c>
      <c r="AU26" s="190">
        <v>3120.9775967413439</v>
      </c>
      <c r="AV26" s="187">
        <f t="shared" si="16"/>
        <v>1040.325865580448</v>
      </c>
      <c r="AW26" s="184">
        <f t="shared" si="25"/>
        <v>1</v>
      </c>
      <c r="AX26" s="554"/>
    </row>
    <row r="27" spans="2:50" ht="14.25" customHeight="1">
      <c r="B27" s="564"/>
      <c r="C27" s="182">
        <v>21</v>
      </c>
      <c r="D27" s="185" t="s">
        <v>418</v>
      </c>
      <c r="E27" s="186">
        <v>4</v>
      </c>
      <c r="F27" s="182">
        <v>3300</v>
      </c>
      <c r="G27" s="187">
        <f t="shared" si="17"/>
        <v>825</v>
      </c>
      <c r="H27" s="567"/>
      <c r="I27" s="188">
        <f t="shared" si="18"/>
        <v>4</v>
      </c>
      <c r="J27" s="188">
        <f t="shared" si="18"/>
        <v>2920.7648316165264</v>
      </c>
      <c r="K27" s="189">
        <f t="shared" si="18"/>
        <v>730.1912079041316</v>
      </c>
      <c r="L27" s="570"/>
      <c r="M27" s="188">
        <f>RANK(K27, K$7:$K$39)</f>
        <v>22</v>
      </c>
      <c r="N27" s="588"/>
      <c r="O27" s="556"/>
      <c r="P27" s="190">
        <v>4</v>
      </c>
      <c r="Q27" s="190">
        <v>2919.5121951219503</v>
      </c>
      <c r="R27" s="187">
        <f t="shared" si="10"/>
        <v>729.87804878048757</v>
      </c>
      <c r="S27" s="184">
        <f t="shared" si="19"/>
        <v>22</v>
      </c>
      <c r="T27" s="554"/>
      <c r="U27" s="190">
        <v>4</v>
      </c>
      <c r="V27" s="190">
        <v>2919.4346289752625</v>
      </c>
      <c r="W27" s="187">
        <f t="shared" si="11"/>
        <v>729.85865724381563</v>
      </c>
      <c r="X27" s="184">
        <f t="shared" si="20"/>
        <v>22</v>
      </c>
      <c r="Y27" s="554"/>
      <c r="Z27" s="190">
        <v>4</v>
      </c>
      <c r="AA27" s="190">
        <v>2920.2046035805597</v>
      </c>
      <c r="AB27" s="187">
        <f t="shared" si="12"/>
        <v>730.05115089513993</v>
      </c>
      <c r="AC27" s="184">
        <f t="shared" si="21"/>
        <v>22</v>
      </c>
      <c r="AD27" s="554"/>
      <c r="AE27" s="190">
        <v>4</v>
      </c>
      <c r="AF27" s="190">
        <v>2921.3524779990667</v>
      </c>
      <c r="AG27" s="187">
        <f t="shared" si="13"/>
        <v>730.33811949976666</v>
      </c>
      <c r="AH27" s="184">
        <f t="shared" si="22"/>
        <v>22</v>
      </c>
      <c r="AI27" s="554"/>
      <c r="AJ27" s="190">
        <v>4</v>
      </c>
      <c r="AK27" s="190">
        <v>2921.3114754098387</v>
      </c>
      <c r="AL27" s="187">
        <f t="shared" si="14"/>
        <v>730.32786885245969</v>
      </c>
      <c r="AM27" s="184">
        <f t="shared" si="23"/>
        <v>22</v>
      </c>
      <c r="AN27" s="554"/>
      <c r="AO27" s="190">
        <v>4</v>
      </c>
      <c r="AP27" s="190">
        <v>2921.1206896551685</v>
      </c>
      <c r="AQ27" s="187">
        <f t="shared" si="15"/>
        <v>730.28017241379212</v>
      </c>
      <c r="AR27" s="184">
        <f t="shared" si="24"/>
        <v>22</v>
      </c>
      <c r="AS27" s="554"/>
      <c r="AT27" s="190">
        <v>4</v>
      </c>
      <c r="AU27" s="190">
        <v>2922.4177505738407</v>
      </c>
      <c r="AV27" s="187">
        <f t="shared" si="16"/>
        <v>730.60443764346019</v>
      </c>
      <c r="AW27" s="184">
        <f t="shared" si="25"/>
        <v>21</v>
      </c>
      <c r="AX27" s="554"/>
    </row>
    <row r="28" spans="2:50" ht="14.25" customHeight="1">
      <c r="B28" s="564"/>
      <c r="C28" s="182">
        <v>22</v>
      </c>
      <c r="D28" s="185" t="s">
        <v>414</v>
      </c>
      <c r="E28" s="186">
        <v>4</v>
      </c>
      <c r="F28" s="182">
        <v>3300</v>
      </c>
      <c r="G28" s="187">
        <f>F28/E28</f>
        <v>825</v>
      </c>
      <c r="H28" s="567"/>
      <c r="I28" s="188">
        <f t="shared" si="18"/>
        <v>4</v>
      </c>
      <c r="J28" s="188">
        <f t="shared" si="18"/>
        <v>2922.3751036846202</v>
      </c>
      <c r="K28" s="189">
        <f t="shared" si="18"/>
        <v>730.59377592115504</v>
      </c>
      <c r="L28" s="570"/>
      <c r="M28" s="188">
        <f>RANK(K28, K$7:$K$39)</f>
        <v>20</v>
      </c>
      <c r="N28" s="588"/>
      <c r="O28" s="556"/>
      <c r="P28" s="190">
        <v>4</v>
      </c>
      <c r="Q28" s="190">
        <v>2922.9199872489598</v>
      </c>
      <c r="R28" s="187">
        <f t="shared" si="10"/>
        <v>730.72999681223996</v>
      </c>
      <c r="S28" s="184">
        <f t="shared" si="19"/>
        <v>18</v>
      </c>
      <c r="T28" s="554"/>
      <c r="U28" s="190">
        <v>4</v>
      </c>
      <c r="V28" s="190">
        <v>2922.4719101123687</v>
      </c>
      <c r="W28" s="187">
        <f t="shared" si="11"/>
        <v>730.61797752809218</v>
      </c>
      <c r="X28" s="184">
        <f t="shared" si="20"/>
        <v>20</v>
      </c>
      <c r="Y28" s="554"/>
      <c r="Z28" s="190">
        <v>4</v>
      </c>
      <c r="AA28" s="190">
        <v>2922.0779220779186</v>
      </c>
      <c r="AB28" s="187">
        <f t="shared" si="12"/>
        <v>730.51948051947966</v>
      </c>
      <c r="AC28" s="184">
        <f t="shared" si="21"/>
        <v>21</v>
      </c>
      <c r="AD28" s="554"/>
      <c r="AE28" s="190">
        <v>4</v>
      </c>
      <c r="AF28" s="190">
        <v>2922.1438645980165</v>
      </c>
      <c r="AG28" s="187">
        <f t="shared" si="13"/>
        <v>730.53596614950413</v>
      </c>
      <c r="AH28" s="184">
        <f t="shared" si="22"/>
        <v>21</v>
      </c>
      <c r="AI28" s="554"/>
      <c r="AJ28" s="190">
        <v>4</v>
      </c>
      <c r="AK28" s="190">
        <v>2922.3659889094279</v>
      </c>
      <c r="AL28" s="187">
        <f t="shared" si="14"/>
        <v>730.59149722735697</v>
      </c>
      <c r="AM28" s="184">
        <f t="shared" si="23"/>
        <v>20</v>
      </c>
      <c r="AN28" s="554"/>
      <c r="AO28" s="190">
        <v>4</v>
      </c>
      <c r="AP28" s="190">
        <v>2922.2416812609472</v>
      </c>
      <c r="AQ28" s="187">
        <f t="shared" si="15"/>
        <v>730.5604203152368</v>
      </c>
      <c r="AR28" s="184">
        <f t="shared" si="24"/>
        <v>19</v>
      </c>
      <c r="AS28" s="554"/>
      <c r="AT28" s="190">
        <v>4</v>
      </c>
      <c r="AU28" s="190">
        <v>2922.4043715847019</v>
      </c>
      <c r="AV28" s="187">
        <f t="shared" si="16"/>
        <v>730.60109289617549</v>
      </c>
      <c r="AW28" s="184">
        <f t="shared" si="25"/>
        <v>22</v>
      </c>
      <c r="AX28" s="554"/>
    </row>
    <row r="29" spans="2:50" ht="14.25" customHeight="1">
      <c r="B29" s="564"/>
      <c r="C29" s="182">
        <v>23</v>
      </c>
      <c r="D29" s="185" t="s">
        <v>417</v>
      </c>
      <c r="E29" s="186">
        <v>4</v>
      </c>
      <c r="F29" s="182">
        <v>3000</v>
      </c>
      <c r="G29" s="187">
        <f t="shared" ref="G29:G36" si="26">F29/E29</f>
        <v>750</v>
      </c>
      <c r="H29" s="567"/>
      <c r="I29" s="188">
        <f t="shared" si="18"/>
        <v>4</v>
      </c>
      <c r="J29" s="188">
        <f t="shared" si="18"/>
        <v>2686.4948511443913</v>
      </c>
      <c r="K29" s="189">
        <f t="shared" si="18"/>
        <v>671.62371278609783</v>
      </c>
      <c r="L29" s="570"/>
      <c r="M29" s="188">
        <f>RANK(K29, K$7:$K$39)</f>
        <v>24</v>
      </c>
      <c r="N29" s="588"/>
      <c r="O29" s="556"/>
      <c r="P29" s="190">
        <v>4</v>
      </c>
      <c r="Q29" s="190">
        <v>2686.6875840430221</v>
      </c>
      <c r="R29" s="187">
        <f t="shared" si="10"/>
        <v>671.67189601075552</v>
      </c>
      <c r="S29" s="184">
        <f t="shared" si="19"/>
        <v>23</v>
      </c>
      <c r="T29" s="554"/>
      <c r="U29" s="190">
        <v>4</v>
      </c>
      <c r="V29" s="190">
        <v>2686.4150943396239</v>
      </c>
      <c r="W29" s="187">
        <f t="shared" si="11"/>
        <v>671.60377358490598</v>
      </c>
      <c r="X29" s="184">
        <f t="shared" si="20"/>
        <v>23</v>
      </c>
      <c r="Y29" s="554"/>
      <c r="Z29" s="190">
        <v>4</v>
      </c>
      <c r="AA29" s="190">
        <v>2686.0434204696562</v>
      </c>
      <c r="AB29" s="187">
        <f t="shared" si="12"/>
        <v>671.51085511741405</v>
      </c>
      <c r="AC29" s="184">
        <f t="shared" si="21"/>
        <v>23</v>
      </c>
      <c r="AD29" s="554"/>
      <c r="AE29" s="190">
        <v>4</v>
      </c>
      <c r="AF29" s="190">
        <v>2686.4101315148673</v>
      </c>
      <c r="AG29" s="187">
        <f t="shared" si="13"/>
        <v>671.60253287871683</v>
      </c>
      <c r="AH29" s="184">
        <f t="shared" si="22"/>
        <v>23</v>
      </c>
      <c r="AI29" s="554"/>
      <c r="AJ29" s="190">
        <v>4</v>
      </c>
      <c r="AK29" s="190">
        <v>2686.1660079051371</v>
      </c>
      <c r="AL29" s="187">
        <f t="shared" si="14"/>
        <v>671.54150197628428</v>
      </c>
      <c r="AM29" s="184">
        <f t="shared" si="23"/>
        <v>23</v>
      </c>
      <c r="AN29" s="554"/>
      <c r="AO29" s="190">
        <v>4</v>
      </c>
      <c r="AP29" s="190">
        <v>2686.5236746256514</v>
      </c>
      <c r="AQ29" s="187">
        <f t="shared" si="15"/>
        <v>671.63091865641286</v>
      </c>
      <c r="AR29" s="184">
        <f t="shared" si="24"/>
        <v>23</v>
      </c>
      <c r="AS29" s="554"/>
      <c r="AT29" s="190">
        <v>4</v>
      </c>
      <c r="AU29" s="190">
        <v>2687.2180451127815</v>
      </c>
      <c r="AV29" s="187">
        <f t="shared" si="16"/>
        <v>671.80451127819538</v>
      </c>
      <c r="AW29" s="184">
        <f t="shared" si="25"/>
        <v>24</v>
      </c>
      <c r="AX29" s="554"/>
    </row>
    <row r="30" spans="2:50" ht="14.25" customHeight="1">
      <c r="B30" s="564"/>
      <c r="C30" s="182">
        <v>24</v>
      </c>
      <c r="D30" s="185" t="s">
        <v>416</v>
      </c>
      <c r="E30" s="186">
        <v>4</v>
      </c>
      <c r="F30" s="182">
        <v>3300</v>
      </c>
      <c r="G30" s="187">
        <f t="shared" si="26"/>
        <v>825</v>
      </c>
      <c r="H30" s="567"/>
      <c r="I30" s="188">
        <f t="shared" si="18"/>
        <v>4</v>
      </c>
      <c r="J30" s="188">
        <f t="shared" si="18"/>
        <v>2945.8232923844344</v>
      </c>
      <c r="K30" s="189">
        <f t="shared" si="18"/>
        <v>736.45582309610859</v>
      </c>
      <c r="L30" s="570"/>
      <c r="M30" s="188">
        <f>RANK(K30, K$7:$K$39)</f>
        <v>14</v>
      </c>
      <c r="N30" s="588"/>
      <c r="O30" s="556"/>
      <c r="P30" s="190">
        <v>4</v>
      </c>
      <c r="Q30" s="190">
        <v>2943.5779816513586</v>
      </c>
      <c r="R30" s="187">
        <f t="shared" si="10"/>
        <v>735.89449541283966</v>
      </c>
      <c r="S30" s="184">
        <f t="shared" si="19"/>
        <v>14</v>
      </c>
      <c r="T30" s="554"/>
      <c r="U30" s="190">
        <v>4</v>
      </c>
      <c r="V30" s="190">
        <v>2944.0347071583301</v>
      </c>
      <c r="W30" s="187">
        <f t="shared" si="11"/>
        <v>736.00867678958252</v>
      </c>
      <c r="X30" s="184">
        <f t="shared" si="20"/>
        <v>14</v>
      </c>
      <c r="Y30" s="554"/>
      <c r="Z30" s="190">
        <v>4</v>
      </c>
      <c r="AA30" s="190">
        <v>2945.4545454545291</v>
      </c>
      <c r="AB30" s="187">
        <f t="shared" si="12"/>
        <v>736.36363636363228</v>
      </c>
      <c r="AC30" s="184">
        <f t="shared" si="21"/>
        <v>14</v>
      </c>
      <c r="AD30" s="554"/>
      <c r="AE30" s="190">
        <v>4</v>
      </c>
      <c r="AF30" s="190">
        <v>2947.5578406169539</v>
      </c>
      <c r="AG30" s="187">
        <f t="shared" si="13"/>
        <v>736.88946015423846</v>
      </c>
      <c r="AH30" s="184">
        <f t="shared" si="22"/>
        <v>14</v>
      </c>
      <c r="AI30" s="554"/>
      <c r="AJ30" s="190">
        <v>4</v>
      </c>
      <c r="AK30" s="190">
        <v>2946.5091299677815</v>
      </c>
      <c r="AL30" s="187">
        <f t="shared" si="14"/>
        <v>736.62728249194538</v>
      </c>
      <c r="AM30" s="184">
        <f t="shared" si="23"/>
        <v>14</v>
      </c>
      <c r="AN30" s="554"/>
      <c r="AO30" s="190">
        <v>4</v>
      </c>
      <c r="AP30" s="190">
        <v>2947.0941883767368</v>
      </c>
      <c r="AQ30" s="187">
        <f t="shared" si="15"/>
        <v>736.77354709418421</v>
      </c>
      <c r="AR30" s="184">
        <f t="shared" si="24"/>
        <v>14</v>
      </c>
      <c r="AS30" s="554"/>
      <c r="AT30" s="190">
        <v>4</v>
      </c>
      <c r="AU30" s="190">
        <v>2946.5346534653522</v>
      </c>
      <c r="AV30" s="187">
        <f t="shared" si="16"/>
        <v>736.63366336633806</v>
      </c>
      <c r="AW30" s="184">
        <f t="shared" si="25"/>
        <v>14</v>
      </c>
      <c r="AX30" s="554"/>
    </row>
    <row r="31" spans="2:50" ht="14.25" customHeight="1">
      <c r="B31" s="564"/>
      <c r="C31" s="182">
        <v>25</v>
      </c>
      <c r="D31" s="185" t="s">
        <v>484</v>
      </c>
      <c r="E31" s="186">
        <v>3</v>
      </c>
      <c r="F31" s="182">
        <v>3300</v>
      </c>
      <c r="G31" s="187">
        <f t="shared" si="26"/>
        <v>1100</v>
      </c>
      <c r="H31" s="567"/>
      <c r="I31" s="188">
        <f t="shared" si="18"/>
        <v>3</v>
      </c>
      <c r="J31" s="188">
        <f t="shared" si="18"/>
        <v>2950.0107826043691</v>
      </c>
      <c r="K31" s="189">
        <f t="shared" si="18"/>
        <v>983.33692753478965</v>
      </c>
      <c r="L31" s="570"/>
      <c r="M31" s="188">
        <f>RANK(K31, K$7:$K$39)</f>
        <v>7</v>
      </c>
      <c r="N31" s="588"/>
      <c r="O31" s="556"/>
      <c r="P31" s="190">
        <v>3</v>
      </c>
      <c r="Q31" s="190">
        <v>2948.7179487179574</v>
      </c>
      <c r="R31" s="187">
        <f t="shared" si="10"/>
        <v>982.90598290598575</v>
      </c>
      <c r="S31" s="184">
        <f t="shared" si="19"/>
        <v>7</v>
      </c>
      <c r="T31" s="554"/>
      <c r="U31" s="190">
        <v>3</v>
      </c>
      <c r="V31" s="190">
        <v>2949.6011262318243</v>
      </c>
      <c r="W31" s="187">
        <f t="shared" si="11"/>
        <v>983.2003754106081</v>
      </c>
      <c r="X31" s="184">
        <f t="shared" si="20"/>
        <v>7</v>
      </c>
      <c r="Y31" s="554"/>
      <c r="Z31" s="190">
        <v>3</v>
      </c>
      <c r="AA31" s="190">
        <v>2950.227894257072</v>
      </c>
      <c r="AB31" s="187">
        <f t="shared" si="12"/>
        <v>983.40929808569069</v>
      </c>
      <c r="AC31" s="184">
        <f t="shared" si="21"/>
        <v>7</v>
      </c>
      <c r="AD31" s="554"/>
      <c r="AE31" s="190">
        <v>3</v>
      </c>
      <c r="AF31" s="190">
        <v>2950.9752240379607</v>
      </c>
      <c r="AG31" s="187">
        <f t="shared" si="13"/>
        <v>983.65840801265358</v>
      </c>
      <c r="AH31" s="184">
        <f t="shared" si="22"/>
        <v>7</v>
      </c>
      <c r="AI31" s="554"/>
      <c r="AJ31" s="190">
        <v>3</v>
      </c>
      <c r="AK31" s="190">
        <v>2950.5065123010154</v>
      </c>
      <c r="AL31" s="187">
        <f t="shared" si="14"/>
        <v>983.50217076700517</v>
      </c>
      <c r="AM31" s="184">
        <f t="shared" si="23"/>
        <v>7</v>
      </c>
      <c r="AN31" s="554"/>
      <c r="AO31" s="190">
        <v>3</v>
      </c>
      <c r="AP31" s="190">
        <v>2950.0000000000055</v>
      </c>
      <c r="AQ31" s="187">
        <f t="shared" si="15"/>
        <v>983.33333333333519</v>
      </c>
      <c r="AR31" s="184">
        <f t="shared" si="24"/>
        <v>7</v>
      </c>
      <c r="AS31" s="554"/>
      <c r="AT31" s="190">
        <v>3</v>
      </c>
      <c r="AU31" s="190">
        <v>2950.0467726847496</v>
      </c>
      <c r="AV31" s="187">
        <f t="shared" si="16"/>
        <v>983.34892422824987</v>
      </c>
      <c r="AW31" s="184">
        <f t="shared" si="25"/>
        <v>7</v>
      </c>
      <c r="AX31" s="554"/>
    </row>
    <row r="32" spans="2:50" ht="14.25" customHeight="1">
      <c r="B32" s="564"/>
      <c r="C32" s="182">
        <v>26</v>
      </c>
      <c r="D32" s="185" t="s">
        <v>506</v>
      </c>
      <c r="E32" s="186">
        <v>4</v>
      </c>
      <c r="F32" s="182">
        <v>3000</v>
      </c>
      <c r="G32" s="187">
        <f t="shared" si="26"/>
        <v>750</v>
      </c>
      <c r="H32" s="567"/>
      <c r="I32" s="188">
        <f t="shared" si="18"/>
        <v>4</v>
      </c>
      <c r="J32" s="188">
        <f t="shared" si="18"/>
        <v>2657.4962708623289</v>
      </c>
      <c r="K32" s="189">
        <f t="shared" si="18"/>
        <v>664.37406771558221</v>
      </c>
      <c r="L32" s="570"/>
      <c r="M32" s="188">
        <f>RANK(K32, K$7:$K$39)</f>
        <v>25</v>
      </c>
      <c r="N32" s="588"/>
      <c r="O32" s="556"/>
      <c r="P32" s="190">
        <v>4</v>
      </c>
      <c r="Q32" s="190">
        <v>2656.3413208649908</v>
      </c>
      <c r="R32" s="187">
        <f t="shared" si="10"/>
        <v>664.08533021624771</v>
      </c>
      <c r="S32" s="184">
        <f t="shared" si="19"/>
        <v>24</v>
      </c>
      <c r="T32" s="554"/>
      <c r="U32" s="190">
        <v>4</v>
      </c>
      <c r="V32" s="190">
        <v>2656.4605021432903</v>
      </c>
      <c r="W32" s="187">
        <f t="shared" si="11"/>
        <v>664.11512553582259</v>
      </c>
      <c r="X32" s="184">
        <f t="shared" si="20"/>
        <v>24</v>
      </c>
      <c r="Y32" s="554"/>
      <c r="Z32" s="190">
        <v>4</v>
      </c>
      <c r="AA32" s="190">
        <v>2656.8955568378597</v>
      </c>
      <c r="AB32" s="187">
        <f t="shared" si="12"/>
        <v>664.22388920946491</v>
      </c>
      <c r="AC32" s="184">
        <f t="shared" si="21"/>
        <v>24</v>
      </c>
      <c r="AD32" s="554"/>
      <c r="AE32" s="190">
        <v>4</v>
      </c>
      <c r="AF32" s="190">
        <v>2657.3816155988884</v>
      </c>
      <c r="AG32" s="187">
        <f t="shared" si="13"/>
        <v>664.3454038997221</v>
      </c>
      <c r="AH32" s="184">
        <f t="shared" si="22"/>
        <v>24</v>
      </c>
      <c r="AI32" s="554"/>
      <c r="AJ32" s="190">
        <v>4</v>
      </c>
      <c r="AK32" s="190">
        <v>2657.8767123287662</v>
      </c>
      <c r="AL32" s="187">
        <f t="shared" si="14"/>
        <v>664.46917808219155</v>
      </c>
      <c r="AM32" s="184">
        <f t="shared" si="23"/>
        <v>24</v>
      </c>
      <c r="AN32" s="554"/>
      <c r="AO32" s="190">
        <v>4</v>
      </c>
      <c r="AP32" s="190">
        <v>2657.9263515278135</v>
      </c>
      <c r="AQ32" s="187">
        <f t="shared" si="15"/>
        <v>664.48158788195337</v>
      </c>
      <c r="AR32" s="184">
        <f t="shared" si="24"/>
        <v>24</v>
      </c>
      <c r="AS32" s="554"/>
      <c r="AT32" s="190">
        <v>4</v>
      </c>
      <c r="AU32" s="190">
        <v>2659.5918367346944</v>
      </c>
      <c r="AV32" s="187">
        <f t="shared" si="16"/>
        <v>664.89795918367361</v>
      </c>
      <c r="AW32" s="184">
        <f t="shared" si="25"/>
        <v>25</v>
      </c>
      <c r="AX32" s="554"/>
    </row>
    <row r="33" spans="1:50" ht="14.25" customHeight="1">
      <c r="B33" s="564"/>
      <c r="C33" s="182">
        <v>27</v>
      </c>
      <c r="D33" s="185" t="s">
        <v>555</v>
      </c>
      <c r="E33" s="186">
        <v>5</v>
      </c>
      <c r="F33" s="182">
        <v>3000</v>
      </c>
      <c r="G33" s="187">
        <f t="shared" si="26"/>
        <v>600</v>
      </c>
      <c r="H33" s="567"/>
      <c r="I33" s="188">
        <f t="shared" si="18"/>
        <v>5</v>
      </c>
      <c r="J33" s="188">
        <f t="shared" si="18"/>
        <v>2659.5655083806996</v>
      </c>
      <c r="K33" s="189">
        <f t="shared" si="18"/>
        <v>531.91310167613995</v>
      </c>
      <c r="L33" s="570"/>
      <c r="M33" s="188">
        <f>RANK(K33, K$7:$K$39)</f>
        <v>28</v>
      </c>
      <c r="N33" s="588"/>
      <c r="O33" s="556"/>
      <c r="P33" s="190">
        <v>5</v>
      </c>
      <c r="Q33" s="190">
        <v>2659.2130257801919</v>
      </c>
      <c r="R33" s="187">
        <f t="shared" si="10"/>
        <v>531.84260515603842</v>
      </c>
      <c r="S33" s="184">
        <f t="shared" si="19"/>
        <v>27</v>
      </c>
      <c r="T33" s="554"/>
      <c r="U33" s="190">
        <v>5</v>
      </c>
      <c r="V33" s="190">
        <v>2659.1726105563498</v>
      </c>
      <c r="W33" s="187">
        <f t="shared" si="11"/>
        <v>531.83452211126996</v>
      </c>
      <c r="X33" s="184">
        <f t="shared" si="20"/>
        <v>27</v>
      </c>
      <c r="Y33" s="554"/>
      <c r="Z33" s="190">
        <v>5</v>
      </c>
      <c r="AA33" s="190">
        <v>2659.4151407488389</v>
      </c>
      <c r="AB33" s="187">
        <f t="shared" si="12"/>
        <v>531.88302814976782</v>
      </c>
      <c r="AC33" s="184">
        <f t="shared" si="21"/>
        <v>27</v>
      </c>
      <c r="AD33" s="554"/>
      <c r="AE33" s="190">
        <v>5</v>
      </c>
      <c r="AF33" s="190">
        <v>2659.7260273972561</v>
      </c>
      <c r="AG33" s="187">
        <f t="shared" si="13"/>
        <v>531.94520547945126</v>
      </c>
      <c r="AH33" s="184">
        <f t="shared" si="22"/>
        <v>27</v>
      </c>
      <c r="AI33" s="554"/>
      <c r="AJ33" s="190">
        <v>5</v>
      </c>
      <c r="AK33" s="190">
        <v>2659.9170124481334</v>
      </c>
      <c r="AL33" s="187">
        <f t="shared" si="14"/>
        <v>531.98340248962666</v>
      </c>
      <c r="AM33" s="184">
        <f t="shared" si="23"/>
        <v>27</v>
      </c>
      <c r="AN33" s="554"/>
      <c r="AO33" s="190">
        <v>5</v>
      </c>
      <c r="AP33" s="190">
        <v>2659.7842835131</v>
      </c>
      <c r="AQ33" s="187">
        <f t="shared" si="15"/>
        <v>531.95685670262003</v>
      </c>
      <c r="AR33" s="184">
        <f t="shared" si="24"/>
        <v>27</v>
      </c>
      <c r="AS33" s="554"/>
      <c r="AT33" s="190">
        <v>5</v>
      </c>
      <c r="AU33" s="190">
        <v>2659.7304582210254</v>
      </c>
      <c r="AV33" s="187">
        <f t="shared" si="16"/>
        <v>531.94609164420513</v>
      </c>
      <c r="AW33" s="184">
        <f t="shared" si="25"/>
        <v>28</v>
      </c>
      <c r="AX33" s="554"/>
    </row>
    <row r="34" spans="1:50" ht="14.25" customHeight="1">
      <c r="B34" s="564"/>
      <c r="C34" s="182">
        <v>28</v>
      </c>
      <c r="D34" s="185" t="s">
        <v>355</v>
      </c>
      <c r="E34" s="186">
        <v>3</v>
      </c>
      <c r="F34" s="182">
        <v>3000</v>
      </c>
      <c r="G34" s="187">
        <f t="shared" si="26"/>
        <v>1000</v>
      </c>
      <c r="H34" s="567"/>
      <c r="I34" s="188">
        <f t="shared" si="18"/>
        <v>3</v>
      </c>
      <c r="J34" s="188">
        <f t="shared" si="18"/>
        <v>2684.0517409560784</v>
      </c>
      <c r="K34" s="189">
        <f t="shared" si="18"/>
        <v>894.68391365202626</v>
      </c>
      <c r="L34" s="570"/>
      <c r="M34" s="188">
        <f>RANK(K34, K$7:$K$39)</f>
        <v>10</v>
      </c>
      <c r="N34" s="588"/>
      <c r="O34" s="556"/>
      <c r="P34" s="190">
        <v>3</v>
      </c>
      <c r="Q34" s="190">
        <v>2683.9803422232717</v>
      </c>
      <c r="R34" s="187">
        <f t="shared" si="10"/>
        <v>894.66011407442386</v>
      </c>
      <c r="S34" s="184">
        <f t="shared" si="19"/>
        <v>10</v>
      </c>
      <c r="T34" s="554"/>
      <c r="U34" s="190">
        <v>3</v>
      </c>
      <c r="V34" s="190">
        <v>2683.9882030159961</v>
      </c>
      <c r="W34" s="187">
        <f t="shared" si="11"/>
        <v>894.66273433866536</v>
      </c>
      <c r="X34" s="184">
        <f t="shared" si="20"/>
        <v>10</v>
      </c>
      <c r="Y34" s="554"/>
      <c r="Z34" s="190">
        <v>3</v>
      </c>
      <c r="AA34" s="190">
        <v>2683.9631640894295</v>
      </c>
      <c r="AB34" s="187">
        <f t="shared" si="12"/>
        <v>894.65438802980987</v>
      </c>
      <c r="AC34" s="184">
        <f t="shared" si="21"/>
        <v>10</v>
      </c>
      <c r="AD34" s="554"/>
      <c r="AE34" s="190">
        <v>3</v>
      </c>
      <c r="AF34" s="190">
        <v>2683.9848106681379</v>
      </c>
      <c r="AG34" s="187">
        <f t="shared" si="13"/>
        <v>894.66160355604597</v>
      </c>
      <c r="AH34" s="184">
        <f t="shared" si="22"/>
        <v>10</v>
      </c>
      <c r="AI34" s="554"/>
      <c r="AJ34" s="190">
        <v>3</v>
      </c>
      <c r="AK34" s="190">
        <v>2684.0910267374902</v>
      </c>
      <c r="AL34" s="187">
        <f t="shared" si="14"/>
        <v>894.6970089124967</v>
      </c>
      <c r="AM34" s="184">
        <f t="shared" si="23"/>
        <v>10</v>
      </c>
      <c r="AN34" s="554"/>
      <c r="AO34" s="190">
        <v>3</v>
      </c>
      <c r="AP34" s="190">
        <v>2683.8490145896267</v>
      </c>
      <c r="AQ34" s="187">
        <f t="shared" si="15"/>
        <v>894.61633819654219</v>
      </c>
      <c r="AR34" s="184">
        <f t="shared" si="24"/>
        <v>11</v>
      </c>
      <c r="AS34" s="554"/>
      <c r="AT34" s="190">
        <v>3</v>
      </c>
      <c r="AU34" s="190">
        <v>2684.5056253685971</v>
      </c>
      <c r="AV34" s="187">
        <f t="shared" si="16"/>
        <v>894.83520845619898</v>
      </c>
      <c r="AW34" s="184">
        <f t="shared" si="25"/>
        <v>10</v>
      </c>
      <c r="AX34" s="554"/>
    </row>
    <row r="35" spans="1:50" ht="14.25" customHeight="1">
      <c r="B35" s="564"/>
      <c r="C35" s="182">
        <v>29</v>
      </c>
      <c r="D35" s="185" t="s">
        <v>495</v>
      </c>
      <c r="E35" s="186">
        <v>12</v>
      </c>
      <c r="F35" s="182">
        <v>3600</v>
      </c>
      <c r="G35" s="187">
        <f t="shared" si="26"/>
        <v>300</v>
      </c>
      <c r="H35" s="567"/>
      <c r="I35" s="188">
        <f t="shared" si="18"/>
        <v>12</v>
      </c>
      <c r="J35" s="188">
        <f t="shared" si="18"/>
        <v>3112.8934165659366</v>
      </c>
      <c r="K35" s="189">
        <f t="shared" si="18"/>
        <v>259.40778471382805</v>
      </c>
      <c r="L35" s="570"/>
      <c r="M35" s="188">
        <f>RANK(K35, K$7:$K$39)</f>
        <v>29</v>
      </c>
      <c r="N35" s="588"/>
      <c r="O35" s="556"/>
      <c r="P35" s="190">
        <v>12</v>
      </c>
      <c r="Q35" s="190">
        <v>3112.423625254562</v>
      </c>
      <c r="R35" s="187">
        <f t="shared" si="10"/>
        <v>259.36863543788019</v>
      </c>
      <c r="S35" s="184">
        <f t="shared" si="19"/>
        <v>28</v>
      </c>
      <c r="T35" s="554"/>
      <c r="U35" s="190">
        <v>12</v>
      </c>
      <c r="V35" s="190">
        <v>3111.801242236033</v>
      </c>
      <c r="W35" s="187">
        <f t="shared" si="11"/>
        <v>259.3167701863361</v>
      </c>
      <c r="X35" s="184">
        <f t="shared" si="20"/>
        <v>28</v>
      </c>
      <c r="Y35" s="554"/>
      <c r="Z35" s="190">
        <v>12</v>
      </c>
      <c r="AA35" s="190">
        <v>3112.5000000000018</v>
      </c>
      <c r="AB35" s="187">
        <f t="shared" si="12"/>
        <v>259.37500000000017</v>
      </c>
      <c r="AC35" s="184">
        <f t="shared" si="21"/>
        <v>28</v>
      </c>
      <c r="AD35" s="554"/>
      <c r="AE35" s="190">
        <v>12</v>
      </c>
      <c r="AF35" s="190">
        <v>3112.3348017621101</v>
      </c>
      <c r="AG35" s="187">
        <f t="shared" si="13"/>
        <v>259.36123348017583</v>
      </c>
      <c r="AH35" s="184">
        <f t="shared" si="22"/>
        <v>28</v>
      </c>
      <c r="AI35" s="554"/>
      <c r="AJ35" s="190">
        <v>12</v>
      </c>
      <c r="AK35" s="190">
        <v>3113.4662129314556</v>
      </c>
      <c r="AL35" s="187">
        <f t="shared" si="14"/>
        <v>259.45551774428799</v>
      </c>
      <c r="AM35" s="184">
        <f t="shared" si="23"/>
        <v>28</v>
      </c>
      <c r="AN35" s="554"/>
      <c r="AO35" s="190">
        <v>12</v>
      </c>
      <c r="AP35" s="190">
        <v>3113.6929460581005</v>
      </c>
      <c r="AQ35" s="187">
        <f t="shared" si="15"/>
        <v>259.47441217150839</v>
      </c>
      <c r="AR35" s="184">
        <f t="shared" si="24"/>
        <v>28</v>
      </c>
      <c r="AS35" s="554"/>
      <c r="AT35" s="190">
        <v>12</v>
      </c>
      <c r="AU35" s="190">
        <v>3114.0350877192918</v>
      </c>
      <c r="AV35" s="187">
        <f t="shared" si="16"/>
        <v>259.50292397660763</v>
      </c>
      <c r="AW35" s="184">
        <f t="shared" si="25"/>
        <v>29</v>
      </c>
      <c r="AX35" s="554"/>
    </row>
    <row r="36" spans="1:50" ht="14.25" customHeight="1">
      <c r="B36" s="564"/>
      <c r="C36" s="182">
        <v>30</v>
      </c>
      <c r="D36" s="185" t="s">
        <v>626</v>
      </c>
      <c r="E36" s="186">
        <v>4</v>
      </c>
      <c r="F36" s="182">
        <v>3300</v>
      </c>
      <c r="G36" s="187">
        <f t="shared" si="26"/>
        <v>825</v>
      </c>
      <c r="H36" s="567"/>
      <c r="I36" s="188">
        <f t="shared" ref="I36:K36" si="27">AVERAGE(P36,U36,Z36,AE36,AJ36,AO36,AT36)</f>
        <v>4</v>
      </c>
      <c r="J36" s="188">
        <f t="shared" si="27"/>
        <v>2693.3482080602407</v>
      </c>
      <c r="K36" s="189">
        <f t="shared" si="27"/>
        <v>673.33705201506018</v>
      </c>
      <c r="L36" s="570"/>
      <c r="M36" s="188">
        <f>RANK(K36, K$7:$K$39)</f>
        <v>23</v>
      </c>
      <c r="N36" s="588"/>
      <c r="O36" s="556"/>
      <c r="P36" s="190"/>
      <c r="Q36" s="190"/>
      <c r="R36" s="187"/>
      <c r="S36" s="184"/>
      <c r="T36" s="554"/>
      <c r="U36" s="190"/>
      <c r="V36" s="190"/>
      <c r="W36" s="187"/>
      <c r="X36" s="184"/>
      <c r="Y36" s="554"/>
      <c r="Z36" s="190"/>
      <c r="AA36" s="190"/>
      <c r="AB36" s="187"/>
      <c r="AC36" s="184"/>
      <c r="AD36" s="554"/>
      <c r="AE36" s="190"/>
      <c r="AF36" s="190"/>
      <c r="AG36" s="187"/>
      <c r="AH36" s="184"/>
      <c r="AI36" s="554"/>
      <c r="AJ36" s="190"/>
      <c r="AK36" s="190"/>
      <c r="AL36" s="187"/>
      <c r="AM36" s="184"/>
      <c r="AN36" s="554"/>
      <c r="AO36" s="190"/>
      <c r="AP36" s="190"/>
      <c r="AQ36" s="187"/>
      <c r="AR36" s="184"/>
      <c r="AS36" s="554"/>
      <c r="AT36" s="190">
        <v>4</v>
      </c>
      <c r="AU36" s="190">
        <v>2693.3482080602407</v>
      </c>
      <c r="AV36" s="187">
        <f t="shared" si="16"/>
        <v>673.33705201506018</v>
      </c>
      <c r="AW36" s="184">
        <f t="shared" si="25"/>
        <v>23</v>
      </c>
      <c r="AX36" s="554"/>
    </row>
    <row r="37" spans="1:50" ht="14.25" customHeight="1">
      <c r="B37" s="564"/>
      <c r="C37" s="182">
        <v>31</v>
      </c>
      <c r="D37" s="185"/>
      <c r="E37" s="182"/>
      <c r="F37" s="182"/>
      <c r="G37" s="187"/>
      <c r="H37" s="567"/>
      <c r="I37" s="188"/>
      <c r="J37" s="188"/>
      <c r="K37" s="189"/>
      <c r="L37" s="570"/>
      <c r="M37" s="188"/>
      <c r="N37" s="588"/>
      <c r="O37" s="556"/>
      <c r="P37" s="190"/>
      <c r="Q37" s="190"/>
      <c r="R37" s="187"/>
      <c r="S37" s="184"/>
      <c r="T37" s="554"/>
      <c r="U37" s="190"/>
      <c r="V37" s="190"/>
      <c r="W37" s="187"/>
      <c r="X37" s="184"/>
      <c r="Y37" s="554"/>
      <c r="Z37" s="190"/>
      <c r="AA37" s="190"/>
      <c r="AB37" s="187"/>
      <c r="AC37" s="184"/>
      <c r="AD37" s="554"/>
      <c r="AE37" s="190"/>
      <c r="AF37" s="190"/>
      <c r="AG37" s="187"/>
      <c r="AH37" s="184"/>
      <c r="AI37" s="554"/>
      <c r="AJ37" s="190"/>
      <c r="AK37" s="190"/>
      <c r="AL37" s="187"/>
      <c r="AM37" s="184"/>
      <c r="AN37" s="554"/>
      <c r="AO37" s="190"/>
      <c r="AP37" s="190"/>
      <c r="AQ37" s="187"/>
      <c r="AR37" s="184"/>
      <c r="AS37" s="554"/>
      <c r="AT37" s="190"/>
      <c r="AU37" s="190"/>
      <c r="AV37" s="187"/>
      <c r="AW37" s="184"/>
      <c r="AX37" s="554"/>
    </row>
    <row r="38" spans="1:50" ht="14.25" customHeight="1">
      <c r="B38" s="564"/>
      <c r="C38" s="182">
        <v>32</v>
      </c>
      <c r="D38" s="185"/>
      <c r="E38" s="182"/>
      <c r="F38" s="182"/>
      <c r="G38" s="187"/>
      <c r="H38" s="567"/>
      <c r="I38" s="188"/>
      <c r="J38" s="188"/>
      <c r="K38" s="189"/>
      <c r="L38" s="570"/>
      <c r="M38" s="188"/>
      <c r="N38" s="588"/>
      <c r="O38" s="556"/>
      <c r="P38" s="190"/>
      <c r="Q38" s="190"/>
      <c r="R38" s="187"/>
      <c r="S38" s="184"/>
      <c r="T38" s="554"/>
      <c r="U38" s="190"/>
      <c r="V38" s="190"/>
      <c r="W38" s="187"/>
      <c r="X38" s="184"/>
      <c r="Y38" s="554"/>
      <c r="Z38" s="190"/>
      <c r="AA38" s="190"/>
      <c r="AB38" s="187"/>
      <c r="AC38" s="184"/>
      <c r="AD38" s="554"/>
      <c r="AE38" s="190"/>
      <c r="AF38" s="190"/>
      <c r="AG38" s="187"/>
      <c r="AH38" s="184"/>
      <c r="AI38" s="554"/>
      <c r="AJ38" s="190"/>
      <c r="AK38" s="190"/>
      <c r="AL38" s="187"/>
      <c r="AM38" s="184"/>
      <c r="AN38" s="554"/>
      <c r="AO38" s="190"/>
      <c r="AP38" s="190"/>
      <c r="AQ38" s="187"/>
      <c r="AR38" s="184"/>
      <c r="AS38" s="554"/>
      <c r="AT38" s="190"/>
      <c r="AU38" s="190"/>
      <c r="AV38" s="187"/>
      <c r="AW38" s="184"/>
      <c r="AX38" s="554"/>
    </row>
    <row r="39" spans="1:50" ht="14.25" customHeight="1">
      <c r="B39" s="565"/>
      <c r="C39" s="182">
        <v>33</v>
      </c>
      <c r="D39" s="185"/>
      <c r="E39" s="182"/>
      <c r="F39" s="182"/>
      <c r="G39" s="187"/>
      <c r="H39" s="568"/>
      <c r="I39" s="188"/>
      <c r="J39" s="188"/>
      <c r="K39" s="189"/>
      <c r="L39" s="571"/>
      <c r="M39" s="188"/>
      <c r="N39" s="589"/>
      <c r="O39" s="551"/>
      <c r="P39" s="184"/>
      <c r="Q39" s="190"/>
      <c r="R39" s="187"/>
      <c r="S39" s="184"/>
      <c r="T39" s="555"/>
      <c r="U39" s="184"/>
      <c r="V39" s="190"/>
      <c r="W39" s="187"/>
      <c r="X39" s="184"/>
      <c r="Y39" s="555"/>
      <c r="Z39" s="184"/>
      <c r="AA39" s="190"/>
      <c r="AB39" s="187"/>
      <c r="AC39" s="184"/>
      <c r="AD39" s="555"/>
      <c r="AE39" s="184"/>
      <c r="AF39" s="190"/>
      <c r="AG39" s="187"/>
      <c r="AH39" s="184"/>
      <c r="AI39" s="555"/>
      <c r="AJ39" s="184"/>
      <c r="AK39" s="190"/>
      <c r="AL39" s="187"/>
      <c r="AM39" s="184"/>
      <c r="AN39" s="555"/>
      <c r="AO39" s="184"/>
      <c r="AP39" s="190"/>
      <c r="AQ39" s="187"/>
      <c r="AR39" s="184"/>
      <c r="AS39" s="555"/>
      <c r="AT39" s="184"/>
      <c r="AU39" s="190"/>
      <c r="AV39" s="187"/>
      <c r="AW39" s="184"/>
      <c r="AX39" s="555"/>
    </row>
    <row r="40" spans="1:50" ht="14.25" customHeight="1" collapsed="1">
      <c r="B40" s="545" t="s">
        <v>601</v>
      </c>
      <c r="C40" s="546"/>
      <c r="D40" s="546"/>
      <c r="E40" s="546"/>
      <c r="F40" s="546"/>
      <c r="G40" s="546"/>
      <c r="H40" s="546"/>
      <c r="I40" s="546"/>
      <c r="J40" s="546"/>
      <c r="K40" s="546"/>
      <c r="L40" s="546"/>
      <c r="M40" s="547"/>
      <c r="N40" s="550" t="s">
        <v>383</v>
      </c>
      <c r="O40" s="550" t="s">
        <v>105</v>
      </c>
      <c r="P40" s="541">
        <f>AT2+1</f>
        <v>46028</v>
      </c>
      <c r="Q40" s="542"/>
      <c r="R40" s="542"/>
      <c r="S40" s="542"/>
      <c r="T40" s="542"/>
      <c r="U40" s="539">
        <f>P40+1</f>
        <v>46029</v>
      </c>
      <c r="V40" s="540"/>
      <c r="W40" s="540"/>
      <c r="X40" s="540"/>
      <c r="Y40" s="540"/>
      <c r="Z40" s="541">
        <f t="shared" ref="Z40" si="28">U40+1</f>
        <v>46030</v>
      </c>
      <c r="AA40" s="542"/>
      <c r="AB40" s="542"/>
      <c r="AC40" s="542"/>
      <c r="AD40" s="542"/>
      <c r="AE40" s="539">
        <f t="shared" ref="AE40" si="29">Z40+1</f>
        <v>46031</v>
      </c>
      <c r="AF40" s="540"/>
      <c r="AG40" s="540"/>
      <c r="AH40" s="540"/>
      <c r="AI40" s="540"/>
      <c r="AJ40" s="523">
        <f t="shared" ref="AJ40" si="30">AE40+1</f>
        <v>46032</v>
      </c>
      <c r="AK40" s="524"/>
      <c r="AL40" s="524"/>
      <c r="AM40" s="524"/>
      <c r="AN40" s="525"/>
      <c r="AO40" s="539">
        <f t="shared" ref="AO40" si="31">AJ40+1</f>
        <v>46033</v>
      </c>
      <c r="AP40" s="540"/>
      <c r="AQ40" s="540"/>
      <c r="AR40" s="540"/>
      <c r="AS40" s="540"/>
      <c r="AT40" s="523">
        <f t="shared" ref="AT40" si="32">AO40+1</f>
        <v>46034</v>
      </c>
      <c r="AU40" s="524"/>
      <c r="AV40" s="524"/>
      <c r="AW40" s="524"/>
      <c r="AX40" s="525"/>
    </row>
    <row r="41" spans="1:50" ht="14.25" customHeight="1">
      <c r="B41" s="548"/>
      <c r="C41" s="548"/>
      <c r="D41" s="548"/>
      <c r="E41" s="548"/>
      <c r="F41" s="548"/>
      <c r="G41" s="548"/>
      <c r="H41" s="548"/>
      <c r="I41" s="548"/>
      <c r="J41" s="548"/>
      <c r="K41" s="548"/>
      <c r="L41" s="548"/>
      <c r="M41" s="549"/>
      <c r="N41" s="551"/>
      <c r="O41" s="551"/>
      <c r="P41" s="544">
        <f>P40</f>
        <v>46028</v>
      </c>
      <c r="Q41" s="544"/>
      <c r="R41" s="544"/>
      <c r="S41" s="544"/>
      <c r="T41" s="544"/>
      <c r="U41" s="543">
        <f>U40</f>
        <v>46029</v>
      </c>
      <c r="V41" s="543"/>
      <c r="W41" s="543"/>
      <c r="X41" s="543"/>
      <c r="Y41" s="543"/>
      <c r="Z41" s="544">
        <f t="shared" ref="Z41" si="33">Z40</f>
        <v>46030</v>
      </c>
      <c r="AA41" s="544"/>
      <c r="AB41" s="544"/>
      <c r="AC41" s="544"/>
      <c r="AD41" s="544"/>
      <c r="AE41" s="543">
        <f t="shared" ref="AE41" si="34">AE40</f>
        <v>46031</v>
      </c>
      <c r="AF41" s="543"/>
      <c r="AG41" s="543"/>
      <c r="AH41" s="543"/>
      <c r="AI41" s="543"/>
      <c r="AJ41" s="526">
        <f t="shared" ref="AJ41" si="35">AJ40</f>
        <v>46032</v>
      </c>
      <c r="AK41" s="527"/>
      <c r="AL41" s="527"/>
      <c r="AM41" s="527"/>
      <c r="AN41" s="528"/>
      <c r="AO41" s="543">
        <f t="shared" ref="AO41" si="36">AO40</f>
        <v>46033</v>
      </c>
      <c r="AP41" s="543"/>
      <c r="AQ41" s="543"/>
      <c r="AR41" s="543"/>
      <c r="AS41" s="543"/>
      <c r="AT41" s="526">
        <f t="shared" ref="AT41" si="37">AT40</f>
        <v>46034</v>
      </c>
      <c r="AU41" s="527"/>
      <c r="AV41" s="527"/>
      <c r="AW41" s="527"/>
      <c r="AX41" s="528"/>
    </row>
    <row r="42" spans="1:50" ht="14.25" customHeight="1">
      <c r="B42" s="501" t="s">
        <v>164</v>
      </c>
      <c r="C42" s="501" t="s">
        <v>159</v>
      </c>
      <c r="D42" s="501"/>
      <c r="E42" s="501" t="s">
        <v>160</v>
      </c>
      <c r="F42" s="501"/>
      <c r="G42" s="501"/>
      <c r="H42" s="501" t="s">
        <v>165</v>
      </c>
      <c r="I42" s="522" t="s">
        <v>384</v>
      </c>
      <c r="J42" s="522"/>
      <c r="K42" s="522"/>
      <c r="L42" s="522" t="s">
        <v>165</v>
      </c>
      <c r="M42" s="522" t="s">
        <v>167</v>
      </c>
      <c r="N42" s="552"/>
      <c r="O42" s="536" t="s">
        <v>166</v>
      </c>
      <c r="P42" s="536" t="s">
        <v>162</v>
      </c>
      <c r="Q42" s="536"/>
      <c r="R42" s="536"/>
      <c r="S42" s="536"/>
      <c r="T42" s="536" t="s">
        <v>165</v>
      </c>
      <c r="U42" s="536" t="s">
        <v>162</v>
      </c>
      <c r="V42" s="536"/>
      <c r="W42" s="536"/>
      <c r="X42" s="536"/>
      <c r="Y42" s="536" t="s">
        <v>165</v>
      </c>
      <c r="Z42" s="536" t="s">
        <v>162</v>
      </c>
      <c r="AA42" s="536"/>
      <c r="AB42" s="536"/>
      <c r="AC42" s="536"/>
      <c r="AD42" s="536" t="s">
        <v>165</v>
      </c>
      <c r="AE42" s="536" t="s">
        <v>162</v>
      </c>
      <c r="AF42" s="536"/>
      <c r="AG42" s="536"/>
      <c r="AH42" s="536"/>
      <c r="AI42" s="536" t="s">
        <v>165</v>
      </c>
      <c r="AJ42" s="536" t="s">
        <v>162</v>
      </c>
      <c r="AK42" s="536"/>
      <c r="AL42" s="536"/>
      <c r="AM42" s="536"/>
      <c r="AN42" s="536" t="s">
        <v>165</v>
      </c>
      <c r="AO42" s="536" t="s">
        <v>162</v>
      </c>
      <c r="AP42" s="536"/>
      <c r="AQ42" s="536"/>
      <c r="AR42" s="536"/>
      <c r="AS42" s="536" t="s">
        <v>165</v>
      </c>
      <c r="AT42" s="536" t="s">
        <v>162</v>
      </c>
      <c r="AU42" s="536"/>
      <c r="AV42" s="536"/>
      <c r="AW42" s="536"/>
      <c r="AX42" s="536" t="s">
        <v>165</v>
      </c>
    </row>
    <row r="43" spans="1:50" ht="14.25" customHeight="1">
      <c r="B43" s="501"/>
      <c r="C43" s="501"/>
      <c r="D43" s="501"/>
      <c r="E43" s="501" t="s">
        <v>385</v>
      </c>
      <c r="F43" s="501"/>
      <c r="G43" s="501"/>
      <c r="H43" s="501"/>
      <c r="I43" s="522" t="s">
        <v>385</v>
      </c>
      <c r="J43" s="522"/>
      <c r="K43" s="522"/>
      <c r="L43" s="522"/>
      <c r="M43" s="522"/>
      <c r="N43" s="552"/>
      <c r="O43" s="536"/>
      <c r="P43" s="536" t="s">
        <v>386</v>
      </c>
      <c r="Q43" s="536"/>
      <c r="R43" s="536"/>
      <c r="S43" s="536"/>
      <c r="T43" s="536"/>
      <c r="U43" s="536" t="s">
        <v>386</v>
      </c>
      <c r="V43" s="536"/>
      <c r="W43" s="536"/>
      <c r="X43" s="536"/>
      <c r="Y43" s="536"/>
      <c r="Z43" s="536" t="s">
        <v>386</v>
      </c>
      <c r="AA43" s="536"/>
      <c r="AB43" s="536"/>
      <c r="AC43" s="536"/>
      <c r="AD43" s="536"/>
      <c r="AE43" s="536" t="s">
        <v>386</v>
      </c>
      <c r="AF43" s="536"/>
      <c r="AG43" s="536"/>
      <c r="AH43" s="536"/>
      <c r="AI43" s="536"/>
      <c r="AJ43" s="536" t="s">
        <v>386</v>
      </c>
      <c r="AK43" s="536"/>
      <c r="AL43" s="536"/>
      <c r="AM43" s="536"/>
      <c r="AN43" s="536"/>
      <c r="AO43" s="536" t="s">
        <v>386</v>
      </c>
      <c r="AP43" s="536"/>
      <c r="AQ43" s="536"/>
      <c r="AR43" s="536"/>
      <c r="AS43" s="536"/>
      <c r="AT43" s="536" t="s">
        <v>386</v>
      </c>
      <c r="AU43" s="536"/>
      <c r="AV43" s="536"/>
      <c r="AW43" s="536"/>
      <c r="AX43" s="536"/>
    </row>
    <row r="44" spans="1:50" ht="14.25" customHeight="1">
      <c r="A44" s="179"/>
      <c r="B44" s="501"/>
      <c r="C44" s="501"/>
      <c r="D44" s="501"/>
      <c r="E44" s="182" t="s">
        <v>161</v>
      </c>
      <c r="F44" s="182" t="s">
        <v>387</v>
      </c>
      <c r="G44" s="182" t="s">
        <v>163</v>
      </c>
      <c r="H44" s="501"/>
      <c r="I44" s="183" t="s">
        <v>161</v>
      </c>
      <c r="J44" s="183" t="s">
        <v>387</v>
      </c>
      <c r="K44" s="183" t="s">
        <v>163</v>
      </c>
      <c r="L44" s="522"/>
      <c r="M44" s="522"/>
      <c r="N44" s="552"/>
      <c r="O44" s="536"/>
      <c r="P44" s="184" t="s">
        <v>161</v>
      </c>
      <c r="Q44" s="184" t="s">
        <v>387</v>
      </c>
      <c r="R44" s="184" t="s">
        <v>163</v>
      </c>
      <c r="S44" s="184" t="s">
        <v>167</v>
      </c>
      <c r="T44" s="536"/>
      <c r="U44" s="184" t="s">
        <v>161</v>
      </c>
      <c r="V44" s="184" t="s">
        <v>387</v>
      </c>
      <c r="W44" s="184" t="s">
        <v>163</v>
      </c>
      <c r="X44" s="184" t="s">
        <v>167</v>
      </c>
      <c r="Y44" s="536"/>
      <c r="Z44" s="184" t="s">
        <v>161</v>
      </c>
      <c r="AA44" s="184" t="s">
        <v>387</v>
      </c>
      <c r="AB44" s="184" t="s">
        <v>163</v>
      </c>
      <c r="AC44" s="184" t="s">
        <v>167</v>
      </c>
      <c r="AD44" s="536"/>
      <c r="AE44" s="184" t="s">
        <v>161</v>
      </c>
      <c r="AF44" s="184" t="s">
        <v>387</v>
      </c>
      <c r="AG44" s="184" t="s">
        <v>163</v>
      </c>
      <c r="AH44" s="184" t="s">
        <v>167</v>
      </c>
      <c r="AI44" s="536"/>
      <c r="AJ44" s="184" t="s">
        <v>161</v>
      </c>
      <c r="AK44" s="184" t="s">
        <v>387</v>
      </c>
      <c r="AL44" s="184" t="s">
        <v>163</v>
      </c>
      <c r="AM44" s="184" t="s">
        <v>167</v>
      </c>
      <c r="AN44" s="536"/>
      <c r="AO44" s="184" t="s">
        <v>161</v>
      </c>
      <c r="AP44" s="184" t="s">
        <v>387</v>
      </c>
      <c r="AQ44" s="184" t="s">
        <v>163</v>
      </c>
      <c r="AR44" s="184" t="s">
        <v>167</v>
      </c>
      <c r="AS44" s="536"/>
      <c r="AT44" s="184" t="s">
        <v>161</v>
      </c>
      <c r="AU44" s="184" t="s">
        <v>387</v>
      </c>
      <c r="AV44" s="184" t="s">
        <v>163</v>
      </c>
      <c r="AW44" s="184" t="s">
        <v>167</v>
      </c>
      <c r="AX44" s="536"/>
    </row>
    <row r="45" spans="1:50" ht="14.25" customHeight="1">
      <c r="B45" s="501" t="s">
        <v>388</v>
      </c>
      <c r="C45" s="182">
        <v>1</v>
      </c>
      <c r="D45" s="185" t="s">
        <v>413</v>
      </c>
      <c r="E45" s="186">
        <v>4</v>
      </c>
      <c r="F45" s="182">
        <v>3300</v>
      </c>
      <c r="G45" s="187">
        <f>F45/E45</f>
        <v>825</v>
      </c>
      <c r="H45" s="537">
        <f>AVERAGE(G45:G77)</f>
        <v>875.64516129032256</v>
      </c>
      <c r="I45" s="188">
        <f>AVERAGE(P45,U45,Z45,AE45,AJ45,AO45,AT45)</f>
        <v>4</v>
      </c>
      <c r="J45" s="188">
        <f>AVERAGE(Q45,V45,AA45,AF45,AK45,AP45,AU45)</f>
        <v>2949.2392057342586</v>
      </c>
      <c r="K45" s="189">
        <f>AVERAGE(R45,W45,AB45,AG45,AL45,AQ45,AV45)</f>
        <v>737.30980143356464</v>
      </c>
      <c r="L45" s="538">
        <f>IFERROR(AVERAGE(K45:K77),"-")</f>
        <v>772.9237387485349</v>
      </c>
      <c r="M45" s="188">
        <f>RANK(K45, K$45:$K$77)</f>
        <v>14</v>
      </c>
      <c r="N45" s="552"/>
      <c r="O45" s="536"/>
      <c r="P45" s="190">
        <v>4</v>
      </c>
      <c r="Q45" s="190">
        <v>2948.9042995839109</v>
      </c>
      <c r="R45" s="187">
        <f t="shared" ref="R45:R75" si="38">IFERROR(Q45/P45,"")</f>
        <v>737.22607489597772</v>
      </c>
      <c r="S45" s="184">
        <f>RANK(R45, R$45:R$77)</f>
        <v>14</v>
      </c>
      <c r="T45" s="532">
        <f>AVERAGE(R45:R77)</f>
        <v>770.69264333014758</v>
      </c>
      <c r="U45" s="190">
        <v>4</v>
      </c>
      <c r="V45" s="190">
        <v>2949.1922005571023</v>
      </c>
      <c r="W45" s="187">
        <f t="shared" ref="W45:W75" si="39">IFERROR(V45/U45,"")</f>
        <v>737.29805013927557</v>
      </c>
      <c r="X45" s="184">
        <f>RANK(W45, W$45:W$77)</f>
        <v>14</v>
      </c>
      <c r="Y45" s="532">
        <f>AVERAGE(W45:W77)</f>
        <v>771.47499152195337</v>
      </c>
      <c r="Z45" s="190">
        <v>4</v>
      </c>
      <c r="AA45" s="190">
        <v>2949.1469455145834</v>
      </c>
      <c r="AB45" s="187">
        <f>IFERROR(AA45/Z45,"")</f>
        <v>737.28673637864586</v>
      </c>
      <c r="AC45" s="184">
        <f>RANK(AB45, AB$45:AB$77)</f>
        <v>14</v>
      </c>
      <c r="AD45" s="532">
        <f>AVERAGE(AB45:AB77)</f>
        <v>772.25617629978854</v>
      </c>
      <c r="AE45" s="190">
        <v>4</v>
      </c>
      <c r="AF45" s="190">
        <v>2949.4295178505695</v>
      </c>
      <c r="AG45" s="187">
        <f>IFERROR(AF45/AE45,"")</f>
        <v>737.35737946264237</v>
      </c>
      <c r="AH45" s="184">
        <f>RANK(AG45, AG$45:AG$77)</f>
        <v>15</v>
      </c>
      <c r="AI45" s="532">
        <f>AVERAGE(AG45:AG77)</f>
        <v>773.0057412068569</v>
      </c>
      <c r="AJ45" s="190">
        <v>4</v>
      </c>
      <c r="AK45" s="190">
        <v>2949.3630573248365</v>
      </c>
      <c r="AL45" s="187">
        <f>IFERROR(AK45/AJ45,"")</f>
        <v>737.34076433120913</v>
      </c>
      <c r="AM45" s="184">
        <f>RANK(AL45, AL$45:AL$77)</f>
        <v>15</v>
      </c>
      <c r="AN45" s="532">
        <f>AVERAGE(AL45:AL77)</f>
        <v>773.81490420216846</v>
      </c>
      <c r="AO45" s="190">
        <v>4</v>
      </c>
      <c r="AP45" s="190">
        <v>2949.7206703910597</v>
      </c>
      <c r="AQ45" s="187">
        <f>IFERROR(AP45/AO45,"")</f>
        <v>737.43016759776492</v>
      </c>
      <c r="AR45" s="184">
        <f>RANK(AQ45, AQ$45:AQ$77)</f>
        <v>14</v>
      </c>
      <c r="AS45" s="532">
        <f>AVERAGE(AQ45:AQ77)</f>
        <v>774.46651777803663</v>
      </c>
      <c r="AT45" s="190">
        <v>4</v>
      </c>
      <c r="AU45" s="190">
        <v>2948.9177489177509</v>
      </c>
      <c r="AV45" s="187">
        <f>IFERROR(AU45/AT45,"")</f>
        <v>737.22943722943774</v>
      </c>
      <c r="AW45" s="184">
        <f>RANK(AV45, AV$45:AV$77)</f>
        <v>16</v>
      </c>
      <c r="AX45" s="532">
        <f>AVERAGE(AV45:AV77)</f>
        <v>774.7551969007942</v>
      </c>
    </row>
    <row r="46" spans="1:50" ht="14.25" customHeight="1">
      <c r="B46" s="501"/>
      <c r="C46" s="182">
        <v>2</v>
      </c>
      <c r="D46" s="185" t="s">
        <v>411</v>
      </c>
      <c r="E46" s="186">
        <v>3</v>
      </c>
      <c r="F46" s="182">
        <v>3600</v>
      </c>
      <c r="G46" s="187">
        <f t="shared" ref="G46:G65" si="40">F46/E46</f>
        <v>1200</v>
      </c>
      <c r="H46" s="537"/>
      <c r="I46" s="188">
        <f t="shared" ref="I46:K75" si="41">AVERAGE(P46,U46,Z46,AE46,AJ46,AO46,AT46)</f>
        <v>3</v>
      </c>
      <c r="J46" s="188">
        <f t="shared" si="41"/>
        <v>3117.2107600932432</v>
      </c>
      <c r="K46" s="189">
        <f t="shared" si="41"/>
        <v>1039.0702533644144</v>
      </c>
      <c r="L46" s="538"/>
      <c r="M46" s="188">
        <f>RANK(K46, K$45:$K$77)</f>
        <v>5</v>
      </c>
      <c r="N46" s="552"/>
      <c r="O46" s="536"/>
      <c r="P46" s="190">
        <v>3</v>
      </c>
      <c r="Q46" s="190">
        <v>3117.015362106803</v>
      </c>
      <c r="R46" s="187">
        <f t="shared" si="38"/>
        <v>1039.0051207022677</v>
      </c>
      <c r="S46" s="184">
        <f t="shared" ref="S46:S75" si="42">RANK(R46, R$45:R$77)</f>
        <v>4</v>
      </c>
      <c r="T46" s="532"/>
      <c r="U46" s="190">
        <v>3</v>
      </c>
      <c r="V46" s="190">
        <v>3117.066545948393</v>
      </c>
      <c r="W46" s="187">
        <f t="shared" si="39"/>
        <v>1039.0221819827977</v>
      </c>
      <c r="X46" s="184">
        <f t="shared" ref="X46:X75" si="43">RANK(W46, W$45:W$77)</f>
        <v>5</v>
      </c>
      <c r="Y46" s="532"/>
      <c r="Z46" s="190">
        <v>3</v>
      </c>
      <c r="AA46" s="190">
        <v>3117.169811320754</v>
      </c>
      <c r="AB46" s="187">
        <f t="shared" ref="AB46:AB75" si="44">IFERROR(AA46/Z46,"")</f>
        <v>1039.0566037735846</v>
      </c>
      <c r="AC46" s="184">
        <f t="shared" ref="AC46:AC75" si="45">RANK(AB46, AB$45:AB$77)</f>
        <v>5</v>
      </c>
      <c r="AD46" s="532"/>
      <c r="AE46" s="190">
        <v>3</v>
      </c>
      <c r="AF46" s="190">
        <v>3117.2053804456914</v>
      </c>
      <c r="AG46" s="187">
        <f t="shared" ref="AG46:AG75" si="46">IFERROR(AF46/AE46,"")</f>
        <v>1039.0684601485639</v>
      </c>
      <c r="AH46" s="184">
        <f t="shared" ref="AH46:AH75" si="47">RANK(AG46, AG$45:AG$77)</f>
        <v>5</v>
      </c>
      <c r="AI46" s="532"/>
      <c r="AJ46" s="190">
        <v>3</v>
      </c>
      <c r="AK46" s="190">
        <v>3117.3141891891892</v>
      </c>
      <c r="AL46" s="187">
        <f t="shared" ref="AL46:AL75" si="48">IFERROR(AK46/AJ46,"")</f>
        <v>1039.1047297297298</v>
      </c>
      <c r="AM46" s="184">
        <f t="shared" ref="AM46:AM75" si="49">RANK(AL46, AL$45:AL$77)</f>
        <v>5</v>
      </c>
      <c r="AN46" s="532"/>
      <c r="AO46" s="190">
        <v>3</v>
      </c>
      <c r="AP46" s="190">
        <v>3117.3356105892399</v>
      </c>
      <c r="AQ46" s="187">
        <f t="shared" ref="AQ46:AQ75" si="50">IFERROR(AP46/AO46,"")</f>
        <v>1039.1118701964133</v>
      </c>
      <c r="AR46" s="184">
        <f t="shared" ref="AR46:AR75" si="51">RANK(AQ46, AQ$45:AQ$77)</f>
        <v>5</v>
      </c>
      <c r="AS46" s="532"/>
      <c r="AT46" s="190">
        <v>3</v>
      </c>
      <c r="AU46" s="190">
        <v>3117.3684210526317</v>
      </c>
      <c r="AV46" s="187">
        <f t="shared" ref="AV46:AV75" si="52">IFERROR(AU46/AT46,"")</f>
        <v>1039.1228070175439</v>
      </c>
      <c r="AW46" s="184">
        <f t="shared" ref="AW46:AW75" si="53">RANK(AV46, AV$45:AV$77)</f>
        <v>5</v>
      </c>
      <c r="AX46" s="532"/>
    </row>
    <row r="47" spans="1:50" ht="14.25" customHeight="1">
      <c r="B47" s="501"/>
      <c r="C47" s="182">
        <v>3</v>
      </c>
      <c r="D47" s="185" t="s">
        <v>412</v>
      </c>
      <c r="E47" s="186">
        <v>4</v>
      </c>
      <c r="F47" s="182">
        <v>3300</v>
      </c>
      <c r="G47" s="187">
        <f t="shared" si="40"/>
        <v>825</v>
      </c>
      <c r="H47" s="537"/>
      <c r="I47" s="188">
        <f t="shared" si="41"/>
        <v>4</v>
      </c>
      <c r="J47" s="188">
        <f t="shared" si="41"/>
        <v>2946.14999012711</v>
      </c>
      <c r="K47" s="189">
        <f t="shared" si="41"/>
        <v>736.53749753177749</v>
      </c>
      <c r="L47" s="538"/>
      <c r="M47" s="188">
        <f>RANK(K47, K$45:$K$77)</f>
        <v>17</v>
      </c>
      <c r="N47" s="552"/>
      <c r="O47" s="536"/>
      <c r="P47" s="190">
        <v>4</v>
      </c>
      <c r="Q47" s="190">
        <v>2942.248195256102</v>
      </c>
      <c r="R47" s="187">
        <f t="shared" si="38"/>
        <v>735.5620488140255</v>
      </c>
      <c r="S47" s="184">
        <f t="shared" si="42"/>
        <v>17</v>
      </c>
      <c r="T47" s="532"/>
      <c r="U47" s="190">
        <v>4</v>
      </c>
      <c r="V47" s="190">
        <v>2946.3327370304128</v>
      </c>
      <c r="W47" s="187">
        <f t="shared" si="39"/>
        <v>736.58318425760319</v>
      </c>
      <c r="X47" s="184">
        <f t="shared" si="43"/>
        <v>16</v>
      </c>
      <c r="Y47" s="532"/>
      <c r="Z47" s="190">
        <v>4</v>
      </c>
      <c r="AA47" s="190">
        <v>2946.5501208852502</v>
      </c>
      <c r="AB47" s="187">
        <f t="shared" si="44"/>
        <v>736.63753022131255</v>
      </c>
      <c r="AC47" s="184">
        <f t="shared" si="45"/>
        <v>17</v>
      </c>
      <c r="AD47" s="532"/>
      <c r="AE47" s="190">
        <v>4</v>
      </c>
      <c r="AF47" s="190">
        <v>2946.5346534653486</v>
      </c>
      <c r="AG47" s="187">
        <f t="shared" si="46"/>
        <v>736.63366336633715</v>
      </c>
      <c r="AH47" s="184">
        <f t="shared" si="47"/>
        <v>17</v>
      </c>
      <c r="AI47" s="532"/>
      <c r="AJ47" s="190">
        <v>4</v>
      </c>
      <c r="AK47" s="190">
        <v>2946.8205254112431</v>
      </c>
      <c r="AL47" s="187">
        <f t="shared" si="48"/>
        <v>736.70513135281078</v>
      </c>
      <c r="AM47" s="184">
        <f t="shared" si="49"/>
        <v>17</v>
      </c>
      <c r="AN47" s="532"/>
      <c r="AO47" s="190">
        <v>4</v>
      </c>
      <c r="AP47" s="190">
        <v>2947.2096530920071</v>
      </c>
      <c r="AQ47" s="187">
        <f t="shared" si="50"/>
        <v>736.80241327300178</v>
      </c>
      <c r="AR47" s="184">
        <f t="shared" si="51"/>
        <v>17</v>
      </c>
      <c r="AS47" s="532"/>
      <c r="AT47" s="190">
        <v>4</v>
      </c>
      <c r="AU47" s="190">
        <v>2947.3540457494037</v>
      </c>
      <c r="AV47" s="187">
        <f t="shared" si="52"/>
        <v>736.83851143735092</v>
      </c>
      <c r="AW47" s="184">
        <f t="shared" si="53"/>
        <v>19</v>
      </c>
      <c r="AX47" s="532"/>
    </row>
    <row r="48" spans="1:50" ht="14.25" customHeight="1">
      <c r="B48" s="501"/>
      <c r="C48" s="182">
        <v>4</v>
      </c>
      <c r="D48" s="185" t="s">
        <v>232</v>
      </c>
      <c r="E48" s="186">
        <v>5</v>
      </c>
      <c r="F48" s="182">
        <v>3300</v>
      </c>
      <c r="G48" s="187">
        <f t="shared" si="40"/>
        <v>660</v>
      </c>
      <c r="H48" s="537"/>
      <c r="I48" s="188">
        <f t="shared" si="41"/>
        <v>5</v>
      </c>
      <c r="J48" s="188">
        <f t="shared" si="41"/>
        <v>2952.8080568278492</v>
      </c>
      <c r="K48" s="189">
        <f t="shared" si="41"/>
        <v>590.56161136556989</v>
      </c>
      <c r="L48" s="538"/>
      <c r="M48" s="188">
        <f>RANK(K48, K$45:$K$77)</f>
        <v>27</v>
      </c>
      <c r="N48" s="552"/>
      <c r="O48" s="536"/>
      <c r="P48" s="190">
        <v>5</v>
      </c>
      <c r="Q48" s="190">
        <v>2950.9727626459121</v>
      </c>
      <c r="R48" s="187">
        <f t="shared" si="38"/>
        <v>590.19455252918237</v>
      </c>
      <c r="S48" s="184">
        <f t="shared" si="42"/>
        <v>27</v>
      </c>
      <c r="T48" s="532"/>
      <c r="U48" s="190">
        <v>5</v>
      </c>
      <c r="V48" s="190">
        <v>2952.2727272727261</v>
      </c>
      <c r="W48" s="187">
        <f t="shared" si="39"/>
        <v>590.45454545454527</v>
      </c>
      <c r="X48" s="184">
        <f t="shared" si="43"/>
        <v>27</v>
      </c>
      <c r="Y48" s="532"/>
      <c r="Z48" s="190">
        <v>5</v>
      </c>
      <c r="AA48" s="190">
        <v>2952.6737967914401</v>
      </c>
      <c r="AB48" s="187">
        <f t="shared" si="44"/>
        <v>590.53475935828806</v>
      </c>
      <c r="AC48" s="184">
        <f t="shared" si="45"/>
        <v>27</v>
      </c>
      <c r="AD48" s="532"/>
      <c r="AE48" s="190">
        <v>5</v>
      </c>
      <c r="AF48" s="190">
        <v>2953.024911032031</v>
      </c>
      <c r="AG48" s="187">
        <f t="shared" si="46"/>
        <v>590.60498220640625</v>
      </c>
      <c r="AH48" s="184">
        <f t="shared" si="47"/>
        <v>27</v>
      </c>
      <c r="AI48" s="532"/>
      <c r="AJ48" s="190">
        <v>5</v>
      </c>
      <c r="AK48" s="190">
        <v>2953.3980582524291</v>
      </c>
      <c r="AL48" s="187">
        <f t="shared" si="48"/>
        <v>590.67961165048587</v>
      </c>
      <c r="AM48" s="184">
        <f t="shared" si="49"/>
        <v>27</v>
      </c>
      <c r="AN48" s="532"/>
      <c r="AO48" s="190">
        <v>5</v>
      </c>
      <c r="AP48" s="190">
        <v>2953.7843268586703</v>
      </c>
      <c r="AQ48" s="187">
        <f t="shared" si="50"/>
        <v>590.75686537173408</v>
      </c>
      <c r="AR48" s="184">
        <f t="shared" si="51"/>
        <v>27</v>
      </c>
      <c r="AS48" s="532"/>
      <c r="AT48" s="190">
        <v>5</v>
      </c>
      <c r="AU48" s="190">
        <v>2953.5298149417367</v>
      </c>
      <c r="AV48" s="187">
        <f t="shared" si="52"/>
        <v>590.70596298834732</v>
      </c>
      <c r="AW48" s="184">
        <f t="shared" si="53"/>
        <v>27</v>
      </c>
      <c r="AX48" s="532"/>
    </row>
    <row r="49" spans="2:50" ht="14.25" customHeight="1">
      <c r="B49" s="501"/>
      <c r="C49" s="182">
        <v>5</v>
      </c>
      <c r="D49" s="185" t="s">
        <v>408</v>
      </c>
      <c r="E49" s="186">
        <v>3</v>
      </c>
      <c r="F49" s="182">
        <v>3600</v>
      </c>
      <c r="G49" s="187">
        <f t="shared" si="40"/>
        <v>1200</v>
      </c>
      <c r="H49" s="537"/>
      <c r="I49" s="188">
        <f t="shared" si="41"/>
        <v>3</v>
      </c>
      <c r="J49" s="188">
        <f t="shared" si="41"/>
        <v>3116.2009509187224</v>
      </c>
      <c r="K49" s="189">
        <f t="shared" si="41"/>
        <v>1038.7336503062409</v>
      </c>
      <c r="L49" s="538"/>
      <c r="M49" s="188">
        <f>RANK(K49, K$45:$K$77)</f>
        <v>6</v>
      </c>
      <c r="N49" s="552"/>
      <c r="O49" s="536"/>
      <c r="P49" s="190">
        <v>3</v>
      </c>
      <c r="Q49" s="190">
        <v>3116.086956521739</v>
      </c>
      <c r="R49" s="187">
        <f t="shared" si="38"/>
        <v>1038.695652173913</v>
      </c>
      <c r="S49" s="184">
        <f t="shared" si="42"/>
        <v>6</v>
      </c>
      <c r="T49" s="532"/>
      <c r="U49" s="190">
        <v>3</v>
      </c>
      <c r="V49" s="190">
        <v>3116.4179104477603</v>
      </c>
      <c r="W49" s="187">
        <f t="shared" si="39"/>
        <v>1038.8059701492534</v>
      </c>
      <c r="X49" s="184">
        <f t="shared" si="43"/>
        <v>6</v>
      </c>
      <c r="Y49" s="532"/>
      <c r="Z49" s="190">
        <v>3</v>
      </c>
      <c r="AA49" s="190">
        <v>3115.8292406497949</v>
      </c>
      <c r="AB49" s="187">
        <f t="shared" si="44"/>
        <v>1038.609746883265</v>
      </c>
      <c r="AC49" s="184">
        <f t="shared" si="45"/>
        <v>6</v>
      </c>
      <c r="AD49" s="532"/>
      <c r="AE49" s="190">
        <v>3</v>
      </c>
      <c r="AF49" s="190">
        <v>3116.2334477685131</v>
      </c>
      <c r="AG49" s="187">
        <f t="shared" si="46"/>
        <v>1038.7444825895043</v>
      </c>
      <c r="AH49" s="184">
        <f t="shared" si="47"/>
        <v>6</v>
      </c>
      <c r="AI49" s="532"/>
      <c r="AJ49" s="190">
        <v>3</v>
      </c>
      <c r="AK49" s="190">
        <v>3116.3037705788711</v>
      </c>
      <c r="AL49" s="187">
        <f t="shared" si="48"/>
        <v>1038.7679235262904</v>
      </c>
      <c r="AM49" s="184">
        <f t="shared" si="49"/>
        <v>6</v>
      </c>
      <c r="AN49" s="532"/>
      <c r="AO49" s="190">
        <v>3</v>
      </c>
      <c r="AP49" s="190">
        <v>3116.4566078501971</v>
      </c>
      <c r="AQ49" s="187">
        <f t="shared" si="50"/>
        <v>1038.818869283399</v>
      </c>
      <c r="AR49" s="184">
        <f t="shared" si="51"/>
        <v>6</v>
      </c>
      <c r="AS49" s="532"/>
      <c r="AT49" s="190">
        <v>3</v>
      </c>
      <c r="AU49" s="190">
        <v>3116.0787226141824</v>
      </c>
      <c r="AV49" s="187">
        <f t="shared" si="52"/>
        <v>1038.6929075380608</v>
      </c>
      <c r="AW49" s="184">
        <f t="shared" si="53"/>
        <v>6</v>
      </c>
      <c r="AX49" s="532"/>
    </row>
    <row r="50" spans="2:50" ht="14.25" customHeight="1">
      <c r="B50" s="501"/>
      <c r="C50" s="182">
        <v>6</v>
      </c>
      <c r="D50" s="185" t="s">
        <v>348</v>
      </c>
      <c r="E50" s="186">
        <v>3</v>
      </c>
      <c r="F50" s="182">
        <v>3000</v>
      </c>
      <c r="G50" s="187">
        <f t="shared" si="40"/>
        <v>1000</v>
      </c>
      <c r="H50" s="537"/>
      <c r="I50" s="188">
        <f t="shared" si="41"/>
        <v>3</v>
      </c>
      <c r="J50" s="188">
        <f t="shared" si="41"/>
        <v>2687.8394190624435</v>
      </c>
      <c r="K50" s="189">
        <f t="shared" si="41"/>
        <v>895.94647302081478</v>
      </c>
      <c r="L50" s="538"/>
      <c r="M50" s="188">
        <f>RANK(K50, K$45:$K$77)</f>
        <v>9</v>
      </c>
      <c r="N50" s="552"/>
      <c r="O50" s="536"/>
      <c r="P50" s="190">
        <v>3</v>
      </c>
      <c r="Q50" s="190">
        <v>2687.3721759809755</v>
      </c>
      <c r="R50" s="187">
        <f t="shared" si="38"/>
        <v>895.79072532699183</v>
      </c>
      <c r="S50" s="184">
        <f t="shared" si="42"/>
        <v>9</v>
      </c>
      <c r="T50" s="532"/>
      <c r="U50" s="190">
        <v>3</v>
      </c>
      <c r="V50" s="190">
        <v>2687.275341480949</v>
      </c>
      <c r="W50" s="187">
        <f t="shared" si="39"/>
        <v>895.75844716031634</v>
      </c>
      <c r="X50" s="184">
        <f t="shared" si="43"/>
        <v>9</v>
      </c>
      <c r="Y50" s="532"/>
      <c r="Z50" s="190">
        <v>3</v>
      </c>
      <c r="AA50" s="190">
        <v>2687.7581863979858</v>
      </c>
      <c r="AB50" s="187">
        <f t="shared" si="44"/>
        <v>895.91939546599531</v>
      </c>
      <c r="AC50" s="184">
        <f t="shared" si="45"/>
        <v>9</v>
      </c>
      <c r="AD50" s="532"/>
      <c r="AE50" s="190">
        <v>3</v>
      </c>
      <c r="AF50" s="190">
        <v>2687.9078694817663</v>
      </c>
      <c r="AG50" s="187">
        <f t="shared" si="46"/>
        <v>895.96928982725547</v>
      </c>
      <c r="AH50" s="184">
        <f t="shared" si="47"/>
        <v>9</v>
      </c>
      <c r="AI50" s="532"/>
      <c r="AJ50" s="190">
        <v>3</v>
      </c>
      <c r="AK50" s="190">
        <v>2688.1618887015179</v>
      </c>
      <c r="AL50" s="187">
        <f t="shared" si="48"/>
        <v>896.05396290050601</v>
      </c>
      <c r="AM50" s="184">
        <f t="shared" si="49"/>
        <v>9</v>
      </c>
      <c r="AN50" s="532"/>
      <c r="AO50" s="190">
        <v>3</v>
      </c>
      <c r="AP50" s="190">
        <v>2688.2058613295212</v>
      </c>
      <c r="AQ50" s="187">
        <f t="shared" si="50"/>
        <v>896.0686204431737</v>
      </c>
      <c r="AR50" s="184">
        <f t="shared" si="51"/>
        <v>9</v>
      </c>
      <c r="AS50" s="532"/>
      <c r="AT50" s="190">
        <v>3</v>
      </c>
      <c r="AU50" s="190">
        <v>2688.1946100643922</v>
      </c>
      <c r="AV50" s="187">
        <f t="shared" si="52"/>
        <v>896.06487002146412</v>
      </c>
      <c r="AW50" s="184">
        <f t="shared" si="53"/>
        <v>9</v>
      </c>
      <c r="AX50" s="532"/>
    </row>
    <row r="51" spans="2:50" ht="14.25" customHeight="1">
      <c r="B51" s="501"/>
      <c r="C51" s="182">
        <v>7</v>
      </c>
      <c r="D51" s="185" t="s">
        <v>410</v>
      </c>
      <c r="E51" s="186">
        <v>3</v>
      </c>
      <c r="F51" s="182">
        <v>3600</v>
      </c>
      <c r="G51" s="187">
        <f t="shared" si="40"/>
        <v>1200</v>
      </c>
      <c r="H51" s="537"/>
      <c r="I51" s="188">
        <f t="shared" si="41"/>
        <v>3</v>
      </c>
      <c r="J51" s="188">
        <f t="shared" si="41"/>
        <v>3119.2244066253979</v>
      </c>
      <c r="K51" s="189">
        <f t="shared" si="41"/>
        <v>1039.7414688751323</v>
      </c>
      <c r="L51" s="538"/>
      <c r="M51" s="188">
        <f>RANK(K51, K$45:$K$77)</f>
        <v>3</v>
      </c>
      <c r="N51" s="552"/>
      <c r="O51" s="536"/>
      <c r="P51" s="190">
        <v>3</v>
      </c>
      <c r="Q51" s="190">
        <v>3116.3841807909612</v>
      </c>
      <c r="R51" s="187">
        <f t="shared" si="38"/>
        <v>1038.7947269303204</v>
      </c>
      <c r="S51" s="184">
        <f t="shared" si="42"/>
        <v>5</v>
      </c>
      <c r="T51" s="532"/>
      <c r="U51" s="190">
        <v>3</v>
      </c>
      <c r="V51" s="190">
        <v>3117.4799258801786</v>
      </c>
      <c r="W51" s="187">
        <f t="shared" si="39"/>
        <v>1039.1599752933928</v>
      </c>
      <c r="X51" s="184">
        <f t="shared" si="43"/>
        <v>3</v>
      </c>
      <c r="Y51" s="532"/>
      <c r="Z51" s="190">
        <v>3</v>
      </c>
      <c r="AA51" s="190">
        <v>3117.9419525065991</v>
      </c>
      <c r="AB51" s="187">
        <f t="shared" si="44"/>
        <v>1039.3139841688665</v>
      </c>
      <c r="AC51" s="184">
        <f t="shared" si="45"/>
        <v>3</v>
      </c>
      <c r="AD51" s="532"/>
      <c r="AE51" s="190">
        <v>3</v>
      </c>
      <c r="AF51" s="190">
        <v>3119.5488721804604</v>
      </c>
      <c r="AG51" s="187">
        <f t="shared" si="46"/>
        <v>1039.8496240601535</v>
      </c>
      <c r="AH51" s="184">
        <f t="shared" si="47"/>
        <v>3</v>
      </c>
      <c r="AI51" s="532"/>
      <c r="AJ51" s="190">
        <v>3</v>
      </c>
      <c r="AK51" s="190">
        <v>3120.7430340557344</v>
      </c>
      <c r="AL51" s="187">
        <f t="shared" si="48"/>
        <v>1040.2476780185782</v>
      </c>
      <c r="AM51" s="184">
        <f t="shared" si="49"/>
        <v>2</v>
      </c>
      <c r="AN51" s="532"/>
      <c r="AO51" s="190">
        <v>3</v>
      </c>
      <c r="AP51" s="190">
        <v>3121.5335463258816</v>
      </c>
      <c r="AQ51" s="187">
        <f t="shared" si="50"/>
        <v>1040.5111821086273</v>
      </c>
      <c r="AR51" s="184">
        <f t="shared" si="51"/>
        <v>2</v>
      </c>
      <c r="AS51" s="532"/>
      <c r="AT51" s="190">
        <v>3</v>
      </c>
      <c r="AU51" s="190">
        <v>3120.9393346379652</v>
      </c>
      <c r="AV51" s="187">
        <f t="shared" si="52"/>
        <v>1040.3131115459885</v>
      </c>
      <c r="AW51" s="184">
        <f t="shared" si="53"/>
        <v>2</v>
      </c>
      <c r="AX51" s="532"/>
    </row>
    <row r="52" spans="2:50" ht="14.25" customHeight="1">
      <c r="B52" s="501"/>
      <c r="C52" s="182">
        <v>8</v>
      </c>
      <c r="D52" s="185" t="s">
        <v>409</v>
      </c>
      <c r="E52" s="186">
        <v>4</v>
      </c>
      <c r="F52" s="182">
        <v>3300</v>
      </c>
      <c r="G52" s="187">
        <f t="shared" si="40"/>
        <v>825</v>
      </c>
      <c r="H52" s="537"/>
      <c r="I52" s="188">
        <f t="shared" si="41"/>
        <v>4</v>
      </c>
      <c r="J52" s="188">
        <f t="shared" si="41"/>
        <v>2924.0920569370305</v>
      </c>
      <c r="K52" s="189">
        <f t="shared" si="41"/>
        <v>731.02301423425763</v>
      </c>
      <c r="L52" s="538"/>
      <c r="M52" s="188">
        <f>RANK(K52, K$45:$K$77)</f>
        <v>19</v>
      </c>
      <c r="N52" s="552"/>
      <c r="O52" s="536"/>
      <c r="P52" s="190">
        <v>4</v>
      </c>
      <c r="Q52" s="190">
        <v>2923.8578680203118</v>
      </c>
      <c r="R52" s="187">
        <f t="shared" si="38"/>
        <v>730.96446700507795</v>
      </c>
      <c r="S52" s="184">
        <f t="shared" si="42"/>
        <v>19</v>
      </c>
      <c r="T52" s="532"/>
      <c r="U52" s="190">
        <v>4</v>
      </c>
      <c r="V52" s="190">
        <v>2923.3455882352928</v>
      </c>
      <c r="W52" s="187">
        <f t="shared" si="39"/>
        <v>730.8363970588232</v>
      </c>
      <c r="X52" s="184">
        <f t="shared" si="43"/>
        <v>19</v>
      </c>
      <c r="Y52" s="532"/>
      <c r="Z52" s="190">
        <v>4</v>
      </c>
      <c r="AA52" s="190">
        <v>2923.8319962246378</v>
      </c>
      <c r="AB52" s="187">
        <f t="shared" si="44"/>
        <v>730.95799905615945</v>
      </c>
      <c r="AC52" s="184">
        <f t="shared" si="45"/>
        <v>19</v>
      </c>
      <c r="AD52" s="532"/>
      <c r="AE52" s="190">
        <v>4</v>
      </c>
      <c r="AF52" s="190">
        <v>2923.9548772395633</v>
      </c>
      <c r="AG52" s="187">
        <f t="shared" si="46"/>
        <v>730.98871930989083</v>
      </c>
      <c r="AH52" s="184">
        <f t="shared" si="47"/>
        <v>19</v>
      </c>
      <c r="AI52" s="532"/>
      <c r="AJ52" s="190">
        <v>4</v>
      </c>
      <c r="AK52" s="190">
        <v>2924.8332097850403</v>
      </c>
      <c r="AL52" s="187">
        <f t="shared" si="48"/>
        <v>731.20830244626006</v>
      </c>
      <c r="AM52" s="184">
        <f t="shared" si="49"/>
        <v>18</v>
      </c>
      <c r="AN52" s="532"/>
      <c r="AO52" s="190">
        <v>4</v>
      </c>
      <c r="AP52" s="190">
        <v>2924.4655581947723</v>
      </c>
      <c r="AQ52" s="187">
        <f t="shared" si="50"/>
        <v>731.11638954869306</v>
      </c>
      <c r="AR52" s="184">
        <f t="shared" si="51"/>
        <v>20</v>
      </c>
      <c r="AS52" s="532"/>
      <c r="AT52" s="190">
        <v>4</v>
      </c>
      <c r="AU52" s="190">
        <v>2924.3553008595968</v>
      </c>
      <c r="AV52" s="187">
        <f t="shared" si="52"/>
        <v>731.0888252148992</v>
      </c>
      <c r="AW52" s="184">
        <f t="shared" si="53"/>
        <v>23</v>
      </c>
      <c r="AX52" s="532"/>
    </row>
    <row r="53" spans="2:50" ht="14.25" customHeight="1">
      <c r="B53" s="501"/>
      <c r="C53" s="182">
        <v>9</v>
      </c>
      <c r="D53" s="185" t="s">
        <v>464</v>
      </c>
      <c r="E53" s="186">
        <v>4</v>
      </c>
      <c r="F53" s="182">
        <v>3300</v>
      </c>
      <c r="G53" s="187">
        <f t="shared" si="40"/>
        <v>825</v>
      </c>
      <c r="H53" s="537"/>
      <c r="I53" s="188">
        <f t="shared" si="41"/>
        <v>4</v>
      </c>
      <c r="J53" s="188">
        <f t="shared" si="41"/>
        <v>2923.6163123384708</v>
      </c>
      <c r="K53" s="189">
        <f t="shared" si="41"/>
        <v>730.90407808461771</v>
      </c>
      <c r="L53" s="538"/>
      <c r="M53" s="188">
        <f>RANK(K53, K$45:$K$77)</f>
        <v>20</v>
      </c>
      <c r="N53" s="552"/>
      <c r="O53" s="536"/>
      <c r="P53" s="190">
        <v>4</v>
      </c>
      <c r="Q53" s="190">
        <v>2923.0527143981103</v>
      </c>
      <c r="R53" s="187">
        <f t="shared" si="38"/>
        <v>730.76317859952758</v>
      </c>
      <c r="S53" s="184">
        <f t="shared" si="42"/>
        <v>20</v>
      </c>
      <c r="T53" s="532"/>
      <c r="U53" s="190">
        <v>4</v>
      </c>
      <c r="V53" s="190">
        <v>2923.12357846853</v>
      </c>
      <c r="W53" s="187">
        <f t="shared" si="39"/>
        <v>730.7808946171325</v>
      </c>
      <c r="X53" s="184">
        <f t="shared" si="43"/>
        <v>20</v>
      </c>
      <c r="Y53" s="532"/>
      <c r="Z53" s="190">
        <v>4</v>
      </c>
      <c r="AA53" s="190">
        <v>2923.2227488151743</v>
      </c>
      <c r="AB53" s="187">
        <f t="shared" si="44"/>
        <v>730.80568720379358</v>
      </c>
      <c r="AC53" s="184">
        <f t="shared" si="45"/>
        <v>20</v>
      </c>
      <c r="AD53" s="532"/>
      <c r="AE53" s="190">
        <v>4</v>
      </c>
      <c r="AF53" s="190">
        <v>2923.2736572889999</v>
      </c>
      <c r="AG53" s="187">
        <f t="shared" si="46"/>
        <v>730.81841432224996</v>
      </c>
      <c r="AH53" s="184">
        <f t="shared" si="47"/>
        <v>20</v>
      </c>
      <c r="AI53" s="532"/>
      <c r="AJ53" s="190">
        <v>4</v>
      </c>
      <c r="AK53" s="190">
        <v>2923.7569060773494</v>
      </c>
      <c r="AL53" s="187">
        <f t="shared" si="48"/>
        <v>730.93922651933735</v>
      </c>
      <c r="AM53" s="184">
        <f t="shared" si="49"/>
        <v>21</v>
      </c>
      <c r="AN53" s="532"/>
      <c r="AO53" s="190">
        <v>4</v>
      </c>
      <c r="AP53" s="190">
        <v>2924.2718446601907</v>
      </c>
      <c r="AQ53" s="187">
        <f t="shared" si="50"/>
        <v>731.06796116504768</v>
      </c>
      <c r="AR53" s="184">
        <f t="shared" si="51"/>
        <v>22</v>
      </c>
      <c r="AS53" s="532"/>
      <c r="AT53" s="190">
        <v>4</v>
      </c>
      <c r="AU53" s="190">
        <v>2924.6127366609389</v>
      </c>
      <c r="AV53" s="187">
        <f t="shared" si="52"/>
        <v>731.15318416523473</v>
      </c>
      <c r="AW53" s="184">
        <f t="shared" si="53"/>
        <v>20</v>
      </c>
      <c r="AX53" s="532"/>
    </row>
    <row r="54" spans="2:50" ht="14.25" customHeight="1">
      <c r="B54" s="501"/>
      <c r="C54" s="182">
        <v>10</v>
      </c>
      <c r="D54" s="185" t="s">
        <v>407</v>
      </c>
      <c r="E54" s="186">
        <v>4</v>
      </c>
      <c r="F54" s="182">
        <v>3300</v>
      </c>
      <c r="G54" s="187">
        <f t="shared" si="40"/>
        <v>825</v>
      </c>
      <c r="H54" s="537"/>
      <c r="I54" s="188">
        <f t="shared" si="41"/>
        <v>4</v>
      </c>
      <c r="J54" s="188">
        <f t="shared" si="41"/>
        <v>2924.4108735128466</v>
      </c>
      <c r="K54" s="189">
        <f t="shared" si="41"/>
        <v>731.10271837821165</v>
      </c>
      <c r="L54" s="538"/>
      <c r="M54" s="188">
        <f>RANK(K54, K$45:$K$77)</f>
        <v>18</v>
      </c>
      <c r="N54" s="552"/>
      <c r="O54" s="536"/>
      <c r="P54" s="190">
        <v>4</v>
      </c>
      <c r="Q54" s="190">
        <v>2924.7223364870447</v>
      </c>
      <c r="R54" s="187">
        <f t="shared" si="38"/>
        <v>731.18058412176117</v>
      </c>
      <c r="S54" s="184">
        <f t="shared" si="42"/>
        <v>18</v>
      </c>
      <c r="T54" s="532"/>
      <c r="U54" s="190">
        <v>4</v>
      </c>
      <c r="V54" s="190">
        <v>2925.0000000000023</v>
      </c>
      <c r="W54" s="187">
        <f t="shared" si="39"/>
        <v>731.25000000000057</v>
      </c>
      <c r="X54" s="184">
        <f t="shared" si="43"/>
        <v>18</v>
      </c>
      <c r="Y54" s="532"/>
      <c r="Z54" s="190">
        <v>4</v>
      </c>
      <c r="AA54" s="190">
        <v>2923.9290350497645</v>
      </c>
      <c r="AB54" s="187">
        <f t="shared" si="44"/>
        <v>730.98225876244112</v>
      </c>
      <c r="AC54" s="184">
        <f t="shared" si="45"/>
        <v>18</v>
      </c>
      <c r="AD54" s="532"/>
      <c r="AE54" s="190">
        <v>4</v>
      </c>
      <c r="AF54" s="190">
        <v>2923.991031390136</v>
      </c>
      <c r="AG54" s="187">
        <f t="shared" si="46"/>
        <v>730.99775784753399</v>
      </c>
      <c r="AH54" s="184">
        <f t="shared" si="47"/>
        <v>18</v>
      </c>
      <c r="AI54" s="532"/>
      <c r="AJ54" s="190">
        <v>4</v>
      </c>
      <c r="AK54" s="190">
        <v>2924.1877256317675</v>
      </c>
      <c r="AL54" s="187">
        <f t="shared" si="48"/>
        <v>731.04693140794188</v>
      </c>
      <c r="AM54" s="184">
        <f t="shared" si="49"/>
        <v>19</v>
      </c>
      <c r="AN54" s="532"/>
      <c r="AO54" s="190">
        <v>4</v>
      </c>
      <c r="AP54" s="190">
        <v>2924.4332493702786</v>
      </c>
      <c r="AQ54" s="187">
        <f t="shared" si="50"/>
        <v>731.10831234256966</v>
      </c>
      <c r="AR54" s="184">
        <f t="shared" si="51"/>
        <v>21</v>
      </c>
      <c r="AS54" s="532"/>
      <c r="AT54" s="190">
        <v>4</v>
      </c>
      <c r="AU54" s="190">
        <v>2924.612736660933</v>
      </c>
      <c r="AV54" s="187">
        <f t="shared" si="52"/>
        <v>731.15318416523326</v>
      </c>
      <c r="AW54" s="184">
        <f t="shared" si="53"/>
        <v>21</v>
      </c>
      <c r="AX54" s="532"/>
    </row>
    <row r="55" spans="2:50" ht="14.25" customHeight="1">
      <c r="B55" s="501"/>
      <c r="C55" s="182">
        <v>11</v>
      </c>
      <c r="D55" s="185" t="s">
        <v>473</v>
      </c>
      <c r="E55" s="186">
        <v>4</v>
      </c>
      <c r="F55" s="182">
        <v>3300</v>
      </c>
      <c r="G55" s="187">
        <f t="shared" si="40"/>
        <v>825</v>
      </c>
      <c r="H55" s="537"/>
      <c r="I55" s="188">
        <f t="shared" si="41"/>
        <v>4</v>
      </c>
      <c r="J55" s="188">
        <f t="shared" si="41"/>
        <v>2953.995414062802</v>
      </c>
      <c r="K55" s="189">
        <f t="shared" si="41"/>
        <v>738.49885351570049</v>
      </c>
      <c r="L55" s="538"/>
      <c r="M55" s="188">
        <f>RANK(K55, K$45:$K$77)</f>
        <v>13</v>
      </c>
      <c r="N55" s="552"/>
      <c r="O55" s="536"/>
      <c r="P55" s="190">
        <v>4</v>
      </c>
      <c r="Q55" s="190">
        <v>2952.8268551236752</v>
      </c>
      <c r="R55" s="187">
        <f t="shared" si="38"/>
        <v>738.20671378091879</v>
      </c>
      <c r="S55" s="184">
        <f t="shared" si="42"/>
        <v>12</v>
      </c>
      <c r="T55" s="532"/>
      <c r="U55" s="190">
        <v>4</v>
      </c>
      <c r="V55" s="190">
        <v>2953.8461538461488</v>
      </c>
      <c r="W55" s="187">
        <f t="shared" si="39"/>
        <v>738.4615384615372</v>
      </c>
      <c r="X55" s="184">
        <f t="shared" si="43"/>
        <v>13</v>
      </c>
      <c r="Y55" s="532"/>
      <c r="Z55" s="190">
        <v>4</v>
      </c>
      <c r="AA55" s="190">
        <v>2954.6079779917463</v>
      </c>
      <c r="AB55" s="187">
        <f t="shared" si="44"/>
        <v>738.65199449793658</v>
      </c>
      <c r="AC55" s="184">
        <f t="shared" si="45"/>
        <v>13</v>
      </c>
      <c r="AD55" s="532"/>
      <c r="AE55" s="190">
        <v>4</v>
      </c>
      <c r="AF55" s="190">
        <v>2954.1240216736924</v>
      </c>
      <c r="AG55" s="187">
        <f t="shared" si="46"/>
        <v>738.53100541842309</v>
      </c>
      <c r="AH55" s="184">
        <f t="shared" si="47"/>
        <v>13</v>
      </c>
      <c r="AI55" s="532"/>
      <c r="AJ55" s="190">
        <v>4</v>
      </c>
      <c r="AK55" s="190">
        <v>2954.5154911008563</v>
      </c>
      <c r="AL55" s="187">
        <f t="shared" si="48"/>
        <v>738.62887277521406</v>
      </c>
      <c r="AM55" s="184">
        <f t="shared" si="49"/>
        <v>13</v>
      </c>
      <c r="AN55" s="532"/>
      <c r="AO55" s="190">
        <v>4</v>
      </c>
      <c r="AP55" s="190">
        <v>2954.3307086614172</v>
      </c>
      <c r="AQ55" s="187">
        <f t="shared" si="50"/>
        <v>738.58267716535431</v>
      </c>
      <c r="AR55" s="184">
        <f t="shared" si="51"/>
        <v>13</v>
      </c>
      <c r="AS55" s="532"/>
      <c r="AT55" s="190">
        <v>4</v>
      </c>
      <c r="AU55" s="190">
        <v>2953.7166900420775</v>
      </c>
      <c r="AV55" s="187">
        <f t="shared" si="52"/>
        <v>738.42917251051938</v>
      </c>
      <c r="AW55" s="184">
        <f t="shared" si="53"/>
        <v>13</v>
      </c>
      <c r="AX55" s="532"/>
    </row>
    <row r="56" spans="2:50" ht="14.25" customHeight="1">
      <c r="B56" s="501"/>
      <c r="C56" s="182">
        <v>12</v>
      </c>
      <c r="D56" s="185" t="s">
        <v>231</v>
      </c>
      <c r="E56" s="186">
        <v>3</v>
      </c>
      <c r="F56" s="182">
        <v>3000</v>
      </c>
      <c r="G56" s="187">
        <f t="shared" si="40"/>
        <v>1000</v>
      </c>
      <c r="H56" s="537"/>
      <c r="I56" s="188">
        <f t="shared" si="41"/>
        <v>3</v>
      </c>
      <c r="J56" s="188">
        <f t="shared" si="41"/>
        <v>2684.946627907018</v>
      </c>
      <c r="K56" s="189">
        <f t="shared" si="41"/>
        <v>894.98220930233924</v>
      </c>
      <c r="L56" s="538"/>
      <c r="M56" s="188">
        <f>RANK(K56, K$45:$K$77)</f>
        <v>11</v>
      </c>
      <c r="N56" s="552"/>
      <c r="O56" s="536"/>
      <c r="P56" s="190">
        <v>3</v>
      </c>
      <c r="Q56" s="190">
        <v>2684.013442150745</v>
      </c>
      <c r="R56" s="187">
        <f t="shared" si="38"/>
        <v>894.67114738358168</v>
      </c>
      <c r="S56" s="184">
        <f t="shared" si="42"/>
        <v>11</v>
      </c>
      <c r="T56" s="532"/>
      <c r="U56" s="190">
        <v>3</v>
      </c>
      <c r="V56" s="190">
        <v>2684.194373401534</v>
      </c>
      <c r="W56" s="187">
        <f t="shared" si="39"/>
        <v>894.73145780051129</v>
      </c>
      <c r="X56" s="184">
        <f t="shared" si="43"/>
        <v>11</v>
      </c>
      <c r="Y56" s="532"/>
      <c r="Z56" s="190">
        <v>3</v>
      </c>
      <c r="AA56" s="190">
        <v>2684.6167400881063</v>
      </c>
      <c r="AB56" s="187">
        <f t="shared" si="44"/>
        <v>894.8722466960354</v>
      </c>
      <c r="AC56" s="184">
        <f t="shared" si="45"/>
        <v>11</v>
      </c>
      <c r="AD56" s="532"/>
      <c r="AE56" s="190">
        <v>3</v>
      </c>
      <c r="AF56" s="190">
        <v>2684.5578530576317</v>
      </c>
      <c r="AG56" s="187">
        <f t="shared" si="46"/>
        <v>894.85261768587725</v>
      </c>
      <c r="AH56" s="184">
        <f t="shared" si="47"/>
        <v>11</v>
      </c>
      <c r="AI56" s="532"/>
      <c r="AJ56" s="190">
        <v>3</v>
      </c>
      <c r="AK56" s="190">
        <v>2685.8333333333371</v>
      </c>
      <c r="AL56" s="187">
        <f t="shared" si="48"/>
        <v>895.27777777777908</v>
      </c>
      <c r="AM56" s="184">
        <f t="shared" si="49"/>
        <v>10</v>
      </c>
      <c r="AN56" s="532"/>
      <c r="AO56" s="190">
        <v>3</v>
      </c>
      <c r="AP56" s="190">
        <v>2685.6870229007632</v>
      </c>
      <c r="AQ56" s="187">
        <f t="shared" si="50"/>
        <v>895.22900763358768</v>
      </c>
      <c r="AR56" s="184">
        <f t="shared" si="51"/>
        <v>10</v>
      </c>
      <c r="AS56" s="532"/>
      <c r="AT56" s="190">
        <v>3</v>
      </c>
      <c r="AU56" s="190">
        <v>2685.7236304170083</v>
      </c>
      <c r="AV56" s="187">
        <f t="shared" si="52"/>
        <v>895.24121013900276</v>
      </c>
      <c r="AW56" s="184">
        <f t="shared" si="53"/>
        <v>10</v>
      </c>
      <c r="AX56" s="532"/>
    </row>
    <row r="57" spans="2:50" ht="14.25" customHeight="1">
      <c r="B57" s="501"/>
      <c r="C57" s="182">
        <v>13</v>
      </c>
      <c r="D57" s="185" t="s">
        <v>501</v>
      </c>
      <c r="E57" s="186">
        <v>12</v>
      </c>
      <c r="F57" s="182">
        <v>3600</v>
      </c>
      <c r="G57" s="187">
        <f t="shared" si="40"/>
        <v>300</v>
      </c>
      <c r="H57" s="537"/>
      <c r="I57" s="188">
        <f t="shared" si="41"/>
        <v>12</v>
      </c>
      <c r="J57" s="188">
        <f t="shared" si="41"/>
        <v>3112.6649098196222</v>
      </c>
      <c r="K57" s="189">
        <f t="shared" si="41"/>
        <v>259.38874248496853</v>
      </c>
      <c r="L57" s="538"/>
      <c r="M57" s="188">
        <f>RANK(K57, K$45:$K$77)</f>
        <v>31</v>
      </c>
      <c r="N57" s="552"/>
      <c r="O57" s="536"/>
      <c r="P57" s="190">
        <v>12</v>
      </c>
      <c r="Q57" s="190">
        <v>3112.6074498567295</v>
      </c>
      <c r="R57" s="187">
        <f t="shared" si="38"/>
        <v>259.38395415472746</v>
      </c>
      <c r="S57" s="184">
        <f t="shared" si="42"/>
        <v>31</v>
      </c>
      <c r="T57" s="532"/>
      <c r="U57" s="190">
        <v>12</v>
      </c>
      <c r="V57" s="190">
        <v>3112.6193001060433</v>
      </c>
      <c r="W57" s="187">
        <f t="shared" si="39"/>
        <v>259.38494167550363</v>
      </c>
      <c r="X57" s="184">
        <f t="shared" si="43"/>
        <v>31</v>
      </c>
      <c r="Y57" s="532"/>
      <c r="Z57" s="190">
        <v>12</v>
      </c>
      <c r="AA57" s="190">
        <v>3112.2318404215266</v>
      </c>
      <c r="AB57" s="187">
        <f t="shared" si="44"/>
        <v>259.35265336846055</v>
      </c>
      <c r="AC57" s="184">
        <f t="shared" si="45"/>
        <v>31</v>
      </c>
      <c r="AD57" s="532"/>
      <c r="AE57" s="190">
        <v>12</v>
      </c>
      <c r="AF57" s="190">
        <v>3112.4827268539816</v>
      </c>
      <c r="AG57" s="187">
        <f t="shared" si="46"/>
        <v>259.37356057116511</v>
      </c>
      <c r="AH57" s="184">
        <f t="shared" si="47"/>
        <v>31</v>
      </c>
      <c r="AI57" s="532"/>
      <c r="AJ57" s="190">
        <v>12</v>
      </c>
      <c r="AK57" s="190">
        <v>3113.093525179856</v>
      </c>
      <c r="AL57" s="187">
        <f t="shared" si="48"/>
        <v>259.42446043165467</v>
      </c>
      <c r="AM57" s="184">
        <f t="shared" si="49"/>
        <v>31</v>
      </c>
      <c r="AN57" s="532"/>
      <c r="AO57" s="190">
        <v>12</v>
      </c>
      <c r="AP57" s="190">
        <v>3112.6469540434618</v>
      </c>
      <c r="AQ57" s="187">
        <f t="shared" si="50"/>
        <v>259.38724617028851</v>
      </c>
      <c r="AR57" s="184">
        <f t="shared" si="51"/>
        <v>31</v>
      </c>
      <c r="AS57" s="532"/>
      <c r="AT57" s="190">
        <v>12</v>
      </c>
      <c r="AU57" s="190">
        <v>3112.9725722757585</v>
      </c>
      <c r="AV57" s="187">
        <f t="shared" si="52"/>
        <v>259.41438102297985</v>
      </c>
      <c r="AW57" s="184">
        <f t="shared" si="53"/>
        <v>31</v>
      </c>
      <c r="AX57" s="532"/>
    </row>
    <row r="58" spans="2:50" ht="14.25" customHeight="1">
      <c r="B58" s="501"/>
      <c r="C58" s="182">
        <v>14</v>
      </c>
      <c r="D58" s="185" t="s">
        <v>586</v>
      </c>
      <c r="E58" s="186">
        <v>3</v>
      </c>
      <c r="F58" s="182">
        <v>3300</v>
      </c>
      <c r="G58" s="187">
        <f t="shared" si="40"/>
        <v>1100</v>
      </c>
      <c r="H58" s="537"/>
      <c r="I58" s="188">
        <f t="shared" si="41"/>
        <v>3</v>
      </c>
      <c r="J58" s="188">
        <f t="shared" si="41"/>
        <v>2948.7889654579158</v>
      </c>
      <c r="K58" s="189">
        <f t="shared" si="41"/>
        <v>982.9296551526387</v>
      </c>
      <c r="L58" s="538"/>
      <c r="M58" s="188">
        <f>RANK(K58, K$45:$K$77)</f>
        <v>8</v>
      </c>
      <c r="N58" s="552"/>
      <c r="O58" s="536"/>
      <c r="P58" s="190">
        <v>3</v>
      </c>
      <c r="Q58" s="190">
        <v>2948.2809190158064</v>
      </c>
      <c r="R58" s="187">
        <f t="shared" si="38"/>
        <v>982.76030633860216</v>
      </c>
      <c r="S58" s="184">
        <f t="shared" si="42"/>
        <v>8</v>
      </c>
      <c r="T58" s="532"/>
      <c r="U58" s="190">
        <v>3</v>
      </c>
      <c r="V58" s="190">
        <v>2948.3785572468573</v>
      </c>
      <c r="W58" s="187">
        <f t="shared" si="39"/>
        <v>982.79285241561911</v>
      </c>
      <c r="X58" s="184">
        <f t="shared" si="43"/>
        <v>8</v>
      </c>
      <c r="Y58" s="532"/>
      <c r="Z58" s="190">
        <v>3</v>
      </c>
      <c r="AA58" s="190">
        <v>2948.6308492201028</v>
      </c>
      <c r="AB58" s="187">
        <f t="shared" si="44"/>
        <v>982.87694974003432</v>
      </c>
      <c r="AC58" s="184">
        <f t="shared" si="45"/>
        <v>8</v>
      </c>
      <c r="AD58" s="532"/>
      <c r="AE58" s="190">
        <v>3</v>
      </c>
      <c r="AF58" s="190">
        <v>2948.7106598984792</v>
      </c>
      <c r="AG58" s="187">
        <f t="shared" si="46"/>
        <v>982.90355329949307</v>
      </c>
      <c r="AH58" s="184">
        <f t="shared" si="47"/>
        <v>8</v>
      </c>
      <c r="AI58" s="532"/>
      <c r="AJ58" s="190">
        <v>3</v>
      </c>
      <c r="AK58" s="190">
        <v>2949.0948745910587</v>
      </c>
      <c r="AL58" s="187">
        <f t="shared" si="48"/>
        <v>983.03162486368626</v>
      </c>
      <c r="AM58" s="184">
        <f t="shared" si="49"/>
        <v>8</v>
      </c>
      <c r="AN58" s="532"/>
      <c r="AO58" s="190">
        <v>3</v>
      </c>
      <c r="AP58" s="190">
        <v>2949.149308316109</v>
      </c>
      <c r="AQ58" s="187">
        <f t="shared" si="50"/>
        <v>983.04976943870304</v>
      </c>
      <c r="AR58" s="184">
        <f t="shared" si="51"/>
        <v>8</v>
      </c>
      <c r="AS58" s="532"/>
      <c r="AT58" s="190">
        <v>3</v>
      </c>
      <c r="AU58" s="190">
        <v>2949.2775899169983</v>
      </c>
      <c r="AV58" s="187">
        <f t="shared" si="52"/>
        <v>983.09252997233273</v>
      </c>
      <c r="AW58" s="184">
        <f t="shared" si="53"/>
        <v>8</v>
      </c>
      <c r="AX58" s="532"/>
    </row>
    <row r="59" spans="2:50" ht="14.25" customHeight="1">
      <c r="B59" s="501"/>
      <c r="C59" s="182">
        <v>15</v>
      </c>
      <c r="D59" s="185" t="s">
        <v>661</v>
      </c>
      <c r="E59" s="186">
        <v>4</v>
      </c>
      <c r="F59" s="182">
        <v>3300</v>
      </c>
      <c r="G59" s="187">
        <f t="shared" si="40"/>
        <v>825</v>
      </c>
      <c r="H59" s="537"/>
      <c r="I59" s="188">
        <f t="shared" si="41"/>
        <v>4</v>
      </c>
      <c r="J59" s="188">
        <f t="shared" si="41"/>
        <v>2841.480995919022</v>
      </c>
      <c r="K59" s="189">
        <f t="shared" si="41"/>
        <v>710.3702489797555</v>
      </c>
      <c r="L59" s="538"/>
      <c r="M59" s="188">
        <f>RANK(K59, K$45:$K$77)</f>
        <v>24</v>
      </c>
      <c r="N59" s="552"/>
      <c r="O59" s="536"/>
      <c r="P59" s="190">
        <v>4</v>
      </c>
      <c r="Q59" s="190">
        <v>2711.9828203292768</v>
      </c>
      <c r="R59" s="187">
        <f t="shared" si="38"/>
        <v>677.9957050823192</v>
      </c>
      <c r="S59" s="184">
        <f t="shared" si="42"/>
        <v>24</v>
      </c>
      <c r="T59" s="532"/>
      <c r="U59" s="190">
        <v>4</v>
      </c>
      <c r="V59" s="190">
        <v>2760.1829666739272</v>
      </c>
      <c r="W59" s="187">
        <f t="shared" si="39"/>
        <v>690.04574166848181</v>
      </c>
      <c r="X59" s="184">
        <f t="shared" si="43"/>
        <v>24</v>
      </c>
      <c r="Y59" s="532"/>
      <c r="Z59" s="190">
        <v>4</v>
      </c>
      <c r="AA59" s="190">
        <v>2805.3456221198153</v>
      </c>
      <c r="AB59" s="187">
        <f t="shared" si="44"/>
        <v>701.33640552995382</v>
      </c>
      <c r="AC59" s="184">
        <f t="shared" si="45"/>
        <v>24</v>
      </c>
      <c r="AD59" s="532"/>
      <c r="AE59" s="190">
        <v>4</v>
      </c>
      <c r="AF59" s="190">
        <v>2845.0485436893214</v>
      </c>
      <c r="AG59" s="187">
        <f t="shared" si="46"/>
        <v>711.26213592233034</v>
      </c>
      <c r="AH59" s="184">
        <f t="shared" si="47"/>
        <v>24</v>
      </c>
      <c r="AI59" s="532"/>
      <c r="AJ59" s="190">
        <v>4</v>
      </c>
      <c r="AK59" s="190">
        <v>2889.152542372884</v>
      </c>
      <c r="AL59" s="187">
        <f t="shared" si="48"/>
        <v>722.288135593221</v>
      </c>
      <c r="AM59" s="184">
        <f t="shared" si="49"/>
        <v>24</v>
      </c>
      <c r="AN59" s="532"/>
      <c r="AO59" s="190">
        <v>4</v>
      </c>
      <c r="AP59" s="190">
        <v>2930.0463392029651</v>
      </c>
      <c r="AQ59" s="187">
        <f t="shared" si="50"/>
        <v>732.51158480074128</v>
      </c>
      <c r="AR59" s="184">
        <f t="shared" si="51"/>
        <v>19</v>
      </c>
      <c r="AS59" s="532"/>
      <c r="AT59" s="190">
        <v>4</v>
      </c>
      <c r="AU59" s="190">
        <v>2948.6081370449679</v>
      </c>
      <c r="AV59" s="187">
        <f t="shared" si="52"/>
        <v>737.15203426124197</v>
      </c>
      <c r="AW59" s="184">
        <f t="shared" si="53"/>
        <v>18</v>
      </c>
      <c r="AX59" s="532"/>
    </row>
    <row r="60" spans="2:50" ht="14.25" customHeight="1">
      <c r="B60" s="501"/>
      <c r="C60" s="182">
        <v>16</v>
      </c>
      <c r="D60" s="185" t="s">
        <v>421</v>
      </c>
      <c r="E60" s="186">
        <v>4</v>
      </c>
      <c r="F60" s="182">
        <v>3300</v>
      </c>
      <c r="G60" s="187">
        <f t="shared" si="40"/>
        <v>825</v>
      </c>
      <c r="H60" s="537"/>
      <c r="I60" s="188">
        <f t="shared" si="41"/>
        <v>4</v>
      </c>
      <c r="J60" s="188">
        <f t="shared" si="41"/>
        <v>2948.0063411982205</v>
      </c>
      <c r="K60" s="189">
        <f t="shared" si="41"/>
        <v>737.00158529955513</v>
      </c>
      <c r="L60" s="538"/>
      <c r="M60" s="188">
        <f>RANK(K60, K$45:$K$77)</f>
        <v>16</v>
      </c>
      <c r="N60" s="552"/>
      <c r="O60" s="536"/>
      <c r="P60" s="190">
        <v>4</v>
      </c>
      <c r="Q60" s="190">
        <v>2942.9922613929484</v>
      </c>
      <c r="R60" s="187">
        <f t="shared" si="38"/>
        <v>735.74806534823711</v>
      </c>
      <c r="S60" s="184">
        <f t="shared" si="42"/>
        <v>16</v>
      </c>
      <c r="T60" s="532"/>
      <c r="U60" s="190">
        <v>4</v>
      </c>
      <c r="V60" s="190">
        <v>2948.513513513511</v>
      </c>
      <c r="W60" s="187">
        <f t="shared" si="39"/>
        <v>737.12837837837776</v>
      </c>
      <c r="X60" s="184">
        <f t="shared" si="43"/>
        <v>15</v>
      </c>
      <c r="Y60" s="532"/>
      <c r="Z60" s="190">
        <v>4</v>
      </c>
      <c r="AA60" s="190">
        <v>2948.6290739782735</v>
      </c>
      <c r="AB60" s="187">
        <f t="shared" si="44"/>
        <v>737.15726849456837</v>
      </c>
      <c r="AC60" s="184">
        <f t="shared" si="45"/>
        <v>15</v>
      </c>
      <c r="AD60" s="532"/>
      <c r="AE60" s="190">
        <v>4</v>
      </c>
      <c r="AF60" s="190">
        <v>2949.0303195848142</v>
      </c>
      <c r="AG60" s="187">
        <f t="shared" si="46"/>
        <v>737.25757989620354</v>
      </c>
      <c r="AH60" s="184">
        <f t="shared" si="47"/>
        <v>16</v>
      </c>
      <c r="AI60" s="532"/>
      <c r="AJ60" s="190">
        <v>4</v>
      </c>
      <c r="AK60" s="190">
        <v>2949.0695161483959</v>
      </c>
      <c r="AL60" s="187">
        <f t="shared" si="48"/>
        <v>737.26737903709898</v>
      </c>
      <c r="AM60" s="184">
        <f t="shared" si="49"/>
        <v>16</v>
      </c>
      <c r="AN60" s="532"/>
      <c r="AO60" s="190">
        <v>4</v>
      </c>
      <c r="AP60" s="190">
        <v>2948.9724944672762</v>
      </c>
      <c r="AQ60" s="187">
        <f t="shared" si="50"/>
        <v>737.24312361681905</v>
      </c>
      <c r="AR60" s="184">
        <f t="shared" si="51"/>
        <v>16</v>
      </c>
      <c r="AS60" s="532"/>
      <c r="AT60" s="190">
        <v>4</v>
      </c>
      <c r="AU60" s="190">
        <v>2948.8372093023245</v>
      </c>
      <c r="AV60" s="187">
        <f t="shared" si="52"/>
        <v>737.20930232558112</v>
      </c>
      <c r="AW60" s="184">
        <f t="shared" si="53"/>
        <v>17</v>
      </c>
      <c r="AX60" s="532"/>
    </row>
    <row r="61" spans="2:50" ht="14.25" customHeight="1">
      <c r="B61" s="501"/>
      <c r="C61" s="182">
        <v>17</v>
      </c>
      <c r="D61" s="185" t="s">
        <v>420</v>
      </c>
      <c r="E61" s="186">
        <v>3</v>
      </c>
      <c r="F61" s="182">
        <v>3600</v>
      </c>
      <c r="G61" s="187">
        <f t="shared" si="40"/>
        <v>1200</v>
      </c>
      <c r="H61" s="537"/>
      <c r="I61" s="188">
        <f t="shared" si="41"/>
        <v>3</v>
      </c>
      <c r="J61" s="188">
        <f t="shared" si="41"/>
        <v>3117.5828559732022</v>
      </c>
      <c r="K61" s="189">
        <f t="shared" si="41"/>
        <v>1039.1942853244004</v>
      </c>
      <c r="L61" s="538"/>
      <c r="M61" s="188">
        <f>RANK(K61, K$45:$K$77)</f>
        <v>4</v>
      </c>
      <c r="N61" s="552"/>
      <c r="O61" s="536"/>
      <c r="P61" s="190">
        <v>3</v>
      </c>
      <c r="Q61" s="190">
        <v>3117.104256979922</v>
      </c>
      <c r="R61" s="187">
        <f t="shared" si="38"/>
        <v>1039.0347523266407</v>
      </c>
      <c r="S61" s="184">
        <f t="shared" si="42"/>
        <v>3</v>
      </c>
      <c r="T61" s="532"/>
      <c r="U61" s="190">
        <v>3</v>
      </c>
      <c r="V61" s="190">
        <v>3117.2188985365951</v>
      </c>
      <c r="W61" s="187">
        <f t="shared" si="39"/>
        <v>1039.072966178865</v>
      </c>
      <c r="X61" s="184">
        <f t="shared" si="43"/>
        <v>4</v>
      </c>
      <c r="Y61" s="532"/>
      <c r="Z61" s="190">
        <v>3</v>
      </c>
      <c r="AA61" s="190">
        <v>3117.6362995088757</v>
      </c>
      <c r="AB61" s="187">
        <f t="shared" si="44"/>
        <v>1039.2120998362918</v>
      </c>
      <c r="AC61" s="184">
        <f t="shared" si="45"/>
        <v>4</v>
      </c>
      <c r="AD61" s="532"/>
      <c r="AE61" s="190">
        <v>3</v>
      </c>
      <c r="AF61" s="190">
        <v>3117.5432403812192</v>
      </c>
      <c r="AG61" s="187">
        <f t="shared" si="46"/>
        <v>1039.1810801270731</v>
      </c>
      <c r="AH61" s="184">
        <f t="shared" si="47"/>
        <v>4</v>
      </c>
      <c r="AI61" s="532"/>
      <c r="AJ61" s="190">
        <v>3</v>
      </c>
      <c r="AK61" s="190">
        <v>3117.5388736811183</v>
      </c>
      <c r="AL61" s="187">
        <f t="shared" si="48"/>
        <v>1039.1796245603728</v>
      </c>
      <c r="AM61" s="184">
        <f t="shared" si="49"/>
        <v>4</v>
      </c>
      <c r="AN61" s="532"/>
      <c r="AO61" s="190">
        <v>3</v>
      </c>
      <c r="AP61" s="190">
        <v>3117.899834892678</v>
      </c>
      <c r="AQ61" s="187">
        <f t="shared" si="50"/>
        <v>1039.2999449642259</v>
      </c>
      <c r="AR61" s="184">
        <f t="shared" si="51"/>
        <v>4</v>
      </c>
      <c r="AS61" s="532"/>
      <c r="AT61" s="190">
        <v>3</v>
      </c>
      <c r="AU61" s="190">
        <v>3118.1385878320025</v>
      </c>
      <c r="AV61" s="187">
        <f t="shared" si="52"/>
        <v>1039.3795292773341</v>
      </c>
      <c r="AW61" s="184">
        <f t="shared" si="53"/>
        <v>4</v>
      </c>
      <c r="AX61" s="532"/>
    </row>
    <row r="62" spans="2:50" ht="14.25" customHeight="1">
      <c r="B62" s="501"/>
      <c r="C62" s="182">
        <v>18</v>
      </c>
      <c r="D62" s="185" t="s">
        <v>422</v>
      </c>
      <c r="E62" s="186">
        <v>4</v>
      </c>
      <c r="F62" s="182">
        <v>3300</v>
      </c>
      <c r="G62" s="187">
        <f t="shared" si="40"/>
        <v>825</v>
      </c>
      <c r="H62" s="537"/>
      <c r="I62" s="188">
        <f t="shared" si="41"/>
        <v>4</v>
      </c>
      <c r="J62" s="188">
        <f t="shared" si="41"/>
        <v>2955.2098729782047</v>
      </c>
      <c r="K62" s="189">
        <f t="shared" si="41"/>
        <v>738.80246824455116</v>
      </c>
      <c r="L62" s="538"/>
      <c r="M62" s="188">
        <f>RANK(K62, K$45:$K$77)</f>
        <v>12</v>
      </c>
      <c r="N62" s="552"/>
      <c r="O62" s="536"/>
      <c r="P62" s="190">
        <v>4</v>
      </c>
      <c r="Q62" s="190">
        <v>2951.357287099097</v>
      </c>
      <c r="R62" s="187">
        <f t="shared" si="38"/>
        <v>737.83932177477425</v>
      </c>
      <c r="S62" s="184">
        <f t="shared" si="42"/>
        <v>13</v>
      </c>
      <c r="T62" s="532"/>
      <c r="U62" s="190">
        <v>4</v>
      </c>
      <c r="V62" s="190">
        <v>2956.0037185409524</v>
      </c>
      <c r="W62" s="187">
        <f t="shared" si="39"/>
        <v>739.00092963523809</v>
      </c>
      <c r="X62" s="184">
        <f t="shared" si="43"/>
        <v>12</v>
      </c>
      <c r="Y62" s="532"/>
      <c r="Z62" s="190">
        <v>4</v>
      </c>
      <c r="AA62" s="190">
        <v>2955.5638258280651</v>
      </c>
      <c r="AB62" s="187">
        <f t="shared" si="44"/>
        <v>738.89095645701627</v>
      </c>
      <c r="AC62" s="184">
        <f t="shared" si="45"/>
        <v>12</v>
      </c>
      <c r="AD62" s="532"/>
      <c r="AE62" s="190">
        <v>4</v>
      </c>
      <c r="AF62" s="190">
        <v>2955.7972501539089</v>
      </c>
      <c r="AG62" s="187">
        <f t="shared" si="46"/>
        <v>738.94931253847722</v>
      </c>
      <c r="AH62" s="184">
        <f t="shared" si="47"/>
        <v>12</v>
      </c>
      <c r="AI62" s="532"/>
      <c r="AJ62" s="190">
        <v>4</v>
      </c>
      <c r="AK62" s="190">
        <v>2955.8855487142373</v>
      </c>
      <c r="AL62" s="187">
        <f t="shared" si="48"/>
        <v>738.97138717855933</v>
      </c>
      <c r="AM62" s="184">
        <f t="shared" si="49"/>
        <v>12</v>
      </c>
      <c r="AN62" s="532"/>
      <c r="AO62" s="190">
        <v>4</v>
      </c>
      <c r="AP62" s="190">
        <v>2955.7833089311853</v>
      </c>
      <c r="AQ62" s="187">
        <f t="shared" si="50"/>
        <v>738.94582723279632</v>
      </c>
      <c r="AR62" s="184">
        <f t="shared" si="51"/>
        <v>12</v>
      </c>
      <c r="AS62" s="532"/>
      <c r="AT62" s="190">
        <v>4</v>
      </c>
      <c r="AU62" s="190">
        <v>2956.0781715799894</v>
      </c>
      <c r="AV62" s="187">
        <f t="shared" si="52"/>
        <v>739.01954289499736</v>
      </c>
      <c r="AW62" s="184">
        <f t="shared" si="53"/>
        <v>12</v>
      </c>
      <c r="AX62" s="532"/>
    </row>
    <row r="63" spans="2:50" ht="14.25" customHeight="1">
      <c r="B63" s="501"/>
      <c r="C63" s="182">
        <v>19</v>
      </c>
      <c r="D63" s="185" t="s">
        <v>354</v>
      </c>
      <c r="E63" s="186">
        <v>5</v>
      </c>
      <c r="F63" s="182">
        <v>3300</v>
      </c>
      <c r="G63" s="187">
        <f t="shared" si="40"/>
        <v>660</v>
      </c>
      <c r="H63" s="537"/>
      <c r="I63" s="188">
        <f t="shared" si="41"/>
        <v>5</v>
      </c>
      <c r="J63" s="188">
        <f t="shared" si="41"/>
        <v>2947.6946367907085</v>
      </c>
      <c r="K63" s="189">
        <f t="shared" si="41"/>
        <v>589.53892735814156</v>
      </c>
      <c r="L63" s="538"/>
      <c r="M63" s="188">
        <f>RANK(K63, K$45:$K$77)</f>
        <v>28</v>
      </c>
      <c r="N63" s="552"/>
      <c r="O63" s="536"/>
      <c r="P63" s="190">
        <v>5</v>
      </c>
      <c r="Q63" s="190">
        <v>2948.1894150417811</v>
      </c>
      <c r="R63" s="187">
        <f t="shared" si="38"/>
        <v>589.6378830083562</v>
      </c>
      <c r="S63" s="184">
        <f t="shared" si="42"/>
        <v>28</v>
      </c>
      <c r="T63" s="532"/>
      <c r="U63" s="190">
        <v>5</v>
      </c>
      <c r="V63" s="190">
        <v>2947.521865889219</v>
      </c>
      <c r="W63" s="187">
        <f t="shared" si="39"/>
        <v>589.50437317784383</v>
      </c>
      <c r="X63" s="184">
        <f t="shared" si="43"/>
        <v>28</v>
      </c>
      <c r="Y63" s="532"/>
      <c r="Z63" s="190">
        <v>5</v>
      </c>
      <c r="AA63" s="190">
        <v>2947.1698113207531</v>
      </c>
      <c r="AB63" s="187">
        <f t="shared" si="44"/>
        <v>589.43396226415064</v>
      </c>
      <c r="AC63" s="184">
        <f t="shared" si="45"/>
        <v>28</v>
      </c>
      <c r="AD63" s="532"/>
      <c r="AE63" s="190">
        <v>5</v>
      </c>
      <c r="AF63" s="190">
        <v>2947.9809976247011</v>
      </c>
      <c r="AG63" s="187">
        <f t="shared" si="46"/>
        <v>589.59619952494018</v>
      </c>
      <c r="AH63" s="184">
        <f t="shared" si="47"/>
        <v>28</v>
      </c>
      <c r="AI63" s="532"/>
      <c r="AJ63" s="190">
        <v>5</v>
      </c>
      <c r="AK63" s="190">
        <v>2948.3568075117482</v>
      </c>
      <c r="AL63" s="187">
        <f t="shared" si="48"/>
        <v>589.67136150234967</v>
      </c>
      <c r="AM63" s="184">
        <f t="shared" si="49"/>
        <v>28</v>
      </c>
      <c r="AN63" s="532"/>
      <c r="AO63" s="190">
        <v>5</v>
      </c>
      <c r="AP63" s="190">
        <v>2947.233201581023</v>
      </c>
      <c r="AQ63" s="187">
        <f t="shared" si="50"/>
        <v>589.44664031620459</v>
      </c>
      <c r="AR63" s="184">
        <f t="shared" si="51"/>
        <v>28</v>
      </c>
      <c r="AS63" s="532"/>
      <c r="AT63" s="190">
        <v>5</v>
      </c>
      <c r="AU63" s="190">
        <v>2947.4103585657317</v>
      </c>
      <c r="AV63" s="187">
        <f t="shared" si="52"/>
        <v>589.4820717131463</v>
      </c>
      <c r="AW63" s="184">
        <f t="shared" si="53"/>
        <v>28</v>
      </c>
      <c r="AX63" s="532"/>
    </row>
    <row r="64" spans="2:50" ht="14.25" customHeight="1">
      <c r="B64" s="501"/>
      <c r="C64" s="182">
        <v>20</v>
      </c>
      <c r="D64" s="185" t="s">
        <v>415</v>
      </c>
      <c r="E64" s="186">
        <v>3</v>
      </c>
      <c r="F64" s="182">
        <v>3600</v>
      </c>
      <c r="G64" s="187">
        <f t="shared" si="40"/>
        <v>1200</v>
      </c>
      <c r="H64" s="537"/>
      <c r="I64" s="188">
        <f t="shared" si="41"/>
        <v>3</v>
      </c>
      <c r="J64" s="188">
        <f t="shared" si="41"/>
        <v>3119.6918414794768</v>
      </c>
      <c r="K64" s="189">
        <f t="shared" si="41"/>
        <v>1039.8972804931589</v>
      </c>
      <c r="L64" s="538"/>
      <c r="M64" s="188">
        <f>RANK(K64, K$45:$K$77)</f>
        <v>2</v>
      </c>
      <c r="N64" s="552"/>
      <c r="O64" s="536"/>
      <c r="P64" s="190">
        <v>3</v>
      </c>
      <c r="Q64" s="190">
        <v>3118.7211271943279</v>
      </c>
      <c r="R64" s="187">
        <f t="shared" si="38"/>
        <v>1039.573709064776</v>
      </c>
      <c r="S64" s="184">
        <f t="shared" si="42"/>
        <v>2</v>
      </c>
      <c r="T64" s="532"/>
      <c r="U64" s="190">
        <v>3</v>
      </c>
      <c r="V64" s="190">
        <v>3118.7936705658058</v>
      </c>
      <c r="W64" s="187">
        <f t="shared" si="39"/>
        <v>1039.5978901886019</v>
      </c>
      <c r="X64" s="184">
        <f t="shared" si="43"/>
        <v>2</v>
      </c>
      <c r="Y64" s="532"/>
      <c r="Z64" s="190">
        <v>3</v>
      </c>
      <c r="AA64" s="190">
        <v>3119.8620293187696</v>
      </c>
      <c r="AB64" s="187">
        <f t="shared" si="44"/>
        <v>1039.9540097729232</v>
      </c>
      <c r="AC64" s="184">
        <f t="shared" si="45"/>
        <v>2</v>
      </c>
      <c r="AD64" s="532"/>
      <c r="AE64" s="190">
        <v>3</v>
      </c>
      <c r="AF64" s="190">
        <v>3119.569120287249</v>
      </c>
      <c r="AG64" s="187">
        <f t="shared" si="46"/>
        <v>1039.8563734290831</v>
      </c>
      <c r="AH64" s="184">
        <f t="shared" si="47"/>
        <v>2</v>
      </c>
      <c r="AI64" s="532"/>
      <c r="AJ64" s="190">
        <v>3</v>
      </c>
      <c r="AK64" s="190">
        <v>3120.1274561869354</v>
      </c>
      <c r="AL64" s="187">
        <f t="shared" si="48"/>
        <v>1040.0424853956451</v>
      </c>
      <c r="AM64" s="184">
        <f t="shared" si="49"/>
        <v>3</v>
      </c>
      <c r="AN64" s="532"/>
      <c r="AO64" s="190">
        <v>3</v>
      </c>
      <c r="AP64" s="190">
        <v>3120.2317720907786</v>
      </c>
      <c r="AQ64" s="187">
        <f t="shared" si="50"/>
        <v>1040.0772573635929</v>
      </c>
      <c r="AR64" s="184">
        <f t="shared" si="51"/>
        <v>3</v>
      </c>
      <c r="AS64" s="532"/>
      <c r="AT64" s="190">
        <v>3</v>
      </c>
      <c r="AU64" s="190">
        <v>3120.5377147124686</v>
      </c>
      <c r="AV64" s="187">
        <f t="shared" si="52"/>
        <v>1040.1792382374895</v>
      </c>
      <c r="AW64" s="184">
        <f t="shared" si="53"/>
        <v>3</v>
      </c>
      <c r="AX64" s="532"/>
    </row>
    <row r="65" spans="2:50" ht="14.25" customHeight="1">
      <c r="B65" s="501"/>
      <c r="C65" s="182">
        <v>21</v>
      </c>
      <c r="D65" s="185" t="s">
        <v>419</v>
      </c>
      <c r="E65" s="186">
        <v>3</v>
      </c>
      <c r="F65" s="182">
        <v>3600</v>
      </c>
      <c r="G65" s="187">
        <f t="shared" si="40"/>
        <v>1200</v>
      </c>
      <c r="H65" s="537"/>
      <c r="I65" s="188">
        <f t="shared" si="41"/>
        <v>3</v>
      </c>
      <c r="J65" s="188">
        <f t="shared" si="41"/>
        <v>3121.5670719580448</v>
      </c>
      <c r="K65" s="189">
        <f t="shared" si="41"/>
        <v>1040.5223573193482</v>
      </c>
      <c r="L65" s="538"/>
      <c r="M65" s="188">
        <f>RANK(K65, K$45:$K$77)</f>
        <v>1</v>
      </c>
      <c r="N65" s="552"/>
      <c r="O65" s="536"/>
      <c r="P65" s="190">
        <v>3</v>
      </c>
      <c r="Q65" s="190">
        <v>3120.4588910133925</v>
      </c>
      <c r="R65" s="187">
        <f t="shared" si="38"/>
        <v>1040.1529636711309</v>
      </c>
      <c r="S65" s="184">
        <f t="shared" si="42"/>
        <v>1</v>
      </c>
      <c r="T65" s="532"/>
      <c r="U65" s="190">
        <v>3</v>
      </c>
      <c r="V65" s="190">
        <v>3119.8497182216711</v>
      </c>
      <c r="W65" s="187">
        <f t="shared" si="39"/>
        <v>1039.9499060738904</v>
      </c>
      <c r="X65" s="184">
        <f t="shared" si="43"/>
        <v>1</v>
      </c>
      <c r="Y65" s="532"/>
      <c r="Z65" s="190">
        <v>3</v>
      </c>
      <c r="AA65" s="190">
        <v>3119.9999999999945</v>
      </c>
      <c r="AB65" s="187">
        <f t="shared" si="44"/>
        <v>1039.9999999999982</v>
      </c>
      <c r="AC65" s="184">
        <f t="shared" si="45"/>
        <v>1</v>
      </c>
      <c r="AD65" s="532"/>
      <c r="AE65" s="190">
        <v>3</v>
      </c>
      <c r="AF65" s="190">
        <v>3120.8191126279753</v>
      </c>
      <c r="AG65" s="187">
        <f t="shared" si="46"/>
        <v>1040.2730375426584</v>
      </c>
      <c r="AH65" s="184">
        <f t="shared" si="47"/>
        <v>1</v>
      </c>
      <c r="AI65" s="532"/>
      <c r="AJ65" s="190">
        <v>3</v>
      </c>
      <c r="AK65" s="190">
        <v>3122.3128243143224</v>
      </c>
      <c r="AL65" s="187">
        <f t="shared" si="48"/>
        <v>1040.7709414381075</v>
      </c>
      <c r="AM65" s="184">
        <f t="shared" si="49"/>
        <v>1</v>
      </c>
      <c r="AN65" s="532"/>
      <c r="AO65" s="190">
        <v>3</v>
      </c>
      <c r="AP65" s="190">
        <v>3123.2432432432474</v>
      </c>
      <c r="AQ65" s="187">
        <f t="shared" si="50"/>
        <v>1041.0810810810824</v>
      </c>
      <c r="AR65" s="184">
        <f t="shared" si="51"/>
        <v>1</v>
      </c>
      <c r="AS65" s="532"/>
      <c r="AT65" s="190">
        <v>3</v>
      </c>
      <c r="AU65" s="190">
        <v>3124.285714285711</v>
      </c>
      <c r="AV65" s="187">
        <f t="shared" si="52"/>
        <v>1041.4285714285704</v>
      </c>
      <c r="AW65" s="184">
        <f t="shared" si="53"/>
        <v>1</v>
      </c>
      <c r="AX65" s="532"/>
    </row>
    <row r="66" spans="2:50" ht="14.25" customHeight="1">
      <c r="B66" s="501"/>
      <c r="C66" s="182">
        <v>22</v>
      </c>
      <c r="D66" s="185" t="s">
        <v>418</v>
      </c>
      <c r="E66" s="186">
        <v>4</v>
      </c>
      <c r="F66" s="182">
        <v>3300</v>
      </c>
      <c r="G66" s="187">
        <f>F66/E66</f>
        <v>825</v>
      </c>
      <c r="H66" s="537"/>
      <c r="I66" s="188">
        <f t="shared" si="41"/>
        <v>4</v>
      </c>
      <c r="J66" s="188">
        <f t="shared" si="41"/>
        <v>2922.5574638142284</v>
      </c>
      <c r="K66" s="189">
        <f t="shared" si="41"/>
        <v>730.6393659535571</v>
      </c>
      <c r="L66" s="538"/>
      <c r="M66" s="188">
        <f>RANK(K66, K$45:$K$77)</f>
        <v>22</v>
      </c>
      <c r="N66" s="552"/>
      <c r="O66" s="536"/>
      <c r="P66" s="190">
        <v>4</v>
      </c>
      <c r="Q66" s="190">
        <v>2922.6570915619386</v>
      </c>
      <c r="R66" s="187">
        <f t="shared" si="38"/>
        <v>730.66427289048465</v>
      </c>
      <c r="S66" s="184">
        <f t="shared" si="42"/>
        <v>21</v>
      </c>
      <c r="T66" s="532"/>
      <c r="U66" s="190">
        <v>4</v>
      </c>
      <c r="V66" s="190">
        <v>2922.4944320712702</v>
      </c>
      <c r="W66" s="187">
        <f t="shared" si="39"/>
        <v>730.62360801781756</v>
      </c>
      <c r="X66" s="184">
        <f t="shared" si="43"/>
        <v>22</v>
      </c>
      <c r="Y66" s="532"/>
      <c r="Z66" s="190">
        <v>4</v>
      </c>
      <c r="AA66" s="190">
        <v>2922.279792746117</v>
      </c>
      <c r="AB66" s="187">
        <f t="shared" si="44"/>
        <v>730.56994818652925</v>
      </c>
      <c r="AC66" s="184">
        <f t="shared" si="45"/>
        <v>22</v>
      </c>
      <c r="AD66" s="532"/>
      <c r="AE66" s="190">
        <v>4</v>
      </c>
      <c r="AF66" s="190">
        <v>2922.4528301886808</v>
      </c>
      <c r="AG66" s="187">
        <f t="shared" si="46"/>
        <v>730.61320754717019</v>
      </c>
      <c r="AH66" s="184">
        <f t="shared" si="47"/>
        <v>22</v>
      </c>
      <c r="AI66" s="532"/>
      <c r="AJ66" s="190">
        <v>4</v>
      </c>
      <c r="AK66" s="190">
        <v>2922.2672064777221</v>
      </c>
      <c r="AL66" s="187">
        <f t="shared" si="48"/>
        <v>730.56680161943052</v>
      </c>
      <c r="AM66" s="184">
        <f t="shared" si="49"/>
        <v>22</v>
      </c>
      <c r="AN66" s="532"/>
      <c r="AO66" s="190">
        <v>4</v>
      </c>
      <c r="AP66" s="190">
        <v>2922.6160029229054</v>
      </c>
      <c r="AQ66" s="187">
        <f t="shared" si="50"/>
        <v>730.65400073072635</v>
      </c>
      <c r="AR66" s="184">
        <f t="shared" si="51"/>
        <v>24</v>
      </c>
      <c r="AS66" s="532"/>
      <c r="AT66" s="190">
        <v>4</v>
      </c>
      <c r="AU66" s="190">
        <v>2923.1348907309657</v>
      </c>
      <c r="AV66" s="187">
        <f t="shared" si="52"/>
        <v>730.78372268274143</v>
      </c>
      <c r="AW66" s="184">
        <f t="shared" si="53"/>
        <v>24</v>
      </c>
      <c r="AX66" s="532"/>
    </row>
    <row r="67" spans="2:50" ht="14.25" customHeight="1">
      <c r="B67" s="501"/>
      <c r="C67" s="182">
        <v>23</v>
      </c>
      <c r="D67" s="185" t="s">
        <v>414</v>
      </c>
      <c r="E67" s="186">
        <v>4</v>
      </c>
      <c r="F67" s="182">
        <v>3300</v>
      </c>
      <c r="G67" s="187">
        <f t="shared" ref="G67:G75" si="54">F67/E67</f>
        <v>825</v>
      </c>
      <c r="H67" s="537"/>
      <c r="I67" s="188">
        <f t="shared" si="41"/>
        <v>4</v>
      </c>
      <c r="J67" s="188">
        <f t="shared" si="41"/>
        <v>2923.3301445686434</v>
      </c>
      <c r="K67" s="189">
        <f t="shared" si="41"/>
        <v>730.83253614216085</v>
      </c>
      <c r="L67" s="538"/>
      <c r="M67" s="188">
        <f>RANK(K67, K$45:$K$77)</f>
        <v>21</v>
      </c>
      <c r="N67" s="552"/>
      <c r="O67" s="536"/>
      <c r="P67" s="190">
        <v>4</v>
      </c>
      <c r="Q67" s="190">
        <v>2922.5585379783001</v>
      </c>
      <c r="R67" s="187">
        <f t="shared" si="38"/>
        <v>730.63963449457503</v>
      </c>
      <c r="S67" s="184">
        <f t="shared" si="42"/>
        <v>22</v>
      </c>
      <c r="T67" s="532"/>
      <c r="U67" s="190">
        <v>4</v>
      </c>
      <c r="V67" s="190">
        <v>2922.6747720364747</v>
      </c>
      <c r="W67" s="187">
        <f t="shared" si="39"/>
        <v>730.66869300911867</v>
      </c>
      <c r="X67" s="184">
        <f t="shared" si="43"/>
        <v>21</v>
      </c>
      <c r="Y67" s="532"/>
      <c r="Z67" s="190">
        <v>4</v>
      </c>
      <c r="AA67" s="190">
        <v>2922.6648811516575</v>
      </c>
      <c r="AB67" s="187">
        <f t="shared" si="44"/>
        <v>730.66622028791437</v>
      </c>
      <c r="AC67" s="184">
        <f t="shared" si="45"/>
        <v>21</v>
      </c>
      <c r="AD67" s="532"/>
      <c r="AE67" s="190">
        <v>4</v>
      </c>
      <c r="AF67" s="190">
        <v>2922.6939970717435</v>
      </c>
      <c r="AG67" s="187">
        <f t="shared" si="46"/>
        <v>730.67349926793588</v>
      </c>
      <c r="AH67" s="184">
        <f t="shared" si="47"/>
        <v>21</v>
      </c>
      <c r="AI67" s="532"/>
      <c r="AJ67" s="190">
        <v>4</v>
      </c>
      <c r="AK67" s="190">
        <v>2924.0530916154034</v>
      </c>
      <c r="AL67" s="187">
        <f t="shared" si="48"/>
        <v>731.01327290385086</v>
      </c>
      <c r="AM67" s="184">
        <f t="shared" si="49"/>
        <v>20</v>
      </c>
      <c r="AN67" s="532"/>
      <c r="AO67" s="190">
        <v>4</v>
      </c>
      <c r="AP67" s="190">
        <v>2924.2105263157914</v>
      </c>
      <c r="AQ67" s="187">
        <f t="shared" si="50"/>
        <v>731.05263157894785</v>
      </c>
      <c r="AR67" s="184">
        <f t="shared" si="51"/>
        <v>23</v>
      </c>
      <c r="AS67" s="532"/>
      <c r="AT67" s="190">
        <v>4</v>
      </c>
      <c r="AU67" s="190">
        <v>2924.4552058111335</v>
      </c>
      <c r="AV67" s="187">
        <f t="shared" si="52"/>
        <v>731.11380145278338</v>
      </c>
      <c r="AW67" s="184">
        <f t="shared" si="53"/>
        <v>22</v>
      </c>
      <c r="AX67" s="532"/>
    </row>
    <row r="68" spans="2:50" ht="14.25" customHeight="1">
      <c r="B68" s="501"/>
      <c r="C68" s="182">
        <v>24</v>
      </c>
      <c r="D68" s="185" t="s">
        <v>417</v>
      </c>
      <c r="E68" s="186">
        <v>4</v>
      </c>
      <c r="F68" s="182">
        <v>3000</v>
      </c>
      <c r="G68" s="187">
        <f t="shared" si="54"/>
        <v>750</v>
      </c>
      <c r="H68" s="537"/>
      <c r="I68" s="188">
        <f t="shared" si="41"/>
        <v>4</v>
      </c>
      <c r="J68" s="188">
        <f t="shared" si="41"/>
        <v>2687.6915153129221</v>
      </c>
      <c r="K68" s="189">
        <f t="shared" si="41"/>
        <v>671.92287882823052</v>
      </c>
      <c r="L68" s="538"/>
      <c r="M68" s="188">
        <f>RANK(K68, K$45:$K$77)</f>
        <v>25</v>
      </c>
      <c r="N68" s="552"/>
      <c r="O68" s="536"/>
      <c r="P68" s="190">
        <v>4</v>
      </c>
      <c r="Q68" s="190">
        <v>2687.3848618341972</v>
      </c>
      <c r="R68" s="187">
        <f t="shared" si="38"/>
        <v>671.8462154585493</v>
      </c>
      <c r="S68" s="184">
        <f t="shared" si="42"/>
        <v>25</v>
      </c>
      <c r="T68" s="532"/>
      <c r="U68" s="190">
        <v>4</v>
      </c>
      <c r="V68" s="190">
        <v>2686.9871043376352</v>
      </c>
      <c r="W68" s="187">
        <f t="shared" si="39"/>
        <v>671.74677608440879</v>
      </c>
      <c r="X68" s="184">
        <f t="shared" si="43"/>
        <v>25</v>
      </c>
      <c r="Y68" s="532"/>
      <c r="Z68" s="190">
        <v>4</v>
      </c>
      <c r="AA68" s="190">
        <v>2687.3008648156642</v>
      </c>
      <c r="AB68" s="187">
        <f t="shared" si="44"/>
        <v>671.82521620391606</v>
      </c>
      <c r="AC68" s="184">
        <f t="shared" si="45"/>
        <v>25</v>
      </c>
      <c r="AD68" s="532"/>
      <c r="AE68" s="190">
        <v>4</v>
      </c>
      <c r="AF68" s="190">
        <v>2687.8073256397506</v>
      </c>
      <c r="AG68" s="187">
        <f t="shared" si="46"/>
        <v>671.95183140993765</v>
      </c>
      <c r="AH68" s="184">
        <f t="shared" si="47"/>
        <v>25</v>
      </c>
      <c r="AI68" s="532"/>
      <c r="AJ68" s="190">
        <v>4</v>
      </c>
      <c r="AK68" s="190">
        <v>2687.9999999999945</v>
      </c>
      <c r="AL68" s="187">
        <f t="shared" si="48"/>
        <v>671.99999999999864</v>
      </c>
      <c r="AM68" s="184">
        <f t="shared" si="49"/>
        <v>25</v>
      </c>
      <c r="AN68" s="532"/>
      <c r="AO68" s="190">
        <v>4</v>
      </c>
      <c r="AP68" s="190">
        <v>2687.9999999999964</v>
      </c>
      <c r="AQ68" s="187">
        <f t="shared" si="50"/>
        <v>671.99999999999909</v>
      </c>
      <c r="AR68" s="184">
        <f t="shared" si="51"/>
        <v>25</v>
      </c>
      <c r="AS68" s="532"/>
      <c r="AT68" s="190">
        <v>4</v>
      </c>
      <c r="AU68" s="190">
        <v>2688.3604505632147</v>
      </c>
      <c r="AV68" s="187">
        <f t="shared" si="52"/>
        <v>672.09011264080368</v>
      </c>
      <c r="AW68" s="184">
        <f t="shared" si="53"/>
        <v>25</v>
      </c>
      <c r="AX68" s="532"/>
    </row>
    <row r="69" spans="2:50" ht="14.25" customHeight="1">
      <c r="B69" s="501"/>
      <c r="C69" s="182">
        <v>25</v>
      </c>
      <c r="D69" s="185" t="s">
        <v>416</v>
      </c>
      <c r="E69" s="186">
        <v>4</v>
      </c>
      <c r="F69" s="182">
        <v>3300</v>
      </c>
      <c r="G69" s="187">
        <f t="shared" si="54"/>
        <v>825</v>
      </c>
      <c r="H69" s="537"/>
      <c r="I69" s="188">
        <f t="shared" si="41"/>
        <v>4</v>
      </c>
      <c r="J69" s="188">
        <f t="shared" si="41"/>
        <v>2948.6025752444739</v>
      </c>
      <c r="K69" s="189">
        <f t="shared" si="41"/>
        <v>737.15064381111847</v>
      </c>
      <c r="L69" s="538"/>
      <c r="M69" s="188">
        <f>RANK(K69, K$45:$K$77)</f>
        <v>15</v>
      </c>
      <c r="N69" s="552"/>
      <c r="O69" s="536"/>
      <c r="P69" s="190">
        <v>4</v>
      </c>
      <c r="Q69" s="190">
        <v>2947.3481195757199</v>
      </c>
      <c r="R69" s="187">
        <f t="shared" si="38"/>
        <v>736.83702989392998</v>
      </c>
      <c r="S69" s="184">
        <f t="shared" si="42"/>
        <v>15</v>
      </c>
      <c r="T69" s="532"/>
      <c r="U69" s="190">
        <v>4</v>
      </c>
      <c r="V69" s="190">
        <v>2946.0937500000177</v>
      </c>
      <c r="W69" s="187">
        <f t="shared" si="39"/>
        <v>736.52343750000443</v>
      </c>
      <c r="X69" s="184">
        <f t="shared" si="43"/>
        <v>17</v>
      </c>
      <c r="Y69" s="532"/>
      <c r="Z69" s="190">
        <v>4</v>
      </c>
      <c r="AA69" s="190">
        <v>2947.9392624728944</v>
      </c>
      <c r="AB69" s="187">
        <f t="shared" si="44"/>
        <v>736.98481561822359</v>
      </c>
      <c r="AC69" s="184">
        <f t="shared" si="45"/>
        <v>16</v>
      </c>
      <c r="AD69" s="532"/>
      <c r="AE69" s="190">
        <v>4</v>
      </c>
      <c r="AF69" s="190">
        <v>2949.9316005471865</v>
      </c>
      <c r="AG69" s="187">
        <f t="shared" si="46"/>
        <v>737.48290013679662</v>
      </c>
      <c r="AH69" s="184">
        <f t="shared" si="47"/>
        <v>14</v>
      </c>
      <c r="AI69" s="532"/>
      <c r="AJ69" s="190">
        <v>4</v>
      </c>
      <c r="AK69" s="190">
        <v>2950.4716981132024</v>
      </c>
      <c r="AL69" s="187">
        <f t="shared" si="48"/>
        <v>737.61792452830059</v>
      </c>
      <c r="AM69" s="184">
        <f t="shared" si="49"/>
        <v>14</v>
      </c>
      <c r="AN69" s="532"/>
      <c r="AO69" s="190">
        <v>4</v>
      </c>
      <c r="AP69" s="190">
        <v>2949.1735537190052</v>
      </c>
      <c r="AQ69" s="187">
        <f t="shared" si="50"/>
        <v>737.2933884297513</v>
      </c>
      <c r="AR69" s="184">
        <f t="shared" si="51"/>
        <v>15</v>
      </c>
      <c r="AS69" s="532"/>
      <c r="AT69" s="190">
        <v>4</v>
      </c>
      <c r="AU69" s="190">
        <v>2949.2600422832957</v>
      </c>
      <c r="AV69" s="187">
        <f t="shared" si="52"/>
        <v>737.31501057082392</v>
      </c>
      <c r="AW69" s="184">
        <f t="shared" si="53"/>
        <v>15</v>
      </c>
      <c r="AX69" s="532"/>
    </row>
    <row r="70" spans="2:50" ht="14.25" customHeight="1">
      <c r="B70" s="501"/>
      <c r="C70" s="182">
        <v>26</v>
      </c>
      <c r="D70" s="185" t="s">
        <v>484</v>
      </c>
      <c r="E70" s="186">
        <v>3</v>
      </c>
      <c r="F70" s="182">
        <v>3300</v>
      </c>
      <c r="G70" s="187">
        <f t="shared" si="54"/>
        <v>1100</v>
      </c>
      <c r="H70" s="537"/>
      <c r="I70" s="188">
        <f t="shared" si="41"/>
        <v>3</v>
      </c>
      <c r="J70" s="188">
        <f t="shared" si="41"/>
        <v>2950.7764634634846</v>
      </c>
      <c r="K70" s="189">
        <f t="shared" si="41"/>
        <v>983.59215448782822</v>
      </c>
      <c r="L70" s="538"/>
      <c r="M70" s="188">
        <f>RANK(K70, K$45:$K$77)</f>
        <v>7</v>
      </c>
      <c r="N70" s="552"/>
      <c r="O70" s="536"/>
      <c r="P70" s="190">
        <v>3</v>
      </c>
      <c r="Q70" s="190">
        <v>2951.2014787430694</v>
      </c>
      <c r="R70" s="187">
        <f t="shared" si="38"/>
        <v>983.73382624768976</v>
      </c>
      <c r="S70" s="184">
        <f t="shared" si="42"/>
        <v>7</v>
      </c>
      <c r="T70" s="532"/>
      <c r="U70" s="190">
        <v>3</v>
      </c>
      <c r="V70" s="190">
        <v>2951.0436432637612</v>
      </c>
      <c r="W70" s="187">
        <f t="shared" si="39"/>
        <v>983.68121442125369</v>
      </c>
      <c r="X70" s="184">
        <f t="shared" si="43"/>
        <v>7</v>
      </c>
      <c r="Y70" s="532"/>
      <c r="Z70" s="190">
        <v>3</v>
      </c>
      <c r="AA70" s="190">
        <v>2950.787615426409</v>
      </c>
      <c r="AB70" s="187">
        <f t="shared" si="44"/>
        <v>983.59587180880305</v>
      </c>
      <c r="AC70" s="184">
        <f t="shared" si="45"/>
        <v>7</v>
      </c>
      <c r="AD70" s="532"/>
      <c r="AE70" s="190">
        <v>3</v>
      </c>
      <c r="AF70" s="190">
        <v>2951.100535395597</v>
      </c>
      <c r="AG70" s="187">
        <f t="shared" si="46"/>
        <v>983.70017846519897</v>
      </c>
      <c r="AH70" s="184">
        <f t="shared" si="47"/>
        <v>7</v>
      </c>
      <c r="AI70" s="532"/>
      <c r="AJ70" s="190">
        <v>3</v>
      </c>
      <c r="AK70" s="190">
        <v>2950.663129973484</v>
      </c>
      <c r="AL70" s="187">
        <f t="shared" si="48"/>
        <v>983.55437665782802</v>
      </c>
      <c r="AM70" s="184">
        <f t="shared" si="49"/>
        <v>7</v>
      </c>
      <c r="AN70" s="532"/>
      <c r="AO70" s="190">
        <v>3</v>
      </c>
      <c r="AP70" s="190">
        <v>2950.0945179584096</v>
      </c>
      <c r="AQ70" s="187">
        <f t="shared" si="50"/>
        <v>983.36483931946987</v>
      </c>
      <c r="AR70" s="184">
        <f t="shared" si="51"/>
        <v>7</v>
      </c>
      <c r="AS70" s="532"/>
      <c r="AT70" s="190">
        <v>3</v>
      </c>
      <c r="AU70" s="190">
        <v>2950.5443234836639</v>
      </c>
      <c r="AV70" s="187">
        <f t="shared" si="52"/>
        <v>983.51477449455467</v>
      </c>
      <c r="AW70" s="184">
        <f t="shared" si="53"/>
        <v>7</v>
      </c>
      <c r="AX70" s="532"/>
    </row>
    <row r="71" spans="2:50" ht="14.25" customHeight="1">
      <c r="B71" s="501"/>
      <c r="C71" s="182">
        <v>27</v>
      </c>
      <c r="D71" s="185" t="s">
        <v>506</v>
      </c>
      <c r="E71" s="186">
        <v>4</v>
      </c>
      <c r="F71" s="182">
        <v>3000</v>
      </c>
      <c r="G71" s="187">
        <f t="shared" si="54"/>
        <v>750</v>
      </c>
      <c r="H71" s="537"/>
      <c r="I71" s="188">
        <f t="shared" si="41"/>
        <v>4</v>
      </c>
      <c r="J71" s="188">
        <f t="shared" si="41"/>
        <v>2660.9161623879831</v>
      </c>
      <c r="K71" s="189">
        <f t="shared" si="41"/>
        <v>665.22904059699579</v>
      </c>
      <c r="L71" s="538"/>
      <c r="M71" s="188">
        <f>RANK(K71, K$45:$K$77)</f>
        <v>26</v>
      </c>
      <c r="N71" s="552"/>
      <c r="O71" s="536"/>
      <c r="P71" s="190">
        <v>4</v>
      </c>
      <c r="Q71" s="190">
        <v>2659.4855305466249</v>
      </c>
      <c r="R71" s="187">
        <f t="shared" si="38"/>
        <v>664.87138263665622</v>
      </c>
      <c r="S71" s="184">
        <f t="shared" si="42"/>
        <v>26</v>
      </c>
      <c r="T71" s="532"/>
      <c r="U71" s="190">
        <v>4</v>
      </c>
      <c r="V71" s="190">
        <v>2660.9583215196994</v>
      </c>
      <c r="W71" s="187">
        <f t="shared" si="39"/>
        <v>665.23958037992486</v>
      </c>
      <c r="X71" s="184">
        <f t="shared" si="43"/>
        <v>26</v>
      </c>
      <c r="Y71" s="532"/>
      <c r="Z71" s="190">
        <v>4</v>
      </c>
      <c r="AA71" s="190">
        <v>2660.5161290322567</v>
      </c>
      <c r="AB71" s="187">
        <f t="shared" si="44"/>
        <v>665.12903225806417</v>
      </c>
      <c r="AC71" s="184">
        <f t="shared" si="45"/>
        <v>26</v>
      </c>
      <c r="AD71" s="532"/>
      <c r="AE71" s="190">
        <v>4</v>
      </c>
      <c r="AF71" s="190">
        <v>2660.4938271604897</v>
      </c>
      <c r="AG71" s="187">
        <f t="shared" si="46"/>
        <v>665.12345679012242</v>
      </c>
      <c r="AH71" s="184">
        <f t="shared" si="47"/>
        <v>26</v>
      </c>
      <c r="AI71" s="532"/>
      <c r="AJ71" s="190">
        <v>4</v>
      </c>
      <c r="AK71" s="190">
        <v>2660.7741542212757</v>
      </c>
      <c r="AL71" s="187">
        <f t="shared" si="48"/>
        <v>665.19353855531892</v>
      </c>
      <c r="AM71" s="184">
        <f t="shared" si="49"/>
        <v>26</v>
      </c>
      <c r="AN71" s="532"/>
      <c r="AO71" s="190">
        <v>4</v>
      </c>
      <c r="AP71" s="190">
        <v>2661.922107032779</v>
      </c>
      <c r="AQ71" s="187">
        <f t="shared" si="50"/>
        <v>665.48052675819474</v>
      </c>
      <c r="AR71" s="184">
        <f t="shared" si="51"/>
        <v>26</v>
      </c>
      <c r="AS71" s="532"/>
      <c r="AT71" s="190">
        <v>4</v>
      </c>
      <c r="AU71" s="190">
        <v>2662.2630672027562</v>
      </c>
      <c r="AV71" s="187">
        <f t="shared" si="52"/>
        <v>665.56576680068906</v>
      </c>
      <c r="AW71" s="184">
        <f t="shared" si="53"/>
        <v>26</v>
      </c>
      <c r="AX71" s="532"/>
    </row>
    <row r="72" spans="2:50" ht="14.25" customHeight="1">
      <c r="B72" s="501"/>
      <c r="C72" s="182">
        <v>28</v>
      </c>
      <c r="D72" s="185" t="s">
        <v>555</v>
      </c>
      <c r="E72" s="186">
        <v>5</v>
      </c>
      <c r="F72" s="182">
        <v>3000</v>
      </c>
      <c r="G72" s="187">
        <f t="shared" si="54"/>
        <v>600</v>
      </c>
      <c r="H72" s="537"/>
      <c r="I72" s="188">
        <f t="shared" si="41"/>
        <v>5</v>
      </c>
      <c r="J72" s="188">
        <f t="shared" si="41"/>
        <v>2660.5145367956243</v>
      </c>
      <c r="K72" s="189">
        <f t="shared" si="41"/>
        <v>532.10290735912474</v>
      </c>
      <c r="L72" s="538"/>
      <c r="M72" s="188">
        <f>RANK(K72, K$45:$K$77)</f>
        <v>29</v>
      </c>
      <c r="N72" s="552"/>
      <c r="O72" s="536"/>
      <c r="P72" s="190">
        <v>5</v>
      </c>
      <c r="Q72" s="190">
        <v>2659.553219448097</v>
      </c>
      <c r="R72" s="187">
        <f t="shared" si="38"/>
        <v>531.91064388961945</v>
      </c>
      <c r="S72" s="184">
        <f t="shared" si="42"/>
        <v>29</v>
      </c>
      <c r="T72" s="532"/>
      <c r="U72" s="190">
        <v>5</v>
      </c>
      <c r="V72" s="190">
        <v>2659.9406528189929</v>
      </c>
      <c r="W72" s="187">
        <f t="shared" si="39"/>
        <v>531.98813056379856</v>
      </c>
      <c r="X72" s="184">
        <f t="shared" si="43"/>
        <v>29</v>
      </c>
      <c r="Y72" s="532"/>
      <c r="Z72" s="190">
        <v>5</v>
      </c>
      <c r="AA72" s="190">
        <v>2660.1043024771893</v>
      </c>
      <c r="AB72" s="187">
        <f t="shared" si="44"/>
        <v>532.02086049543789</v>
      </c>
      <c r="AC72" s="184">
        <f t="shared" si="45"/>
        <v>29</v>
      </c>
      <c r="AD72" s="532"/>
      <c r="AE72" s="190">
        <v>5</v>
      </c>
      <c r="AF72" s="190">
        <v>2660.3693181818162</v>
      </c>
      <c r="AG72" s="187">
        <f t="shared" si="46"/>
        <v>532.07386363636328</v>
      </c>
      <c r="AH72" s="184">
        <f t="shared" si="47"/>
        <v>29</v>
      </c>
      <c r="AI72" s="532"/>
      <c r="AJ72" s="190">
        <v>5</v>
      </c>
      <c r="AK72" s="190">
        <v>2661.2658227848087</v>
      </c>
      <c r="AL72" s="187">
        <f t="shared" si="48"/>
        <v>532.25316455696179</v>
      </c>
      <c r="AM72" s="184">
        <f t="shared" si="49"/>
        <v>29</v>
      </c>
      <c r="AN72" s="532"/>
      <c r="AO72" s="190">
        <v>5</v>
      </c>
      <c r="AP72" s="190">
        <v>2661.3623354321744</v>
      </c>
      <c r="AQ72" s="187">
        <f t="shared" si="50"/>
        <v>532.27246708643486</v>
      </c>
      <c r="AR72" s="184">
        <f t="shared" si="51"/>
        <v>29</v>
      </c>
      <c r="AS72" s="532"/>
      <c r="AT72" s="190">
        <v>5</v>
      </c>
      <c r="AU72" s="190">
        <v>2661.0061064262891</v>
      </c>
      <c r="AV72" s="187">
        <f t="shared" si="52"/>
        <v>532.20122128525782</v>
      </c>
      <c r="AW72" s="184">
        <f t="shared" si="53"/>
        <v>29</v>
      </c>
      <c r="AX72" s="532"/>
    </row>
    <row r="73" spans="2:50" ht="14.25" customHeight="1">
      <c r="B73" s="501"/>
      <c r="C73" s="182">
        <v>29</v>
      </c>
      <c r="D73" s="185" t="s">
        <v>355</v>
      </c>
      <c r="E73" s="186">
        <v>3</v>
      </c>
      <c r="F73" s="182">
        <v>3000</v>
      </c>
      <c r="G73" s="187">
        <f t="shared" si="54"/>
        <v>1000</v>
      </c>
      <c r="H73" s="537"/>
      <c r="I73" s="188">
        <f t="shared" si="41"/>
        <v>3</v>
      </c>
      <c r="J73" s="188">
        <f t="shared" si="41"/>
        <v>2685.3508869579932</v>
      </c>
      <c r="K73" s="189">
        <f t="shared" si="41"/>
        <v>895.11696231933104</v>
      </c>
      <c r="L73" s="538"/>
      <c r="M73" s="188">
        <f>RANK(K73, K$45:$K$77)</f>
        <v>10</v>
      </c>
      <c r="N73" s="552"/>
      <c r="O73" s="536"/>
      <c r="P73" s="190">
        <v>3</v>
      </c>
      <c r="Q73" s="190">
        <v>2685.0356306158019</v>
      </c>
      <c r="R73" s="187">
        <f t="shared" si="38"/>
        <v>895.01187687193396</v>
      </c>
      <c r="S73" s="184">
        <f t="shared" si="42"/>
        <v>10</v>
      </c>
      <c r="T73" s="532"/>
      <c r="U73" s="190">
        <v>3</v>
      </c>
      <c r="V73" s="190">
        <v>2685.2539413755835</v>
      </c>
      <c r="W73" s="187">
        <f t="shared" si="39"/>
        <v>895.08464712519446</v>
      </c>
      <c r="X73" s="184">
        <f t="shared" si="43"/>
        <v>10</v>
      </c>
      <c r="Y73" s="532"/>
      <c r="Z73" s="190">
        <v>3</v>
      </c>
      <c r="AA73" s="190">
        <v>2685.3076482501265</v>
      </c>
      <c r="AB73" s="187">
        <f t="shared" si="44"/>
        <v>895.10254941670883</v>
      </c>
      <c r="AC73" s="184">
        <f t="shared" si="45"/>
        <v>10</v>
      </c>
      <c r="AD73" s="532"/>
      <c r="AE73" s="190">
        <v>3</v>
      </c>
      <c r="AF73" s="190">
        <v>2685.3852151881561</v>
      </c>
      <c r="AG73" s="187">
        <f t="shared" si="46"/>
        <v>895.12840506271868</v>
      </c>
      <c r="AH73" s="184">
        <f t="shared" si="47"/>
        <v>10</v>
      </c>
      <c r="AI73" s="532"/>
      <c r="AJ73" s="190">
        <v>3</v>
      </c>
      <c r="AK73" s="190">
        <v>2685.460036703731</v>
      </c>
      <c r="AL73" s="187">
        <f t="shared" si="48"/>
        <v>895.15334556791038</v>
      </c>
      <c r="AM73" s="184">
        <f t="shared" si="49"/>
        <v>11</v>
      </c>
      <c r="AN73" s="532"/>
      <c r="AO73" s="190">
        <v>3</v>
      </c>
      <c r="AP73" s="190">
        <v>2685.2933666477047</v>
      </c>
      <c r="AQ73" s="187">
        <f t="shared" si="50"/>
        <v>895.09778888256824</v>
      </c>
      <c r="AR73" s="184">
        <f t="shared" si="51"/>
        <v>11</v>
      </c>
      <c r="AS73" s="532"/>
      <c r="AT73" s="190">
        <v>3</v>
      </c>
      <c r="AU73" s="190">
        <v>2685.7203699248494</v>
      </c>
      <c r="AV73" s="187">
        <f t="shared" si="52"/>
        <v>895.24012330828316</v>
      </c>
      <c r="AW73" s="184">
        <f t="shared" si="53"/>
        <v>11</v>
      </c>
      <c r="AX73" s="532"/>
    </row>
    <row r="74" spans="2:50" ht="14.25" customHeight="1">
      <c r="B74" s="501"/>
      <c r="C74" s="182">
        <v>30</v>
      </c>
      <c r="D74" s="185" t="s">
        <v>495</v>
      </c>
      <c r="E74" s="186">
        <v>12</v>
      </c>
      <c r="F74" s="182">
        <v>3600</v>
      </c>
      <c r="G74" s="187">
        <f t="shared" si="54"/>
        <v>300</v>
      </c>
      <c r="H74" s="537"/>
      <c r="I74" s="188">
        <f t="shared" si="41"/>
        <v>12</v>
      </c>
      <c r="J74" s="188">
        <f t="shared" si="41"/>
        <v>3114.2957757838326</v>
      </c>
      <c r="K74" s="189">
        <f t="shared" si="41"/>
        <v>259.52464798198611</v>
      </c>
      <c r="L74" s="538"/>
      <c r="M74" s="188">
        <f>RANK(K74, K$45:$K$77)</f>
        <v>30</v>
      </c>
      <c r="N74" s="552"/>
      <c r="O74" s="536"/>
      <c r="P74" s="190">
        <v>12</v>
      </c>
      <c r="Q74" s="190">
        <v>3113.656387665194</v>
      </c>
      <c r="R74" s="187">
        <f t="shared" si="38"/>
        <v>259.47136563876614</v>
      </c>
      <c r="S74" s="184">
        <f t="shared" si="42"/>
        <v>30</v>
      </c>
      <c r="T74" s="532"/>
      <c r="U74" s="190">
        <v>12</v>
      </c>
      <c r="V74" s="190">
        <v>3114.0546006066743</v>
      </c>
      <c r="W74" s="187">
        <f t="shared" si="39"/>
        <v>259.50455005055619</v>
      </c>
      <c r="X74" s="184">
        <f t="shared" si="43"/>
        <v>30</v>
      </c>
      <c r="Y74" s="532"/>
      <c r="Z74" s="190">
        <v>12</v>
      </c>
      <c r="AA74" s="190">
        <v>3114.9220489977629</v>
      </c>
      <c r="AB74" s="187">
        <f t="shared" si="44"/>
        <v>259.57683741648026</v>
      </c>
      <c r="AC74" s="184">
        <f t="shared" si="45"/>
        <v>30</v>
      </c>
      <c r="AD74" s="532"/>
      <c r="AE74" s="190">
        <v>12</v>
      </c>
      <c r="AF74" s="190">
        <v>3114.1498216409086</v>
      </c>
      <c r="AG74" s="187">
        <f t="shared" si="46"/>
        <v>259.51248513674238</v>
      </c>
      <c r="AH74" s="184">
        <f t="shared" si="47"/>
        <v>30</v>
      </c>
      <c r="AI74" s="532"/>
      <c r="AJ74" s="190">
        <v>12</v>
      </c>
      <c r="AK74" s="190">
        <v>3114.3812709030231</v>
      </c>
      <c r="AL74" s="187">
        <f t="shared" si="48"/>
        <v>259.53177257525192</v>
      </c>
      <c r="AM74" s="184">
        <f t="shared" si="49"/>
        <v>30</v>
      </c>
      <c r="AN74" s="532"/>
      <c r="AO74" s="190">
        <v>12</v>
      </c>
      <c r="AP74" s="190">
        <v>3114.2566191445972</v>
      </c>
      <c r="AQ74" s="187">
        <f t="shared" si="50"/>
        <v>259.52138492871643</v>
      </c>
      <c r="AR74" s="184">
        <f t="shared" si="51"/>
        <v>30</v>
      </c>
      <c r="AS74" s="532"/>
      <c r="AT74" s="190">
        <v>12</v>
      </c>
      <c r="AU74" s="190">
        <v>3114.6496815286669</v>
      </c>
      <c r="AV74" s="187">
        <f t="shared" si="52"/>
        <v>259.55414012738891</v>
      </c>
      <c r="AW74" s="184">
        <f t="shared" si="53"/>
        <v>30</v>
      </c>
      <c r="AX74" s="532"/>
    </row>
    <row r="75" spans="2:50" ht="14.25" customHeight="1">
      <c r="B75" s="501"/>
      <c r="C75" s="182">
        <v>31</v>
      </c>
      <c r="D75" s="185" t="s">
        <v>626</v>
      </c>
      <c r="E75" s="182">
        <v>4</v>
      </c>
      <c r="F75" s="182">
        <v>3300</v>
      </c>
      <c r="G75" s="187">
        <f t="shared" si="54"/>
        <v>825</v>
      </c>
      <c r="H75" s="537"/>
      <c r="I75" s="188">
        <f t="shared" si="41"/>
        <v>4</v>
      </c>
      <c r="J75" s="188">
        <f t="shared" si="41"/>
        <v>2849.8703346203788</v>
      </c>
      <c r="K75" s="189">
        <f t="shared" si="41"/>
        <v>712.4675836550947</v>
      </c>
      <c r="L75" s="538"/>
      <c r="M75" s="188">
        <f>RANK(K75, K$45:$K$77)</f>
        <v>23</v>
      </c>
      <c r="N75" s="552"/>
      <c r="O75" s="536"/>
      <c r="P75" s="190">
        <v>4</v>
      </c>
      <c r="Q75" s="190">
        <v>2733.2161687170474</v>
      </c>
      <c r="R75" s="187">
        <f t="shared" si="38"/>
        <v>683.30404217926184</v>
      </c>
      <c r="S75" s="184">
        <f t="shared" si="42"/>
        <v>23</v>
      </c>
      <c r="T75" s="532"/>
      <c r="U75" s="190">
        <v>4</v>
      </c>
      <c r="V75" s="190">
        <v>2764.173913043478</v>
      </c>
      <c r="W75" s="187">
        <f t="shared" si="39"/>
        <v>691.04347826086951</v>
      </c>
      <c r="X75" s="184">
        <f t="shared" si="43"/>
        <v>23</v>
      </c>
      <c r="Y75" s="532"/>
      <c r="Z75" s="190">
        <v>4</v>
      </c>
      <c r="AA75" s="190">
        <v>2810.507462686568</v>
      </c>
      <c r="AB75" s="187">
        <f t="shared" si="44"/>
        <v>702.62686567164201</v>
      </c>
      <c r="AC75" s="184">
        <f t="shared" si="45"/>
        <v>23</v>
      </c>
      <c r="AD75" s="532"/>
      <c r="AE75" s="190">
        <v>4</v>
      </c>
      <c r="AF75" s="190">
        <v>2855.3956834532369</v>
      </c>
      <c r="AG75" s="187">
        <f t="shared" si="46"/>
        <v>713.84892086330922</v>
      </c>
      <c r="AH75" s="184">
        <f t="shared" si="47"/>
        <v>23</v>
      </c>
      <c r="AI75" s="532"/>
      <c r="AJ75" s="190">
        <v>4</v>
      </c>
      <c r="AK75" s="190">
        <v>2898.9180834621293</v>
      </c>
      <c r="AL75" s="187">
        <f t="shared" si="48"/>
        <v>724.72952086553232</v>
      </c>
      <c r="AM75" s="184">
        <f t="shared" si="49"/>
        <v>23</v>
      </c>
      <c r="AN75" s="532"/>
      <c r="AO75" s="190">
        <v>4</v>
      </c>
      <c r="AP75" s="190">
        <v>2936.3128491620109</v>
      </c>
      <c r="AQ75" s="187">
        <f t="shared" si="50"/>
        <v>734.07821229050273</v>
      </c>
      <c r="AR75" s="184">
        <f t="shared" si="51"/>
        <v>18</v>
      </c>
      <c r="AS75" s="532"/>
      <c r="AT75" s="190">
        <v>4</v>
      </c>
      <c r="AU75" s="190">
        <v>2950.5681818181815</v>
      </c>
      <c r="AV75" s="187">
        <f t="shared" si="52"/>
        <v>737.64204545454538</v>
      </c>
      <c r="AW75" s="184">
        <f t="shared" si="53"/>
        <v>14</v>
      </c>
      <c r="AX75" s="532"/>
    </row>
    <row r="76" spans="2:50" ht="14.25" customHeight="1">
      <c r="B76" s="501"/>
      <c r="C76" s="182">
        <v>32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52"/>
      <c r="O76" s="536"/>
      <c r="P76" s="190"/>
      <c r="Q76" s="190"/>
      <c r="R76" s="187"/>
      <c r="S76" s="184"/>
      <c r="T76" s="532"/>
      <c r="U76" s="190"/>
      <c r="V76" s="190"/>
      <c r="W76" s="187"/>
      <c r="X76" s="184"/>
      <c r="Y76" s="532"/>
      <c r="Z76" s="190"/>
      <c r="AA76" s="190"/>
      <c r="AB76" s="187"/>
      <c r="AC76" s="184"/>
      <c r="AD76" s="532"/>
      <c r="AE76" s="190"/>
      <c r="AF76" s="190"/>
      <c r="AG76" s="187"/>
      <c r="AH76" s="184"/>
      <c r="AI76" s="532"/>
      <c r="AJ76" s="190"/>
      <c r="AK76" s="190"/>
      <c r="AL76" s="187"/>
      <c r="AM76" s="184"/>
      <c r="AN76" s="532"/>
      <c r="AO76" s="190"/>
      <c r="AP76" s="190"/>
      <c r="AQ76" s="187"/>
      <c r="AR76" s="184"/>
      <c r="AS76" s="532"/>
      <c r="AT76" s="190"/>
      <c r="AU76" s="190"/>
      <c r="AV76" s="187"/>
      <c r="AW76" s="184"/>
      <c r="AX76" s="532"/>
    </row>
    <row r="77" spans="2:50" ht="14.25" customHeight="1">
      <c r="B77" s="501"/>
      <c r="C77" s="182">
        <v>33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52"/>
      <c r="O77" s="536"/>
      <c r="P77" s="190"/>
      <c r="Q77" s="190"/>
      <c r="R77" s="187"/>
      <c r="S77" s="184"/>
      <c r="T77" s="532"/>
      <c r="U77" s="190"/>
      <c r="V77" s="190"/>
      <c r="W77" s="187"/>
      <c r="X77" s="184"/>
      <c r="Y77" s="532"/>
      <c r="Z77" s="190"/>
      <c r="AA77" s="190"/>
      <c r="AB77" s="187"/>
      <c r="AC77" s="184"/>
      <c r="AD77" s="532"/>
      <c r="AE77" s="190"/>
      <c r="AF77" s="190"/>
      <c r="AG77" s="187"/>
      <c r="AH77" s="184"/>
      <c r="AI77" s="532"/>
      <c r="AJ77" s="190"/>
      <c r="AK77" s="190"/>
      <c r="AL77" s="187"/>
      <c r="AM77" s="184"/>
      <c r="AN77" s="532"/>
      <c r="AO77" s="190"/>
      <c r="AP77" s="190"/>
      <c r="AQ77" s="187"/>
      <c r="AR77" s="184"/>
      <c r="AS77" s="532"/>
      <c r="AT77" s="190"/>
      <c r="AU77" s="190"/>
      <c r="AV77" s="187"/>
      <c r="AW77" s="184"/>
      <c r="AX77" s="532"/>
    </row>
    <row r="78" spans="2:50" ht="14.25" customHeight="1" collapsed="1">
      <c r="B78" s="545" t="s">
        <v>602</v>
      </c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7"/>
      <c r="N78" s="550" t="s">
        <v>383</v>
      </c>
      <c r="O78" s="550" t="s">
        <v>105</v>
      </c>
      <c r="P78" s="541">
        <f>AT40+1</f>
        <v>46035</v>
      </c>
      <c r="Q78" s="542"/>
      <c r="R78" s="542"/>
      <c r="S78" s="542"/>
      <c r="T78" s="542"/>
      <c r="U78" s="539">
        <f>P78+1</f>
        <v>46036</v>
      </c>
      <c r="V78" s="540"/>
      <c r="W78" s="540"/>
      <c r="X78" s="540"/>
      <c r="Y78" s="540"/>
      <c r="Z78" s="541">
        <f t="shared" ref="Z78" si="55">U78+1</f>
        <v>46037</v>
      </c>
      <c r="AA78" s="542"/>
      <c r="AB78" s="542"/>
      <c r="AC78" s="542"/>
      <c r="AD78" s="542"/>
      <c r="AE78" s="539">
        <f t="shared" ref="AE78" si="56">Z78+1</f>
        <v>46038</v>
      </c>
      <c r="AF78" s="540"/>
      <c r="AG78" s="540"/>
      <c r="AH78" s="540"/>
      <c r="AI78" s="540"/>
      <c r="AJ78" s="523">
        <f t="shared" ref="AJ78" si="57">AE78+1</f>
        <v>46039</v>
      </c>
      <c r="AK78" s="524"/>
      <c r="AL78" s="524"/>
      <c r="AM78" s="524"/>
      <c r="AN78" s="525"/>
      <c r="AO78" s="539">
        <f t="shared" ref="AO78" si="58">AJ78+1</f>
        <v>46040</v>
      </c>
      <c r="AP78" s="540"/>
      <c r="AQ78" s="540"/>
      <c r="AR78" s="540"/>
      <c r="AS78" s="540"/>
      <c r="AT78" s="523">
        <f t="shared" ref="AT78" si="59">AO78+1</f>
        <v>46041</v>
      </c>
      <c r="AU78" s="524"/>
      <c r="AV78" s="524"/>
      <c r="AW78" s="524"/>
      <c r="AX78" s="525"/>
    </row>
    <row r="79" spans="2:50" ht="14.25" customHeight="1">
      <c r="B79" s="548"/>
      <c r="C79" s="548"/>
      <c r="D79" s="548"/>
      <c r="E79" s="548"/>
      <c r="F79" s="548"/>
      <c r="G79" s="548"/>
      <c r="H79" s="548"/>
      <c r="I79" s="548"/>
      <c r="J79" s="548"/>
      <c r="K79" s="548"/>
      <c r="L79" s="548"/>
      <c r="M79" s="549"/>
      <c r="N79" s="551"/>
      <c r="O79" s="551"/>
      <c r="P79" s="544">
        <f>P78</f>
        <v>46035</v>
      </c>
      <c r="Q79" s="544"/>
      <c r="R79" s="544"/>
      <c r="S79" s="544"/>
      <c r="T79" s="544"/>
      <c r="U79" s="543">
        <f>U78</f>
        <v>46036</v>
      </c>
      <c r="V79" s="543"/>
      <c r="W79" s="543"/>
      <c r="X79" s="543"/>
      <c r="Y79" s="543"/>
      <c r="Z79" s="544">
        <f t="shared" ref="Z79" si="60">Z78</f>
        <v>46037</v>
      </c>
      <c r="AA79" s="544"/>
      <c r="AB79" s="544"/>
      <c r="AC79" s="544"/>
      <c r="AD79" s="544"/>
      <c r="AE79" s="543">
        <f t="shared" ref="AE79" si="61">AE78</f>
        <v>46038</v>
      </c>
      <c r="AF79" s="543"/>
      <c r="AG79" s="543"/>
      <c r="AH79" s="543"/>
      <c r="AI79" s="543"/>
      <c r="AJ79" s="526">
        <f t="shared" ref="AJ79" si="62">AJ78</f>
        <v>46039</v>
      </c>
      <c r="AK79" s="527"/>
      <c r="AL79" s="527"/>
      <c r="AM79" s="527"/>
      <c r="AN79" s="528"/>
      <c r="AO79" s="543">
        <f t="shared" ref="AO79" si="63">AO78</f>
        <v>46040</v>
      </c>
      <c r="AP79" s="543"/>
      <c r="AQ79" s="543"/>
      <c r="AR79" s="543"/>
      <c r="AS79" s="543"/>
      <c r="AT79" s="526">
        <f t="shared" ref="AT79" si="64">AT78</f>
        <v>46041</v>
      </c>
      <c r="AU79" s="527"/>
      <c r="AV79" s="527"/>
      <c r="AW79" s="527"/>
      <c r="AX79" s="528"/>
    </row>
    <row r="80" spans="2:50" ht="14.25" customHeight="1">
      <c r="B80" s="501" t="s">
        <v>164</v>
      </c>
      <c r="C80" s="501" t="s">
        <v>159</v>
      </c>
      <c r="D80" s="501"/>
      <c r="E80" s="501" t="s">
        <v>160</v>
      </c>
      <c r="F80" s="501"/>
      <c r="G80" s="501"/>
      <c r="H80" s="501" t="s">
        <v>165</v>
      </c>
      <c r="I80" s="522" t="s">
        <v>384</v>
      </c>
      <c r="J80" s="522"/>
      <c r="K80" s="522"/>
      <c r="L80" s="522" t="s">
        <v>165</v>
      </c>
      <c r="M80" s="522" t="s">
        <v>167</v>
      </c>
      <c r="N80" s="552"/>
      <c r="O80" s="536" t="s">
        <v>166</v>
      </c>
      <c r="P80" s="536" t="s">
        <v>162</v>
      </c>
      <c r="Q80" s="536"/>
      <c r="R80" s="536"/>
      <c r="S80" s="536"/>
      <c r="T80" s="536" t="s">
        <v>165</v>
      </c>
      <c r="U80" s="536" t="s">
        <v>162</v>
      </c>
      <c r="V80" s="536"/>
      <c r="W80" s="536"/>
      <c r="X80" s="536"/>
      <c r="Y80" s="536" t="s">
        <v>165</v>
      </c>
      <c r="Z80" s="536" t="s">
        <v>162</v>
      </c>
      <c r="AA80" s="536"/>
      <c r="AB80" s="536"/>
      <c r="AC80" s="536"/>
      <c r="AD80" s="536" t="s">
        <v>165</v>
      </c>
      <c r="AE80" s="536" t="s">
        <v>162</v>
      </c>
      <c r="AF80" s="536"/>
      <c r="AG80" s="536"/>
      <c r="AH80" s="536"/>
      <c r="AI80" s="536" t="s">
        <v>165</v>
      </c>
      <c r="AJ80" s="536" t="s">
        <v>162</v>
      </c>
      <c r="AK80" s="536"/>
      <c r="AL80" s="536"/>
      <c r="AM80" s="536"/>
      <c r="AN80" s="536" t="s">
        <v>165</v>
      </c>
      <c r="AO80" s="536" t="s">
        <v>162</v>
      </c>
      <c r="AP80" s="536"/>
      <c r="AQ80" s="536"/>
      <c r="AR80" s="536"/>
      <c r="AS80" s="536" t="s">
        <v>165</v>
      </c>
      <c r="AT80" s="536" t="s">
        <v>162</v>
      </c>
      <c r="AU80" s="536"/>
      <c r="AV80" s="536"/>
      <c r="AW80" s="536"/>
      <c r="AX80" s="536" t="s">
        <v>165</v>
      </c>
    </row>
    <row r="81" spans="1:50" ht="14.25" customHeight="1">
      <c r="B81" s="501"/>
      <c r="C81" s="501"/>
      <c r="D81" s="501"/>
      <c r="E81" s="501" t="s">
        <v>385</v>
      </c>
      <c r="F81" s="501"/>
      <c r="G81" s="501"/>
      <c r="H81" s="501"/>
      <c r="I81" s="522" t="s">
        <v>385</v>
      </c>
      <c r="J81" s="522"/>
      <c r="K81" s="522"/>
      <c r="L81" s="522"/>
      <c r="M81" s="522"/>
      <c r="N81" s="552"/>
      <c r="O81" s="536"/>
      <c r="P81" s="536" t="s">
        <v>386</v>
      </c>
      <c r="Q81" s="536"/>
      <c r="R81" s="536"/>
      <c r="S81" s="536"/>
      <c r="T81" s="536"/>
      <c r="U81" s="536" t="s">
        <v>386</v>
      </c>
      <c r="V81" s="536"/>
      <c r="W81" s="536"/>
      <c r="X81" s="536"/>
      <c r="Y81" s="536"/>
      <c r="Z81" s="536" t="s">
        <v>386</v>
      </c>
      <c r="AA81" s="536"/>
      <c r="AB81" s="536"/>
      <c r="AC81" s="536"/>
      <c r="AD81" s="536"/>
      <c r="AE81" s="536" t="s">
        <v>386</v>
      </c>
      <c r="AF81" s="536"/>
      <c r="AG81" s="536"/>
      <c r="AH81" s="536"/>
      <c r="AI81" s="536"/>
      <c r="AJ81" s="536" t="s">
        <v>386</v>
      </c>
      <c r="AK81" s="536"/>
      <c r="AL81" s="536"/>
      <c r="AM81" s="536"/>
      <c r="AN81" s="536"/>
      <c r="AO81" s="536" t="s">
        <v>386</v>
      </c>
      <c r="AP81" s="536"/>
      <c r="AQ81" s="536"/>
      <c r="AR81" s="536"/>
      <c r="AS81" s="536"/>
      <c r="AT81" s="536" t="s">
        <v>386</v>
      </c>
      <c r="AU81" s="536"/>
      <c r="AV81" s="536"/>
      <c r="AW81" s="536"/>
      <c r="AX81" s="536"/>
    </row>
    <row r="82" spans="1:50" ht="14.25" customHeight="1">
      <c r="A82" s="179"/>
      <c r="B82" s="501"/>
      <c r="C82" s="501"/>
      <c r="D82" s="501"/>
      <c r="E82" s="182" t="s">
        <v>161</v>
      </c>
      <c r="F82" s="182" t="s">
        <v>387</v>
      </c>
      <c r="G82" s="182" t="s">
        <v>163</v>
      </c>
      <c r="H82" s="501"/>
      <c r="I82" s="183" t="s">
        <v>161</v>
      </c>
      <c r="J82" s="183" t="s">
        <v>387</v>
      </c>
      <c r="K82" s="183" t="s">
        <v>163</v>
      </c>
      <c r="L82" s="522"/>
      <c r="M82" s="522"/>
      <c r="N82" s="552"/>
      <c r="O82" s="536"/>
      <c r="P82" s="184" t="s">
        <v>161</v>
      </c>
      <c r="Q82" s="184" t="s">
        <v>387</v>
      </c>
      <c r="R82" s="184" t="s">
        <v>163</v>
      </c>
      <c r="S82" s="184" t="s">
        <v>167</v>
      </c>
      <c r="T82" s="536"/>
      <c r="U82" s="184" t="s">
        <v>161</v>
      </c>
      <c r="V82" s="184" t="s">
        <v>387</v>
      </c>
      <c r="W82" s="184" t="s">
        <v>163</v>
      </c>
      <c r="X82" s="184" t="s">
        <v>167</v>
      </c>
      <c r="Y82" s="536"/>
      <c r="Z82" s="184" t="s">
        <v>161</v>
      </c>
      <c r="AA82" s="184" t="s">
        <v>387</v>
      </c>
      <c r="AB82" s="184" t="s">
        <v>163</v>
      </c>
      <c r="AC82" s="184" t="s">
        <v>167</v>
      </c>
      <c r="AD82" s="536"/>
      <c r="AE82" s="184" t="s">
        <v>161</v>
      </c>
      <c r="AF82" s="184" t="s">
        <v>387</v>
      </c>
      <c r="AG82" s="184" t="s">
        <v>163</v>
      </c>
      <c r="AH82" s="184" t="s">
        <v>167</v>
      </c>
      <c r="AI82" s="536"/>
      <c r="AJ82" s="184" t="s">
        <v>161</v>
      </c>
      <c r="AK82" s="184" t="s">
        <v>387</v>
      </c>
      <c r="AL82" s="184" t="s">
        <v>163</v>
      </c>
      <c r="AM82" s="184" t="s">
        <v>167</v>
      </c>
      <c r="AN82" s="536"/>
      <c r="AO82" s="184" t="s">
        <v>161</v>
      </c>
      <c r="AP82" s="184" t="s">
        <v>387</v>
      </c>
      <c r="AQ82" s="184" t="s">
        <v>163</v>
      </c>
      <c r="AR82" s="184" t="s">
        <v>167</v>
      </c>
      <c r="AS82" s="536"/>
      <c r="AT82" s="184" t="s">
        <v>161</v>
      </c>
      <c r="AU82" s="184" t="s">
        <v>387</v>
      </c>
      <c r="AV82" s="184" t="s">
        <v>163</v>
      </c>
      <c r="AW82" s="184" t="s">
        <v>167</v>
      </c>
      <c r="AX82" s="536"/>
    </row>
    <row r="83" spans="1:50" ht="14.25" customHeight="1">
      <c r="B83" s="501" t="s">
        <v>388</v>
      </c>
      <c r="C83" s="182">
        <v>1</v>
      </c>
      <c r="D83" s="185" t="s">
        <v>413</v>
      </c>
      <c r="E83" s="186">
        <v>4</v>
      </c>
      <c r="F83" s="182">
        <v>3300</v>
      </c>
      <c r="G83" s="187">
        <f>F83/E83</f>
        <v>825</v>
      </c>
      <c r="H83" s="537">
        <f>AVERAGE(G83:G115)</f>
        <v>867.03125</v>
      </c>
      <c r="I83" s="188">
        <f>AVERAGE(P83,U83,Z83,AE83,AJ83,AO83,AT83)</f>
        <v>4</v>
      </c>
      <c r="J83" s="188">
        <f>AVERAGE(Q83,V83,AA83,AF83,AK83,AP83,AU83)</f>
        <v>2949.0478549898667</v>
      </c>
      <c r="K83" s="189">
        <f>AVERAGE(R83,W83,AB83,AG83,AL83,AQ83,AV83)</f>
        <v>737.26196374746667</v>
      </c>
      <c r="L83" s="538">
        <f>IFERROR(AVERAGE(K83:K115),"-")</f>
        <v>766.73953490359474</v>
      </c>
      <c r="M83" s="188">
        <f>RANK(K83, K$83:$K$115)</f>
        <v>18</v>
      </c>
      <c r="N83" s="552"/>
      <c r="O83" s="536"/>
      <c r="P83" s="190">
        <v>4</v>
      </c>
      <c r="Q83" s="190">
        <v>2948.7077534791274</v>
      </c>
      <c r="R83" s="187">
        <f t="shared" ref="R83:R114" si="65">IFERROR(Q83/P83,"")</f>
        <v>737.17693836978185</v>
      </c>
      <c r="S83" s="184">
        <f>RANK(R83, R$83:R$115)</f>
        <v>18</v>
      </c>
      <c r="T83" s="532">
        <f>AVERAGE(R83:R115)</f>
        <v>765.88700081815614</v>
      </c>
      <c r="U83" s="190">
        <v>4</v>
      </c>
      <c r="V83" s="190">
        <v>2949.038176975439</v>
      </c>
      <c r="W83" s="187">
        <f t="shared" ref="W83:W114" si="66">IFERROR(V83/U83,"")</f>
        <v>737.25954424385975</v>
      </c>
      <c r="X83" s="184">
        <f>RANK(W83, W$83:W$115)</f>
        <v>17</v>
      </c>
      <c r="Y83" s="532">
        <f>AVERAGE(W83:W115)</f>
        <v>766.15631208028572</v>
      </c>
      <c r="Z83" s="190">
        <v>4</v>
      </c>
      <c r="AA83" s="190">
        <v>2949.0172361657042</v>
      </c>
      <c r="AB83" s="187">
        <f>IFERROR(AA83/Z83,"")</f>
        <v>737.25430904142604</v>
      </c>
      <c r="AC83" s="184">
        <f>RANK(AB83, AB$83:AB$115)</f>
        <v>17</v>
      </c>
      <c r="AD83" s="532">
        <f>AVERAGE(AB83:AB115)</f>
        <v>766.44396420864086</v>
      </c>
      <c r="AE83" s="190">
        <v>4</v>
      </c>
      <c r="AF83" s="190">
        <v>2948.8623216351725</v>
      </c>
      <c r="AG83" s="187">
        <f>IFERROR(AF83/AE83,"")</f>
        <v>737.21558040879313</v>
      </c>
      <c r="AH83" s="184">
        <f>RANK(AG83, AG$83:AG$115)</f>
        <v>18</v>
      </c>
      <c r="AI83" s="532">
        <f>AVERAGE(AG83:AG115)</f>
        <v>766.70959436809289</v>
      </c>
      <c r="AJ83" s="190">
        <v>4</v>
      </c>
      <c r="AK83" s="190">
        <v>2949.0410958904113</v>
      </c>
      <c r="AL83" s="187">
        <f>IFERROR(AK83/AJ83,"")</f>
        <v>737.26027397260282</v>
      </c>
      <c r="AM83" s="184">
        <f>RANK(AL83, AL$83:AL$115)</f>
        <v>18</v>
      </c>
      <c r="AN83" s="532">
        <f>AVERAGE(AL83:AL115)</f>
        <v>767.02391078019423</v>
      </c>
      <c r="AO83" s="190">
        <v>4</v>
      </c>
      <c r="AP83" s="190">
        <v>2949.0108665366424</v>
      </c>
      <c r="AQ83" s="187">
        <f>IFERROR(AP83/AO83,"")</f>
        <v>737.25271663416061</v>
      </c>
      <c r="AR83" s="184">
        <f>RANK(AQ83, AQ$83:AQ$115)</f>
        <v>18</v>
      </c>
      <c r="AS83" s="532">
        <f>AVERAGE(AQ83:AQ115)</f>
        <v>767.29091773906327</v>
      </c>
      <c r="AT83" s="190">
        <v>4</v>
      </c>
      <c r="AU83" s="190">
        <v>2949.6575342465744</v>
      </c>
      <c r="AV83" s="187">
        <f>IFERROR(AU83/AT83,"")</f>
        <v>737.4143835616436</v>
      </c>
      <c r="AW83" s="184">
        <f>RANK(AV83, AV$83:AV$115)</f>
        <v>18</v>
      </c>
      <c r="AX83" s="532">
        <f>AVERAGE(AV83:AV115)</f>
        <v>767.66504433073021</v>
      </c>
    </row>
    <row r="84" spans="1:50" ht="14.25" customHeight="1">
      <c r="B84" s="501"/>
      <c r="C84" s="182">
        <v>2</v>
      </c>
      <c r="D84" s="185" t="s">
        <v>411</v>
      </c>
      <c r="E84" s="186">
        <v>3</v>
      </c>
      <c r="F84" s="182">
        <v>3600</v>
      </c>
      <c r="G84" s="187">
        <f t="shared" ref="G84:G103" si="67">F84/E84</f>
        <v>1200</v>
      </c>
      <c r="H84" s="537"/>
      <c r="I84" s="188">
        <f t="shared" ref="I84:K114" si="68">AVERAGE(P84,U84,Z84,AE84,AJ84,AO84,AT84)</f>
        <v>3</v>
      </c>
      <c r="J84" s="188">
        <f t="shared" si="68"/>
        <v>3117.7929071350795</v>
      </c>
      <c r="K84" s="189">
        <f t="shared" si="68"/>
        <v>1039.2643023783598</v>
      </c>
      <c r="L84" s="538"/>
      <c r="M84" s="188">
        <f>RANK(K84, K$83:$K$115)</f>
        <v>5</v>
      </c>
      <c r="N84" s="552"/>
      <c r="O84" s="536"/>
      <c r="P84" s="190">
        <v>3</v>
      </c>
      <c r="Q84" s="190">
        <v>3117.4583963691357</v>
      </c>
      <c r="R84" s="187">
        <f t="shared" si="65"/>
        <v>1039.1527987897118</v>
      </c>
      <c r="S84" s="184">
        <f t="shared" ref="S84:S114" si="69">RANK(R84, R$83:R$115)</f>
        <v>5</v>
      </c>
      <c r="T84" s="532"/>
      <c r="U84" s="190">
        <v>3</v>
      </c>
      <c r="V84" s="190">
        <v>3117.6433322774774</v>
      </c>
      <c r="W84" s="187">
        <f t="shared" si="66"/>
        <v>1039.2144440924924</v>
      </c>
      <c r="X84" s="184">
        <f t="shared" ref="X84:X114" si="70">RANK(W84, W$83:W$115)</f>
        <v>5</v>
      </c>
      <c r="Y84" s="532"/>
      <c r="Z84" s="190">
        <v>3</v>
      </c>
      <c r="AA84" s="190">
        <v>3117.5918433403485</v>
      </c>
      <c r="AB84" s="187">
        <f t="shared" ref="AB84:AB114" si="71">IFERROR(AA84/Z84,"")</f>
        <v>1039.1972811134494</v>
      </c>
      <c r="AC84" s="184">
        <f t="shared" ref="AC84:AC114" si="72">RANK(AB84, AB$83:AB$115)</f>
        <v>5</v>
      </c>
      <c r="AD84" s="532"/>
      <c r="AE84" s="190">
        <v>3</v>
      </c>
      <c r="AF84" s="190">
        <v>3117.6485171122517</v>
      </c>
      <c r="AG84" s="187">
        <f t="shared" ref="AG84:AG114" si="73">IFERROR(AF84/AE84,"")</f>
        <v>1039.2161723707507</v>
      </c>
      <c r="AH84" s="184">
        <f t="shared" ref="AH84:AH114" si="74">RANK(AG84, AG$83:AG$115)</f>
        <v>5</v>
      </c>
      <c r="AI84" s="532"/>
      <c r="AJ84" s="190">
        <v>3</v>
      </c>
      <c r="AK84" s="190">
        <v>3117.1746899306263</v>
      </c>
      <c r="AL84" s="187">
        <f t="shared" ref="AL84:AL114" si="75">IFERROR(AK84/AJ84,"")</f>
        <v>1039.0582299768755</v>
      </c>
      <c r="AM84" s="184">
        <f t="shared" ref="AM84:AM114" si="76">RANK(AL84, AL$83:AL$115)</f>
        <v>6</v>
      </c>
      <c r="AN84" s="532"/>
      <c r="AO84" s="190">
        <v>3</v>
      </c>
      <c r="AP84" s="190">
        <v>3117.1764705882342</v>
      </c>
      <c r="AQ84" s="187">
        <f t="shared" ref="AQ84:AQ114" si="77">IFERROR(AP84/AO84,"")</f>
        <v>1039.0588235294115</v>
      </c>
      <c r="AR84" s="184">
        <f t="shared" ref="AR84:AR114" si="78">RANK(AQ84, AQ$83:AQ$115)</f>
        <v>6</v>
      </c>
      <c r="AS84" s="532"/>
      <c r="AT84" s="190">
        <v>3</v>
      </c>
      <c r="AU84" s="190">
        <v>3119.8571003274801</v>
      </c>
      <c r="AV84" s="187">
        <f t="shared" ref="AV84:AV114" si="79">IFERROR(AU84/AT84,"")</f>
        <v>1039.9523667758267</v>
      </c>
      <c r="AW84" s="184">
        <f t="shared" ref="AW84:AW114" si="80">RANK(AV84, AV$83:AV$115)</f>
        <v>4</v>
      </c>
      <c r="AX84" s="532"/>
    </row>
    <row r="85" spans="1:50" ht="14.25" customHeight="1">
      <c r="B85" s="501"/>
      <c r="C85" s="182">
        <v>3</v>
      </c>
      <c r="D85" s="185" t="s">
        <v>412</v>
      </c>
      <c r="E85" s="186">
        <v>4</v>
      </c>
      <c r="F85" s="182">
        <v>3300</v>
      </c>
      <c r="G85" s="187">
        <f t="shared" si="67"/>
        <v>825</v>
      </c>
      <c r="H85" s="537"/>
      <c r="I85" s="188">
        <f t="shared" si="68"/>
        <v>4</v>
      </c>
      <c r="J85" s="188">
        <f t="shared" si="68"/>
        <v>2947.8625902876365</v>
      </c>
      <c r="K85" s="189">
        <f t="shared" si="68"/>
        <v>736.96564757190913</v>
      </c>
      <c r="L85" s="538"/>
      <c r="M85" s="188">
        <f>RANK(K85, K$83:$K$115)</f>
        <v>19</v>
      </c>
      <c r="N85" s="552"/>
      <c r="O85" s="536"/>
      <c r="P85" s="190">
        <v>4</v>
      </c>
      <c r="Q85" s="190">
        <v>2947.3540457494037</v>
      </c>
      <c r="R85" s="187">
        <f t="shared" si="65"/>
        <v>736.83851143735092</v>
      </c>
      <c r="S85" s="184">
        <f t="shared" si="69"/>
        <v>19</v>
      </c>
      <c r="T85" s="532"/>
      <c r="U85" s="190">
        <v>4</v>
      </c>
      <c r="V85" s="190">
        <v>2947.6056338028175</v>
      </c>
      <c r="W85" s="187">
        <f t="shared" si="66"/>
        <v>736.90140845070437</v>
      </c>
      <c r="X85" s="184">
        <f t="shared" si="70"/>
        <v>19</v>
      </c>
      <c r="Y85" s="532"/>
      <c r="Z85" s="190">
        <v>4</v>
      </c>
      <c r="AA85" s="190">
        <v>2947.9114533205006</v>
      </c>
      <c r="AB85" s="187">
        <f t="shared" si="71"/>
        <v>736.97786333012516</v>
      </c>
      <c r="AC85" s="184">
        <f t="shared" si="72"/>
        <v>19</v>
      </c>
      <c r="AD85" s="532"/>
      <c r="AE85" s="190">
        <v>4</v>
      </c>
      <c r="AF85" s="190">
        <v>2947.6112026359151</v>
      </c>
      <c r="AG85" s="187">
        <f t="shared" si="73"/>
        <v>736.90280065897878</v>
      </c>
      <c r="AH85" s="184">
        <f t="shared" si="74"/>
        <v>19</v>
      </c>
      <c r="AI85" s="532"/>
      <c r="AJ85" s="190">
        <v>4</v>
      </c>
      <c r="AK85" s="190">
        <v>2947.8645066273943</v>
      </c>
      <c r="AL85" s="187">
        <f t="shared" si="75"/>
        <v>736.96612665684859</v>
      </c>
      <c r="AM85" s="184">
        <f t="shared" si="76"/>
        <v>19</v>
      </c>
      <c r="AN85" s="532"/>
      <c r="AO85" s="190">
        <v>4</v>
      </c>
      <c r="AP85" s="190">
        <v>2948.031496062993</v>
      </c>
      <c r="AQ85" s="187">
        <f t="shared" si="77"/>
        <v>737.00787401574826</v>
      </c>
      <c r="AR85" s="184">
        <f t="shared" si="78"/>
        <v>19</v>
      </c>
      <c r="AS85" s="532"/>
      <c r="AT85" s="190">
        <v>4</v>
      </c>
      <c r="AU85" s="190">
        <v>2948.6597938144314</v>
      </c>
      <c r="AV85" s="187">
        <f t="shared" si="79"/>
        <v>737.16494845360785</v>
      </c>
      <c r="AW85" s="184">
        <f t="shared" si="80"/>
        <v>19</v>
      </c>
      <c r="AX85" s="532"/>
    </row>
    <row r="86" spans="1:50" ht="14.25" customHeight="1">
      <c r="B86" s="501"/>
      <c r="C86" s="182">
        <v>4</v>
      </c>
      <c r="D86" s="185" t="s">
        <v>232</v>
      </c>
      <c r="E86" s="186">
        <v>5</v>
      </c>
      <c r="F86" s="182">
        <v>3300</v>
      </c>
      <c r="G86" s="187">
        <f t="shared" si="67"/>
        <v>660</v>
      </c>
      <c r="H86" s="537"/>
      <c r="I86" s="188">
        <f t="shared" si="68"/>
        <v>5</v>
      </c>
      <c r="J86" s="188">
        <f t="shared" si="68"/>
        <v>2953.898015024492</v>
      </c>
      <c r="K86" s="189">
        <f t="shared" si="68"/>
        <v>590.77960300489838</v>
      </c>
      <c r="L86" s="538"/>
      <c r="M86" s="188">
        <f>RANK(K86, K$83:$K$115)</f>
        <v>27</v>
      </c>
      <c r="N86" s="552"/>
      <c r="O86" s="536"/>
      <c r="P86" s="190">
        <v>5</v>
      </c>
      <c r="Q86" s="190">
        <v>2954.1029207232245</v>
      </c>
      <c r="R86" s="187">
        <f t="shared" si="65"/>
        <v>590.82058414464495</v>
      </c>
      <c r="S86" s="184">
        <f t="shared" si="69"/>
        <v>27</v>
      </c>
      <c r="T86" s="532"/>
      <c r="U86" s="190">
        <v>5</v>
      </c>
      <c r="V86" s="190">
        <v>2953.5211267605573</v>
      </c>
      <c r="W86" s="187">
        <f t="shared" si="66"/>
        <v>590.70422535211151</v>
      </c>
      <c r="X86" s="184">
        <f t="shared" si="70"/>
        <v>27</v>
      </c>
      <c r="Y86" s="532"/>
      <c r="Z86" s="190">
        <v>5</v>
      </c>
      <c r="AA86" s="190">
        <v>2953.0201342281912</v>
      </c>
      <c r="AB86" s="187">
        <f t="shared" si="71"/>
        <v>590.60402684563826</v>
      </c>
      <c r="AC86" s="184">
        <f t="shared" si="72"/>
        <v>27</v>
      </c>
      <c r="AD86" s="532"/>
      <c r="AE86" s="190">
        <v>5</v>
      </c>
      <c r="AF86" s="190">
        <v>2952.8089887640476</v>
      </c>
      <c r="AG86" s="187">
        <f t="shared" si="73"/>
        <v>590.56179775280953</v>
      </c>
      <c r="AH86" s="184">
        <f t="shared" si="74"/>
        <v>27</v>
      </c>
      <c r="AI86" s="532"/>
      <c r="AJ86" s="190">
        <v>5</v>
      </c>
      <c r="AK86" s="190">
        <v>2955.2238805970042</v>
      </c>
      <c r="AL86" s="187">
        <f t="shared" si="75"/>
        <v>591.04477611940081</v>
      </c>
      <c r="AM86" s="184">
        <f t="shared" si="76"/>
        <v>27</v>
      </c>
      <c r="AN86" s="532"/>
      <c r="AO86" s="190">
        <v>5</v>
      </c>
      <c r="AP86" s="190">
        <v>2954.4303797468319</v>
      </c>
      <c r="AQ86" s="187">
        <f t="shared" si="77"/>
        <v>590.88607594936639</v>
      </c>
      <c r="AR86" s="184">
        <f t="shared" si="78"/>
        <v>27</v>
      </c>
      <c r="AS86" s="532"/>
      <c r="AT86" s="190">
        <v>5</v>
      </c>
      <c r="AU86" s="190">
        <v>2954.1786743515859</v>
      </c>
      <c r="AV86" s="187">
        <f t="shared" si="79"/>
        <v>590.8357348703172</v>
      </c>
      <c r="AW86" s="184">
        <f t="shared" si="80"/>
        <v>27</v>
      </c>
      <c r="AX86" s="532"/>
    </row>
    <row r="87" spans="1:50" ht="14.25" customHeight="1">
      <c r="B87" s="501"/>
      <c r="C87" s="182">
        <v>5</v>
      </c>
      <c r="D87" s="185" t="s">
        <v>408</v>
      </c>
      <c r="E87" s="186">
        <v>3</v>
      </c>
      <c r="F87" s="182">
        <v>3600</v>
      </c>
      <c r="G87" s="187">
        <f t="shared" si="67"/>
        <v>1200</v>
      </c>
      <c r="H87" s="537"/>
      <c r="I87" s="188">
        <f t="shared" si="68"/>
        <v>3</v>
      </c>
      <c r="J87" s="188">
        <f t="shared" si="68"/>
        <v>3117.0974982022562</v>
      </c>
      <c r="K87" s="189">
        <f t="shared" si="68"/>
        <v>1039.0324994007519</v>
      </c>
      <c r="L87" s="538"/>
      <c r="M87" s="188">
        <f>RANK(K87, K$83:$K$115)</f>
        <v>6</v>
      </c>
      <c r="N87" s="552"/>
      <c r="O87" s="536"/>
      <c r="P87" s="190">
        <v>3</v>
      </c>
      <c r="Q87" s="190">
        <v>3116.6222898440469</v>
      </c>
      <c r="R87" s="187">
        <f t="shared" si="65"/>
        <v>1038.8740966146822</v>
      </c>
      <c r="S87" s="184">
        <f t="shared" si="69"/>
        <v>6</v>
      </c>
      <c r="T87" s="532"/>
      <c r="U87" s="190">
        <v>3</v>
      </c>
      <c r="V87" s="190">
        <v>3116.1442006269604</v>
      </c>
      <c r="W87" s="187">
        <f t="shared" si="66"/>
        <v>1038.7147335423201</v>
      </c>
      <c r="X87" s="184">
        <f t="shared" si="70"/>
        <v>6</v>
      </c>
      <c r="Y87" s="532"/>
      <c r="Z87" s="190">
        <v>3</v>
      </c>
      <c r="AA87" s="190">
        <v>3115.9173754556473</v>
      </c>
      <c r="AB87" s="187">
        <f t="shared" si="71"/>
        <v>1038.6391251518824</v>
      </c>
      <c r="AC87" s="184">
        <f t="shared" si="72"/>
        <v>6</v>
      </c>
      <c r="AD87" s="532"/>
      <c r="AE87" s="190">
        <v>3</v>
      </c>
      <c r="AF87" s="190">
        <v>3116.5510406342883</v>
      </c>
      <c r="AG87" s="187">
        <f t="shared" si="73"/>
        <v>1038.8503468780962</v>
      </c>
      <c r="AH87" s="184">
        <f t="shared" si="74"/>
        <v>6</v>
      </c>
      <c r="AI87" s="532"/>
      <c r="AJ87" s="190">
        <v>3</v>
      </c>
      <c r="AK87" s="190">
        <v>3117.5457481162548</v>
      </c>
      <c r="AL87" s="187">
        <f t="shared" si="75"/>
        <v>1039.1819160387515</v>
      </c>
      <c r="AM87" s="184">
        <f t="shared" si="76"/>
        <v>5</v>
      </c>
      <c r="AN87" s="532"/>
      <c r="AO87" s="190">
        <v>3</v>
      </c>
      <c r="AP87" s="190">
        <v>3118.1852551984889</v>
      </c>
      <c r="AQ87" s="187">
        <f t="shared" si="77"/>
        <v>1039.3950850661629</v>
      </c>
      <c r="AR87" s="184">
        <f t="shared" si="78"/>
        <v>5</v>
      </c>
      <c r="AS87" s="532"/>
      <c r="AT87" s="190">
        <v>3</v>
      </c>
      <c r="AU87" s="190">
        <v>3118.7165775401068</v>
      </c>
      <c r="AV87" s="187">
        <f t="shared" si="79"/>
        <v>1039.5721925133689</v>
      </c>
      <c r="AW87" s="184">
        <f t="shared" si="80"/>
        <v>6</v>
      </c>
      <c r="AX87" s="532"/>
    </row>
    <row r="88" spans="1:50" ht="14.25" customHeight="1">
      <c r="B88" s="501"/>
      <c r="C88" s="182">
        <v>6</v>
      </c>
      <c r="D88" s="185" t="s">
        <v>348</v>
      </c>
      <c r="E88" s="186">
        <v>3</v>
      </c>
      <c r="F88" s="182">
        <v>3000</v>
      </c>
      <c r="G88" s="187">
        <f t="shared" si="67"/>
        <v>1000</v>
      </c>
      <c r="H88" s="537"/>
      <c r="I88" s="188">
        <f t="shared" si="68"/>
        <v>3</v>
      </c>
      <c r="J88" s="188">
        <f t="shared" si="68"/>
        <v>2688.4317773508715</v>
      </c>
      <c r="K88" s="189">
        <f t="shared" si="68"/>
        <v>896.14392578362379</v>
      </c>
      <c r="L88" s="538"/>
      <c r="M88" s="188">
        <f>RANK(K88, K$83:$K$115)</f>
        <v>9</v>
      </c>
      <c r="N88" s="552"/>
      <c r="O88" s="536"/>
      <c r="P88" s="190">
        <v>3</v>
      </c>
      <c r="Q88" s="190">
        <v>2688.3582089552237</v>
      </c>
      <c r="R88" s="187">
        <f t="shared" si="65"/>
        <v>896.11940298507454</v>
      </c>
      <c r="S88" s="184">
        <f t="shared" si="69"/>
        <v>9</v>
      </c>
      <c r="T88" s="532"/>
      <c r="U88" s="190">
        <v>3</v>
      </c>
      <c r="V88" s="190">
        <v>2688.2751433038061</v>
      </c>
      <c r="W88" s="187">
        <f t="shared" si="66"/>
        <v>896.09171443460207</v>
      </c>
      <c r="X88" s="184">
        <f t="shared" si="70"/>
        <v>9</v>
      </c>
      <c r="Y88" s="532"/>
      <c r="Z88" s="190">
        <v>3</v>
      </c>
      <c r="AA88" s="190">
        <v>2687.909725953788</v>
      </c>
      <c r="AB88" s="187">
        <f t="shared" si="71"/>
        <v>895.9699086512627</v>
      </c>
      <c r="AC88" s="184">
        <f t="shared" si="72"/>
        <v>9</v>
      </c>
      <c r="AD88" s="532"/>
      <c r="AE88" s="190">
        <v>3</v>
      </c>
      <c r="AF88" s="190">
        <v>2688.8536043188342</v>
      </c>
      <c r="AG88" s="187">
        <f t="shared" si="73"/>
        <v>896.28453477294477</v>
      </c>
      <c r="AH88" s="184">
        <f t="shared" si="74"/>
        <v>9</v>
      </c>
      <c r="AI88" s="532"/>
      <c r="AJ88" s="190">
        <v>3</v>
      </c>
      <c r="AK88" s="190">
        <v>2688.513280441528</v>
      </c>
      <c r="AL88" s="187">
        <f t="shared" si="75"/>
        <v>896.17109348050928</v>
      </c>
      <c r="AM88" s="184">
        <f t="shared" si="76"/>
        <v>9</v>
      </c>
      <c r="AN88" s="532"/>
      <c r="AO88" s="190">
        <v>3</v>
      </c>
      <c r="AP88" s="190">
        <v>2688.6075949367141</v>
      </c>
      <c r="AQ88" s="187">
        <f t="shared" si="77"/>
        <v>896.20253164557141</v>
      </c>
      <c r="AR88" s="184">
        <f t="shared" si="78"/>
        <v>9</v>
      </c>
      <c r="AS88" s="532"/>
      <c r="AT88" s="190">
        <v>3</v>
      </c>
      <c r="AU88" s="190">
        <v>2688.5048835462057</v>
      </c>
      <c r="AV88" s="187">
        <f t="shared" si="79"/>
        <v>896.16829451540195</v>
      </c>
      <c r="AW88" s="184">
        <f t="shared" si="80"/>
        <v>9</v>
      </c>
      <c r="AX88" s="532"/>
    </row>
    <row r="89" spans="1:50" ht="14.25" customHeight="1">
      <c r="B89" s="501"/>
      <c r="C89" s="182">
        <v>7</v>
      </c>
      <c r="D89" s="185" t="s">
        <v>410</v>
      </c>
      <c r="E89" s="186">
        <v>3</v>
      </c>
      <c r="F89" s="182">
        <v>3600</v>
      </c>
      <c r="G89" s="187">
        <f t="shared" si="67"/>
        <v>1200</v>
      </c>
      <c r="H89" s="537"/>
      <c r="I89" s="188">
        <f t="shared" si="68"/>
        <v>3</v>
      </c>
      <c r="J89" s="188">
        <f t="shared" si="68"/>
        <v>3122.2109394688005</v>
      </c>
      <c r="K89" s="189">
        <f t="shared" si="68"/>
        <v>1040.7369798229336</v>
      </c>
      <c r="L89" s="538"/>
      <c r="M89" s="188">
        <f>RANK(K89, K$83:$K$115)</f>
        <v>2</v>
      </c>
      <c r="N89" s="552"/>
      <c r="O89" s="536"/>
      <c r="P89" s="190">
        <v>3</v>
      </c>
      <c r="Q89" s="190">
        <v>3120.5128205128231</v>
      </c>
      <c r="R89" s="187">
        <f t="shared" si="65"/>
        <v>1040.1709401709411</v>
      </c>
      <c r="S89" s="184">
        <f t="shared" si="69"/>
        <v>3</v>
      </c>
      <c r="T89" s="532"/>
      <c r="U89" s="190">
        <v>3</v>
      </c>
      <c r="V89" s="190">
        <v>3121.8749999999977</v>
      </c>
      <c r="W89" s="187">
        <f t="shared" si="66"/>
        <v>1040.6249999999993</v>
      </c>
      <c r="X89" s="184">
        <f t="shared" si="70"/>
        <v>2</v>
      </c>
      <c r="Y89" s="532"/>
      <c r="Z89" s="190">
        <v>3</v>
      </c>
      <c r="AA89" s="190">
        <v>3121.9584569732901</v>
      </c>
      <c r="AB89" s="187">
        <f t="shared" si="71"/>
        <v>1040.6528189910966</v>
      </c>
      <c r="AC89" s="184">
        <f t="shared" si="72"/>
        <v>2</v>
      </c>
      <c r="AD89" s="532"/>
      <c r="AE89" s="190">
        <v>3</v>
      </c>
      <c r="AF89" s="190">
        <v>3121.1650485436908</v>
      </c>
      <c r="AG89" s="187">
        <f t="shared" si="73"/>
        <v>1040.3883495145635</v>
      </c>
      <c r="AH89" s="184">
        <f t="shared" si="74"/>
        <v>2</v>
      </c>
      <c r="AI89" s="532"/>
      <c r="AJ89" s="190">
        <v>3</v>
      </c>
      <c r="AK89" s="190">
        <v>3123.1547017189096</v>
      </c>
      <c r="AL89" s="187">
        <f t="shared" si="75"/>
        <v>1041.0515672396366</v>
      </c>
      <c r="AM89" s="184">
        <f t="shared" si="76"/>
        <v>2</v>
      </c>
      <c r="AN89" s="532"/>
      <c r="AO89" s="190">
        <v>3</v>
      </c>
      <c r="AP89" s="190">
        <v>3122.8021978021998</v>
      </c>
      <c r="AQ89" s="187">
        <f t="shared" si="77"/>
        <v>1040.9340659340667</v>
      </c>
      <c r="AR89" s="184">
        <f t="shared" si="78"/>
        <v>2</v>
      </c>
      <c r="AS89" s="532"/>
      <c r="AT89" s="190">
        <v>3</v>
      </c>
      <c r="AU89" s="190">
        <v>3124.0083507306908</v>
      </c>
      <c r="AV89" s="187">
        <f t="shared" si="79"/>
        <v>1041.3361169102302</v>
      </c>
      <c r="AW89" s="184">
        <f t="shared" si="80"/>
        <v>2</v>
      </c>
      <c r="AX89" s="532"/>
    </row>
    <row r="90" spans="1:50" ht="14.25" customHeight="1">
      <c r="B90" s="501"/>
      <c r="C90" s="182">
        <v>8</v>
      </c>
      <c r="D90" s="185" t="s">
        <v>409</v>
      </c>
      <c r="E90" s="186">
        <v>4</v>
      </c>
      <c r="F90" s="182">
        <v>3300</v>
      </c>
      <c r="G90" s="187">
        <f t="shared" si="67"/>
        <v>825</v>
      </c>
      <c r="H90" s="537"/>
      <c r="I90" s="188">
        <f t="shared" si="68"/>
        <v>4</v>
      </c>
      <c r="J90" s="188">
        <f t="shared" si="68"/>
        <v>2923.8041334313789</v>
      </c>
      <c r="K90" s="189">
        <f t="shared" si="68"/>
        <v>730.95103335784472</v>
      </c>
      <c r="L90" s="538"/>
      <c r="M90" s="188">
        <f>RANK(K90, K$83:$K$115)</f>
        <v>23</v>
      </c>
      <c r="N90" s="552"/>
      <c r="O90" s="536"/>
      <c r="P90" s="190">
        <v>4</v>
      </c>
      <c r="Q90" s="190">
        <v>2924.2073477604426</v>
      </c>
      <c r="R90" s="187">
        <f t="shared" si="65"/>
        <v>731.05183694011066</v>
      </c>
      <c r="S90" s="184">
        <f t="shared" si="69"/>
        <v>22</v>
      </c>
      <c r="T90" s="532"/>
      <c r="U90" s="190">
        <v>4</v>
      </c>
      <c r="V90" s="190">
        <v>2924.2009132420071</v>
      </c>
      <c r="W90" s="187">
        <f t="shared" si="66"/>
        <v>731.05022831050178</v>
      </c>
      <c r="X90" s="184">
        <f t="shared" si="70"/>
        <v>22</v>
      </c>
      <c r="Y90" s="532"/>
      <c r="Z90" s="190">
        <v>4</v>
      </c>
      <c r="AA90" s="190">
        <v>2923.7993596584938</v>
      </c>
      <c r="AB90" s="187">
        <f t="shared" si="71"/>
        <v>730.94983991462345</v>
      </c>
      <c r="AC90" s="184">
        <f t="shared" si="72"/>
        <v>23</v>
      </c>
      <c r="AD90" s="532"/>
      <c r="AE90" s="190">
        <v>4</v>
      </c>
      <c r="AF90" s="190">
        <v>2923.7430167597763</v>
      </c>
      <c r="AG90" s="187">
        <f t="shared" si="73"/>
        <v>730.93575418994408</v>
      </c>
      <c r="AH90" s="184">
        <f t="shared" si="74"/>
        <v>23</v>
      </c>
      <c r="AI90" s="532"/>
      <c r="AJ90" s="190">
        <v>4</v>
      </c>
      <c r="AK90" s="190">
        <v>2922.7166276346634</v>
      </c>
      <c r="AL90" s="187">
        <f t="shared" si="75"/>
        <v>730.67915690866585</v>
      </c>
      <c r="AM90" s="184">
        <f t="shared" si="76"/>
        <v>24</v>
      </c>
      <c r="AN90" s="532"/>
      <c r="AO90" s="190">
        <v>4</v>
      </c>
      <c r="AP90" s="190">
        <v>2922.8441754916821</v>
      </c>
      <c r="AQ90" s="187">
        <f t="shared" si="77"/>
        <v>730.71104387292053</v>
      </c>
      <c r="AR90" s="184">
        <f t="shared" si="78"/>
        <v>24</v>
      </c>
      <c r="AS90" s="532"/>
      <c r="AT90" s="190">
        <v>4</v>
      </c>
      <c r="AU90" s="190">
        <v>2925.1174934725864</v>
      </c>
      <c r="AV90" s="187">
        <f t="shared" si="79"/>
        <v>731.27937336814659</v>
      </c>
      <c r="AW90" s="184">
        <f t="shared" si="80"/>
        <v>22</v>
      </c>
      <c r="AX90" s="532"/>
    </row>
    <row r="91" spans="1:50" ht="14.25" customHeight="1">
      <c r="B91" s="501"/>
      <c r="C91" s="182">
        <v>9</v>
      </c>
      <c r="D91" s="185" t="s">
        <v>464</v>
      </c>
      <c r="E91" s="186">
        <v>4</v>
      </c>
      <c r="F91" s="182">
        <v>3300</v>
      </c>
      <c r="G91" s="187">
        <f t="shared" si="67"/>
        <v>825</v>
      </c>
      <c r="H91" s="537"/>
      <c r="I91" s="188">
        <f t="shared" si="68"/>
        <v>4</v>
      </c>
      <c r="J91" s="188">
        <f t="shared" si="68"/>
        <v>2927.3159049264036</v>
      </c>
      <c r="K91" s="189">
        <f t="shared" si="68"/>
        <v>731.8289762316009</v>
      </c>
      <c r="L91" s="538"/>
      <c r="M91" s="188">
        <f>RANK(K91, K$83:$K$115)</f>
        <v>20</v>
      </c>
      <c r="N91" s="552"/>
      <c r="O91" s="536"/>
      <c r="P91" s="190">
        <v>4</v>
      </c>
      <c r="Q91" s="190">
        <v>2926.4733395697026</v>
      </c>
      <c r="R91" s="187">
        <f t="shared" si="65"/>
        <v>731.61833489242565</v>
      </c>
      <c r="S91" s="184">
        <f t="shared" si="69"/>
        <v>20</v>
      </c>
      <c r="T91" s="532"/>
      <c r="U91" s="190">
        <v>4</v>
      </c>
      <c r="V91" s="190">
        <v>2926.883720930241</v>
      </c>
      <c r="W91" s="187">
        <f t="shared" si="66"/>
        <v>731.72093023256025</v>
      </c>
      <c r="X91" s="184">
        <f t="shared" si="70"/>
        <v>20</v>
      </c>
      <c r="Y91" s="532"/>
      <c r="Z91" s="190">
        <v>4</v>
      </c>
      <c r="AA91" s="190">
        <v>2928.4974093264232</v>
      </c>
      <c r="AB91" s="187">
        <f t="shared" si="71"/>
        <v>732.12435233160579</v>
      </c>
      <c r="AC91" s="184">
        <f t="shared" si="72"/>
        <v>20</v>
      </c>
      <c r="AD91" s="532"/>
      <c r="AE91" s="190">
        <v>4</v>
      </c>
      <c r="AF91" s="190">
        <v>2926.2857142857115</v>
      </c>
      <c r="AG91" s="187">
        <f t="shared" si="73"/>
        <v>731.57142857142787</v>
      </c>
      <c r="AH91" s="184">
        <f t="shared" si="74"/>
        <v>20</v>
      </c>
      <c r="AI91" s="532"/>
      <c r="AJ91" s="190">
        <v>4</v>
      </c>
      <c r="AK91" s="190">
        <v>2927.6470588235329</v>
      </c>
      <c r="AL91" s="187">
        <f t="shared" si="75"/>
        <v>731.91176470588323</v>
      </c>
      <c r="AM91" s="184">
        <f t="shared" si="76"/>
        <v>20</v>
      </c>
      <c r="AN91" s="532"/>
      <c r="AO91" s="190">
        <v>4</v>
      </c>
      <c r="AP91" s="190">
        <v>2927.4725274725329</v>
      </c>
      <c r="AQ91" s="187">
        <f t="shared" si="77"/>
        <v>731.86813186813322</v>
      </c>
      <c r="AR91" s="184">
        <f t="shared" si="78"/>
        <v>20</v>
      </c>
      <c r="AS91" s="532"/>
      <c r="AT91" s="190">
        <v>4</v>
      </c>
      <c r="AU91" s="190">
        <v>2927.9515640766817</v>
      </c>
      <c r="AV91" s="187">
        <f t="shared" si="79"/>
        <v>731.98789101917043</v>
      </c>
      <c r="AW91" s="184">
        <f t="shared" si="80"/>
        <v>20</v>
      </c>
      <c r="AX91" s="532"/>
    </row>
    <row r="92" spans="1:50" ht="14.25" customHeight="1">
      <c r="B92" s="501"/>
      <c r="C92" s="182">
        <v>10</v>
      </c>
      <c r="D92" s="185" t="s">
        <v>407</v>
      </c>
      <c r="E92" s="186">
        <v>4</v>
      </c>
      <c r="F92" s="182">
        <v>3300</v>
      </c>
      <c r="G92" s="187">
        <f t="shared" si="67"/>
        <v>825</v>
      </c>
      <c r="H92" s="537"/>
      <c r="I92" s="188">
        <f t="shared" si="68"/>
        <v>4</v>
      </c>
      <c r="J92" s="188">
        <f t="shared" si="68"/>
        <v>2924.3526145439878</v>
      </c>
      <c r="K92" s="189">
        <f t="shared" si="68"/>
        <v>731.08815363599695</v>
      </c>
      <c r="L92" s="538"/>
      <c r="M92" s="188">
        <f>RANK(K92, K$83:$K$115)</f>
        <v>22</v>
      </c>
      <c r="N92" s="552"/>
      <c r="O92" s="536"/>
      <c r="P92" s="190">
        <v>4</v>
      </c>
      <c r="Q92" s="190">
        <v>2924.5033112582796</v>
      </c>
      <c r="R92" s="187">
        <f t="shared" si="65"/>
        <v>731.1258278145699</v>
      </c>
      <c r="S92" s="184">
        <f t="shared" si="69"/>
        <v>21</v>
      </c>
      <c r="T92" s="532"/>
      <c r="U92" s="190">
        <v>4</v>
      </c>
      <c r="V92" s="190">
        <v>2925.2003561887805</v>
      </c>
      <c r="W92" s="187">
        <f t="shared" si="66"/>
        <v>731.30008904719512</v>
      </c>
      <c r="X92" s="184">
        <f t="shared" si="70"/>
        <v>21</v>
      </c>
      <c r="Y92" s="532"/>
      <c r="Z92" s="190">
        <v>4</v>
      </c>
      <c r="AA92" s="190">
        <v>2924.3697478991608</v>
      </c>
      <c r="AB92" s="187">
        <f t="shared" si="71"/>
        <v>731.09243697479019</v>
      </c>
      <c r="AC92" s="184">
        <f t="shared" si="72"/>
        <v>21</v>
      </c>
      <c r="AD92" s="532"/>
      <c r="AE92" s="190">
        <v>4</v>
      </c>
      <c r="AF92" s="190">
        <v>2923.847467273763</v>
      </c>
      <c r="AG92" s="187">
        <f t="shared" si="73"/>
        <v>730.96186681844074</v>
      </c>
      <c r="AH92" s="184">
        <f t="shared" si="74"/>
        <v>22</v>
      </c>
      <c r="AI92" s="532"/>
      <c r="AJ92" s="190">
        <v>4</v>
      </c>
      <c r="AK92" s="190">
        <v>2924.0271772699157</v>
      </c>
      <c r="AL92" s="187">
        <f t="shared" si="75"/>
        <v>731.00679431747892</v>
      </c>
      <c r="AM92" s="184">
        <f t="shared" si="76"/>
        <v>22</v>
      </c>
      <c r="AN92" s="532"/>
      <c r="AO92" s="190">
        <v>4</v>
      </c>
      <c r="AP92" s="190">
        <v>2923.8260869565243</v>
      </c>
      <c r="AQ92" s="187">
        <f t="shared" si="77"/>
        <v>730.95652173913106</v>
      </c>
      <c r="AR92" s="184">
        <f t="shared" si="78"/>
        <v>23</v>
      </c>
      <c r="AS92" s="532"/>
      <c r="AT92" s="190">
        <v>4</v>
      </c>
      <c r="AU92" s="190">
        <v>2924.6941549614885</v>
      </c>
      <c r="AV92" s="187">
        <f t="shared" si="79"/>
        <v>731.17353874037212</v>
      </c>
      <c r="AW92" s="184">
        <f t="shared" si="80"/>
        <v>24</v>
      </c>
      <c r="AX92" s="532"/>
    </row>
    <row r="93" spans="1:50" ht="14.25" customHeight="1">
      <c r="B93" s="501"/>
      <c r="C93" s="182">
        <v>11</v>
      </c>
      <c r="D93" s="185" t="s">
        <v>473</v>
      </c>
      <c r="E93" s="186">
        <v>4</v>
      </c>
      <c r="F93" s="182">
        <v>3300</v>
      </c>
      <c r="G93" s="187">
        <f t="shared" si="67"/>
        <v>825</v>
      </c>
      <c r="H93" s="537"/>
      <c r="I93" s="188">
        <f t="shared" si="68"/>
        <v>4</v>
      </c>
      <c r="J93" s="188">
        <f t="shared" si="68"/>
        <v>2954.256965703014</v>
      </c>
      <c r="K93" s="189">
        <f t="shared" si="68"/>
        <v>738.56424142575349</v>
      </c>
      <c r="L93" s="538"/>
      <c r="M93" s="188">
        <f>RANK(K93, K$83:$K$115)</f>
        <v>13</v>
      </c>
      <c r="N93" s="552"/>
      <c r="O93" s="536"/>
      <c r="P93" s="190">
        <v>4</v>
      </c>
      <c r="Q93" s="190">
        <v>2954.4707588206857</v>
      </c>
      <c r="R93" s="187">
        <f t="shared" si="65"/>
        <v>738.61768970517141</v>
      </c>
      <c r="S93" s="184">
        <f t="shared" si="69"/>
        <v>13</v>
      </c>
      <c r="T93" s="532"/>
      <c r="U93" s="190">
        <v>4</v>
      </c>
      <c r="V93" s="190">
        <v>2954.1586073500985</v>
      </c>
      <c r="W93" s="187">
        <f t="shared" si="66"/>
        <v>738.53965183752462</v>
      </c>
      <c r="X93" s="184">
        <f t="shared" si="70"/>
        <v>13</v>
      </c>
      <c r="Y93" s="532"/>
      <c r="Z93" s="190">
        <v>4</v>
      </c>
      <c r="AA93" s="190">
        <v>2953.6609829488489</v>
      </c>
      <c r="AB93" s="187">
        <f t="shared" si="71"/>
        <v>738.41524573721222</v>
      </c>
      <c r="AC93" s="184">
        <f t="shared" si="72"/>
        <v>13</v>
      </c>
      <c r="AD93" s="532"/>
      <c r="AE93" s="190">
        <v>4</v>
      </c>
      <c r="AF93" s="190">
        <v>2954.3225806451592</v>
      </c>
      <c r="AG93" s="187">
        <f t="shared" si="73"/>
        <v>738.58064516128979</v>
      </c>
      <c r="AH93" s="184">
        <f t="shared" si="74"/>
        <v>13</v>
      </c>
      <c r="AI93" s="532"/>
      <c r="AJ93" s="190">
        <v>4</v>
      </c>
      <c r="AK93" s="190">
        <v>2954.5003543586076</v>
      </c>
      <c r="AL93" s="187">
        <f t="shared" si="75"/>
        <v>738.62508858965191</v>
      </c>
      <c r="AM93" s="184">
        <f t="shared" si="76"/>
        <v>13</v>
      </c>
      <c r="AN93" s="532"/>
      <c r="AO93" s="190">
        <v>4</v>
      </c>
      <c r="AP93" s="190">
        <v>2954.6099290780157</v>
      </c>
      <c r="AQ93" s="187">
        <f t="shared" si="77"/>
        <v>738.65248226950393</v>
      </c>
      <c r="AR93" s="184">
        <f t="shared" si="78"/>
        <v>14</v>
      </c>
      <c r="AS93" s="532"/>
      <c r="AT93" s="190">
        <v>4</v>
      </c>
      <c r="AU93" s="190">
        <v>2954.0755467196805</v>
      </c>
      <c r="AV93" s="187">
        <f t="shared" si="79"/>
        <v>738.51888667992012</v>
      </c>
      <c r="AW93" s="184">
        <f t="shared" si="80"/>
        <v>14</v>
      </c>
      <c r="AX93" s="532"/>
    </row>
    <row r="94" spans="1:50" ht="14.25" customHeight="1">
      <c r="B94" s="501"/>
      <c r="C94" s="182">
        <v>12</v>
      </c>
      <c r="D94" s="185" t="s">
        <v>231</v>
      </c>
      <c r="E94" s="186">
        <v>3</v>
      </c>
      <c r="F94" s="182">
        <v>3000</v>
      </c>
      <c r="G94" s="187">
        <f t="shared" si="67"/>
        <v>1000</v>
      </c>
      <c r="H94" s="537"/>
      <c r="I94" s="188">
        <f t="shared" si="68"/>
        <v>3</v>
      </c>
      <c r="J94" s="188">
        <f t="shared" si="68"/>
        <v>2686.4190884602822</v>
      </c>
      <c r="K94" s="189">
        <f t="shared" si="68"/>
        <v>895.47302948676077</v>
      </c>
      <c r="L94" s="538"/>
      <c r="M94" s="188">
        <f>RANK(K94, K$83:$K$115)</f>
        <v>11</v>
      </c>
      <c r="N94" s="552"/>
      <c r="O94" s="536"/>
      <c r="P94" s="190">
        <v>3</v>
      </c>
      <c r="Q94" s="190">
        <v>2685.7808082487959</v>
      </c>
      <c r="R94" s="187">
        <f t="shared" si="65"/>
        <v>895.26026941626526</v>
      </c>
      <c r="S94" s="184">
        <f t="shared" si="69"/>
        <v>11</v>
      </c>
      <c r="T94" s="532"/>
      <c r="U94" s="190">
        <v>3</v>
      </c>
      <c r="V94" s="190">
        <v>2685.8655373213346</v>
      </c>
      <c r="W94" s="187">
        <f t="shared" si="66"/>
        <v>895.28851244044483</v>
      </c>
      <c r="X94" s="184">
        <f t="shared" si="70"/>
        <v>11</v>
      </c>
      <c r="Y94" s="532"/>
      <c r="Z94" s="190">
        <v>3</v>
      </c>
      <c r="AA94" s="190">
        <v>2685.9221535103675</v>
      </c>
      <c r="AB94" s="187">
        <f t="shared" si="71"/>
        <v>895.30738450345586</v>
      </c>
      <c r="AC94" s="184">
        <f t="shared" si="72"/>
        <v>11</v>
      </c>
      <c r="AD94" s="532"/>
      <c r="AE94" s="190">
        <v>3</v>
      </c>
      <c r="AF94" s="190">
        <v>2686.6858026054333</v>
      </c>
      <c r="AG94" s="187">
        <f t="shared" si="73"/>
        <v>895.56193420181114</v>
      </c>
      <c r="AH94" s="184">
        <f t="shared" si="74"/>
        <v>11</v>
      </c>
      <c r="AI94" s="532"/>
      <c r="AJ94" s="190">
        <v>3</v>
      </c>
      <c r="AK94" s="190">
        <v>2686.8493150684935</v>
      </c>
      <c r="AL94" s="187">
        <f t="shared" si="75"/>
        <v>895.61643835616451</v>
      </c>
      <c r="AM94" s="184">
        <f t="shared" si="76"/>
        <v>11</v>
      </c>
      <c r="AN94" s="532"/>
      <c r="AO94" s="190">
        <v>3</v>
      </c>
      <c r="AP94" s="190">
        <v>2686.8035190615833</v>
      </c>
      <c r="AQ94" s="187">
        <f t="shared" si="77"/>
        <v>895.60117302052777</v>
      </c>
      <c r="AR94" s="184">
        <f t="shared" si="78"/>
        <v>11</v>
      </c>
      <c r="AS94" s="532"/>
      <c r="AT94" s="190">
        <v>3</v>
      </c>
      <c r="AU94" s="190">
        <v>2687.0264834059672</v>
      </c>
      <c r="AV94" s="187">
        <f t="shared" si="79"/>
        <v>895.67549446865576</v>
      </c>
      <c r="AW94" s="184">
        <f t="shared" si="80"/>
        <v>11</v>
      </c>
      <c r="AX94" s="532"/>
    </row>
    <row r="95" spans="1:50" ht="14.25" customHeight="1">
      <c r="B95" s="501"/>
      <c r="C95" s="182">
        <v>13</v>
      </c>
      <c r="D95" s="185" t="s">
        <v>501</v>
      </c>
      <c r="E95" s="186">
        <v>12</v>
      </c>
      <c r="F95" s="182">
        <v>3600</v>
      </c>
      <c r="G95" s="187">
        <f t="shared" si="67"/>
        <v>300</v>
      </c>
      <c r="H95" s="537"/>
      <c r="I95" s="188">
        <f t="shared" si="68"/>
        <v>12</v>
      </c>
      <c r="J95" s="188">
        <f t="shared" si="68"/>
        <v>3114.2961227742976</v>
      </c>
      <c r="K95" s="189">
        <f t="shared" si="68"/>
        <v>259.52467689785823</v>
      </c>
      <c r="L95" s="538"/>
      <c r="M95" s="188">
        <f>RANK(K95, K$83:$K$115)</f>
        <v>32</v>
      </c>
      <c r="N95" s="552"/>
      <c r="O95" s="536"/>
      <c r="P95" s="190">
        <v>12</v>
      </c>
      <c r="Q95" s="190">
        <v>3112.8848346636273</v>
      </c>
      <c r="R95" s="187">
        <f t="shared" si="65"/>
        <v>259.40706955530226</v>
      </c>
      <c r="S95" s="184">
        <f t="shared" si="69"/>
        <v>32</v>
      </c>
      <c r="T95" s="532"/>
      <c r="U95" s="190">
        <v>12</v>
      </c>
      <c r="V95" s="190">
        <v>3113.6986301369825</v>
      </c>
      <c r="W95" s="187">
        <f t="shared" si="66"/>
        <v>259.47488584474854</v>
      </c>
      <c r="X95" s="184">
        <f t="shared" si="70"/>
        <v>32</v>
      </c>
      <c r="Y95" s="532"/>
      <c r="Z95" s="190">
        <v>12</v>
      </c>
      <c r="AA95" s="190">
        <v>3113.4746101559363</v>
      </c>
      <c r="AB95" s="187">
        <f t="shared" si="71"/>
        <v>259.45621751299467</v>
      </c>
      <c r="AC95" s="184">
        <f t="shared" si="72"/>
        <v>32</v>
      </c>
      <c r="AD95" s="532"/>
      <c r="AE95" s="190">
        <v>12</v>
      </c>
      <c r="AF95" s="190">
        <v>3113.9312977099239</v>
      </c>
      <c r="AG95" s="187">
        <f t="shared" si="73"/>
        <v>259.49427480916034</v>
      </c>
      <c r="AH95" s="184">
        <f t="shared" si="74"/>
        <v>32</v>
      </c>
      <c r="AI95" s="532"/>
      <c r="AJ95" s="190">
        <v>12</v>
      </c>
      <c r="AK95" s="190">
        <v>3114.6666666666665</v>
      </c>
      <c r="AL95" s="187">
        <f t="shared" si="75"/>
        <v>259.55555555555554</v>
      </c>
      <c r="AM95" s="184">
        <f t="shared" si="76"/>
        <v>32</v>
      </c>
      <c r="AN95" s="532"/>
      <c r="AO95" s="190">
        <v>12</v>
      </c>
      <c r="AP95" s="190">
        <v>3115.1020408163254</v>
      </c>
      <c r="AQ95" s="187">
        <f t="shared" si="77"/>
        <v>259.5918367346938</v>
      </c>
      <c r="AR95" s="184">
        <f t="shared" si="78"/>
        <v>32</v>
      </c>
      <c r="AS95" s="532"/>
      <c r="AT95" s="190">
        <v>12</v>
      </c>
      <c r="AU95" s="190">
        <v>3116.3147792706263</v>
      </c>
      <c r="AV95" s="187">
        <f t="shared" si="79"/>
        <v>259.69289827255221</v>
      </c>
      <c r="AW95" s="184">
        <f t="shared" si="80"/>
        <v>31</v>
      </c>
      <c r="AX95" s="532"/>
    </row>
    <row r="96" spans="1:50" ht="14.25" customHeight="1">
      <c r="B96" s="501"/>
      <c r="C96" s="182">
        <v>14</v>
      </c>
      <c r="D96" s="185" t="s">
        <v>586</v>
      </c>
      <c r="E96" s="186">
        <v>3</v>
      </c>
      <c r="F96" s="182">
        <v>3300</v>
      </c>
      <c r="G96" s="187">
        <f t="shared" si="67"/>
        <v>1100</v>
      </c>
      <c r="H96" s="537"/>
      <c r="I96" s="188">
        <f t="shared" si="68"/>
        <v>3</v>
      </c>
      <c r="J96" s="188">
        <f t="shared" si="68"/>
        <v>2949.2436665817372</v>
      </c>
      <c r="K96" s="189">
        <f t="shared" si="68"/>
        <v>983.08122219391248</v>
      </c>
      <c r="L96" s="538"/>
      <c r="M96" s="188">
        <f>RANK(K96, K$83:$K$115)</f>
        <v>8</v>
      </c>
      <c r="N96" s="552"/>
      <c r="O96" s="536"/>
      <c r="P96" s="190">
        <v>3</v>
      </c>
      <c r="Q96" s="190">
        <v>2949.1628614916272</v>
      </c>
      <c r="R96" s="187">
        <f t="shared" si="65"/>
        <v>983.05428716387576</v>
      </c>
      <c r="S96" s="184">
        <f t="shared" si="69"/>
        <v>8</v>
      </c>
      <c r="T96" s="532"/>
      <c r="U96" s="190">
        <v>3</v>
      </c>
      <c r="V96" s="190">
        <v>2948.9232839838492</v>
      </c>
      <c r="W96" s="187">
        <f t="shared" si="66"/>
        <v>982.97442799461635</v>
      </c>
      <c r="X96" s="184">
        <f t="shared" si="70"/>
        <v>8</v>
      </c>
      <c r="Y96" s="532"/>
      <c r="Z96" s="190">
        <v>3</v>
      </c>
      <c r="AA96" s="190">
        <v>2949.3433395872439</v>
      </c>
      <c r="AB96" s="187">
        <f t="shared" si="71"/>
        <v>983.11444652908131</v>
      </c>
      <c r="AC96" s="184">
        <f t="shared" si="72"/>
        <v>8</v>
      </c>
      <c r="AD96" s="532"/>
      <c r="AE96" s="190">
        <v>3</v>
      </c>
      <c r="AF96" s="190">
        <v>2949.2375799311367</v>
      </c>
      <c r="AG96" s="187">
        <f t="shared" si="73"/>
        <v>983.07919331037886</v>
      </c>
      <c r="AH96" s="184">
        <f t="shared" si="74"/>
        <v>8</v>
      </c>
      <c r="AI96" s="532"/>
      <c r="AJ96" s="190">
        <v>3</v>
      </c>
      <c r="AK96" s="190">
        <v>2949.1886409736298</v>
      </c>
      <c r="AL96" s="187">
        <f t="shared" si="75"/>
        <v>983.06288032454324</v>
      </c>
      <c r="AM96" s="184">
        <f t="shared" si="76"/>
        <v>8</v>
      </c>
      <c r="AN96" s="532"/>
      <c r="AO96" s="190">
        <v>3</v>
      </c>
      <c r="AP96" s="190">
        <v>2949.2671927846663</v>
      </c>
      <c r="AQ96" s="187">
        <f t="shared" si="77"/>
        <v>983.08906426155545</v>
      </c>
      <c r="AR96" s="184">
        <f t="shared" si="78"/>
        <v>8</v>
      </c>
      <c r="AS96" s="532"/>
      <c r="AT96" s="190">
        <v>3</v>
      </c>
      <c r="AU96" s="190">
        <v>2949.5827673200088</v>
      </c>
      <c r="AV96" s="187">
        <f t="shared" si="79"/>
        <v>983.19425577333629</v>
      </c>
      <c r="AW96" s="184">
        <f t="shared" si="80"/>
        <v>8</v>
      </c>
      <c r="AX96" s="532"/>
    </row>
    <row r="97" spans="2:50" ht="14.25" customHeight="1">
      <c r="B97" s="501"/>
      <c r="C97" s="182">
        <v>15</v>
      </c>
      <c r="D97" s="185" t="s">
        <v>661</v>
      </c>
      <c r="E97" s="186">
        <v>4</v>
      </c>
      <c r="F97" s="182">
        <v>3300</v>
      </c>
      <c r="G97" s="187">
        <f t="shared" si="67"/>
        <v>825</v>
      </c>
      <c r="H97" s="537"/>
      <c r="I97" s="188">
        <f t="shared" si="68"/>
        <v>4</v>
      </c>
      <c r="J97" s="188">
        <f t="shared" si="68"/>
        <v>2950.0564051350179</v>
      </c>
      <c r="K97" s="189">
        <f t="shared" si="68"/>
        <v>737.51410128375448</v>
      </c>
      <c r="L97" s="538"/>
      <c r="M97" s="188">
        <f>RANK(K97, K$83:$K$115)</f>
        <v>16</v>
      </c>
      <c r="N97" s="552"/>
      <c r="O97" s="536"/>
      <c r="P97" s="190">
        <v>4</v>
      </c>
      <c r="Q97" s="190">
        <v>2949.1349480968861</v>
      </c>
      <c r="R97" s="187">
        <f t="shared" si="65"/>
        <v>737.28373702422152</v>
      </c>
      <c r="S97" s="184">
        <f t="shared" si="69"/>
        <v>16</v>
      </c>
      <c r="T97" s="532"/>
      <c r="U97" s="190">
        <v>4</v>
      </c>
      <c r="V97" s="190">
        <v>2949.2246344705368</v>
      </c>
      <c r="W97" s="187">
        <f t="shared" si="66"/>
        <v>737.3061586176342</v>
      </c>
      <c r="X97" s="184">
        <f t="shared" si="70"/>
        <v>16</v>
      </c>
      <c r="Y97" s="532"/>
      <c r="Z97" s="190">
        <v>4</v>
      </c>
      <c r="AA97" s="190">
        <v>2949.2591748347381</v>
      </c>
      <c r="AB97" s="187">
        <f t="shared" si="71"/>
        <v>737.31479370868453</v>
      </c>
      <c r="AC97" s="184">
        <f t="shared" si="72"/>
        <v>16</v>
      </c>
      <c r="AD97" s="532"/>
      <c r="AE97" s="190">
        <v>4</v>
      </c>
      <c r="AF97" s="190">
        <v>2949.6958476593509</v>
      </c>
      <c r="AG97" s="187">
        <f t="shared" si="73"/>
        <v>737.42396191483772</v>
      </c>
      <c r="AH97" s="184">
        <f t="shared" si="74"/>
        <v>16</v>
      </c>
      <c r="AI97" s="532"/>
      <c r="AJ97" s="190">
        <v>4</v>
      </c>
      <c r="AK97" s="190">
        <v>2950.3116651825476</v>
      </c>
      <c r="AL97" s="187">
        <f t="shared" si="75"/>
        <v>737.5779162956369</v>
      </c>
      <c r="AM97" s="184">
        <f t="shared" si="76"/>
        <v>16</v>
      </c>
      <c r="AN97" s="532"/>
      <c r="AO97" s="190">
        <v>4</v>
      </c>
      <c r="AP97" s="190">
        <v>2951.3799955840132</v>
      </c>
      <c r="AQ97" s="187">
        <f t="shared" si="77"/>
        <v>737.84499889600329</v>
      </c>
      <c r="AR97" s="184">
        <f t="shared" si="78"/>
        <v>15</v>
      </c>
      <c r="AS97" s="532"/>
      <c r="AT97" s="190">
        <v>4</v>
      </c>
      <c r="AU97" s="190">
        <v>2951.388570117052</v>
      </c>
      <c r="AV97" s="187">
        <f t="shared" si="79"/>
        <v>737.84714252926301</v>
      </c>
      <c r="AW97" s="184">
        <f t="shared" si="80"/>
        <v>15</v>
      </c>
      <c r="AX97" s="532"/>
    </row>
    <row r="98" spans="2:50" ht="14.25" customHeight="1">
      <c r="B98" s="501"/>
      <c r="C98" s="182">
        <v>16</v>
      </c>
      <c r="D98" s="185" t="s">
        <v>685</v>
      </c>
      <c r="E98" s="186">
        <v>5</v>
      </c>
      <c r="F98" s="182">
        <v>3000</v>
      </c>
      <c r="G98" s="187">
        <f t="shared" si="67"/>
        <v>600</v>
      </c>
      <c r="H98" s="537"/>
      <c r="I98" s="188">
        <f t="shared" si="68"/>
        <v>5</v>
      </c>
      <c r="J98" s="188">
        <f t="shared" si="68"/>
        <v>2566.1203728251248</v>
      </c>
      <c r="K98" s="189">
        <f t="shared" si="68"/>
        <v>513.22407456502503</v>
      </c>
      <c r="L98" s="538"/>
      <c r="M98" s="188">
        <f>RANK(K98, K$83:$K$115)</f>
        <v>30</v>
      </c>
      <c r="N98" s="552"/>
      <c r="O98" s="536"/>
      <c r="P98" s="190">
        <v>5</v>
      </c>
      <c r="Q98" s="190">
        <v>2449.3423572979177</v>
      </c>
      <c r="R98" s="187">
        <f t="shared" si="65"/>
        <v>489.86847145958353</v>
      </c>
      <c r="S98" s="184">
        <f t="shared" si="69"/>
        <v>30</v>
      </c>
      <c r="T98" s="532"/>
      <c r="U98" s="190">
        <v>5</v>
      </c>
      <c r="V98" s="190">
        <v>2488.9411764705878</v>
      </c>
      <c r="W98" s="187">
        <f t="shared" si="66"/>
        <v>497.78823529411756</v>
      </c>
      <c r="X98" s="184">
        <f t="shared" si="70"/>
        <v>30</v>
      </c>
      <c r="Y98" s="532"/>
      <c r="Z98" s="190">
        <v>5</v>
      </c>
      <c r="AA98" s="190">
        <v>2529.4929006085194</v>
      </c>
      <c r="AB98" s="187">
        <f t="shared" si="71"/>
        <v>505.8985801217039</v>
      </c>
      <c r="AC98" s="184">
        <f t="shared" si="72"/>
        <v>30</v>
      </c>
      <c r="AD98" s="532"/>
      <c r="AE98" s="190">
        <v>5</v>
      </c>
      <c r="AF98" s="190">
        <v>2568.2963965488048</v>
      </c>
      <c r="AG98" s="187">
        <f t="shared" si="73"/>
        <v>513.6592793097609</v>
      </c>
      <c r="AH98" s="184">
        <f t="shared" si="74"/>
        <v>30</v>
      </c>
      <c r="AI98" s="532"/>
      <c r="AJ98" s="190">
        <v>5</v>
      </c>
      <c r="AK98" s="190">
        <v>2604.2831215970955</v>
      </c>
      <c r="AL98" s="187">
        <f t="shared" si="75"/>
        <v>520.8566243194191</v>
      </c>
      <c r="AM98" s="184">
        <f t="shared" si="76"/>
        <v>30</v>
      </c>
      <c r="AN98" s="532"/>
      <c r="AO98" s="190">
        <v>5</v>
      </c>
      <c r="AP98" s="190">
        <v>2640.9118541033422</v>
      </c>
      <c r="AQ98" s="187">
        <f t="shared" si="77"/>
        <v>528.18237082066844</v>
      </c>
      <c r="AR98" s="184">
        <f t="shared" si="78"/>
        <v>30</v>
      </c>
      <c r="AS98" s="532"/>
      <c r="AT98" s="190">
        <v>5</v>
      </c>
      <c r="AU98" s="190">
        <v>2681.5748031496078</v>
      </c>
      <c r="AV98" s="187">
        <f t="shared" si="79"/>
        <v>536.31496062992153</v>
      </c>
      <c r="AW98" s="184">
        <f t="shared" si="80"/>
        <v>29</v>
      </c>
      <c r="AX98" s="532"/>
    </row>
    <row r="99" spans="2:50" ht="14.25" customHeight="1">
      <c r="B99" s="501"/>
      <c r="C99" s="182">
        <v>17</v>
      </c>
      <c r="D99" s="185" t="s">
        <v>421</v>
      </c>
      <c r="E99" s="186">
        <v>4</v>
      </c>
      <c r="F99" s="182">
        <v>3300</v>
      </c>
      <c r="G99" s="187">
        <f t="shared" si="67"/>
        <v>825</v>
      </c>
      <c r="H99" s="537"/>
      <c r="I99" s="188">
        <f t="shared" si="68"/>
        <v>4</v>
      </c>
      <c r="J99" s="188">
        <f t="shared" si="68"/>
        <v>2949.292098961369</v>
      </c>
      <c r="K99" s="189">
        <f t="shared" si="68"/>
        <v>737.32302474034225</v>
      </c>
      <c r="L99" s="538"/>
      <c r="M99" s="188">
        <f>RANK(K99, K$83:$K$115)</f>
        <v>17</v>
      </c>
      <c r="N99" s="552"/>
      <c r="O99" s="536"/>
      <c r="P99" s="190">
        <v>4</v>
      </c>
      <c r="Q99" s="190">
        <v>2948.8812961534204</v>
      </c>
      <c r="R99" s="187">
        <f t="shared" si="65"/>
        <v>737.2203240383551</v>
      </c>
      <c r="S99" s="184">
        <f t="shared" si="69"/>
        <v>17</v>
      </c>
      <c r="T99" s="532"/>
      <c r="U99" s="190">
        <v>4</v>
      </c>
      <c r="V99" s="190">
        <v>2948.8210818307907</v>
      </c>
      <c r="W99" s="187">
        <f t="shared" si="66"/>
        <v>737.20527045769768</v>
      </c>
      <c r="X99" s="184">
        <f t="shared" si="70"/>
        <v>18</v>
      </c>
      <c r="Y99" s="532"/>
      <c r="Z99" s="190">
        <v>4</v>
      </c>
      <c r="AA99" s="190">
        <v>2949.0104772991854</v>
      </c>
      <c r="AB99" s="187">
        <f t="shared" si="71"/>
        <v>737.25261932479634</v>
      </c>
      <c r="AC99" s="184">
        <f t="shared" si="72"/>
        <v>18</v>
      </c>
      <c r="AD99" s="532"/>
      <c r="AE99" s="190">
        <v>4</v>
      </c>
      <c r="AF99" s="190">
        <v>2948.9058792512524</v>
      </c>
      <c r="AG99" s="187">
        <f t="shared" si="73"/>
        <v>737.22646981281309</v>
      </c>
      <c r="AH99" s="184">
        <f t="shared" si="74"/>
        <v>17</v>
      </c>
      <c r="AI99" s="532"/>
      <c r="AJ99" s="190">
        <v>4</v>
      </c>
      <c r="AK99" s="190">
        <v>2949.7502613543979</v>
      </c>
      <c r="AL99" s="187">
        <f t="shared" si="75"/>
        <v>737.43756533859948</v>
      </c>
      <c r="AM99" s="184">
        <f t="shared" si="76"/>
        <v>17</v>
      </c>
      <c r="AN99" s="532"/>
      <c r="AO99" s="190">
        <v>4</v>
      </c>
      <c r="AP99" s="190">
        <v>2949.8340248962663</v>
      </c>
      <c r="AQ99" s="187">
        <f t="shared" si="77"/>
        <v>737.45850622406658</v>
      </c>
      <c r="AR99" s="184">
        <f t="shared" si="78"/>
        <v>17</v>
      </c>
      <c r="AS99" s="532"/>
      <c r="AT99" s="190">
        <v>4</v>
      </c>
      <c r="AU99" s="190">
        <v>2949.8416719442671</v>
      </c>
      <c r="AV99" s="187">
        <f t="shared" si="79"/>
        <v>737.46041798606677</v>
      </c>
      <c r="AW99" s="184">
        <f t="shared" si="80"/>
        <v>17</v>
      </c>
      <c r="AX99" s="532"/>
    </row>
    <row r="100" spans="2:50" ht="14.25" customHeight="1">
      <c r="B100" s="501"/>
      <c r="C100" s="182">
        <v>18</v>
      </c>
      <c r="D100" s="185" t="s">
        <v>420</v>
      </c>
      <c r="E100" s="186">
        <v>3</v>
      </c>
      <c r="F100" s="182">
        <v>3600</v>
      </c>
      <c r="G100" s="187">
        <f t="shared" si="67"/>
        <v>1200</v>
      </c>
      <c r="H100" s="537"/>
      <c r="I100" s="188">
        <f t="shared" si="68"/>
        <v>3</v>
      </c>
      <c r="J100" s="188">
        <f t="shared" si="68"/>
        <v>3118.9764455238401</v>
      </c>
      <c r="K100" s="189">
        <f t="shared" si="68"/>
        <v>1039.6588151746134</v>
      </c>
      <c r="L100" s="538"/>
      <c r="M100" s="188">
        <f>RANK(K100, K$83:$K$115)</f>
        <v>4</v>
      </c>
      <c r="N100" s="552"/>
      <c r="O100" s="536"/>
      <c r="P100" s="190">
        <v>3</v>
      </c>
      <c r="Q100" s="190">
        <v>3118.9141248155547</v>
      </c>
      <c r="R100" s="187">
        <f t="shared" si="65"/>
        <v>1039.638041605185</v>
      </c>
      <c r="S100" s="184">
        <f t="shared" si="69"/>
        <v>4</v>
      </c>
      <c r="T100" s="532"/>
      <c r="U100" s="190">
        <v>3</v>
      </c>
      <c r="V100" s="190">
        <v>3118.9527667807265</v>
      </c>
      <c r="W100" s="187">
        <f t="shared" si="66"/>
        <v>1039.6509222602422</v>
      </c>
      <c r="X100" s="184">
        <f t="shared" si="70"/>
        <v>4</v>
      </c>
      <c r="Y100" s="532"/>
      <c r="Z100" s="190">
        <v>3</v>
      </c>
      <c r="AA100" s="190">
        <v>3118.9367707625229</v>
      </c>
      <c r="AB100" s="187">
        <f t="shared" si="71"/>
        <v>1039.6455902541743</v>
      </c>
      <c r="AC100" s="184">
        <f t="shared" si="72"/>
        <v>4</v>
      </c>
      <c r="AD100" s="532"/>
      <c r="AE100" s="190">
        <v>3</v>
      </c>
      <c r="AF100" s="190">
        <v>3118.9299509569009</v>
      </c>
      <c r="AG100" s="187">
        <f t="shared" si="73"/>
        <v>1039.6433169856336</v>
      </c>
      <c r="AH100" s="184">
        <f t="shared" si="74"/>
        <v>4</v>
      </c>
      <c r="AI100" s="532"/>
      <c r="AJ100" s="190">
        <v>3</v>
      </c>
      <c r="AK100" s="190">
        <v>3118.7860828204975</v>
      </c>
      <c r="AL100" s="187">
        <f t="shared" si="75"/>
        <v>1039.5953609401658</v>
      </c>
      <c r="AM100" s="184">
        <f t="shared" si="76"/>
        <v>4</v>
      </c>
      <c r="AN100" s="532"/>
      <c r="AO100" s="190">
        <v>3</v>
      </c>
      <c r="AP100" s="190">
        <v>3118.7554971718573</v>
      </c>
      <c r="AQ100" s="187">
        <f t="shared" si="77"/>
        <v>1039.5851657239525</v>
      </c>
      <c r="AR100" s="184">
        <f t="shared" si="78"/>
        <v>4</v>
      </c>
      <c r="AS100" s="532"/>
      <c r="AT100" s="190">
        <v>3</v>
      </c>
      <c r="AU100" s="190">
        <v>3119.5599253588234</v>
      </c>
      <c r="AV100" s="187">
        <f t="shared" si="79"/>
        <v>1039.8533084529411</v>
      </c>
      <c r="AW100" s="184">
        <f t="shared" si="80"/>
        <v>5</v>
      </c>
      <c r="AX100" s="532"/>
    </row>
    <row r="101" spans="2:50" ht="14.25" customHeight="1">
      <c r="B101" s="501"/>
      <c r="C101" s="182">
        <v>19</v>
      </c>
      <c r="D101" s="185" t="s">
        <v>422</v>
      </c>
      <c r="E101" s="186">
        <v>4</v>
      </c>
      <c r="F101" s="182">
        <v>3300</v>
      </c>
      <c r="G101" s="187">
        <f t="shared" si="67"/>
        <v>825</v>
      </c>
      <c r="H101" s="537"/>
      <c r="I101" s="188">
        <f t="shared" si="68"/>
        <v>4</v>
      </c>
      <c r="J101" s="188">
        <f t="shared" si="68"/>
        <v>2956.8833086691129</v>
      </c>
      <c r="K101" s="189">
        <f t="shared" si="68"/>
        <v>739.22082716727823</v>
      </c>
      <c r="L101" s="538"/>
      <c r="M101" s="188">
        <f>RANK(K101, K$83:$K$115)</f>
        <v>12</v>
      </c>
      <c r="N101" s="552"/>
      <c r="O101" s="536"/>
      <c r="P101" s="190">
        <v>4</v>
      </c>
      <c r="Q101" s="190">
        <v>2956.0435875943008</v>
      </c>
      <c r="R101" s="187">
        <f t="shared" si="65"/>
        <v>739.0108968985752</v>
      </c>
      <c r="S101" s="184">
        <f t="shared" si="69"/>
        <v>12</v>
      </c>
      <c r="T101" s="532"/>
      <c r="U101" s="190">
        <v>4</v>
      </c>
      <c r="V101" s="190">
        <v>2956.4567769477076</v>
      </c>
      <c r="W101" s="187">
        <f t="shared" si="66"/>
        <v>739.11419423692689</v>
      </c>
      <c r="X101" s="184">
        <f t="shared" si="70"/>
        <v>12</v>
      </c>
      <c r="Y101" s="532"/>
      <c r="Z101" s="190">
        <v>4</v>
      </c>
      <c r="AA101" s="190">
        <v>2956.8150617768165</v>
      </c>
      <c r="AB101" s="187">
        <f t="shared" si="71"/>
        <v>739.20376544420412</v>
      </c>
      <c r="AC101" s="184">
        <f t="shared" si="72"/>
        <v>12</v>
      </c>
      <c r="AD101" s="532"/>
      <c r="AE101" s="190">
        <v>4</v>
      </c>
      <c r="AF101" s="190">
        <v>2957.2457966373149</v>
      </c>
      <c r="AG101" s="187">
        <f t="shared" si="73"/>
        <v>739.31144915932873</v>
      </c>
      <c r="AH101" s="184">
        <f t="shared" si="74"/>
        <v>12</v>
      </c>
      <c r="AI101" s="532"/>
      <c r="AJ101" s="190">
        <v>4</v>
      </c>
      <c r="AK101" s="190">
        <v>2957.2107765451688</v>
      </c>
      <c r="AL101" s="187">
        <f t="shared" si="75"/>
        <v>739.30269413629219</v>
      </c>
      <c r="AM101" s="184">
        <f t="shared" si="76"/>
        <v>12</v>
      </c>
      <c r="AN101" s="532"/>
      <c r="AO101" s="190">
        <v>4</v>
      </c>
      <c r="AP101" s="190">
        <v>2957.1634846783209</v>
      </c>
      <c r="AQ101" s="187">
        <f t="shared" si="77"/>
        <v>739.29087116958021</v>
      </c>
      <c r="AR101" s="184">
        <f t="shared" si="78"/>
        <v>12</v>
      </c>
      <c r="AS101" s="532"/>
      <c r="AT101" s="190">
        <v>4</v>
      </c>
      <c r="AU101" s="190">
        <v>2957.2476765041597</v>
      </c>
      <c r="AV101" s="187">
        <f t="shared" si="79"/>
        <v>739.31191912603992</v>
      </c>
      <c r="AW101" s="184">
        <f t="shared" si="80"/>
        <v>12</v>
      </c>
      <c r="AX101" s="532"/>
    </row>
    <row r="102" spans="2:50" ht="14.25" customHeight="1">
      <c r="B102" s="501"/>
      <c r="C102" s="182">
        <v>20</v>
      </c>
      <c r="D102" s="185" t="s">
        <v>354</v>
      </c>
      <c r="E102" s="186">
        <v>5</v>
      </c>
      <c r="F102" s="182">
        <v>3300</v>
      </c>
      <c r="G102" s="187">
        <f t="shared" si="67"/>
        <v>660</v>
      </c>
      <c r="H102" s="537"/>
      <c r="I102" s="188">
        <f t="shared" si="68"/>
        <v>5</v>
      </c>
      <c r="J102" s="188">
        <f t="shared" si="68"/>
        <v>2947.4669049824597</v>
      </c>
      <c r="K102" s="189">
        <f t="shared" si="68"/>
        <v>589.49338099649208</v>
      </c>
      <c r="L102" s="538"/>
      <c r="M102" s="188">
        <f>RANK(K102, K$83:$K$115)</f>
        <v>28</v>
      </c>
      <c r="N102" s="552"/>
      <c r="O102" s="536"/>
      <c r="P102" s="190">
        <v>5</v>
      </c>
      <c r="Q102" s="190">
        <v>2947.0941883767509</v>
      </c>
      <c r="R102" s="187">
        <f t="shared" si="65"/>
        <v>589.41883767535023</v>
      </c>
      <c r="S102" s="184">
        <f t="shared" si="69"/>
        <v>28</v>
      </c>
      <c r="T102" s="532"/>
      <c r="U102" s="190">
        <v>5</v>
      </c>
      <c r="V102" s="190">
        <v>2946.4788732394331</v>
      </c>
      <c r="W102" s="187">
        <f t="shared" si="66"/>
        <v>589.29577464788667</v>
      </c>
      <c r="X102" s="184">
        <f t="shared" si="70"/>
        <v>28</v>
      </c>
      <c r="Y102" s="532"/>
      <c r="Z102" s="190">
        <v>5</v>
      </c>
      <c r="AA102" s="190">
        <v>2946.7495760316533</v>
      </c>
      <c r="AB102" s="187">
        <f t="shared" si="71"/>
        <v>589.34991520633071</v>
      </c>
      <c r="AC102" s="184">
        <f t="shared" si="72"/>
        <v>28</v>
      </c>
      <c r="AD102" s="532"/>
      <c r="AE102" s="190">
        <v>5</v>
      </c>
      <c r="AF102" s="190">
        <v>2947.552447552448</v>
      </c>
      <c r="AG102" s="187">
        <f t="shared" si="73"/>
        <v>589.51048951048961</v>
      </c>
      <c r="AH102" s="184">
        <f t="shared" si="74"/>
        <v>28</v>
      </c>
      <c r="AI102" s="532"/>
      <c r="AJ102" s="190">
        <v>5</v>
      </c>
      <c r="AK102" s="190">
        <v>2947.3796791443829</v>
      </c>
      <c r="AL102" s="187">
        <f t="shared" si="75"/>
        <v>589.47593582887657</v>
      </c>
      <c r="AM102" s="184">
        <f t="shared" si="76"/>
        <v>28</v>
      </c>
      <c r="AN102" s="532"/>
      <c r="AO102" s="190">
        <v>5</v>
      </c>
      <c r="AP102" s="190">
        <v>2947.74774774774</v>
      </c>
      <c r="AQ102" s="187">
        <f t="shared" si="77"/>
        <v>589.54954954954803</v>
      </c>
      <c r="AR102" s="184">
        <f t="shared" si="78"/>
        <v>28</v>
      </c>
      <c r="AS102" s="532"/>
      <c r="AT102" s="190">
        <v>5</v>
      </c>
      <c r="AU102" s="190">
        <v>2949.2658227848124</v>
      </c>
      <c r="AV102" s="187">
        <f t="shared" si="79"/>
        <v>589.8531645569625</v>
      </c>
      <c r="AW102" s="184">
        <f t="shared" si="80"/>
        <v>28</v>
      </c>
      <c r="AX102" s="532"/>
    </row>
    <row r="103" spans="2:50" ht="14.25" customHeight="1">
      <c r="B103" s="501"/>
      <c r="C103" s="182">
        <v>21</v>
      </c>
      <c r="D103" s="185" t="s">
        <v>415</v>
      </c>
      <c r="E103" s="186">
        <v>3</v>
      </c>
      <c r="F103" s="182">
        <v>3600</v>
      </c>
      <c r="G103" s="187">
        <f t="shared" si="67"/>
        <v>1200</v>
      </c>
      <c r="H103" s="537"/>
      <c r="I103" s="188">
        <f t="shared" si="68"/>
        <v>3</v>
      </c>
      <c r="J103" s="188">
        <f t="shared" si="68"/>
        <v>3120.4156579690034</v>
      </c>
      <c r="K103" s="189">
        <f t="shared" si="68"/>
        <v>1040.1385526563342</v>
      </c>
      <c r="L103" s="538"/>
      <c r="M103" s="188">
        <f>RANK(K103, K$83:$K$115)</f>
        <v>3</v>
      </c>
      <c r="N103" s="552"/>
      <c r="O103" s="536"/>
      <c r="P103" s="190">
        <v>3</v>
      </c>
      <c r="Q103" s="190">
        <v>3120.6030150753677</v>
      </c>
      <c r="R103" s="187">
        <f t="shared" si="65"/>
        <v>1040.2010050251226</v>
      </c>
      <c r="S103" s="184">
        <f t="shared" si="69"/>
        <v>2</v>
      </c>
      <c r="T103" s="532"/>
      <c r="U103" s="190">
        <v>3</v>
      </c>
      <c r="V103" s="190">
        <v>3120.2558635394421</v>
      </c>
      <c r="W103" s="187">
        <f t="shared" si="66"/>
        <v>1040.0852878464807</v>
      </c>
      <c r="X103" s="184">
        <f t="shared" si="70"/>
        <v>3</v>
      </c>
      <c r="Y103" s="532"/>
      <c r="Z103" s="190">
        <v>3</v>
      </c>
      <c r="AA103" s="190">
        <v>3120.4152249134991</v>
      </c>
      <c r="AB103" s="187">
        <f t="shared" si="71"/>
        <v>1040.1384083044998</v>
      </c>
      <c r="AC103" s="184">
        <f t="shared" si="72"/>
        <v>3</v>
      </c>
      <c r="AD103" s="532"/>
      <c r="AE103" s="190">
        <v>3</v>
      </c>
      <c r="AF103" s="190">
        <v>3120.3609022556402</v>
      </c>
      <c r="AG103" s="187">
        <f t="shared" si="73"/>
        <v>1040.12030075188</v>
      </c>
      <c r="AH103" s="184">
        <f t="shared" si="74"/>
        <v>3</v>
      </c>
      <c r="AI103" s="532"/>
      <c r="AJ103" s="190">
        <v>3</v>
      </c>
      <c r="AK103" s="190">
        <v>3119.9366252970653</v>
      </c>
      <c r="AL103" s="187">
        <f t="shared" si="75"/>
        <v>1039.9788750990217</v>
      </c>
      <c r="AM103" s="184">
        <f t="shared" si="76"/>
        <v>3</v>
      </c>
      <c r="AN103" s="532"/>
      <c r="AO103" s="190">
        <v>3</v>
      </c>
      <c r="AP103" s="190">
        <v>3120.3738772880024</v>
      </c>
      <c r="AQ103" s="187">
        <f t="shared" si="77"/>
        <v>1040.1246257626674</v>
      </c>
      <c r="AR103" s="184">
        <f t="shared" si="78"/>
        <v>3</v>
      </c>
      <c r="AS103" s="532"/>
      <c r="AT103" s="190">
        <v>3</v>
      </c>
      <c r="AU103" s="190">
        <v>3120.9640974140079</v>
      </c>
      <c r="AV103" s="187">
        <f t="shared" si="79"/>
        <v>1040.3213658046693</v>
      </c>
      <c r="AW103" s="184">
        <f t="shared" si="80"/>
        <v>3</v>
      </c>
      <c r="AX103" s="532"/>
    </row>
    <row r="104" spans="2:50" ht="14.25" customHeight="1">
      <c r="B104" s="501"/>
      <c r="C104" s="182">
        <v>22</v>
      </c>
      <c r="D104" s="185" t="s">
        <v>419</v>
      </c>
      <c r="E104" s="186">
        <v>3</v>
      </c>
      <c r="F104" s="182">
        <v>3600</v>
      </c>
      <c r="G104" s="187">
        <f>F104/E104</f>
        <v>1200</v>
      </c>
      <c r="H104" s="537"/>
      <c r="I104" s="188">
        <f t="shared" si="68"/>
        <v>3</v>
      </c>
      <c r="J104" s="188">
        <f t="shared" si="68"/>
        <v>3125.0689143453505</v>
      </c>
      <c r="K104" s="189">
        <f t="shared" si="68"/>
        <v>1041.6896381151166</v>
      </c>
      <c r="L104" s="538"/>
      <c r="M104" s="188">
        <f>RANK(K104, K$83:$K$115)</f>
        <v>1</v>
      </c>
      <c r="N104" s="552"/>
      <c r="O104" s="536"/>
      <c r="P104" s="190">
        <v>3</v>
      </c>
      <c r="Q104" s="190">
        <v>3123.644251626908</v>
      </c>
      <c r="R104" s="187">
        <f t="shared" si="65"/>
        <v>1041.2147505423027</v>
      </c>
      <c r="S104" s="184">
        <f t="shared" si="69"/>
        <v>1</v>
      </c>
      <c r="T104" s="532"/>
      <c r="U104" s="190">
        <v>3</v>
      </c>
      <c r="V104" s="190">
        <v>3122.859270290412</v>
      </c>
      <c r="W104" s="187">
        <f t="shared" si="66"/>
        <v>1040.9530900968041</v>
      </c>
      <c r="X104" s="184">
        <f t="shared" si="70"/>
        <v>1</v>
      </c>
      <c r="Y104" s="532"/>
      <c r="Z104" s="190">
        <v>3</v>
      </c>
      <c r="AA104" s="190">
        <v>3124.4195356285027</v>
      </c>
      <c r="AB104" s="187">
        <f t="shared" si="71"/>
        <v>1041.4731785428341</v>
      </c>
      <c r="AC104" s="184">
        <f t="shared" si="72"/>
        <v>1</v>
      </c>
      <c r="AD104" s="532"/>
      <c r="AE104" s="190">
        <v>3</v>
      </c>
      <c r="AF104" s="190">
        <v>3125.7294429708372</v>
      </c>
      <c r="AG104" s="187">
        <f t="shared" si="73"/>
        <v>1041.9098143236124</v>
      </c>
      <c r="AH104" s="184">
        <f t="shared" si="74"/>
        <v>1</v>
      </c>
      <c r="AI104" s="532"/>
      <c r="AJ104" s="190">
        <v>3</v>
      </c>
      <c r="AK104" s="190">
        <v>3126.5369649805543</v>
      </c>
      <c r="AL104" s="187">
        <f t="shared" si="75"/>
        <v>1042.1789883268514</v>
      </c>
      <c r="AM104" s="184">
        <f t="shared" si="76"/>
        <v>1</v>
      </c>
      <c r="AN104" s="532"/>
      <c r="AO104" s="190">
        <v>3</v>
      </c>
      <c r="AP104" s="190">
        <v>3126.1838440111478</v>
      </c>
      <c r="AQ104" s="187">
        <f t="shared" si="77"/>
        <v>1042.0612813370492</v>
      </c>
      <c r="AR104" s="184">
        <f t="shared" si="78"/>
        <v>1</v>
      </c>
      <c r="AS104" s="532"/>
      <c r="AT104" s="190">
        <v>3</v>
      </c>
      <c r="AU104" s="190">
        <v>3126.109090909089</v>
      </c>
      <c r="AV104" s="187">
        <f t="shared" si="79"/>
        <v>1042.0363636363629</v>
      </c>
      <c r="AW104" s="184">
        <f t="shared" si="80"/>
        <v>1</v>
      </c>
      <c r="AX104" s="532"/>
    </row>
    <row r="105" spans="2:50" ht="14.25" customHeight="1">
      <c r="B105" s="501"/>
      <c r="C105" s="182">
        <v>23</v>
      </c>
      <c r="D105" s="185" t="s">
        <v>418</v>
      </c>
      <c r="E105" s="186">
        <v>4</v>
      </c>
      <c r="F105" s="182">
        <v>3300</v>
      </c>
      <c r="G105" s="187">
        <f t="shared" ref="G105:G114" si="81">F105/E105</f>
        <v>825</v>
      </c>
      <c r="H105" s="537"/>
      <c r="I105" s="188">
        <f t="shared" si="68"/>
        <v>4</v>
      </c>
      <c r="J105" s="188">
        <f t="shared" si="68"/>
        <v>2923.5372139244982</v>
      </c>
      <c r="K105" s="189">
        <f t="shared" si="68"/>
        <v>730.88430348112456</v>
      </c>
      <c r="L105" s="538"/>
      <c r="M105" s="188">
        <f>RANK(K105, K$83:$K$115)</f>
        <v>24</v>
      </c>
      <c r="N105" s="552"/>
      <c r="O105" s="536"/>
      <c r="P105" s="190">
        <v>4</v>
      </c>
      <c r="Q105" s="190">
        <v>2923.3500578926992</v>
      </c>
      <c r="R105" s="187">
        <f t="shared" si="65"/>
        <v>730.83751447317479</v>
      </c>
      <c r="S105" s="184">
        <f t="shared" si="69"/>
        <v>24</v>
      </c>
      <c r="T105" s="532"/>
      <c r="U105" s="190">
        <v>4</v>
      </c>
      <c r="V105" s="190">
        <v>2922.9762878168376</v>
      </c>
      <c r="W105" s="187">
        <f t="shared" si="66"/>
        <v>730.7440719542094</v>
      </c>
      <c r="X105" s="184">
        <f t="shared" si="70"/>
        <v>24</v>
      </c>
      <c r="Y105" s="532"/>
      <c r="Z105" s="190">
        <v>4</v>
      </c>
      <c r="AA105" s="190">
        <v>2923.0344827586273</v>
      </c>
      <c r="AB105" s="187">
        <f t="shared" si="71"/>
        <v>730.75862068965682</v>
      </c>
      <c r="AC105" s="184">
        <f t="shared" si="72"/>
        <v>24</v>
      </c>
      <c r="AD105" s="532"/>
      <c r="AE105" s="190">
        <v>4</v>
      </c>
      <c r="AF105" s="190">
        <v>2923.2421875000041</v>
      </c>
      <c r="AG105" s="187">
        <f t="shared" si="73"/>
        <v>730.81054687500102</v>
      </c>
      <c r="AH105" s="184">
        <f t="shared" si="74"/>
        <v>24</v>
      </c>
      <c r="AI105" s="532"/>
      <c r="AJ105" s="190">
        <v>4</v>
      </c>
      <c r="AK105" s="190">
        <v>2923.3523189585057</v>
      </c>
      <c r="AL105" s="187">
        <f t="shared" si="75"/>
        <v>730.83807973962644</v>
      </c>
      <c r="AM105" s="184">
        <f t="shared" si="76"/>
        <v>23</v>
      </c>
      <c r="AN105" s="532"/>
      <c r="AO105" s="190">
        <v>4</v>
      </c>
      <c r="AP105" s="190">
        <v>2924.0705970709646</v>
      </c>
      <c r="AQ105" s="187">
        <f t="shared" si="77"/>
        <v>731.01764926774115</v>
      </c>
      <c r="AR105" s="184">
        <f t="shared" si="78"/>
        <v>22</v>
      </c>
      <c r="AS105" s="532"/>
      <c r="AT105" s="190">
        <v>4</v>
      </c>
      <c r="AU105" s="190">
        <v>2924.7345654738524</v>
      </c>
      <c r="AV105" s="187">
        <f t="shared" si="79"/>
        <v>731.1836413684631</v>
      </c>
      <c r="AW105" s="184">
        <f t="shared" si="80"/>
        <v>23</v>
      </c>
      <c r="AX105" s="532"/>
    </row>
    <row r="106" spans="2:50" ht="14.25" customHeight="1">
      <c r="B106" s="501"/>
      <c r="C106" s="182">
        <v>24</v>
      </c>
      <c r="D106" s="185" t="s">
        <v>414</v>
      </c>
      <c r="E106" s="186">
        <v>4</v>
      </c>
      <c r="F106" s="182">
        <v>3300</v>
      </c>
      <c r="G106" s="187">
        <f t="shared" si="81"/>
        <v>825</v>
      </c>
      <c r="H106" s="537"/>
      <c r="I106" s="188">
        <f t="shared" si="68"/>
        <v>4</v>
      </c>
      <c r="J106" s="188">
        <f t="shared" si="68"/>
        <v>2924.5773641165879</v>
      </c>
      <c r="K106" s="189">
        <f t="shared" si="68"/>
        <v>731.14434102914697</v>
      </c>
      <c r="L106" s="538"/>
      <c r="M106" s="188">
        <f>RANK(K106, K$83:$K$115)</f>
        <v>21</v>
      </c>
      <c r="N106" s="552"/>
      <c r="O106" s="536"/>
      <c r="P106" s="190">
        <v>4</v>
      </c>
      <c r="Q106" s="190">
        <v>2923.9644062595821</v>
      </c>
      <c r="R106" s="187">
        <f t="shared" si="65"/>
        <v>730.99110156489553</v>
      </c>
      <c r="S106" s="184">
        <f t="shared" si="69"/>
        <v>23</v>
      </c>
      <c r="T106" s="532"/>
      <c r="U106" s="190">
        <v>4</v>
      </c>
      <c r="V106" s="190">
        <v>2924.067580490911</v>
      </c>
      <c r="W106" s="187">
        <f t="shared" si="66"/>
        <v>731.01689512272776</v>
      </c>
      <c r="X106" s="184">
        <f t="shared" si="70"/>
        <v>23</v>
      </c>
      <c r="Y106" s="532"/>
      <c r="Z106" s="190">
        <v>4</v>
      </c>
      <c r="AA106" s="190">
        <v>2923.9375227025143</v>
      </c>
      <c r="AB106" s="187">
        <f t="shared" si="71"/>
        <v>730.98438067562859</v>
      </c>
      <c r="AC106" s="184">
        <f t="shared" si="72"/>
        <v>22</v>
      </c>
      <c r="AD106" s="532"/>
      <c r="AE106" s="190">
        <v>4</v>
      </c>
      <c r="AF106" s="190">
        <v>2924.6676514032447</v>
      </c>
      <c r="AG106" s="187">
        <f t="shared" si="73"/>
        <v>731.16691285081117</v>
      </c>
      <c r="AH106" s="184">
        <f t="shared" si="74"/>
        <v>21</v>
      </c>
      <c r="AI106" s="532"/>
      <c r="AJ106" s="190">
        <v>4</v>
      </c>
      <c r="AK106" s="190">
        <v>2924.9272550921396</v>
      </c>
      <c r="AL106" s="187">
        <f t="shared" si="75"/>
        <v>731.2318137730349</v>
      </c>
      <c r="AM106" s="184">
        <f t="shared" si="76"/>
        <v>21</v>
      </c>
      <c r="AN106" s="532"/>
      <c r="AO106" s="190">
        <v>4</v>
      </c>
      <c r="AP106" s="190">
        <v>2925.2037428312733</v>
      </c>
      <c r="AQ106" s="187">
        <f t="shared" si="77"/>
        <v>731.30093570781833</v>
      </c>
      <c r="AR106" s="184">
        <f t="shared" si="78"/>
        <v>21</v>
      </c>
      <c r="AS106" s="532"/>
      <c r="AT106" s="190">
        <v>4</v>
      </c>
      <c r="AU106" s="190">
        <v>2925.2733900364492</v>
      </c>
      <c r="AV106" s="187">
        <f t="shared" si="79"/>
        <v>731.3183475091123</v>
      </c>
      <c r="AW106" s="184">
        <f t="shared" si="80"/>
        <v>21</v>
      </c>
      <c r="AX106" s="532"/>
    </row>
    <row r="107" spans="2:50" ht="14.25" customHeight="1">
      <c r="B107" s="501"/>
      <c r="C107" s="182">
        <v>25</v>
      </c>
      <c r="D107" s="185" t="s">
        <v>417</v>
      </c>
      <c r="E107" s="186">
        <v>4</v>
      </c>
      <c r="F107" s="182">
        <v>3000</v>
      </c>
      <c r="G107" s="187">
        <f t="shared" si="81"/>
        <v>750</v>
      </c>
      <c r="H107" s="537"/>
      <c r="I107" s="188">
        <f t="shared" si="68"/>
        <v>4</v>
      </c>
      <c r="J107" s="188">
        <f t="shared" si="68"/>
        <v>2687.5880078388923</v>
      </c>
      <c r="K107" s="189">
        <f t="shared" si="68"/>
        <v>671.89700195972307</v>
      </c>
      <c r="L107" s="538"/>
      <c r="M107" s="188">
        <f>RANK(K107, K$83:$K$115)</f>
        <v>25</v>
      </c>
      <c r="N107" s="552"/>
      <c r="O107" s="536"/>
      <c r="P107" s="190">
        <v>4</v>
      </c>
      <c r="Q107" s="190">
        <v>2688.6274509803993</v>
      </c>
      <c r="R107" s="187">
        <f t="shared" si="65"/>
        <v>672.15686274509983</v>
      </c>
      <c r="S107" s="184">
        <f t="shared" si="69"/>
        <v>25</v>
      </c>
      <c r="T107" s="532"/>
      <c r="U107" s="190">
        <v>4</v>
      </c>
      <c r="V107" s="190">
        <v>2687.6165113182456</v>
      </c>
      <c r="W107" s="187">
        <f t="shared" si="66"/>
        <v>671.90412782956139</v>
      </c>
      <c r="X107" s="184">
        <f t="shared" si="70"/>
        <v>25</v>
      </c>
      <c r="Y107" s="532"/>
      <c r="Z107" s="190">
        <v>4</v>
      </c>
      <c r="AA107" s="190">
        <v>2687.2280037842975</v>
      </c>
      <c r="AB107" s="187">
        <f t="shared" si="71"/>
        <v>671.80700094607437</v>
      </c>
      <c r="AC107" s="184">
        <f t="shared" si="72"/>
        <v>25</v>
      </c>
      <c r="AD107" s="532"/>
      <c r="AE107" s="190">
        <v>4</v>
      </c>
      <c r="AF107" s="190">
        <v>2687.4288670460401</v>
      </c>
      <c r="AG107" s="187">
        <f t="shared" si="73"/>
        <v>671.85721676151002</v>
      </c>
      <c r="AH107" s="184">
        <f t="shared" si="74"/>
        <v>25</v>
      </c>
      <c r="AI107" s="532"/>
      <c r="AJ107" s="190">
        <v>4</v>
      </c>
      <c r="AK107" s="190">
        <v>2687.0967741935438</v>
      </c>
      <c r="AL107" s="187">
        <f t="shared" si="75"/>
        <v>671.77419354838594</v>
      </c>
      <c r="AM107" s="184">
        <f t="shared" si="76"/>
        <v>25</v>
      </c>
      <c r="AN107" s="532"/>
      <c r="AO107" s="190">
        <v>4</v>
      </c>
      <c r="AP107" s="190">
        <v>2687.1585813289817</v>
      </c>
      <c r="AQ107" s="187">
        <f t="shared" si="77"/>
        <v>671.78964533224541</v>
      </c>
      <c r="AR107" s="184">
        <f t="shared" si="78"/>
        <v>25</v>
      </c>
      <c r="AS107" s="532"/>
      <c r="AT107" s="190">
        <v>4</v>
      </c>
      <c r="AU107" s="190">
        <v>2687.9598662207395</v>
      </c>
      <c r="AV107" s="187">
        <f t="shared" si="79"/>
        <v>671.98996655518488</v>
      </c>
      <c r="AW107" s="184">
        <f t="shared" si="80"/>
        <v>25</v>
      </c>
      <c r="AX107" s="532"/>
    </row>
    <row r="108" spans="2:50" ht="14.25" customHeight="1">
      <c r="B108" s="501"/>
      <c r="C108" s="182">
        <v>26</v>
      </c>
      <c r="D108" s="185" t="s">
        <v>416</v>
      </c>
      <c r="E108" s="186">
        <v>4</v>
      </c>
      <c r="F108" s="182">
        <v>3300</v>
      </c>
      <c r="G108" s="187">
        <f t="shared" si="81"/>
        <v>825</v>
      </c>
      <c r="H108" s="537"/>
      <c r="I108" s="188">
        <f t="shared" si="68"/>
        <v>4</v>
      </c>
      <c r="J108" s="188">
        <f t="shared" si="68"/>
        <v>2952.7442686364893</v>
      </c>
      <c r="K108" s="189">
        <f t="shared" si="68"/>
        <v>738.18606715912233</v>
      </c>
      <c r="L108" s="538"/>
      <c r="M108" s="188">
        <f>RANK(K108, K$83:$K$115)</f>
        <v>14</v>
      </c>
      <c r="N108" s="552"/>
      <c r="O108" s="536"/>
      <c r="P108" s="190">
        <v>4</v>
      </c>
      <c r="Q108" s="190">
        <v>2949.3975903614601</v>
      </c>
      <c r="R108" s="187">
        <f t="shared" si="65"/>
        <v>737.34939759036502</v>
      </c>
      <c r="S108" s="184">
        <f t="shared" si="69"/>
        <v>15</v>
      </c>
      <c r="T108" s="532"/>
      <c r="U108" s="190">
        <v>4</v>
      </c>
      <c r="V108" s="190">
        <v>2951.5789473684231</v>
      </c>
      <c r="W108" s="187">
        <f t="shared" si="66"/>
        <v>737.89473684210577</v>
      </c>
      <c r="X108" s="184">
        <f t="shared" si="70"/>
        <v>14</v>
      </c>
      <c r="Y108" s="532"/>
      <c r="Z108" s="190">
        <v>4</v>
      </c>
      <c r="AA108" s="190">
        <v>2952.7559055117954</v>
      </c>
      <c r="AB108" s="187">
        <f t="shared" si="71"/>
        <v>738.18897637794885</v>
      </c>
      <c r="AC108" s="184">
        <f t="shared" si="72"/>
        <v>14</v>
      </c>
      <c r="AD108" s="532"/>
      <c r="AE108" s="190">
        <v>4</v>
      </c>
      <c r="AF108" s="190">
        <v>2952.2123893805292</v>
      </c>
      <c r="AG108" s="187">
        <f t="shared" si="73"/>
        <v>738.0530973451323</v>
      </c>
      <c r="AH108" s="184">
        <f t="shared" si="74"/>
        <v>14</v>
      </c>
      <c r="AI108" s="532"/>
      <c r="AJ108" s="190">
        <v>4</v>
      </c>
      <c r="AK108" s="190">
        <v>2953.8461538461415</v>
      </c>
      <c r="AL108" s="187">
        <f t="shared" si="75"/>
        <v>738.46153846153538</v>
      </c>
      <c r="AM108" s="184">
        <f t="shared" si="76"/>
        <v>14</v>
      </c>
      <c r="AN108" s="532"/>
      <c r="AO108" s="190">
        <v>4</v>
      </c>
      <c r="AP108" s="190">
        <v>2955.0488599348532</v>
      </c>
      <c r="AQ108" s="187">
        <f t="shared" si="77"/>
        <v>738.76221498371331</v>
      </c>
      <c r="AR108" s="184">
        <f t="shared" si="78"/>
        <v>13</v>
      </c>
      <c r="AS108" s="532"/>
      <c r="AT108" s="190">
        <v>4</v>
      </c>
      <c r="AU108" s="190">
        <v>2954.3700340522232</v>
      </c>
      <c r="AV108" s="187">
        <f t="shared" si="79"/>
        <v>738.5925085130558</v>
      </c>
      <c r="AW108" s="184">
        <f t="shared" si="80"/>
        <v>13</v>
      </c>
      <c r="AX108" s="532"/>
    </row>
    <row r="109" spans="2:50" ht="14.25" customHeight="1">
      <c r="B109" s="501"/>
      <c r="C109" s="182">
        <v>27</v>
      </c>
      <c r="D109" s="185" t="s">
        <v>484</v>
      </c>
      <c r="E109" s="186">
        <v>3</v>
      </c>
      <c r="F109" s="182">
        <v>3300</v>
      </c>
      <c r="G109" s="187">
        <f t="shared" si="81"/>
        <v>1100</v>
      </c>
      <c r="H109" s="537"/>
      <c r="I109" s="188">
        <f t="shared" si="68"/>
        <v>3</v>
      </c>
      <c r="J109" s="188">
        <f t="shared" si="68"/>
        <v>2951.1561968863234</v>
      </c>
      <c r="K109" s="189">
        <f t="shared" si="68"/>
        <v>983.71873229544121</v>
      </c>
      <c r="L109" s="538"/>
      <c r="M109" s="188">
        <f>RANK(K109, K$83:$K$115)</f>
        <v>7</v>
      </c>
      <c r="N109" s="552"/>
      <c r="O109" s="536"/>
      <c r="P109" s="190">
        <v>3</v>
      </c>
      <c r="Q109" s="190">
        <v>2950.2623294858381</v>
      </c>
      <c r="R109" s="187">
        <f t="shared" si="65"/>
        <v>983.42077649527937</v>
      </c>
      <c r="S109" s="184">
        <f t="shared" si="69"/>
        <v>7</v>
      </c>
      <c r="T109" s="532"/>
      <c r="U109" s="190">
        <v>3</v>
      </c>
      <c r="V109" s="190">
        <v>2950.5154639175262</v>
      </c>
      <c r="W109" s="187">
        <f t="shared" si="66"/>
        <v>983.50515463917543</v>
      </c>
      <c r="X109" s="184">
        <f t="shared" si="70"/>
        <v>7</v>
      </c>
      <c r="Y109" s="532"/>
      <c r="Z109" s="190">
        <v>3</v>
      </c>
      <c r="AA109" s="190">
        <v>2950.5475504322776</v>
      </c>
      <c r="AB109" s="187">
        <f t="shared" si="71"/>
        <v>983.5158501440925</v>
      </c>
      <c r="AC109" s="184">
        <f t="shared" si="72"/>
        <v>7</v>
      </c>
      <c r="AD109" s="532"/>
      <c r="AE109" s="190">
        <v>3</v>
      </c>
      <c r="AF109" s="190">
        <v>2950.479846449146</v>
      </c>
      <c r="AG109" s="187">
        <f t="shared" si="73"/>
        <v>983.49328214971536</v>
      </c>
      <c r="AH109" s="184">
        <f t="shared" si="74"/>
        <v>7</v>
      </c>
      <c r="AI109" s="532"/>
      <c r="AJ109" s="190">
        <v>3</v>
      </c>
      <c r="AK109" s="190">
        <v>2951.3513513513526</v>
      </c>
      <c r="AL109" s="187">
        <f t="shared" si="75"/>
        <v>983.7837837837842</v>
      </c>
      <c r="AM109" s="184">
        <f t="shared" si="76"/>
        <v>7</v>
      </c>
      <c r="AN109" s="532"/>
      <c r="AO109" s="190">
        <v>3</v>
      </c>
      <c r="AP109" s="190">
        <v>2952.2554485555061</v>
      </c>
      <c r="AQ109" s="187">
        <f t="shared" si="77"/>
        <v>984.08514951850202</v>
      </c>
      <c r="AR109" s="184">
        <f t="shared" si="78"/>
        <v>7</v>
      </c>
      <c r="AS109" s="532"/>
      <c r="AT109" s="190">
        <v>3</v>
      </c>
      <c r="AU109" s="190">
        <v>2952.6813880126183</v>
      </c>
      <c r="AV109" s="187">
        <f t="shared" si="79"/>
        <v>984.2271293375394</v>
      </c>
      <c r="AW109" s="184">
        <f t="shared" si="80"/>
        <v>7</v>
      </c>
      <c r="AX109" s="532"/>
    </row>
    <row r="110" spans="2:50" ht="14.25" customHeight="1">
      <c r="B110" s="501"/>
      <c r="C110" s="182">
        <v>28</v>
      </c>
      <c r="D110" s="185" t="s">
        <v>506</v>
      </c>
      <c r="E110" s="186">
        <v>4</v>
      </c>
      <c r="F110" s="182">
        <v>3000</v>
      </c>
      <c r="G110" s="187">
        <f t="shared" si="81"/>
        <v>750</v>
      </c>
      <c r="H110" s="537"/>
      <c r="I110" s="188">
        <f t="shared" si="68"/>
        <v>4</v>
      </c>
      <c r="J110" s="188">
        <f t="shared" si="68"/>
        <v>2662.9293658931433</v>
      </c>
      <c r="K110" s="189">
        <f t="shared" si="68"/>
        <v>665.73234147328583</v>
      </c>
      <c r="L110" s="538"/>
      <c r="M110" s="188">
        <f>RANK(K110, K$83:$K$115)</f>
        <v>26</v>
      </c>
      <c r="N110" s="552"/>
      <c r="O110" s="536"/>
      <c r="P110" s="190">
        <v>4</v>
      </c>
      <c r="Q110" s="190">
        <v>2662.8838841766592</v>
      </c>
      <c r="R110" s="187">
        <f t="shared" si="65"/>
        <v>665.7209710441648</v>
      </c>
      <c r="S110" s="184">
        <f t="shared" si="69"/>
        <v>26</v>
      </c>
      <c r="T110" s="532"/>
      <c r="U110" s="190">
        <v>4</v>
      </c>
      <c r="V110" s="190">
        <v>2662.7871362940286</v>
      </c>
      <c r="W110" s="187">
        <f t="shared" si="66"/>
        <v>665.69678407350716</v>
      </c>
      <c r="X110" s="184">
        <f t="shared" si="70"/>
        <v>26</v>
      </c>
      <c r="Y110" s="532"/>
      <c r="Z110" s="190">
        <v>4</v>
      </c>
      <c r="AA110" s="190">
        <v>2662.8803245436088</v>
      </c>
      <c r="AB110" s="187">
        <f t="shared" si="71"/>
        <v>665.72008113590221</v>
      </c>
      <c r="AC110" s="184">
        <f t="shared" si="72"/>
        <v>26</v>
      </c>
      <c r="AD110" s="532"/>
      <c r="AE110" s="190">
        <v>4</v>
      </c>
      <c r="AF110" s="190">
        <v>2662.8530050687968</v>
      </c>
      <c r="AG110" s="187">
        <f t="shared" si="73"/>
        <v>665.71325126719921</v>
      </c>
      <c r="AH110" s="184">
        <f t="shared" si="74"/>
        <v>26</v>
      </c>
      <c r="AI110" s="532"/>
      <c r="AJ110" s="190">
        <v>4</v>
      </c>
      <c r="AK110" s="190">
        <v>2663.0914826498424</v>
      </c>
      <c r="AL110" s="187">
        <f t="shared" si="75"/>
        <v>665.7728706624606</v>
      </c>
      <c r="AM110" s="184">
        <f t="shared" si="76"/>
        <v>26</v>
      </c>
      <c r="AN110" s="532"/>
      <c r="AO110" s="190">
        <v>4</v>
      </c>
      <c r="AP110" s="190">
        <v>2663.1147540983607</v>
      </c>
      <c r="AQ110" s="187">
        <f t="shared" si="77"/>
        <v>665.77868852459017</v>
      </c>
      <c r="AR110" s="184">
        <f t="shared" si="78"/>
        <v>26</v>
      </c>
      <c r="AS110" s="532"/>
      <c r="AT110" s="190">
        <v>4</v>
      </c>
      <c r="AU110" s="190">
        <v>2662.894974420708</v>
      </c>
      <c r="AV110" s="187">
        <f t="shared" si="79"/>
        <v>665.72374360517699</v>
      </c>
      <c r="AW110" s="184">
        <f t="shared" si="80"/>
        <v>26</v>
      </c>
      <c r="AX110" s="532"/>
    </row>
    <row r="111" spans="2:50" ht="14.25" customHeight="1">
      <c r="B111" s="501"/>
      <c r="C111" s="182">
        <v>29</v>
      </c>
      <c r="D111" s="185" t="s">
        <v>555</v>
      </c>
      <c r="E111" s="186">
        <v>5</v>
      </c>
      <c r="F111" s="182">
        <v>3000</v>
      </c>
      <c r="G111" s="187">
        <f t="shared" si="81"/>
        <v>600</v>
      </c>
      <c r="H111" s="537"/>
      <c r="I111" s="188">
        <f t="shared" si="68"/>
        <v>5</v>
      </c>
      <c r="J111" s="188">
        <f t="shared" si="68"/>
        <v>2660.8173833791725</v>
      </c>
      <c r="K111" s="189">
        <f t="shared" si="68"/>
        <v>532.16347667583443</v>
      </c>
      <c r="L111" s="538"/>
      <c r="M111" s="188">
        <f>RANK(K111, K$83:$K$115)</f>
        <v>29</v>
      </c>
      <c r="N111" s="552"/>
      <c r="O111" s="536"/>
      <c r="P111" s="190">
        <v>5</v>
      </c>
      <c r="Q111" s="190">
        <v>2661.0118146016403</v>
      </c>
      <c r="R111" s="187">
        <f t="shared" si="65"/>
        <v>532.20236292032803</v>
      </c>
      <c r="S111" s="184">
        <f t="shared" si="69"/>
        <v>29</v>
      </c>
      <c r="T111" s="532"/>
      <c r="U111" s="190">
        <v>5</v>
      </c>
      <c r="V111" s="190">
        <v>2660.9188168659498</v>
      </c>
      <c r="W111" s="187">
        <f t="shared" si="66"/>
        <v>532.18376337319</v>
      </c>
      <c r="X111" s="184">
        <f t="shared" si="70"/>
        <v>29</v>
      </c>
      <c r="Y111" s="532"/>
      <c r="Z111" s="190">
        <v>5</v>
      </c>
      <c r="AA111" s="190">
        <v>2661.2041325258278</v>
      </c>
      <c r="AB111" s="187">
        <f t="shared" si="71"/>
        <v>532.24082650516561</v>
      </c>
      <c r="AC111" s="184">
        <f t="shared" si="72"/>
        <v>29</v>
      </c>
      <c r="AD111" s="532"/>
      <c r="AE111" s="190">
        <v>5</v>
      </c>
      <c r="AF111" s="190">
        <v>2660.6271777003476</v>
      </c>
      <c r="AG111" s="187">
        <f t="shared" si="73"/>
        <v>532.12543554006947</v>
      </c>
      <c r="AH111" s="184">
        <f t="shared" si="74"/>
        <v>29</v>
      </c>
      <c r="AI111" s="532"/>
      <c r="AJ111" s="190">
        <v>5</v>
      </c>
      <c r="AK111" s="190">
        <v>2660.9799083538992</v>
      </c>
      <c r="AL111" s="187">
        <f t="shared" si="75"/>
        <v>532.19598167077982</v>
      </c>
      <c r="AM111" s="184">
        <f t="shared" si="76"/>
        <v>29</v>
      </c>
      <c r="AN111" s="532"/>
      <c r="AO111" s="190">
        <v>5</v>
      </c>
      <c r="AP111" s="190">
        <v>2660.6727444199978</v>
      </c>
      <c r="AQ111" s="187">
        <f t="shared" si="77"/>
        <v>532.13454888399951</v>
      </c>
      <c r="AR111" s="184">
        <f t="shared" si="78"/>
        <v>29</v>
      </c>
      <c r="AS111" s="532"/>
      <c r="AT111" s="190">
        <v>5</v>
      </c>
      <c r="AU111" s="190">
        <v>2660.3070891865441</v>
      </c>
      <c r="AV111" s="187">
        <f t="shared" si="79"/>
        <v>532.0614178373088</v>
      </c>
      <c r="AW111" s="184">
        <f t="shared" si="80"/>
        <v>30</v>
      </c>
      <c r="AX111" s="532"/>
    </row>
    <row r="112" spans="2:50" ht="14.25" customHeight="1">
      <c r="B112" s="501"/>
      <c r="C112" s="182">
        <v>30</v>
      </c>
      <c r="D112" s="185" t="s">
        <v>355</v>
      </c>
      <c r="E112" s="186">
        <v>3</v>
      </c>
      <c r="F112" s="182">
        <v>3000</v>
      </c>
      <c r="G112" s="187">
        <f t="shared" si="81"/>
        <v>1000</v>
      </c>
      <c r="H112" s="537"/>
      <c r="I112" s="188">
        <f t="shared" si="68"/>
        <v>3</v>
      </c>
      <c r="J112" s="188">
        <f t="shared" si="68"/>
        <v>2686.8860153601318</v>
      </c>
      <c r="K112" s="189">
        <f t="shared" si="68"/>
        <v>895.6286717867107</v>
      </c>
      <c r="L112" s="538"/>
      <c r="M112" s="188">
        <f>RANK(K112, K$83:$K$115)</f>
        <v>10</v>
      </c>
      <c r="N112" s="552"/>
      <c r="O112" s="536"/>
      <c r="P112" s="190">
        <v>3</v>
      </c>
      <c r="Q112" s="190">
        <v>2686.0319453383372</v>
      </c>
      <c r="R112" s="187">
        <f t="shared" si="65"/>
        <v>895.3439817794457</v>
      </c>
      <c r="S112" s="184">
        <f t="shared" si="69"/>
        <v>10</v>
      </c>
      <c r="T112" s="532"/>
      <c r="U112" s="190">
        <v>3</v>
      </c>
      <c r="V112" s="190">
        <v>2686.4472198875269</v>
      </c>
      <c r="W112" s="187">
        <f t="shared" si="66"/>
        <v>895.48240662917567</v>
      </c>
      <c r="X112" s="184">
        <f t="shared" si="70"/>
        <v>10</v>
      </c>
      <c r="Y112" s="532"/>
      <c r="Z112" s="190">
        <v>3</v>
      </c>
      <c r="AA112" s="190">
        <v>2686.837017812617</v>
      </c>
      <c r="AB112" s="187">
        <f t="shared" si="71"/>
        <v>895.61233927087233</v>
      </c>
      <c r="AC112" s="184">
        <f t="shared" si="72"/>
        <v>10</v>
      </c>
      <c r="AD112" s="532"/>
      <c r="AE112" s="190">
        <v>3</v>
      </c>
      <c r="AF112" s="190">
        <v>2687.0976928044906</v>
      </c>
      <c r="AG112" s="187">
        <f t="shared" si="73"/>
        <v>895.69923093483021</v>
      </c>
      <c r="AH112" s="184">
        <f t="shared" si="74"/>
        <v>10</v>
      </c>
      <c r="AI112" s="532"/>
      <c r="AJ112" s="190">
        <v>3</v>
      </c>
      <c r="AK112" s="190">
        <v>2686.9995424473254</v>
      </c>
      <c r="AL112" s="187">
        <f t="shared" si="75"/>
        <v>895.66651414910848</v>
      </c>
      <c r="AM112" s="184">
        <f t="shared" si="76"/>
        <v>10</v>
      </c>
      <c r="AN112" s="532"/>
      <c r="AO112" s="190">
        <v>3</v>
      </c>
      <c r="AP112" s="190">
        <v>2687.1515086563159</v>
      </c>
      <c r="AQ112" s="187">
        <f t="shared" si="77"/>
        <v>895.71716955210525</v>
      </c>
      <c r="AR112" s="184">
        <f t="shared" si="78"/>
        <v>10</v>
      </c>
      <c r="AS112" s="532"/>
      <c r="AT112" s="190">
        <v>3</v>
      </c>
      <c r="AU112" s="190">
        <v>2687.6371805743097</v>
      </c>
      <c r="AV112" s="187">
        <f t="shared" si="79"/>
        <v>895.87906019143657</v>
      </c>
      <c r="AW112" s="184">
        <f t="shared" si="80"/>
        <v>10</v>
      </c>
      <c r="AX112" s="532"/>
    </row>
    <row r="113" spans="1:50" ht="14.25" customHeight="1">
      <c r="B113" s="501"/>
      <c r="C113" s="182">
        <v>31</v>
      </c>
      <c r="D113" s="185" t="s">
        <v>495</v>
      </c>
      <c r="E113" s="182">
        <v>12</v>
      </c>
      <c r="F113" s="182">
        <v>3600</v>
      </c>
      <c r="G113" s="187">
        <f t="shared" si="81"/>
        <v>300</v>
      </c>
      <c r="H113" s="537"/>
      <c r="I113" s="188">
        <f t="shared" si="68"/>
        <v>12</v>
      </c>
      <c r="J113" s="188">
        <f t="shared" si="68"/>
        <v>3116.0277296158856</v>
      </c>
      <c r="K113" s="189">
        <f t="shared" si="68"/>
        <v>259.66897746799043</v>
      </c>
      <c r="L113" s="538"/>
      <c r="M113" s="188">
        <f>RANK(K113, K$83:$K$115)</f>
        <v>31</v>
      </c>
      <c r="N113" s="552"/>
      <c r="O113" s="536"/>
      <c r="P113" s="190">
        <v>12</v>
      </c>
      <c r="Q113" s="190">
        <v>3115.3483499214285</v>
      </c>
      <c r="R113" s="187">
        <f t="shared" si="65"/>
        <v>259.61236249345239</v>
      </c>
      <c r="S113" s="184">
        <f t="shared" si="69"/>
        <v>31</v>
      </c>
      <c r="T113" s="532"/>
      <c r="U113" s="190">
        <v>12</v>
      </c>
      <c r="V113" s="190">
        <v>3116.1290322580594</v>
      </c>
      <c r="W113" s="187">
        <f t="shared" si="66"/>
        <v>259.67741935483826</v>
      </c>
      <c r="X113" s="184">
        <f t="shared" si="70"/>
        <v>31</v>
      </c>
      <c r="Y113" s="532"/>
      <c r="Z113" s="190">
        <v>12</v>
      </c>
      <c r="AA113" s="190">
        <v>3116.7356593731538</v>
      </c>
      <c r="AB113" s="187">
        <f t="shared" si="71"/>
        <v>259.72797161442946</v>
      </c>
      <c r="AC113" s="184">
        <f t="shared" si="72"/>
        <v>31</v>
      </c>
      <c r="AD113" s="532"/>
      <c r="AE113" s="190">
        <v>12</v>
      </c>
      <c r="AF113" s="190">
        <v>3116.0804020100636</v>
      </c>
      <c r="AG113" s="187">
        <f t="shared" si="73"/>
        <v>259.67336683417199</v>
      </c>
      <c r="AH113" s="184">
        <f t="shared" si="74"/>
        <v>31</v>
      </c>
      <c r="AI113" s="532"/>
      <c r="AJ113" s="190">
        <v>12</v>
      </c>
      <c r="AK113" s="190">
        <v>3116.2629757785594</v>
      </c>
      <c r="AL113" s="187">
        <f t="shared" si="75"/>
        <v>259.68858131487997</v>
      </c>
      <c r="AM113" s="184">
        <f t="shared" si="76"/>
        <v>31</v>
      </c>
      <c r="AN113" s="532"/>
      <c r="AO113" s="190">
        <v>12</v>
      </c>
      <c r="AP113" s="190">
        <v>3115.7894736842159</v>
      </c>
      <c r="AQ113" s="187">
        <f t="shared" si="77"/>
        <v>259.64912280701799</v>
      </c>
      <c r="AR113" s="184">
        <f t="shared" si="78"/>
        <v>31</v>
      </c>
      <c r="AS113" s="532"/>
      <c r="AT113" s="190">
        <v>12</v>
      </c>
      <c r="AU113" s="190">
        <v>3115.8482142857165</v>
      </c>
      <c r="AV113" s="187">
        <f t="shared" si="79"/>
        <v>259.65401785714306</v>
      </c>
      <c r="AW113" s="184">
        <f t="shared" si="80"/>
        <v>32</v>
      </c>
      <c r="AX113" s="532"/>
    </row>
    <row r="114" spans="1:50" ht="14.25" customHeight="1">
      <c r="B114" s="501"/>
      <c r="C114" s="182">
        <v>32</v>
      </c>
      <c r="D114" s="185" t="s">
        <v>626</v>
      </c>
      <c r="E114" s="182">
        <v>4</v>
      </c>
      <c r="F114" s="182">
        <v>3300</v>
      </c>
      <c r="G114" s="187">
        <f t="shared" si="81"/>
        <v>825</v>
      </c>
      <c r="H114" s="537"/>
      <c r="I114" s="188">
        <f t="shared" si="68"/>
        <v>4</v>
      </c>
      <c r="J114" s="188">
        <f t="shared" si="68"/>
        <v>2950.7301357920983</v>
      </c>
      <c r="K114" s="189">
        <f t="shared" si="68"/>
        <v>737.68253394802457</v>
      </c>
      <c r="L114" s="538"/>
      <c r="M114" s="188">
        <f>RANK(K114, K$83:$K$115)</f>
        <v>15</v>
      </c>
      <c r="N114" s="552"/>
      <c r="O114" s="536"/>
      <c r="P114" s="190">
        <v>4</v>
      </c>
      <c r="Q114" s="190">
        <v>2950.4161712247369</v>
      </c>
      <c r="R114" s="187">
        <f t="shared" si="65"/>
        <v>737.60404280618422</v>
      </c>
      <c r="S114" s="184">
        <f t="shared" si="69"/>
        <v>14</v>
      </c>
      <c r="T114" s="532"/>
      <c r="U114" s="190">
        <v>4</v>
      </c>
      <c r="V114" s="190">
        <v>2950.5515898767044</v>
      </c>
      <c r="W114" s="187">
        <f t="shared" si="66"/>
        <v>737.6378974691761</v>
      </c>
      <c r="X114" s="184">
        <f t="shared" si="70"/>
        <v>15</v>
      </c>
      <c r="Y114" s="532"/>
      <c r="Z114" s="190">
        <v>4</v>
      </c>
      <c r="AA114" s="190">
        <v>2950.4747991234485</v>
      </c>
      <c r="AB114" s="187">
        <f t="shared" si="71"/>
        <v>737.61869978086213</v>
      </c>
      <c r="AC114" s="184">
        <f t="shared" si="72"/>
        <v>15</v>
      </c>
      <c r="AD114" s="532"/>
      <c r="AE114" s="190">
        <v>4</v>
      </c>
      <c r="AF114" s="190">
        <v>2950.819672131146</v>
      </c>
      <c r="AG114" s="187">
        <f t="shared" si="73"/>
        <v>737.70491803278651</v>
      </c>
      <c r="AH114" s="184">
        <f t="shared" si="74"/>
        <v>15</v>
      </c>
      <c r="AI114" s="532"/>
      <c r="AJ114" s="190">
        <v>4</v>
      </c>
      <c r="AK114" s="190">
        <v>2951.0246613407407</v>
      </c>
      <c r="AL114" s="187">
        <f t="shared" si="75"/>
        <v>737.75616533518519</v>
      </c>
      <c r="AM114" s="184">
        <f t="shared" si="76"/>
        <v>15</v>
      </c>
      <c r="AN114" s="532"/>
      <c r="AO114" s="190">
        <v>4</v>
      </c>
      <c r="AP114" s="190">
        <v>2951.077788191189</v>
      </c>
      <c r="AQ114" s="187">
        <f t="shared" si="77"/>
        <v>737.76944704779726</v>
      </c>
      <c r="AR114" s="184">
        <f t="shared" si="78"/>
        <v>16</v>
      </c>
      <c r="AS114" s="532"/>
      <c r="AT114" s="190">
        <v>4</v>
      </c>
      <c r="AU114" s="190">
        <v>2950.7462686567214</v>
      </c>
      <c r="AV114" s="187">
        <f t="shared" si="79"/>
        <v>737.68656716418036</v>
      </c>
      <c r="AW114" s="184">
        <f t="shared" si="80"/>
        <v>16</v>
      </c>
      <c r="AX114" s="532"/>
    </row>
    <row r="115" spans="1:50" ht="14.25" customHeight="1">
      <c r="B115" s="501"/>
      <c r="C115" s="182">
        <v>33</v>
      </c>
      <c r="D115" s="185"/>
      <c r="E115" s="182"/>
      <c r="F115" s="182"/>
      <c r="G115" s="187"/>
      <c r="H115" s="537"/>
      <c r="I115" s="188"/>
      <c r="J115" s="188"/>
      <c r="K115" s="189"/>
      <c r="L115" s="538"/>
      <c r="M115" s="188"/>
      <c r="N115" s="552"/>
      <c r="O115" s="536"/>
      <c r="P115" s="190"/>
      <c r="Q115" s="190"/>
      <c r="R115" s="187"/>
      <c r="S115" s="184"/>
      <c r="T115" s="532"/>
      <c r="U115" s="190"/>
      <c r="V115" s="190"/>
      <c r="W115" s="187"/>
      <c r="X115" s="184"/>
      <c r="Y115" s="532"/>
      <c r="Z115" s="190"/>
      <c r="AA115" s="190"/>
      <c r="AB115" s="187"/>
      <c r="AC115" s="184"/>
      <c r="AD115" s="532"/>
      <c r="AE115" s="190"/>
      <c r="AF115" s="190"/>
      <c r="AG115" s="187"/>
      <c r="AH115" s="184"/>
      <c r="AI115" s="532"/>
      <c r="AJ115" s="190"/>
      <c r="AK115" s="190"/>
      <c r="AL115" s="187"/>
      <c r="AM115" s="184"/>
      <c r="AN115" s="532"/>
      <c r="AO115" s="190"/>
      <c r="AP115" s="190"/>
      <c r="AQ115" s="187"/>
      <c r="AR115" s="184"/>
      <c r="AS115" s="532"/>
      <c r="AT115" s="190"/>
      <c r="AU115" s="190"/>
      <c r="AV115" s="187"/>
      <c r="AW115" s="184"/>
      <c r="AX115" s="532"/>
    </row>
    <row r="116" spans="1:50" ht="14.25" customHeight="1" collapsed="1">
      <c r="B116" s="545" t="s">
        <v>604</v>
      </c>
      <c r="C116" s="545"/>
      <c r="D116" s="545"/>
      <c r="E116" s="545"/>
      <c r="F116" s="545"/>
      <c r="G116" s="545"/>
      <c r="H116" s="545"/>
      <c r="I116" s="545"/>
      <c r="J116" s="545"/>
      <c r="K116" s="545"/>
      <c r="L116" s="545"/>
      <c r="M116" s="557"/>
      <c r="N116" s="550" t="s">
        <v>383</v>
      </c>
      <c r="O116" s="550" t="s">
        <v>105</v>
      </c>
      <c r="P116" s="523">
        <f>AT78+1</f>
        <v>46042</v>
      </c>
      <c r="Q116" s="524"/>
      <c r="R116" s="524"/>
      <c r="S116" s="524"/>
      <c r="T116" s="525"/>
      <c r="U116" s="560">
        <f>P116+1</f>
        <v>46043</v>
      </c>
      <c r="V116" s="561"/>
      <c r="W116" s="561"/>
      <c r="X116" s="561"/>
      <c r="Y116" s="562"/>
      <c r="Z116" s="523">
        <f t="shared" ref="Z116" si="82">U116+1</f>
        <v>46044</v>
      </c>
      <c r="AA116" s="524"/>
      <c r="AB116" s="524"/>
      <c r="AC116" s="524"/>
      <c r="AD116" s="525"/>
      <c r="AE116" s="560">
        <f t="shared" ref="AE116" si="83">Z116+1</f>
        <v>46045</v>
      </c>
      <c r="AF116" s="561"/>
      <c r="AG116" s="561"/>
      <c r="AH116" s="561"/>
      <c r="AI116" s="562"/>
      <c r="AJ116" s="523">
        <f t="shared" ref="AJ116" si="84">AE116+1</f>
        <v>46046</v>
      </c>
      <c r="AK116" s="524"/>
      <c r="AL116" s="524"/>
      <c r="AM116" s="524"/>
      <c r="AN116" s="525"/>
      <c r="AO116" s="560">
        <f t="shared" ref="AO116" si="85">AJ116+1</f>
        <v>46047</v>
      </c>
      <c r="AP116" s="561"/>
      <c r="AQ116" s="561"/>
      <c r="AR116" s="561"/>
      <c r="AS116" s="562"/>
      <c r="AT116" s="523">
        <f t="shared" ref="AT116" si="86">AO116+1</f>
        <v>46048</v>
      </c>
      <c r="AU116" s="524"/>
      <c r="AV116" s="524"/>
      <c r="AW116" s="524"/>
      <c r="AX116" s="525"/>
    </row>
    <row r="117" spans="1:50" ht="14.25" customHeight="1"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9"/>
      <c r="N117" s="551"/>
      <c r="O117" s="551"/>
      <c r="P117" s="526">
        <f>P116</f>
        <v>46042</v>
      </c>
      <c r="Q117" s="527"/>
      <c r="R117" s="527"/>
      <c r="S117" s="527"/>
      <c r="T117" s="528"/>
      <c r="U117" s="529">
        <f>U116</f>
        <v>46043</v>
      </c>
      <c r="V117" s="530"/>
      <c r="W117" s="530"/>
      <c r="X117" s="530"/>
      <c r="Y117" s="531"/>
      <c r="Z117" s="526">
        <f t="shared" ref="Z117" si="87">Z116</f>
        <v>46044</v>
      </c>
      <c r="AA117" s="527"/>
      <c r="AB117" s="527"/>
      <c r="AC117" s="527"/>
      <c r="AD117" s="528"/>
      <c r="AE117" s="529">
        <f t="shared" ref="AE117" si="88">AE116</f>
        <v>46045</v>
      </c>
      <c r="AF117" s="530"/>
      <c r="AG117" s="530"/>
      <c r="AH117" s="530"/>
      <c r="AI117" s="531"/>
      <c r="AJ117" s="526">
        <f t="shared" ref="AJ117" si="89">AJ116</f>
        <v>46046</v>
      </c>
      <c r="AK117" s="527"/>
      <c r="AL117" s="527"/>
      <c r="AM117" s="527"/>
      <c r="AN117" s="528"/>
      <c r="AO117" s="529">
        <f t="shared" ref="AO117" si="90">AO116</f>
        <v>46047</v>
      </c>
      <c r="AP117" s="530"/>
      <c r="AQ117" s="530"/>
      <c r="AR117" s="530"/>
      <c r="AS117" s="531"/>
      <c r="AT117" s="526">
        <f t="shared" ref="AT117" si="91">AT116</f>
        <v>46048</v>
      </c>
      <c r="AU117" s="527"/>
      <c r="AV117" s="527"/>
      <c r="AW117" s="527"/>
      <c r="AX117" s="528"/>
    </row>
    <row r="118" spans="1:50" ht="14.25" customHeight="1">
      <c r="B118" s="501" t="s">
        <v>164</v>
      </c>
      <c r="C118" s="501" t="s">
        <v>159</v>
      </c>
      <c r="D118" s="501"/>
      <c r="E118" s="578" t="s">
        <v>160</v>
      </c>
      <c r="F118" s="579"/>
      <c r="G118" s="580"/>
      <c r="H118" s="501" t="s">
        <v>165</v>
      </c>
      <c r="I118" s="581" t="s">
        <v>384</v>
      </c>
      <c r="J118" s="582"/>
      <c r="K118" s="583"/>
      <c r="L118" s="522" t="s">
        <v>165</v>
      </c>
      <c r="M118" s="522" t="s">
        <v>167</v>
      </c>
      <c r="N118" s="552"/>
      <c r="O118" s="536" t="s">
        <v>166</v>
      </c>
      <c r="P118" s="533" t="s">
        <v>162</v>
      </c>
      <c r="Q118" s="534"/>
      <c r="R118" s="534"/>
      <c r="S118" s="535"/>
      <c r="T118" s="536" t="s">
        <v>165</v>
      </c>
      <c r="U118" s="533" t="s">
        <v>162</v>
      </c>
      <c r="V118" s="534"/>
      <c r="W118" s="534"/>
      <c r="X118" s="535"/>
      <c r="Y118" s="536" t="s">
        <v>165</v>
      </c>
      <c r="Z118" s="533" t="s">
        <v>162</v>
      </c>
      <c r="AA118" s="534"/>
      <c r="AB118" s="534"/>
      <c r="AC118" s="535"/>
      <c r="AD118" s="536" t="s">
        <v>165</v>
      </c>
      <c r="AE118" s="533" t="s">
        <v>162</v>
      </c>
      <c r="AF118" s="534"/>
      <c r="AG118" s="534"/>
      <c r="AH118" s="535"/>
      <c r="AI118" s="536" t="s">
        <v>165</v>
      </c>
      <c r="AJ118" s="533" t="s">
        <v>162</v>
      </c>
      <c r="AK118" s="534"/>
      <c r="AL118" s="534"/>
      <c r="AM118" s="535"/>
      <c r="AN118" s="536" t="s">
        <v>165</v>
      </c>
      <c r="AO118" s="533" t="s">
        <v>162</v>
      </c>
      <c r="AP118" s="534"/>
      <c r="AQ118" s="534"/>
      <c r="AR118" s="535"/>
      <c r="AS118" s="536" t="s">
        <v>165</v>
      </c>
      <c r="AT118" s="533" t="s">
        <v>162</v>
      </c>
      <c r="AU118" s="534"/>
      <c r="AV118" s="534"/>
      <c r="AW118" s="535"/>
      <c r="AX118" s="536" t="s">
        <v>165</v>
      </c>
    </row>
    <row r="119" spans="1:50" ht="14.25" customHeight="1">
      <c r="B119" s="501"/>
      <c r="C119" s="501"/>
      <c r="D119" s="501"/>
      <c r="E119" s="501" t="s">
        <v>385</v>
      </c>
      <c r="F119" s="501"/>
      <c r="G119" s="501"/>
      <c r="H119" s="501"/>
      <c r="I119" s="522" t="s">
        <v>385</v>
      </c>
      <c r="J119" s="522"/>
      <c r="K119" s="522"/>
      <c r="L119" s="522"/>
      <c r="M119" s="522"/>
      <c r="N119" s="552"/>
      <c r="O119" s="536"/>
      <c r="P119" s="536" t="s">
        <v>386</v>
      </c>
      <c r="Q119" s="536"/>
      <c r="R119" s="536"/>
      <c r="S119" s="536"/>
      <c r="T119" s="536"/>
      <c r="U119" s="536" t="s">
        <v>386</v>
      </c>
      <c r="V119" s="536"/>
      <c r="W119" s="536"/>
      <c r="X119" s="536"/>
      <c r="Y119" s="536"/>
      <c r="Z119" s="536" t="s">
        <v>386</v>
      </c>
      <c r="AA119" s="536"/>
      <c r="AB119" s="536"/>
      <c r="AC119" s="536"/>
      <c r="AD119" s="536"/>
      <c r="AE119" s="536" t="s">
        <v>386</v>
      </c>
      <c r="AF119" s="536"/>
      <c r="AG119" s="536"/>
      <c r="AH119" s="536"/>
      <c r="AI119" s="536"/>
      <c r="AJ119" s="536" t="s">
        <v>386</v>
      </c>
      <c r="AK119" s="536"/>
      <c r="AL119" s="536"/>
      <c r="AM119" s="536"/>
      <c r="AN119" s="536"/>
      <c r="AO119" s="536" t="s">
        <v>386</v>
      </c>
      <c r="AP119" s="536"/>
      <c r="AQ119" s="536"/>
      <c r="AR119" s="536"/>
      <c r="AS119" s="536"/>
      <c r="AT119" s="536" t="s">
        <v>386</v>
      </c>
      <c r="AU119" s="536"/>
      <c r="AV119" s="536"/>
      <c r="AW119" s="536"/>
      <c r="AX119" s="536"/>
    </row>
    <row r="120" spans="1:50" ht="14.25" customHeight="1">
      <c r="A120" s="179"/>
      <c r="B120" s="501"/>
      <c r="C120" s="501"/>
      <c r="D120" s="501"/>
      <c r="E120" s="182" t="s">
        <v>161</v>
      </c>
      <c r="F120" s="182" t="s">
        <v>387</v>
      </c>
      <c r="G120" s="182" t="s">
        <v>163</v>
      </c>
      <c r="H120" s="501"/>
      <c r="I120" s="183" t="s">
        <v>161</v>
      </c>
      <c r="J120" s="183" t="s">
        <v>387</v>
      </c>
      <c r="K120" s="183" t="s">
        <v>163</v>
      </c>
      <c r="L120" s="522"/>
      <c r="M120" s="522"/>
      <c r="N120" s="552"/>
      <c r="O120" s="536"/>
      <c r="P120" s="184" t="s">
        <v>161</v>
      </c>
      <c r="Q120" s="184" t="s">
        <v>387</v>
      </c>
      <c r="R120" s="184" t="s">
        <v>163</v>
      </c>
      <c r="S120" s="184" t="s">
        <v>167</v>
      </c>
      <c r="T120" s="536"/>
      <c r="U120" s="184" t="s">
        <v>161</v>
      </c>
      <c r="V120" s="184" t="s">
        <v>387</v>
      </c>
      <c r="W120" s="184" t="s">
        <v>163</v>
      </c>
      <c r="X120" s="184" t="s">
        <v>167</v>
      </c>
      <c r="Y120" s="536"/>
      <c r="Z120" s="184" t="s">
        <v>161</v>
      </c>
      <c r="AA120" s="184" t="s">
        <v>387</v>
      </c>
      <c r="AB120" s="184" t="s">
        <v>163</v>
      </c>
      <c r="AC120" s="184" t="s">
        <v>167</v>
      </c>
      <c r="AD120" s="536"/>
      <c r="AE120" s="184" t="s">
        <v>161</v>
      </c>
      <c r="AF120" s="184" t="s">
        <v>387</v>
      </c>
      <c r="AG120" s="184" t="s">
        <v>163</v>
      </c>
      <c r="AH120" s="184" t="s">
        <v>167</v>
      </c>
      <c r="AI120" s="536"/>
      <c r="AJ120" s="184" t="s">
        <v>161</v>
      </c>
      <c r="AK120" s="184" t="s">
        <v>387</v>
      </c>
      <c r="AL120" s="184" t="s">
        <v>163</v>
      </c>
      <c r="AM120" s="184" t="s">
        <v>167</v>
      </c>
      <c r="AN120" s="536"/>
      <c r="AO120" s="184" t="s">
        <v>161</v>
      </c>
      <c r="AP120" s="184" t="s">
        <v>387</v>
      </c>
      <c r="AQ120" s="184" t="s">
        <v>163</v>
      </c>
      <c r="AR120" s="184" t="s">
        <v>167</v>
      </c>
      <c r="AS120" s="536"/>
      <c r="AT120" s="184" t="s">
        <v>161</v>
      </c>
      <c r="AU120" s="184" t="s">
        <v>387</v>
      </c>
      <c r="AV120" s="184" t="s">
        <v>163</v>
      </c>
      <c r="AW120" s="184" t="s">
        <v>167</v>
      </c>
      <c r="AX120" s="536"/>
    </row>
    <row r="121" spans="1:50" ht="14.25" customHeight="1">
      <c r="B121" s="501" t="s">
        <v>388</v>
      </c>
      <c r="C121" s="182">
        <v>1</v>
      </c>
      <c r="D121" s="185" t="s">
        <v>413</v>
      </c>
      <c r="E121" s="186">
        <v>4</v>
      </c>
      <c r="F121" s="182">
        <v>3300</v>
      </c>
      <c r="G121" s="187">
        <f>F121/E121</f>
        <v>825</v>
      </c>
      <c r="H121" s="537">
        <f>AVERAGE(G121:G153)</f>
        <v>860.75757575757575</v>
      </c>
      <c r="I121" s="188">
        <f>AVERAGE(P121,U121,Z121,AE121,AJ121,AO121,AT121)</f>
        <v>4</v>
      </c>
      <c r="J121" s="188">
        <f>AVERAGE(Q121,V121,AA121,AF121,AK121,AP121,AU121)</f>
        <v>2949.2675852487018</v>
      </c>
      <c r="K121" s="189">
        <f>AVERAGE(R121,W121,AB121,AG121,AL121,AQ121,AV121)</f>
        <v>737.31689631217546</v>
      </c>
      <c r="L121" s="538">
        <f>IFERROR(AVERAGE(K121:K153),"-")</f>
        <v>761.81357532502375</v>
      </c>
      <c r="M121" s="188">
        <f>RANK(K121, K$121:$K$153)</f>
        <v>18</v>
      </c>
      <c r="N121" s="552"/>
      <c r="O121" s="536"/>
      <c r="P121" s="190">
        <v>4</v>
      </c>
      <c r="Q121" s="190">
        <v>2949.2152466367688</v>
      </c>
      <c r="R121" s="187">
        <f t="shared" ref="R121:R153" si="92">IFERROR(Q121/P121,"")</f>
        <v>737.30381165919221</v>
      </c>
      <c r="S121" s="184">
        <f>RANK(R121, R$121:R$153)</f>
        <v>18</v>
      </c>
      <c r="T121" s="532">
        <f>AVERAGE(R121:R153)</f>
        <v>760.76331144300855</v>
      </c>
      <c r="U121" s="190">
        <v>4</v>
      </c>
      <c r="V121" s="190">
        <v>2949.5925821860101</v>
      </c>
      <c r="W121" s="187">
        <f t="shared" ref="W121:W153" si="93">IFERROR(V121/U121,"")</f>
        <v>737.39814554650252</v>
      </c>
      <c r="X121" s="184">
        <f>RANK(W121, W$121:W$153)</f>
        <v>18</v>
      </c>
      <c r="Y121" s="532">
        <f>AVERAGE(W121:W153)</f>
        <v>761.10559997598625</v>
      </c>
      <c r="Z121" s="190">
        <v>4</v>
      </c>
      <c r="AA121" s="190">
        <v>2949.140486069944</v>
      </c>
      <c r="AB121" s="187">
        <f>IFERROR(AA121/Z121,"")</f>
        <v>737.285121517486</v>
      </c>
      <c r="AC121" s="184">
        <f>RANK(AB121, AB$121:AB$153)</f>
        <v>18</v>
      </c>
      <c r="AD121" s="532">
        <f>AVERAGE(AB121:AB153)</f>
        <v>761.45107127037545</v>
      </c>
      <c r="AE121" s="190">
        <v>4</v>
      </c>
      <c r="AF121" s="190">
        <v>2949.5502542041422</v>
      </c>
      <c r="AG121" s="187">
        <f>IFERROR(AF121/AE121,"")</f>
        <v>737.38756355103556</v>
      </c>
      <c r="AH121" s="184">
        <f>RANK(AG121, AG$121:AG$153)</f>
        <v>18</v>
      </c>
      <c r="AI121" s="532">
        <f>AVERAGE(AG121:AG153)</f>
        <v>761.82472243119059</v>
      </c>
      <c r="AJ121" s="190">
        <v>4</v>
      </c>
      <c r="AK121" s="190">
        <v>2949.1104675217184</v>
      </c>
      <c r="AL121" s="187">
        <f>IFERROR(AK121/AJ121,"")</f>
        <v>737.2776168804296</v>
      </c>
      <c r="AM121" s="184">
        <f>RANK(AL121, AL$121:AL$153)</f>
        <v>18</v>
      </c>
      <c r="AN121" s="532">
        <f>AVERAGE(AL121:AL153)</f>
        <v>763.1118721459552</v>
      </c>
      <c r="AO121" s="190">
        <v>4</v>
      </c>
      <c r="AP121" s="190">
        <v>2949.3606138107389</v>
      </c>
      <c r="AQ121" s="187">
        <f>IFERROR(AP121/AO121,"")</f>
        <v>737.34015345268472</v>
      </c>
      <c r="AR121" s="184">
        <f>RANK(AQ121, AQ$121:AQ$153)</f>
        <v>18</v>
      </c>
      <c r="AS121" s="532">
        <f>AVERAGE(AQ121:AQ153)</f>
        <v>763.4328251129117</v>
      </c>
      <c r="AT121" s="190">
        <v>4</v>
      </c>
      <c r="AU121" s="190">
        <v>2948.9034463115927</v>
      </c>
      <c r="AV121" s="187">
        <f>IFERROR(AU121/AT121,"")</f>
        <v>737.22586157789817</v>
      </c>
      <c r="AW121" s="184">
        <f>RANK(AV121, AV$121:AV$153)</f>
        <v>19</v>
      </c>
      <c r="AX121" s="532">
        <f>AVERAGE(AV121:AV153)</f>
        <v>771.13996641292408</v>
      </c>
    </row>
    <row r="122" spans="1:50" ht="14.25" customHeight="1">
      <c r="B122" s="501"/>
      <c r="C122" s="182">
        <v>2</v>
      </c>
      <c r="D122" s="185" t="s">
        <v>411</v>
      </c>
      <c r="E122" s="186">
        <v>3</v>
      </c>
      <c r="F122" s="182">
        <v>3600</v>
      </c>
      <c r="G122" s="187">
        <f t="shared" ref="G122:G141" si="94">F122/E122</f>
        <v>1200</v>
      </c>
      <c r="H122" s="537"/>
      <c r="I122" s="188">
        <f t="shared" ref="I122:K153" si="95">AVERAGE(P122,U122,Z122,AE122,AJ122,AO122,AT122)</f>
        <v>3</v>
      </c>
      <c r="J122" s="188">
        <f t="shared" si="95"/>
        <v>3121.0696199839267</v>
      </c>
      <c r="K122" s="189">
        <f t="shared" si="95"/>
        <v>1040.3565399946422</v>
      </c>
      <c r="L122" s="538"/>
      <c r="M122" s="188">
        <f>RANK(K122, K$121:$K$153)</f>
        <v>4</v>
      </c>
      <c r="N122" s="552"/>
      <c r="O122" s="536"/>
      <c r="P122" s="190">
        <v>3</v>
      </c>
      <c r="Q122" s="190">
        <v>3120.1454104816744</v>
      </c>
      <c r="R122" s="187">
        <f t="shared" si="92"/>
        <v>1040.0484701605581</v>
      </c>
      <c r="S122" s="184">
        <f t="shared" ref="S122:S153" si="96">RANK(R122, R$121:R$153)</f>
        <v>4</v>
      </c>
      <c r="T122" s="532"/>
      <c r="U122" s="190">
        <v>3</v>
      </c>
      <c r="V122" s="190">
        <v>3120.2662018697501</v>
      </c>
      <c r="W122" s="187">
        <f t="shared" si="93"/>
        <v>1040.0887339565834</v>
      </c>
      <c r="X122" s="184">
        <f t="shared" ref="X122:X153" si="97">RANK(W122, W$121:W$153)</f>
        <v>4</v>
      </c>
      <c r="Y122" s="532"/>
      <c r="Z122" s="190">
        <v>3</v>
      </c>
      <c r="AA122" s="190">
        <v>3120.318989865425</v>
      </c>
      <c r="AB122" s="187">
        <f t="shared" ref="AB122:AB153" si="98">IFERROR(AA122/Z122,"")</f>
        <v>1040.1063299551417</v>
      </c>
      <c r="AC122" s="184">
        <f t="shared" ref="AC122:AC153" si="99">RANK(AB122, AB$121:AB$153)</f>
        <v>5</v>
      </c>
      <c r="AD122" s="532"/>
      <c r="AE122" s="190">
        <v>3</v>
      </c>
      <c r="AF122" s="190">
        <v>3120.7692307692291</v>
      </c>
      <c r="AG122" s="187">
        <f t="shared" ref="AG122:AG153" si="100">IFERROR(AF122/AE122,"")</f>
        <v>1040.2564102564097</v>
      </c>
      <c r="AH122" s="184">
        <f t="shared" ref="AH122:AH153" si="101">RANK(AG122, AG$121:AG$153)</f>
        <v>4</v>
      </c>
      <c r="AI122" s="532"/>
      <c r="AJ122" s="190">
        <v>3</v>
      </c>
      <c r="AK122" s="190">
        <v>3121.1822660098514</v>
      </c>
      <c r="AL122" s="187">
        <f t="shared" ref="AL122:AL153" si="102">IFERROR(AK122/AJ122,"")</f>
        <v>1040.3940886699504</v>
      </c>
      <c r="AM122" s="184">
        <f t="shared" ref="AM122:AM153" si="103">RANK(AL122, AL$121:AL$153)</f>
        <v>4</v>
      </c>
      <c r="AN122" s="532"/>
      <c r="AO122" s="190">
        <v>3</v>
      </c>
      <c r="AP122" s="190">
        <v>3121.3904558621739</v>
      </c>
      <c r="AQ122" s="187">
        <f t="shared" ref="AQ122:AQ153" si="104">IFERROR(AP122/AO122,"")</f>
        <v>1040.4634852873912</v>
      </c>
      <c r="AR122" s="184">
        <f t="shared" ref="AR122:AR153" si="105">RANK(AQ122, AQ$121:AQ$153)</f>
        <v>5</v>
      </c>
      <c r="AS122" s="532"/>
      <c r="AT122" s="190">
        <v>3</v>
      </c>
      <c r="AU122" s="190">
        <v>3123.4147850293843</v>
      </c>
      <c r="AV122" s="187">
        <f t="shared" ref="AV122:AV153" si="106">IFERROR(AU122/AT122,"")</f>
        <v>1041.1382616764615</v>
      </c>
      <c r="AW122" s="184">
        <f t="shared" ref="AW122:AW153" si="107">RANK(AV122, AV$121:AV$153)</f>
        <v>6</v>
      </c>
      <c r="AX122" s="532"/>
    </row>
    <row r="123" spans="1:50" ht="14.25" customHeight="1">
      <c r="B123" s="501"/>
      <c r="C123" s="182">
        <v>3</v>
      </c>
      <c r="D123" s="185" t="s">
        <v>412</v>
      </c>
      <c r="E123" s="186">
        <v>4</v>
      </c>
      <c r="F123" s="182">
        <v>3300</v>
      </c>
      <c r="G123" s="187">
        <f t="shared" si="94"/>
        <v>825</v>
      </c>
      <c r="H123" s="537"/>
      <c r="I123" s="188">
        <f t="shared" si="95"/>
        <v>4</v>
      </c>
      <c r="J123" s="188">
        <f t="shared" si="95"/>
        <v>2948.8467660826536</v>
      </c>
      <c r="K123" s="189">
        <f t="shared" si="95"/>
        <v>737.21169152066341</v>
      </c>
      <c r="L123" s="538"/>
      <c r="M123" s="188">
        <f>RANK(K123, K$121:$K$153)</f>
        <v>19</v>
      </c>
      <c r="N123" s="552"/>
      <c r="O123" s="536"/>
      <c r="P123" s="190">
        <v>4</v>
      </c>
      <c r="Q123" s="190">
        <v>2948.5229081903426</v>
      </c>
      <c r="R123" s="187">
        <f t="shared" si="92"/>
        <v>737.13072704758565</v>
      </c>
      <c r="S123" s="184">
        <f t="shared" si="96"/>
        <v>19</v>
      </c>
      <c r="T123" s="532"/>
      <c r="U123" s="190">
        <v>4</v>
      </c>
      <c r="V123" s="190">
        <v>2948.5777206826942</v>
      </c>
      <c r="W123" s="187">
        <f t="shared" si="93"/>
        <v>737.14443017067356</v>
      </c>
      <c r="X123" s="184">
        <f t="shared" si="97"/>
        <v>19</v>
      </c>
      <c r="Y123" s="532"/>
      <c r="Z123" s="190">
        <v>4</v>
      </c>
      <c r="AA123" s="190">
        <v>2948.7297921478053</v>
      </c>
      <c r="AB123" s="187">
        <f t="shared" si="98"/>
        <v>737.18244803695131</v>
      </c>
      <c r="AC123" s="184">
        <f t="shared" si="99"/>
        <v>19</v>
      </c>
      <c r="AD123" s="532"/>
      <c r="AE123" s="190">
        <v>4</v>
      </c>
      <c r="AF123" s="190">
        <v>2948.7216946676413</v>
      </c>
      <c r="AG123" s="187">
        <f t="shared" si="100"/>
        <v>737.18042366691031</v>
      </c>
      <c r="AH123" s="184">
        <f t="shared" si="101"/>
        <v>19</v>
      </c>
      <c r="AI123" s="532"/>
      <c r="AJ123" s="190">
        <v>4</v>
      </c>
      <c r="AK123" s="190">
        <v>2949.0436113236428</v>
      </c>
      <c r="AL123" s="187">
        <f t="shared" si="102"/>
        <v>737.26090283091071</v>
      </c>
      <c r="AM123" s="184">
        <f t="shared" si="103"/>
        <v>19</v>
      </c>
      <c r="AN123" s="532"/>
      <c r="AO123" s="190">
        <v>4</v>
      </c>
      <c r="AP123" s="190">
        <v>2949.0586145648308</v>
      </c>
      <c r="AQ123" s="187">
        <f t="shared" si="104"/>
        <v>737.2646536412077</v>
      </c>
      <c r="AR123" s="184">
        <f t="shared" si="105"/>
        <v>19</v>
      </c>
      <c r="AS123" s="532"/>
      <c r="AT123" s="190">
        <v>4</v>
      </c>
      <c r="AU123" s="190">
        <v>2949.2730210016166</v>
      </c>
      <c r="AV123" s="187">
        <f t="shared" si="106"/>
        <v>737.31825525040415</v>
      </c>
      <c r="AW123" s="184">
        <f t="shared" si="107"/>
        <v>18</v>
      </c>
      <c r="AX123" s="532"/>
    </row>
    <row r="124" spans="1:50" ht="14.25" customHeight="1">
      <c r="B124" s="501"/>
      <c r="C124" s="182">
        <v>4</v>
      </c>
      <c r="D124" s="185" t="s">
        <v>232</v>
      </c>
      <c r="E124" s="186">
        <v>5</v>
      </c>
      <c r="F124" s="182">
        <v>3300</v>
      </c>
      <c r="G124" s="187">
        <f t="shared" si="94"/>
        <v>660</v>
      </c>
      <c r="H124" s="537"/>
      <c r="I124" s="188">
        <f t="shared" si="95"/>
        <v>5</v>
      </c>
      <c r="J124" s="188">
        <f t="shared" si="95"/>
        <v>2956.0876990205511</v>
      </c>
      <c r="K124" s="189">
        <f t="shared" si="95"/>
        <v>591.21753980411017</v>
      </c>
      <c r="L124" s="538"/>
      <c r="M124" s="188">
        <f>RANK(K124, K$121:$K$153)</f>
        <v>27</v>
      </c>
      <c r="N124" s="552"/>
      <c r="O124" s="536"/>
      <c r="P124" s="190">
        <v>5</v>
      </c>
      <c r="Q124" s="190">
        <v>2953.9072847682164</v>
      </c>
      <c r="R124" s="187">
        <f t="shared" si="92"/>
        <v>590.78145695364333</v>
      </c>
      <c r="S124" s="184">
        <f t="shared" si="96"/>
        <v>27</v>
      </c>
      <c r="T124" s="532"/>
      <c r="U124" s="190">
        <v>5</v>
      </c>
      <c r="V124" s="190">
        <v>2954.8051948051993</v>
      </c>
      <c r="W124" s="187">
        <f t="shared" si="93"/>
        <v>590.96103896103989</v>
      </c>
      <c r="X124" s="184">
        <f t="shared" si="97"/>
        <v>27</v>
      </c>
      <c r="Y124" s="532"/>
      <c r="Z124" s="190">
        <v>5</v>
      </c>
      <c r="AA124" s="190">
        <v>2955.4799183117811</v>
      </c>
      <c r="AB124" s="187">
        <f t="shared" si="98"/>
        <v>591.09598366235628</v>
      </c>
      <c r="AC124" s="184">
        <f t="shared" si="99"/>
        <v>27</v>
      </c>
      <c r="AD124" s="532"/>
      <c r="AE124" s="190">
        <v>5</v>
      </c>
      <c r="AF124" s="190">
        <v>2957.6208178438696</v>
      </c>
      <c r="AG124" s="187">
        <f t="shared" si="100"/>
        <v>591.52416356877393</v>
      </c>
      <c r="AH124" s="184">
        <f t="shared" si="101"/>
        <v>27</v>
      </c>
      <c r="AI124" s="532"/>
      <c r="AJ124" s="190">
        <v>5</v>
      </c>
      <c r="AK124" s="190">
        <v>2957.661290322581</v>
      </c>
      <c r="AL124" s="187">
        <f t="shared" si="102"/>
        <v>591.53225806451621</v>
      </c>
      <c r="AM124" s="184">
        <f t="shared" si="103"/>
        <v>26</v>
      </c>
      <c r="AN124" s="532"/>
      <c r="AO124" s="190">
        <v>5</v>
      </c>
      <c r="AP124" s="190">
        <v>2956.4383561643808</v>
      </c>
      <c r="AQ124" s="187">
        <f t="shared" si="104"/>
        <v>591.28767123287616</v>
      </c>
      <c r="AR124" s="184">
        <f t="shared" si="105"/>
        <v>26</v>
      </c>
      <c r="AS124" s="532"/>
      <c r="AT124" s="190">
        <v>5</v>
      </c>
      <c r="AU124" s="190">
        <v>2956.7010309278303</v>
      </c>
      <c r="AV124" s="187">
        <f t="shared" si="106"/>
        <v>591.3402061855661</v>
      </c>
      <c r="AW124" s="184">
        <f t="shared" si="107"/>
        <v>26</v>
      </c>
      <c r="AX124" s="532"/>
    </row>
    <row r="125" spans="1:50" ht="14.25" customHeight="1">
      <c r="B125" s="501"/>
      <c r="C125" s="182">
        <v>5</v>
      </c>
      <c r="D125" s="185" t="s">
        <v>408</v>
      </c>
      <c r="E125" s="186">
        <v>3</v>
      </c>
      <c r="F125" s="182">
        <v>3600</v>
      </c>
      <c r="G125" s="187">
        <f t="shared" si="94"/>
        <v>1200</v>
      </c>
      <c r="H125" s="537"/>
      <c r="I125" s="188">
        <f t="shared" si="95"/>
        <v>3</v>
      </c>
      <c r="J125" s="188">
        <f t="shared" si="95"/>
        <v>3120.707916237518</v>
      </c>
      <c r="K125" s="189">
        <f t="shared" si="95"/>
        <v>1040.2359720791726</v>
      </c>
      <c r="L125" s="538"/>
      <c r="M125" s="188">
        <f>RANK(K125, K$121:$K$153)</f>
        <v>6</v>
      </c>
      <c r="N125" s="552"/>
      <c r="O125" s="536"/>
      <c r="P125" s="190">
        <v>3</v>
      </c>
      <c r="Q125" s="190">
        <v>3119.0994371482161</v>
      </c>
      <c r="R125" s="187">
        <f t="shared" si="92"/>
        <v>1039.6998123827386</v>
      </c>
      <c r="S125" s="184">
        <f t="shared" si="96"/>
        <v>6</v>
      </c>
      <c r="T125" s="532"/>
      <c r="U125" s="190">
        <v>3</v>
      </c>
      <c r="V125" s="190">
        <v>3119.3609737542788</v>
      </c>
      <c r="W125" s="187">
        <f t="shared" si="93"/>
        <v>1039.7869912514263</v>
      </c>
      <c r="X125" s="184">
        <f t="shared" si="97"/>
        <v>6</v>
      </c>
      <c r="Y125" s="532"/>
      <c r="Z125" s="190">
        <v>3</v>
      </c>
      <c r="AA125" s="190">
        <v>3119.2502928543527</v>
      </c>
      <c r="AB125" s="187">
        <f t="shared" si="98"/>
        <v>1039.7500976181175</v>
      </c>
      <c r="AC125" s="184">
        <f t="shared" si="99"/>
        <v>6</v>
      </c>
      <c r="AD125" s="532"/>
      <c r="AE125" s="190">
        <v>3</v>
      </c>
      <c r="AF125" s="190">
        <v>3119.4874532835074</v>
      </c>
      <c r="AG125" s="187">
        <f t="shared" si="100"/>
        <v>1039.8291510945025</v>
      </c>
      <c r="AH125" s="184">
        <f t="shared" si="101"/>
        <v>6</v>
      </c>
      <c r="AI125" s="532"/>
      <c r="AJ125" s="190">
        <v>3</v>
      </c>
      <c r="AK125" s="190">
        <v>3121.0468920392577</v>
      </c>
      <c r="AL125" s="187">
        <f t="shared" si="102"/>
        <v>1040.3489640130858</v>
      </c>
      <c r="AM125" s="184">
        <f t="shared" si="103"/>
        <v>5</v>
      </c>
      <c r="AN125" s="532"/>
      <c r="AO125" s="190">
        <v>3</v>
      </c>
      <c r="AP125" s="190">
        <v>3122.0260936300865</v>
      </c>
      <c r="AQ125" s="187">
        <f t="shared" si="104"/>
        <v>1040.6753645433621</v>
      </c>
      <c r="AR125" s="184">
        <f t="shared" si="105"/>
        <v>4</v>
      </c>
      <c r="AS125" s="532"/>
      <c r="AT125" s="190">
        <v>3</v>
      </c>
      <c r="AU125" s="190">
        <v>3124.6842709529269</v>
      </c>
      <c r="AV125" s="187">
        <f t="shared" si="106"/>
        <v>1041.5614236509757</v>
      </c>
      <c r="AW125" s="184">
        <f t="shared" si="107"/>
        <v>3</v>
      </c>
      <c r="AX125" s="532"/>
    </row>
    <row r="126" spans="1:50" ht="14.25" customHeight="1">
      <c r="B126" s="501"/>
      <c r="C126" s="182">
        <v>6</v>
      </c>
      <c r="D126" s="185" t="s">
        <v>348</v>
      </c>
      <c r="E126" s="186">
        <v>3</v>
      </c>
      <c r="F126" s="182">
        <v>3000</v>
      </c>
      <c r="G126" s="187">
        <f t="shared" si="94"/>
        <v>1000</v>
      </c>
      <c r="H126" s="537"/>
      <c r="I126" s="188">
        <f t="shared" si="95"/>
        <v>3</v>
      </c>
      <c r="J126" s="188">
        <f t="shared" si="95"/>
        <v>2689.1838133245651</v>
      </c>
      <c r="K126" s="189">
        <f t="shared" si="95"/>
        <v>896.39460444152166</v>
      </c>
      <c r="L126" s="538"/>
      <c r="M126" s="188">
        <f>RANK(K126, K$121:$K$153)</f>
        <v>9</v>
      </c>
      <c r="N126" s="552"/>
      <c r="O126" s="536"/>
      <c r="P126" s="190">
        <v>3</v>
      </c>
      <c r="Q126" s="190">
        <v>2688.7814805393014</v>
      </c>
      <c r="R126" s="187">
        <f t="shared" si="92"/>
        <v>896.26049351310041</v>
      </c>
      <c r="S126" s="184">
        <f t="shared" si="96"/>
        <v>9</v>
      </c>
      <c r="T126" s="532"/>
      <c r="U126" s="190">
        <v>3</v>
      </c>
      <c r="V126" s="190">
        <v>2688.6435331230282</v>
      </c>
      <c r="W126" s="187">
        <f t="shared" si="93"/>
        <v>896.21451104100936</v>
      </c>
      <c r="X126" s="184">
        <f t="shared" si="97"/>
        <v>9</v>
      </c>
      <c r="Y126" s="532"/>
      <c r="Z126" s="190">
        <v>3</v>
      </c>
      <c r="AA126" s="190">
        <v>2688.9555494955011</v>
      </c>
      <c r="AB126" s="187">
        <f t="shared" si="98"/>
        <v>896.31851649850034</v>
      </c>
      <c r="AC126" s="184">
        <f t="shared" si="99"/>
        <v>9</v>
      </c>
      <c r="AD126" s="532"/>
      <c r="AE126" s="190">
        <v>3</v>
      </c>
      <c r="AF126" s="190">
        <v>2688.8178913738025</v>
      </c>
      <c r="AG126" s="187">
        <f t="shared" si="100"/>
        <v>896.27263045793416</v>
      </c>
      <c r="AH126" s="184">
        <f t="shared" si="101"/>
        <v>9</v>
      </c>
      <c r="AI126" s="532"/>
      <c r="AJ126" s="190">
        <v>3</v>
      </c>
      <c r="AK126" s="190">
        <v>2689.3805309734494</v>
      </c>
      <c r="AL126" s="187">
        <f t="shared" si="102"/>
        <v>896.46017699114975</v>
      </c>
      <c r="AM126" s="184">
        <f t="shared" si="103"/>
        <v>9</v>
      </c>
      <c r="AN126" s="532"/>
      <c r="AO126" s="190">
        <v>3</v>
      </c>
      <c r="AP126" s="190">
        <v>2689.7727272727279</v>
      </c>
      <c r="AQ126" s="187">
        <f t="shared" si="104"/>
        <v>896.59090909090935</v>
      </c>
      <c r="AR126" s="184">
        <f t="shared" si="105"/>
        <v>9</v>
      </c>
      <c r="AS126" s="532"/>
      <c r="AT126" s="190">
        <v>3</v>
      </c>
      <c r="AU126" s="190">
        <v>2689.9349804941448</v>
      </c>
      <c r="AV126" s="187">
        <f t="shared" si="106"/>
        <v>896.64499349804828</v>
      </c>
      <c r="AW126" s="184">
        <f t="shared" si="107"/>
        <v>9</v>
      </c>
      <c r="AX126" s="532"/>
    </row>
    <row r="127" spans="1:50" ht="14.25" customHeight="1">
      <c r="B127" s="501"/>
      <c r="C127" s="182">
        <v>7</v>
      </c>
      <c r="D127" s="185" t="s">
        <v>410</v>
      </c>
      <c r="E127" s="186">
        <v>3</v>
      </c>
      <c r="F127" s="182">
        <v>3600</v>
      </c>
      <c r="G127" s="187">
        <f t="shared" si="94"/>
        <v>1200</v>
      </c>
      <c r="H127" s="537"/>
      <c r="I127" s="188">
        <f t="shared" si="95"/>
        <v>3</v>
      </c>
      <c r="J127" s="188">
        <f t="shared" si="95"/>
        <v>3126.1826117503911</v>
      </c>
      <c r="K127" s="189">
        <f t="shared" si="95"/>
        <v>1042.0608705834636</v>
      </c>
      <c r="L127" s="538"/>
      <c r="M127" s="188">
        <f>RANK(K127, K$121:$K$153)</f>
        <v>2</v>
      </c>
      <c r="N127" s="552"/>
      <c r="O127" s="536"/>
      <c r="P127" s="190">
        <v>3</v>
      </c>
      <c r="Q127" s="190">
        <v>3124.9484536082427</v>
      </c>
      <c r="R127" s="187">
        <f t="shared" si="92"/>
        <v>1041.649484536081</v>
      </c>
      <c r="S127" s="184">
        <f t="shared" si="96"/>
        <v>2</v>
      </c>
      <c r="T127" s="532"/>
      <c r="U127" s="190">
        <v>3</v>
      </c>
      <c r="V127" s="190">
        <v>3125.5629139072894</v>
      </c>
      <c r="W127" s="187">
        <f t="shared" si="93"/>
        <v>1041.8543046357631</v>
      </c>
      <c r="X127" s="184">
        <f t="shared" si="97"/>
        <v>2</v>
      </c>
      <c r="Y127" s="532"/>
      <c r="Z127" s="190">
        <v>3</v>
      </c>
      <c r="AA127" s="190">
        <v>3125.6756756756799</v>
      </c>
      <c r="AB127" s="187">
        <f t="shared" si="98"/>
        <v>1041.8918918918932</v>
      </c>
      <c r="AC127" s="184">
        <f t="shared" si="99"/>
        <v>2</v>
      </c>
      <c r="AD127" s="532"/>
      <c r="AE127" s="190">
        <v>3</v>
      </c>
      <c r="AF127" s="190">
        <v>3125.835866261411</v>
      </c>
      <c r="AG127" s="187">
        <f t="shared" si="100"/>
        <v>1041.9452887538037</v>
      </c>
      <c r="AH127" s="184">
        <f t="shared" si="101"/>
        <v>2</v>
      </c>
      <c r="AI127" s="532"/>
      <c r="AJ127" s="190">
        <v>3</v>
      </c>
      <c r="AK127" s="190">
        <v>3127.1523178808025</v>
      </c>
      <c r="AL127" s="187">
        <f t="shared" si="102"/>
        <v>1042.3841059602676</v>
      </c>
      <c r="AM127" s="184">
        <f t="shared" si="103"/>
        <v>2</v>
      </c>
      <c r="AN127" s="532"/>
      <c r="AO127" s="190">
        <v>3</v>
      </c>
      <c r="AP127" s="190">
        <v>3127.1716469770718</v>
      </c>
      <c r="AQ127" s="187">
        <f t="shared" si="104"/>
        <v>1042.3905489923573</v>
      </c>
      <c r="AR127" s="184">
        <f t="shared" si="105"/>
        <v>2</v>
      </c>
      <c r="AS127" s="532"/>
      <c r="AT127" s="190">
        <v>3</v>
      </c>
      <c r="AU127" s="190">
        <v>3126.9314079422406</v>
      </c>
      <c r="AV127" s="187">
        <f t="shared" si="106"/>
        <v>1042.3104693140801</v>
      </c>
      <c r="AW127" s="184">
        <f t="shared" si="107"/>
        <v>2</v>
      </c>
      <c r="AX127" s="532"/>
    </row>
    <row r="128" spans="1:50" ht="14.25" customHeight="1">
      <c r="B128" s="501"/>
      <c r="C128" s="182">
        <v>8</v>
      </c>
      <c r="D128" s="185" t="s">
        <v>409</v>
      </c>
      <c r="E128" s="186">
        <v>4</v>
      </c>
      <c r="F128" s="182">
        <v>3300</v>
      </c>
      <c r="G128" s="187">
        <f t="shared" si="94"/>
        <v>825</v>
      </c>
      <c r="H128" s="537"/>
      <c r="I128" s="188">
        <f t="shared" si="95"/>
        <v>4</v>
      </c>
      <c r="J128" s="188">
        <f t="shared" si="95"/>
        <v>2925.6215813199719</v>
      </c>
      <c r="K128" s="189">
        <f t="shared" si="95"/>
        <v>731.40539532999298</v>
      </c>
      <c r="L128" s="538"/>
      <c r="M128" s="188">
        <f>RANK(K128, K$121:$K$153)</f>
        <v>22</v>
      </c>
      <c r="N128" s="552"/>
      <c r="O128" s="536"/>
      <c r="P128" s="190">
        <v>4</v>
      </c>
      <c r="Q128" s="190">
        <v>2924.8868778280557</v>
      </c>
      <c r="R128" s="187">
        <f t="shared" si="92"/>
        <v>731.22171945701393</v>
      </c>
      <c r="S128" s="184">
        <f t="shared" si="96"/>
        <v>23</v>
      </c>
      <c r="T128" s="532"/>
      <c r="U128" s="190">
        <v>4</v>
      </c>
      <c r="V128" s="190">
        <v>2925.1101321585929</v>
      </c>
      <c r="W128" s="187">
        <f t="shared" si="93"/>
        <v>731.27753303964823</v>
      </c>
      <c r="X128" s="184">
        <f t="shared" si="97"/>
        <v>23</v>
      </c>
      <c r="Y128" s="532"/>
      <c r="Z128" s="190">
        <v>4</v>
      </c>
      <c r="AA128" s="190">
        <v>2924.7687564234325</v>
      </c>
      <c r="AB128" s="187">
        <f t="shared" si="98"/>
        <v>731.19218910585812</v>
      </c>
      <c r="AC128" s="184">
        <f t="shared" si="99"/>
        <v>24</v>
      </c>
      <c r="AD128" s="532"/>
      <c r="AE128" s="190">
        <v>4</v>
      </c>
      <c r="AF128" s="190">
        <v>2925.1700680272097</v>
      </c>
      <c r="AG128" s="187">
        <f t="shared" si="100"/>
        <v>731.29251700680243</v>
      </c>
      <c r="AH128" s="184">
        <f t="shared" si="101"/>
        <v>23</v>
      </c>
      <c r="AI128" s="532"/>
      <c r="AJ128" s="190">
        <v>4</v>
      </c>
      <c r="AK128" s="190">
        <v>2925.9320629660356</v>
      </c>
      <c r="AL128" s="187">
        <f t="shared" si="102"/>
        <v>731.48301574150889</v>
      </c>
      <c r="AM128" s="184">
        <f t="shared" si="103"/>
        <v>22</v>
      </c>
      <c r="AN128" s="532"/>
      <c r="AO128" s="190">
        <v>4</v>
      </c>
      <c r="AP128" s="190">
        <v>2926.3803680981614</v>
      </c>
      <c r="AQ128" s="187">
        <f t="shared" si="104"/>
        <v>731.59509202454035</v>
      </c>
      <c r="AR128" s="184">
        <f t="shared" si="105"/>
        <v>21</v>
      </c>
      <c r="AS128" s="532"/>
      <c r="AT128" s="190">
        <v>4</v>
      </c>
      <c r="AU128" s="190">
        <v>2927.1028037383194</v>
      </c>
      <c r="AV128" s="187">
        <f t="shared" si="106"/>
        <v>731.77570093457985</v>
      </c>
      <c r="AW128" s="184">
        <f t="shared" si="107"/>
        <v>20</v>
      </c>
      <c r="AX128" s="532"/>
    </row>
    <row r="129" spans="2:50" ht="14.25" customHeight="1">
      <c r="B129" s="501"/>
      <c r="C129" s="182">
        <v>9</v>
      </c>
      <c r="D129" s="185" t="s">
        <v>464</v>
      </c>
      <c r="E129" s="186">
        <v>4</v>
      </c>
      <c r="F129" s="182">
        <v>3300</v>
      </c>
      <c r="G129" s="187">
        <f t="shared" si="94"/>
        <v>825</v>
      </c>
      <c r="H129" s="537"/>
      <c r="I129" s="188">
        <f t="shared" si="95"/>
        <v>4</v>
      </c>
      <c r="J129" s="188">
        <f t="shared" si="95"/>
        <v>2930.6143064790126</v>
      </c>
      <c r="K129" s="189">
        <f t="shared" si="95"/>
        <v>732.65357661975315</v>
      </c>
      <c r="L129" s="538"/>
      <c r="M129" s="188">
        <f>RANK(K129, K$121:$K$153)</f>
        <v>20</v>
      </c>
      <c r="N129" s="552"/>
      <c r="O129" s="536"/>
      <c r="P129" s="190">
        <v>4</v>
      </c>
      <c r="Q129" s="190">
        <v>2929.133858267714</v>
      </c>
      <c r="R129" s="187">
        <f t="shared" si="92"/>
        <v>732.2834645669285</v>
      </c>
      <c r="S129" s="184">
        <f t="shared" si="96"/>
        <v>20</v>
      </c>
      <c r="T129" s="532"/>
      <c r="U129" s="190">
        <v>4</v>
      </c>
      <c r="V129" s="190">
        <v>2930.8662741799822</v>
      </c>
      <c r="W129" s="187">
        <f t="shared" si="93"/>
        <v>732.71656854499554</v>
      </c>
      <c r="X129" s="184">
        <f t="shared" si="97"/>
        <v>20</v>
      </c>
      <c r="Y129" s="532"/>
      <c r="Z129" s="190">
        <v>4</v>
      </c>
      <c r="AA129" s="190">
        <v>2931.0285220397659</v>
      </c>
      <c r="AB129" s="187">
        <f t="shared" si="98"/>
        <v>732.75713050994148</v>
      </c>
      <c r="AC129" s="184">
        <f t="shared" si="99"/>
        <v>20</v>
      </c>
      <c r="AD129" s="532"/>
      <c r="AE129" s="190">
        <v>4</v>
      </c>
      <c r="AF129" s="190">
        <v>2931.4285714285888</v>
      </c>
      <c r="AG129" s="187">
        <f t="shared" si="100"/>
        <v>732.85714285714721</v>
      </c>
      <c r="AH129" s="184">
        <f t="shared" si="101"/>
        <v>20</v>
      </c>
      <c r="AI129" s="532"/>
      <c r="AJ129" s="190"/>
      <c r="AK129" s="190"/>
      <c r="AL129" s="187"/>
      <c r="AM129" s="184"/>
      <c r="AN129" s="532"/>
      <c r="AO129" s="190"/>
      <c r="AP129" s="190"/>
      <c r="AQ129" s="187"/>
      <c r="AR129" s="184"/>
      <c r="AS129" s="532"/>
      <c r="AT129" s="190"/>
      <c r="AU129" s="190"/>
      <c r="AV129" s="187"/>
      <c r="AW129" s="184"/>
      <c r="AX129" s="532"/>
    </row>
    <row r="130" spans="2:50" ht="14.25" customHeight="1">
      <c r="B130" s="501"/>
      <c r="C130" s="182">
        <v>10</v>
      </c>
      <c r="D130" s="185" t="s">
        <v>407</v>
      </c>
      <c r="E130" s="186">
        <v>4</v>
      </c>
      <c r="F130" s="182">
        <v>3300</v>
      </c>
      <c r="G130" s="187">
        <f t="shared" si="94"/>
        <v>825</v>
      </c>
      <c r="H130" s="537"/>
      <c r="I130" s="188">
        <f t="shared" si="95"/>
        <v>4</v>
      </c>
      <c r="J130" s="188">
        <f t="shared" si="95"/>
        <v>2925.3723993122353</v>
      </c>
      <c r="K130" s="189">
        <f t="shared" si="95"/>
        <v>731.34309982805883</v>
      </c>
      <c r="L130" s="538"/>
      <c r="M130" s="188">
        <f>RANK(K130, K$121:$K$153)</f>
        <v>24</v>
      </c>
      <c r="N130" s="552"/>
      <c r="O130" s="536"/>
      <c r="P130" s="190">
        <v>4</v>
      </c>
      <c r="Q130" s="190">
        <v>2924.2214532871972</v>
      </c>
      <c r="R130" s="187">
        <f t="shared" si="92"/>
        <v>731.05536332179929</v>
      </c>
      <c r="S130" s="184">
        <f t="shared" si="96"/>
        <v>24</v>
      </c>
      <c r="T130" s="532"/>
      <c r="U130" s="190">
        <v>4</v>
      </c>
      <c r="V130" s="190">
        <v>2924.3312101910847</v>
      </c>
      <c r="W130" s="187">
        <f t="shared" si="93"/>
        <v>731.08280254777117</v>
      </c>
      <c r="X130" s="184">
        <f t="shared" si="97"/>
        <v>24</v>
      </c>
      <c r="Y130" s="532"/>
      <c r="Z130" s="190">
        <v>4</v>
      </c>
      <c r="AA130" s="190">
        <v>2924.8983280614561</v>
      </c>
      <c r="AB130" s="187">
        <f t="shared" si="98"/>
        <v>731.22458201536404</v>
      </c>
      <c r="AC130" s="184">
        <f t="shared" si="99"/>
        <v>23</v>
      </c>
      <c r="AD130" s="532"/>
      <c r="AE130" s="190">
        <v>4</v>
      </c>
      <c r="AF130" s="190">
        <v>2925.6863941427719</v>
      </c>
      <c r="AG130" s="187">
        <f t="shared" si="100"/>
        <v>731.42159853569297</v>
      </c>
      <c r="AH130" s="184">
        <f t="shared" si="101"/>
        <v>22</v>
      </c>
      <c r="AI130" s="532"/>
      <c r="AJ130" s="190">
        <v>4</v>
      </c>
      <c r="AK130" s="190">
        <v>2925.5874673629278</v>
      </c>
      <c r="AL130" s="187">
        <f t="shared" si="102"/>
        <v>731.39686684073195</v>
      </c>
      <c r="AM130" s="184">
        <f t="shared" si="103"/>
        <v>23</v>
      </c>
      <c r="AN130" s="532"/>
      <c r="AO130" s="190">
        <v>4</v>
      </c>
      <c r="AP130" s="190">
        <v>2926.1946902654872</v>
      </c>
      <c r="AQ130" s="187">
        <f t="shared" si="104"/>
        <v>731.54867256637181</v>
      </c>
      <c r="AR130" s="184">
        <f t="shared" si="105"/>
        <v>22</v>
      </c>
      <c r="AS130" s="532"/>
      <c r="AT130" s="190">
        <v>4</v>
      </c>
      <c r="AU130" s="190">
        <v>2926.6872518747214</v>
      </c>
      <c r="AV130" s="187">
        <f t="shared" si="106"/>
        <v>731.67181296868034</v>
      </c>
      <c r="AW130" s="184">
        <f t="shared" si="107"/>
        <v>21</v>
      </c>
      <c r="AX130" s="532"/>
    </row>
    <row r="131" spans="2:50" ht="14.25" customHeight="1">
      <c r="B131" s="501"/>
      <c r="C131" s="182">
        <v>11</v>
      </c>
      <c r="D131" s="185" t="s">
        <v>473</v>
      </c>
      <c r="E131" s="186">
        <v>4</v>
      </c>
      <c r="F131" s="182">
        <v>3300</v>
      </c>
      <c r="G131" s="187">
        <f t="shared" si="94"/>
        <v>825</v>
      </c>
      <c r="H131" s="537"/>
      <c r="I131" s="188">
        <f t="shared" si="95"/>
        <v>4</v>
      </c>
      <c r="J131" s="188">
        <f t="shared" si="95"/>
        <v>2953.8094086837054</v>
      </c>
      <c r="K131" s="189">
        <f t="shared" si="95"/>
        <v>738.45235217092636</v>
      </c>
      <c r="L131" s="538"/>
      <c r="M131" s="188">
        <f>RANK(K131, K$121:$K$153)</f>
        <v>14</v>
      </c>
      <c r="N131" s="552"/>
      <c r="O131" s="536"/>
      <c r="P131" s="190">
        <v>4</v>
      </c>
      <c r="Q131" s="190">
        <v>2953.8000000000011</v>
      </c>
      <c r="R131" s="187">
        <f t="shared" si="92"/>
        <v>738.45000000000027</v>
      </c>
      <c r="S131" s="184">
        <f t="shared" si="96"/>
        <v>14</v>
      </c>
      <c r="T131" s="532"/>
      <c r="U131" s="190">
        <v>4</v>
      </c>
      <c r="V131" s="190">
        <v>2953.5714285714234</v>
      </c>
      <c r="W131" s="187">
        <f t="shared" si="93"/>
        <v>738.39285714285586</v>
      </c>
      <c r="X131" s="184">
        <f t="shared" si="97"/>
        <v>14</v>
      </c>
      <c r="Y131" s="532"/>
      <c r="Z131" s="190">
        <v>4</v>
      </c>
      <c r="AA131" s="190">
        <v>2953.1393568147018</v>
      </c>
      <c r="AB131" s="187">
        <f t="shared" si="98"/>
        <v>738.28483920367546</v>
      </c>
      <c r="AC131" s="184">
        <f t="shared" si="99"/>
        <v>14</v>
      </c>
      <c r="AD131" s="532"/>
      <c r="AE131" s="190">
        <v>4</v>
      </c>
      <c r="AF131" s="190">
        <v>2953.7790697674368</v>
      </c>
      <c r="AG131" s="187">
        <f t="shared" si="100"/>
        <v>738.4447674418592</v>
      </c>
      <c r="AH131" s="184">
        <f t="shared" si="101"/>
        <v>13</v>
      </c>
      <c r="AI131" s="532"/>
      <c r="AJ131" s="190">
        <v>4</v>
      </c>
      <c r="AK131" s="190">
        <v>2953.6299765807989</v>
      </c>
      <c r="AL131" s="187">
        <f t="shared" si="102"/>
        <v>738.40749414519973</v>
      </c>
      <c r="AM131" s="184">
        <f t="shared" si="103"/>
        <v>14</v>
      </c>
      <c r="AN131" s="532"/>
      <c r="AO131" s="190">
        <v>4</v>
      </c>
      <c r="AP131" s="190">
        <v>2954.4186046511622</v>
      </c>
      <c r="AQ131" s="187">
        <f t="shared" si="104"/>
        <v>738.60465116279056</v>
      </c>
      <c r="AR131" s="184">
        <f t="shared" si="105"/>
        <v>14</v>
      </c>
      <c r="AS131" s="532"/>
      <c r="AT131" s="190">
        <v>4</v>
      </c>
      <c r="AU131" s="190">
        <v>2954.3274244004183</v>
      </c>
      <c r="AV131" s="187">
        <f t="shared" si="106"/>
        <v>738.58185610010457</v>
      </c>
      <c r="AW131" s="184">
        <f t="shared" si="107"/>
        <v>14</v>
      </c>
      <c r="AX131" s="532"/>
    </row>
    <row r="132" spans="2:50" ht="14.25" customHeight="1">
      <c r="B132" s="501"/>
      <c r="C132" s="182">
        <v>12</v>
      </c>
      <c r="D132" s="185" t="s">
        <v>231</v>
      </c>
      <c r="E132" s="186">
        <v>3</v>
      </c>
      <c r="F132" s="182">
        <v>3000</v>
      </c>
      <c r="G132" s="187">
        <f t="shared" si="94"/>
        <v>1000</v>
      </c>
      <c r="H132" s="537"/>
      <c r="I132" s="188">
        <f t="shared" si="95"/>
        <v>3</v>
      </c>
      <c r="J132" s="188">
        <f t="shared" si="95"/>
        <v>2688.2504426758087</v>
      </c>
      <c r="K132" s="189">
        <f t="shared" si="95"/>
        <v>896.08348089193612</v>
      </c>
      <c r="L132" s="538"/>
      <c r="M132" s="188">
        <f>RANK(K132, K$121:$K$153)</f>
        <v>11</v>
      </c>
      <c r="N132" s="552"/>
      <c r="O132" s="536"/>
      <c r="P132" s="190">
        <v>3</v>
      </c>
      <c r="Q132" s="190">
        <v>2687.9675071924198</v>
      </c>
      <c r="R132" s="187">
        <f t="shared" si="92"/>
        <v>895.9891690641399</v>
      </c>
      <c r="S132" s="184">
        <f t="shared" si="96"/>
        <v>10</v>
      </c>
      <c r="T132" s="532"/>
      <c r="U132" s="190">
        <v>3</v>
      </c>
      <c r="V132" s="190">
        <v>2688.1873004611562</v>
      </c>
      <c r="W132" s="187">
        <f t="shared" si="93"/>
        <v>896.06243348705209</v>
      </c>
      <c r="X132" s="184">
        <f t="shared" si="97"/>
        <v>11</v>
      </c>
      <c r="Y132" s="532"/>
      <c r="Z132" s="190">
        <v>3</v>
      </c>
      <c r="AA132" s="190">
        <v>2688.0706921944047</v>
      </c>
      <c r="AB132" s="187">
        <f t="shared" si="98"/>
        <v>896.02356406480158</v>
      </c>
      <c r="AC132" s="184">
        <f t="shared" si="99"/>
        <v>11</v>
      </c>
      <c r="AD132" s="532"/>
      <c r="AE132" s="190">
        <v>3</v>
      </c>
      <c r="AF132" s="190">
        <v>2687.9334257975065</v>
      </c>
      <c r="AG132" s="187">
        <f t="shared" si="100"/>
        <v>895.97780859916884</v>
      </c>
      <c r="AH132" s="184">
        <f t="shared" si="101"/>
        <v>11</v>
      </c>
      <c r="AI132" s="532"/>
      <c r="AJ132" s="190">
        <v>3</v>
      </c>
      <c r="AK132" s="190">
        <v>2688.3787661406022</v>
      </c>
      <c r="AL132" s="187">
        <f t="shared" si="102"/>
        <v>896.12625538020075</v>
      </c>
      <c r="AM132" s="184">
        <f t="shared" si="103"/>
        <v>11</v>
      </c>
      <c r="AN132" s="532"/>
      <c r="AO132" s="190">
        <v>3</v>
      </c>
      <c r="AP132" s="190">
        <v>2688.5844748858449</v>
      </c>
      <c r="AQ132" s="187">
        <f t="shared" si="104"/>
        <v>896.19482496194826</v>
      </c>
      <c r="AR132" s="184">
        <f t="shared" si="105"/>
        <v>10</v>
      </c>
      <c r="AS132" s="532"/>
      <c r="AT132" s="190">
        <v>3</v>
      </c>
      <c r="AU132" s="190">
        <v>2688.6309320587238</v>
      </c>
      <c r="AV132" s="187">
        <f t="shared" si="106"/>
        <v>896.21031068624131</v>
      </c>
      <c r="AW132" s="184">
        <f t="shared" si="107"/>
        <v>10</v>
      </c>
      <c r="AX132" s="532"/>
    </row>
    <row r="133" spans="2:50" ht="14.25" customHeight="1">
      <c r="B133" s="501"/>
      <c r="C133" s="182">
        <v>13</v>
      </c>
      <c r="D133" s="185" t="s">
        <v>501</v>
      </c>
      <c r="E133" s="186">
        <v>12</v>
      </c>
      <c r="F133" s="182">
        <v>3600</v>
      </c>
      <c r="G133" s="187">
        <f t="shared" si="94"/>
        <v>300</v>
      </c>
      <c r="H133" s="537"/>
      <c r="I133" s="188">
        <f t="shared" si="95"/>
        <v>12</v>
      </c>
      <c r="J133" s="188">
        <f t="shared" si="95"/>
        <v>3118.9146755820943</v>
      </c>
      <c r="K133" s="189">
        <f t="shared" si="95"/>
        <v>259.90955629850788</v>
      </c>
      <c r="L133" s="538"/>
      <c r="M133" s="188">
        <f>RANK(K133, K$121:$K$153)</f>
        <v>32</v>
      </c>
      <c r="N133" s="552"/>
      <c r="O133" s="536"/>
      <c r="P133" s="190">
        <v>12</v>
      </c>
      <c r="Q133" s="190">
        <v>3116.8957154405803</v>
      </c>
      <c r="R133" s="187">
        <f t="shared" si="92"/>
        <v>259.74130962004836</v>
      </c>
      <c r="S133" s="184">
        <f t="shared" si="96"/>
        <v>32</v>
      </c>
      <c r="T133" s="532"/>
      <c r="U133" s="190">
        <v>12</v>
      </c>
      <c r="V133" s="190">
        <v>3117.4224343675423</v>
      </c>
      <c r="W133" s="187">
        <f t="shared" si="93"/>
        <v>259.78520286396184</v>
      </c>
      <c r="X133" s="184">
        <f t="shared" si="97"/>
        <v>32</v>
      </c>
      <c r="Y133" s="532"/>
      <c r="Z133" s="190">
        <v>12</v>
      </c>
      <c r="AA133" s="190">
        <v>3117.5572519083917</v>
      </c>
      <c r="AB133" s="187">
        <f t="shared" si="98"/>
        <v>259.79643765903262</v>
      </c>
      <c r="AC133" s="184">
        <f t="shared" si="99"/>
        <v>32</v>
      </c>
      <c r="AD133" s="532"/>
      <c r="AE133" s="190">
        <v>12</v>
      </c>
      <c r="AF133" s="190">
        <v>3117.9757511860817</v>
      </c>
      <c r="AG133" s="187">
        <f t="shared" si="100"/>
        <v>259.83131259884016</v>
      </c>
      <c r="AH133" s="184">
        <f t="shared" si="101"/>
        <v>33</v>
      </c>
      <c r="AI133" s="532"/>
      <c r="AJ133" s="190">
        <v>12</v>
      </c>
      <c r="AK133" s="190">
        <v>3120.7986688851852</v>
      </c>
      <c r="AL133" s="187">
        <f t="shared" si="102"/>
        <v>260.06655574043208</v>
      </c>
      <c r="AM133" s="184">
        <f t="shared" si="103"/>
        <v>31</v>
      </c>
      <c r="AN133" s="532"/>
      <c r="AO133" s="190">
        <v>12</v>
      </c>
      <c r="AP133" s="190">
        <v>3120.8791208791204</v>
      </c>
      <c r="AQ133" s="187">
        <f t="shared" si="104"/>
        <v>260.07326007326003</v>
      </c>
      <c r="AR133" s="184">
        <f t="shared" si="105"/>
        <v>32</v>
      </c>
      <c r="AS133" s="532"/>
      <c r="AT133" s="190">
        <v>12</v>
      </c>
      <c r="AU133" s="190">
        <v>3120.8737864077575</v>
      </c>
      <c r="AV133" s="187">
        <f t="shared" si="106"/>
        <v>260.07281553397979</v>
      </c>
      <c r="AW133" s="184">
        <f t="shared" si="107"/>
        <v>31</v>
      </c>
      <c r="AX133" s="532"/>
    </row>
    <row r="134" spans="2:50" ht="14.25" customHeight="1">
      <c r="B134" s="501"/>
      <c r="C134" s="182">
        <v>14</v>
      </c>
      <c r="D134" s="185" t="s">
        <v>586</v>
      </c>
      <c r="E134" s="186">
        <v>3</v>
      </c>
      <c r="F134" s="182">
        <v>3300</v>
      </c>
      <c r="G134" s="187">
        <f t="shared" si="94"/>
        <v>1100</v>
      </c>
      <c r="H134" s="537"/>
      <c r="I134" s="188">
        <f t="shared" si="95"/>
        <v>3</v>
      </c>
      <c r="J134" s="188">
        <f t="shared" si="95"/>
        <v>2950.1723507847514</v>
      </c>
      <c r="K134" s="189">
        <f t="shared" si="95"/>
        <v>983.39078359491702</v>
      </c>
      <c r="L134" s="538"/>
      <c r="M134" s="188">
        <f>RANK(K134, K$121:$K$153)</f>
        <v>8</v>
      </c>
      <c r="N134" s="552"/>
      <c r="O134" s="536"/>
      <c r="P134" s="190">
        <v>3</v>
      </c>
      <c r="Q134" s="190">
        <v>2949.5921696574237</v>
      </c>
      <c r="R134" s="187">
        <f t="shared" si="92"/>
        <v>983.19738988580787</v>
      </c>
      <c r="S134" s="184">
        <f t="shared" si="96"/>
        <v>8</v>
      </c>
      <c r="T134" s="532"/>
      <c r="U134" s="190">
        <v>3</v>
      </c>
      <c r="V134" s="190">
        <v>2949.696842985576</v>
      </c>
      <c r="W134" s="187">
        <f t="shared" si="93"/>
        <v>983.23228099519201</v>
      </c>
      <c r="X134" s="184">
        <f t="shared" si="97"/>
        <v>8</v>
      </c>
      <c r="Y134" s="532"/>
      <c r="Z134" s="190">
        <v>3</v>
      </c>
      <c r="AA134" s="190">
        <v>2949.6932515337439</v>
      </c>
      <c r="AB134" s="187">
        <f t="shared" si="98"/>
        <v>983.23108384458135</v>
      </c>
      <c r="AC134" s="184">
        <f t="shared" si="99"/>
        <v>8</v>
      </c>
      <c r="AD134" s="532"/>
      <c r="AE134" s="190">
        <v>3</v>
      </c>
      <c r="AF134" s="190">
        <v>2949.6644295301994</v>
      </c>
      <c r="AG134" s="187">
        <f t="shared" si="100"/>
        <v>983.22147651006651</v>
      </c>
      <c r="AH134" s="184">
        <f t="shared" si="101"/>
        <v>8</v>
      </c>
      <c r="AI134" s="532"/>
      <c r="AJ134" s="190">
        <v>3</v>
      </c>
      <c r="AK134" s="190">
        <v>2950.264550264551</v>
      </c>
      <c r="AL134" s="187">
        <f t="shared" si="102"/>
        <v>983.42151675485036</v>
      </c>
      <c r="AM134" s="184">
        <f t="shared" si="103"/>
        <v>8</v>
      </c>
      <c r="AN134" s="532"/>
      <c r="AO134" s="190">
        <v>3</v>
      </c>
      <c r="AP134" s="190">
        <v>2950.1259445843825</v>
      </c>
      <c r="AQ134" s="187">
        <f t="shared" si="104"/>
        <v>983.37531486146088</v>
      </c>
      <c r="AR134" s="184">
        <f t="shared" si="105"/>
        <v>8</v>
      </c>
      <c r="AS134" s="532"/>
      <c r="AT134" s="190">
        <v>3</v>
      </c>
      <c r="AU134" s="190">
        <v>2952.1692669373824</v>
      </c>
      <c r="AV134" s="187">
        <f t="shared" si="106"/>
        <v>984.05642231246077</v>
      </c>
      <c r="AW134" s="184">
        <f t="shared" si="107"/>
        <v>8</v>
      </c>
      <c r="AX134" s="532"/>
    </row>
    <row r="135" spans="2:50" ht="14.25" customHeight="1">
      <c r="B135" s="501"/>
      <c r="C135" s="182">
        <v>15</v>
      </c>
      <c r="D135" s="185" t="s">
        <v>661</v>
      </c>
      <c r="E135" s="186">
        <v>4</v>
      </c>
      <c r="F135" s="182">
        <v>3300</v>
      </c>
      <c r="G135" s="187">
        <f t="shared" si="94"/>
        <v>825</v>
      </c>
      <c r="H135" s="537"/>
      <c r="I135" s="188">
        <f t="shared" si="95"/>
        <v>4</v>
      </c>
      <c r="J135" s="188">
        <f t="shared" si="95"/>
        <v>2952.1033298399771</v>
      </c>
      <c r="K135" s="189">
        <f t="shared" si="95"/>
        <v>738.02583245999426</v>
      </c>
      <c r="L135" s="538"/>
      <c r="M135" s="188">
        <f>RANK(K135, K$121:$K$153)</f>
        <v>16</v>
      </c>
      <c r="N135" s="552"/>
      <c r="O135" s="536"/>
      <c r="P135" s="190">
        <v>4</v>
      </c>
      <c r="Q135" s="190">
        <v>2951.0515368615688</v>
      </c>
      <c r="R135" s="187">
        <f t="shared" si="92"/>
        <v>737.76288421539221</v>
      </c>
      <c r="S135" s="184">
        <f t="shared" si="96"/>
        <v>16</v>
      </c>
      <c r="T135" s="532"/>
      <c r="U135" s="190">
        <v>4</v>
      </c>
      <c r="V135" s="190">
        <v>2951.4049586776837</v>
      </c>
      <c r="W135" s="187">
        <f t="shared" si="93"/>
        <v>737.85123966942092</v>
      </c>
      <c r="X135" s="184">
        <f t="shared" si="97"/>
        <v>16</v>
      </c>
      <c r="Y135" s="532"/>
      <c r="Z135" s="190">
        <v>4</v>
      </c>
      <c r="AA135" s="190">
        <v>2952.0898315658137</v>
      </c>
      <c r="AB135" s="187">
        <f t="shared" si="98"/>
        <v>738.02245789145343</v>
      </c>
      <c r="AC135" s="184">
        <f t="shared" si="99"/>
        <v>15</v>
      </c>
      <c r="AD135" s="532"/>
      <c r="AE135" s="190">
        <v>4</v>
      </c>
      <c r="AF135" s="190">
        <v>2952.1472392637997</v>
      </c>
      <c r="AG135" s="187">
        <f t="shared" si="100"/>
        <v>738.03680981594994</v>
      </c>
      <c r="AH135" s="184">
        <f t="shared" si="101"/>
        <v>16</v>
      </c>
      <c r="AI135" s="532"/>
      <c r="AJ135" s="190">
        <v>4</v>
      </c>
      <c r="AK135" s="190">
        <v>2952.5065963060683</v>
      </c>
      <c r="AL135" s="187">
        <f t="shared" si="102"/>
        <v>738.12664907651708</v>
      </c>
      <c r="AM135" s="184">
        <f t="shared" si="103"/>
        <v>16</v>
      </c>
      <c r="AN135" s="532"/>
      <c r="AO135" s="190">
        <v>4</v>
      </c>
      <c r="AP135" s="190">
        <v>2952.4697110904012</v>
      </c>
      <c r="AQ135" s="187">
        <f t="shared" si="104"/>
        <v>738.11742777260031</v>
      </c>
      <c r="AR135" s="184">
        <f t="shared" si="105"/>
        <v>16</v>
      </c>
      <c r="AS135" s="532"/>
      <c r="AT135" s="190">
        <v>4</v>
      </c>
      <c r="AU135" s="190">
        <v>2953.053435114502</v>
      </c>
      <c r="AV135" s="187">
        <f t="shared" si="106"/>
        <v>738.2633587786255</v>
      </c>
      <c r="AW135" s="184">
        <f t="shared" si="107"/>
        <v>15</v>
      </c>
      <c r="AX135" s="532"/>
    </row>
    <row r="136" spans="2:50" ht="14.25" customHeight="1">
      <c r="B136" s="501"/>
      <c r="C136" s="182">
        <v>16</v>
      </c>
      <c r="D136" s="185" t="s">
        <v>685</v>
      </c>
      <c r="E136" s="186">
        <v>5</v>
      </c>
      <c r="F136" s="182">
        <v>3000</v>
      </c>
      <c r="G136" s="187">
        <f t="shared" si="94"/>
        <v>600</v>
      </c>
      <c r="H136" s="537"/>
      <c r="I136" s="188">
        <f t="shared" si="95"/>
        <v>5</v>
      </c>
      <c r="J136" s="188">
        <f t="shared" si="95"/>
        <v>2682.1531507916875</v>
      </c>
      <c r="K136" s="189">
        <f t="shared" si="95"/>
        <v>536.43063015833741</v>
      </c>
      <c r="L136" s="538"/>
      <c r="M136" s="188">
        <f>RANK(K136, K$121:$K$153)</f>
        <v>30</v>
      </c>
      <c r="N136" s="552"/>
      <c r="O136" s="536"/>
      <c r="P136" s="190">
        <v>5</v>
      </c>
      <c r="Q136" s="190">
        <v>2681.6457960643993</v>
      </c>
      <c r="R136" s="187">
        <f t="shared" si="92"/>
        <v>536.32915921287986</v>
      </c>
      <c r="S136" s="184">
        <f t="shared" si="96"/>
        <v>30</v>
      </c>
      <c r="T136" s="532"/>
      <c r="U136" s="190">
        <v>5</v>
      </c>
      <c r="V136" s="190">
        <v>2681.8528610354233</v>
      </c>
      <c r="W136" s="187">
        <f t="shared" si="93"/>
        <v>536.37057220708471</v>
      </c>
      <c r="X136" s="184">
        <f t="shared" si="97"/>
        <v>30</v>
      </c>
      <c r="Y136" s="532"/>
      <c r="Z136" s="190">
        <v>5</v>
      </c>
      <c r="AA136" s="190">
        <v>2682.1077012159817</v>
      </c>
      <c r="AB136" s="187">
        <f t="shared" si="98"/>
        <v>536.42154024319632</v>
      </c>
      <c r="AC136" s="184">
        <f t="shared" si="99"/>
        <v>30</v>
      </c>
      <c r="AD136" s="532"/>
      <c r="AE136" s="190">
        <v>5</v>
      </c>
      <c r="AF136" s="190">
        <v>2682.58963115811</v>
      </c>
      <c r="AG136" s="187">
        <f t="shared" si="100"/>
        <v>536.51792623162203</v>
      </c>
      <c r="AH136" s="184">
        <f t="shared" si="101"/>
        <v>30</v>
      </c>
      <c r="AI136" s="532"/>
      <c r="AJ136" s="190">
        <v>5</v>
      </c>
      <c r="AK136" s="190">
        <v>2682.2925577416622</v>
      </c>
      <c r="AL136" s="187">
        <f t="shared" si="102"/>
        <v>536.45851154833247</v>
      </c>
      <c r="AM136" s="184">
        <f t="shared" si="103"/>
        <v>29</v>
      </c>
      <c r="AN136" s="532"/>
      <c r="AO136" s="190">
        <v>5</v>
      </c>
      <c r="AP136" s="190">
        <v>2682.4303575345461</v>
      </c>
      <c r="AQ136" s="187">
        <f t="shared" si="104"/>
        <v>536.48607150690918</v>
      </c>
      <c r="AR136" s="184">
        <f t="shared" si="105"/>
        <v>29</v>
      </c>
      <c r="AS136" s="532"/>
      <c r="AT136" s="190"/>
      <c r="AU136" s="190"/>
      <c r="AV136" s="187"/>
      <c r="AW136" s="184"/>
      <c r="AX136" s="532"/>
    </row>
    <row r="137" spans="2:50" ht="14.25" customHeight="1">
      <c r="B137" s="501"/>
      <c r="C137" s="182">
        <v>17</v>
      </c>
      <c r="D137" s="185" t="s">
        <v>740</v>
      </c>
      <c r="E137" s="186">
        <v>5</v>
      </c>
      <c r="F137" s="182">
        <v>3300</v>
      </c>
      <c r="G137" s="187">
        <f t="shared" si="94"/>
        <v>660</v>
      </c>
      <c r="H137" s="537"/>
      <c r="I137" s="188">
        <f t="shared" si="95"/>
        <v>5</v>
      </c>
      <c r="J137" s="188">
        <f t="shared" si="95"/>
        <v>2829.5499068858153</v>
      </c>
      <c r="K137" s="189">
        <f t="shared" si="95"/>
        <v>565.90998137716292</v>
      </c>
      <c r="L137" s="538"/>
      <c r="M137" s="188">
        <f>RANK(K137, K$121:$K$153)</f>
        <v>29</v>
      </c>
      <c r="N137" s="552"/>
      <c r="O137" s="536"/>
      <c r="P137" s="190">
        <v>5</v>
      </c>
      <c r="Q137" s="190">
        <v>2688.6885245901649</v>
      </c>
      <c r="R137" s="187">
        <f t="shared" si="92"/>
        <v>537.73770491803293</v>
      </c>
      <c r="S137" s="184">
        <f t="shared" si="96"/>
        <v>29</v>
      </c>
      <c r="T137" s="532"/>
      <c r="U137" s="190">
        <v>5</v>
      </c>
      <c r="V137" s="190">
        <v>2735.5645161290322</v>
      </c>
      <c r="W137" s="187">
        <f t="shared" si="93"/>
        <v>547.11290322580646</v>
      </c>
      <c r="X137" s="184">
        <f t="shared" si="97"/>
        <v>29</v>
      </c>
      <c r="Y137" s="532"/>
      <c r="Z137" s="190">
        <v>5</v>
      </c>
      <c r="AA137" s="190">
        <v>2786.9242199108444</v>
      </c>
      <c r="AB137" s="187">
        <f t="shared" si="98"/>
        <v>557.38484398216883</v>
      </c>
      <c r="AC137" s="184">
        <f t="shared" si="99"/>
        <v>29</v>
      </c>
      <c r="AD137" s="532"/>
      <c r="AE137" s="190">
        <v>5</v>
      </c>
      <c r="AF137" s="190">
        <v>2835.5212355212343</v>
      </c>
      <c r="AG137" s="187">
        <f t="shared" si="100"/>
        <v>567.10424710424684</v>
      </c>
      <c r="AH137" s="184">
        <f t="shared" si="101"/>
        <v>29</v>
      </c>
      <c r="AI137" s="532"/>
      <c r="AJ137" s="190">
        <v>5</v>
      </c>
      <c r="AK137" s="190">
        <v>2881.0539523212046</v>
      </c>
      <c r="AL137" s="187">
        <f t="shared" si="102"/>
        <v>576.21079046424097</v>
      </c>
      <c r="AM137" s="184">
        <f t="shared" si="103"/>
        <v>28</v>
      </c>
      <c r="AN137" s="532"/>
      <c r="AO137" s="190">
        <v>5</v>
      </c>
      <c r="AP137" s="190">
        <v>2925.6555269922874</v>
      </c>
      <c r="AQ137" s="187">
        <f t="shared" si="104"/>
        <v>585.13110539845752</v>
      </c>
      <c r="AR137" s="184">
        <f t="shared" si="105"/>
        <v>28</v>
      </c>
      <c r="AS137" s="532"/>
      <c r="AT137" s="190">
        <v>5</v>
      </c>
      <c r="AU137" s="190">
        <v>2953.4413727359383</v>
      </c>
      <c r="AV137" s="187">
        <f t="shared" si="106"/>
        <v>590.68827454718769</v>
      </c>
      <c r="AW137" s="184">
        <f t="shared" si="107"/>
        <v>28</v>
      </c>
      <c r="AX137" s="532"/>
    </row>
    <row r="138" spans="2:50" ht="14.25" customHeight="1">
      <c r="B138" s="501"/>
      <c r="C138" s="182">
        <v>18</v>
      </c>
      <c r="D138" s="185" t="s">
        <v>421</v>
      </c>
      <c r="E138" s="186">
        <v>4</v>
      </c>
      <c r="F138" s="182">
        <v>3300</v>
      </c>
      <c r="G138" s="187">
        <f t="shared" si="94"/>
        <v>825</v>
      </c>
      <c r="H138" s="537"/>
      <c r="I138" s="188">
        <f t="shared" si="95"/>
        <v>4</v>
      </c>
      <c r="J138" s="188">
        <f t="shared" si="95"/>
        <v>2950.4971533408748</v>
      </c>
      <c r="K138" s="189">
        <f t="shared" si="95"/>
        <v>737.62428833521869</v>
      </c>
      <c r="L138" s="538"/>
      <c r="M138" s="188">
        <f>RANK(K138, K$121:$K$153)</f>
        <v>17</v>
      </c>
      <c r="N138" s="552"/>
      <c r="O138" s="536"/>
      <c r="P138" s="190">
        <v>4</v>
      </c>
      <c r="Q138" s="190">
        <v>2950.0912310829663</v>
      </c>
      <c r="R138" s="187">
        <f t="shared" si="92"/>
        <v>737.52280777074157</v>
      </c>
      <c r="S138" s="184">
        <f t="shared" si="96"/>
        <v>17</v>
      </c>
      <c r="T138" s="532"/>
      <c r="U138" s="190">
        <v>4</v>
      </c>
      <c r="V138" s="190">
        <v>2950.0172830971328</v>
      </c>
      <c r="W138" s="187">
        <f t="shared" si="93"/>
        <v>737.5043207742832</v>
      </c>
      <c r="X138" s="184">
        <f t="shared" si="97"/>
        <v>17</v>
      </c>
      <c r="Y138" s="532"/>
      <c r="Z138" s="190">
        <v>4</v>
      </c>
      <c r="AA138" s="190">
        <v>2950.0843608046712</v>
      </c>
      <c r="AB138" s="187">
        <f t="shared" si="98"/>
        <v>737.52109020116779</v>
      </c>
      <c r="AC138" s="184">
        <f t="shared" si="99"/>
        <v>17</v>
      </c>
      <c r="AD138" s="532"/>
      <c r="AE138" s="190">
        <v>4</v>
      </c>
      <c r="AF138" s="190">
        <v>2950.2607740872909</v>
      </c>
      <c r="AG138" s="187">
        <f t="shared" si="100"/>
        <v>737.56519352182272</v>
      </c>
      <c r="AH138" s="184">
        <f t="shared" si="101"/>
        <v>17</v>
      </c>
      <c r="AI138" s="532"/>
      <c r="AJ138" s="190">
        <v>4</v>
      </c>
      <c r="AK138" s="190">
        <v>2950.4414076671892</v>
      </c>
      <c r="AL138" s="187">
        <f t="shared" si="102"/>
        <v>737.6103519167973</v>
      </c>
      <c r="AM138" s="184">
        <f t="shared" si="103"/>
        <v>17</v>
      </c>
      <c r="AN138" s="532"/>
      <c r="AO138" s="190">
        <v>4</v>
      </c>
      <c r="AP138" s="190">
        <v>2950.331774176002</v>
      </c>
      <c r="AQ138" s="187">
        <f t="shared" si="104"/>
        <v>737.5829435440005</v>
      </c>
      <c r="AR138" s="184">
        <f t="shared" si="105"/>
        <v>17</v>
      </c>
      <c r="AS138" s="532"/>
      <c r="AT138" s="190">
        <v>4</v>
      </c>
      <c r="AU138" s="190">
        <v>2952.2532424708743</v>
      </c>
      <c r="AV138" s="187">
        <f t="shared" si="106"/>
        <v>738.06331061771857</v>
      </c>
      <c r="AW138" s="184">
        <f t="shared" si="107"/>
        <v>17</v>
      </c>
      <c r="AX138" s="532"/>
    </row>
    <row r="139" spans="2:50" ht="14.25" customHeight="1">
      <c r="B139" s="501"/>
      <c r="C139" s="182">
        <v>19</v>
      </c>
      <c r="D139" s="185" t="s">
        <v>420</v>
      </c>
      <c r="E139" s="186">
        <v>3</v>
      </c>
      <c r="F139" s="182">
        <v>3600</v>
      </c>
      <c r="G139" s="187">
        <f t="shared" si="94"/>
        <v>1200</v>
      </c>
      <c r="H139" s="537"/>
      <c r="I139" s="188">
        <f t="shared" si="95"/>
        <v>3</v>
      </c>
      <c r="J139" s="188">
        <f t="shared" si="95"/>
        <v>3120.7346295657512</v>
      </c>
      <c r="K139" s="189">
        <f t="shared" si="95"/>
        <v>1040.2448765219167</v>
      </c>
      <c r="L139" s="538"/>
      <c r="M139" s="188">
        <f>RANK(K139, K$121:$K$153)</f>
        <v>5</v>
      </c>
      <c r="N139" s="552"/>
      <c r="O139" s="536"/>
      <c r="P139" s="190">
        <v>3</v>
      </c>
      <c r="Q139" s="190">
        <v>3119.6673437077607</v>
      </c>
      <c r="R139" s="187">
        <f t="shared" si="92"/>
        <v>1039.8891145692535</v>
      </c>
      <c r="S139" s="184">
        <f t="shared" si="96"/>
        <v>5</v>
      </c>
      <c r="T139" s="532"/>
      <c r="U139" s="190">
        <v>3</v>
      </c>
      <c r="V139" s="190">
        <v>3119.9517990405766</v>
      </c>
      <c r="W139" s="187">
        <f t="shared" si="93"/>
        <v>1039.9839330135255</v>
      </c>
      <c r="X139" s="184">
        <f t="shared" si="97"/>
        <v>5</v>
      </c>
      <c r="Y139" s="532"/>
      <c r="Z139" s="190">
        <v>3</v>
      </c>
      <c r="AA139" s="190">
        <v>3120.4864176095116</v>
      </c>
      <c r="AB139" s="187">
        <f t="shared" si="98"/>
        <v>1040.1621392031705</v>
      </c>
      <c r="AC139" s="184">
        <f t="shared" si="99"/>
        <v>4</v>
      </c>
      <c r="AD139" s="532"/>
      <c r="AE139" s="190">
        <v>3</v>
      </c>
      <c r="AF139" s="190">
        <v>3120.5672160700515</v>
      </c>
      <c r="AG139" s="187">
        <f t="shared" si="100"/>
        <v>1040.1890720233505</v>
      </c>
      <c r="AH139" s="184">
        <f t="shared" si="101"/>
        <v>5</v>
      </c>
      <c r="AI139" s="532"/>
      <c r="AJ139" s="190">
        <v>3</v>
      </c>
      <c r="AK139" s="190">
        <v>3120.4680940812409</v>
      </c>
      <c r="AL139" s="187">
        <f t="shared" si="102"/>
        <v>1040.1560313604136</v>
      </c>
      <c r="AM139" s="184">
        <f t="shared" si="103"/>
        <v>6</v>
      </c>
      <c r="AN139" s="532"/>
      <c r="AO139" s="190">
        <v>3</v>
      </c>
      <c r="AP139" s="190">
        <v>3120.3264581644444</v>
      </c>
      <c r="AQ139" s="187">
        <f t="shared" si="104"/>
        <v>1040.108819388148</v>
      </c>
      <c r="AR139" s="184">
        <f t="shared" si="105"/>
        <v>6</v>
      </c>
      <c r="AS139" s="532"/>
      <c r="AT139" s="190">
        <v>3</v>
      </c>
      <c r="AU139" s="190">
        <v>3123.6750782866684</v>
      </c>
      <c r="AV139" s="187">
        <f t="shared" si="106"/>
        <v>1041.2250260955561</v>
      </c>
      <c r="AW139" s="184">
        <f t="shared" si="107"/>
        <v>4</v>
      </c>
      <c r="AX139" s="532"/>
    </row>
    <row r="140" spans="2:50" ht="14.25" customHeight="1">
      <c r="B140" s="501"/>
      <c r="C140" s="182">
        <v>20</v>
      </c>
      <c r="D140" s="185" t="s">
        <v>422</v>
      </c>
      <c r="E140" s="186">
        <v>4</v>
      </c>
      <c r="F140" s="182">
        <v>3300</v>
      </c>
      <c r="G140" s="187">
        <f t="shared" si="94"/>
        <v>825</v>
      </c>
      <c r="H140" s="537"/>
      <c r="I140" s="188">
        <f t="shared" si="95"/>
        <v>4</v>
      </c>
      <c r="J140" s="188">
        <f t="shared" si="95"/>
        <v>2957.9129581520601</v>
      </c>
      <c r="K140" s="189">
        <f t="shared" si="95"/>
        <v>739.47823953801503</v>
      </c>
      <c r="L140" s="538"/>
      <c r="M140" s="188">
        <f>RANK(K140, K$121:$K$153)</f>
        <v>12</v>
      </c>
      <c r="N140" s="552"/>
      <c r="O140" s="536"/>
      <c r="P140" s="190">
        <v>4</v>
      </c>
      <c r="Q140" s="190">
        <v>2957.4601085704899</v>
      </c>
      <c r="R140" s="187">
        <f t="shared" si="92"/>
        <v>739.36502714262247</v>
      </c>
      <c r="S140" s="184">
        <f t="shared" si="96"/>
        <v>12</v>
      </c>
      <c r="T140" s="532"/>
      <c r="U140" s="190">
        <v>4</v>
      </c>
      <c r="V140" s="190">
        <v>2957.4541681079218</v>
      </c>
      <c r="W140" s="187">
        <f t="shared" si="93"/>
        <v>739.36354202698044</v>
      </c>
      <c r="X140" s="184">
        <f t="shared" si="97"/>
        <v>12</v>
      </c>
      <c r="Y140" s="532"/>
      <c r="Z140" s="190">
        <v>4</v>
      </c>
      <c r="AA140" s="190">
        <v>2957.7531645569675</v>
      </c>
      <c r="AB140" s="187">
        <f t="shared" si="98"/>
        <v>739.43829113924187</v>
      </c>
      <c r="AC140" s="184">
        <f t="shared" si="99"/>
        <v>12</v>
      </c>
      <c r="AD140" s="532"/>
      <c r="AE140" s="190">
        <v>4</v>
      </c>
      <c r="AF140" s="190">
        <v>2958.192090395481</v>
      </c>
      <c r="AG140" s="187">
        <f t="shared" si="100"/>
        <v>739.54802259887026</v>
      </c>
      <c r="AH140" s="184">
        <f t="shared" si="101"/>
        <v>12</v>
      </c>
      <c r="AI140" s="532"/>
      <c r="AJ140" s="190">
        <v>4</v>
      </c>
      <c r="AK140" s="190">
        <v>2958.284023668642</v>
      </c>
      <c r="AL140" s="187">
        <f t="shared" si="102"/>
        <v>739.57100591716051</v>
      </c>
      <c r="AM140" s="184">
        <f t="shared" si="103"/>
        <v>12</v>
      </c>
      <c r="AN140" s="532"/>
      <c r="AO140" s="190">
        <v>4</v>
      </c>
      <c r="AP140" s="190">
        <v>2958.069381598792</v>
      </c>
      <c r="AQ140" s="187">
        <f t="shared" si="104"/>
        <v>739.517345399698</v>
      </c>
      <c r="AR140" s="184">
        <f t="shared" si="105"/>
        <v>12</v>
      </c>
      <c r="AS140" s="532"/>
      <c r="AT140" s="190">
        <v>4</v>
      </c>
      <c r="AU140" s="190">
        <v>2958.1777701661254</v>
      </c>
      <c r="AV140" s="187">
        <f t="shared" si="106"/>
        <v>739.54444254153134</v>
      </c>
      <c r="AW140" s="184">
        <f t="shared" si="107"/>
        <v>12</v>
      </c>
      <c r="AX140" s="532"/>
    </row>
    <row r="141" spans="2:50" ht="14.25" customHeight="1">
      <c r="B141" s="501"/>
      <c r="C141" s="182">
        <v>21</v>
      </c>
      <c r="D141" s="185" t="s">
        <v>354</v>
      </c>
      <c r="E141" s="186">
        <v>5</v>
      </c>
      <c r="F141" s="182">
        <v>3300</v>
      </c>
      <c r="G141" s="187">
        <f t="shared" si="94"/>
        <v>660</v>
      </c>
      <c r="H141" s="537"/>
      <c r="I141" s="188">
        <f t="shared" si="95"/>
        <v>5</v>
      </c>
      <c r="J141" s="188">
        <f t="shared" si="95"/>
        <v>2949.6508922180415</v>
      </c>
      <c r="K141" s="189">
        <f t="shared" si="95"/>
        <v>589.93017844360827</v>
      </c>
      <c r="L141" s="538"/>
      <c r="M141" s="188">
        <f>RANK(K141, K$121:$K$153)</f>
        <v>28</v>
      </c>
      <c r="N141" s="552"/>
      <c r="O141" s="536"/>
      <c r="P141" s="190">
        <v>5</v>
      </c>
      <c r="Q141" s="190">
        <v>2950.3111536620431</v>
      </c>
      <c r="R141" s="187">
        <f t="shared" si="92"/>
        <v>590.06223073240858</v>
      </c>
      <c r="S141" s="184">
        <f t="shared" si="96"/>
        <v>28</v>
      </c>
      <c r="T141" s="532"/>
      <c r="U141" s="190">
        <v>5</v>
      </c>
      <c r="V141" s="190">
        <v>2949.8031496063022</v>
      </c>
      <c r="W141" s="187">
        <f t="shared" si="93"/>
        <v>589.96062992126042</v>
      </c>
      <c r="X141" s="184">
        <f t="shared" si="97"/>
        <v>28</v>
      </c>
      <c r="Y141" s="532"/>
      <c r="Z141" s="190">
        <v>5</v>
      </c>
      <c r="AA141" s="190">
        <v>2949.0410958904049</v>
      </c>
      <c r="AB141" s="187">
        <f t="shared" si="98"/>
        <v>589.808219178081</v>
      </c>
      <c r="AC141" s="184">
        <f t="shared" si="99"/>
        <v>28</v>
      </c>
      <c r="AD141" s="532"/>
      <c r="AE141" s="190">
        <v>5</v>
      </c>
      <c r="AF141" s="190">
        <v>2948.44606946984</v>
      </c>
      <c r="AG141" s="187">
        <f t="shared" si="100"/>
        <v>589.68921389396803</v>
      </c>
      <c r="AH141" s="184">
        <f t="shared" si="101"/>
        <v>28</v>
      </c>
      <c r="AI141" s="532"/>
      <c r="AJ141" s="190">
        <v>5</v>
      </c>
      <c r="AK141" s="190">
        <v>2947.7973568281895</v>
      </c>
      <c r="AL141" s="187">
        <f t="shared" si="102"/>
        <v>589.55947136563793</v>
      </c>
      <c r="AM141" s="184">
        <f t="shared" si="103"/>
        <v>27</v>
      </c>
      <c r="AN141" s="532"/>
      <c r="AO141" s="190">
        <v>5</v>
      </c>
      <c r="AP141" s="190">
        <v>2947.973319651102</v>
      </c>
      <c r="AQ141" s="187">
        <f t="shared" si="104"/>
        <v>589.59466393022035</v>
      </c>
      <c r="AR141" s="184">
        <f t="shared" si="105"/>
        <v>27</v>
      </c>
      <c r="AS141" s="532"/>
      <c r="AT141" s="190">
        <v>5</v>
      </c>
      <c r="AU141" s="190">
        <v>2954.1841004184125</v>
      </c>
      <c r="AV141" s="187">
        <f t="shared" si="106"/>
        <v>590.83682008368248</v>
      </c>
      <c r="AW141" s="184">
        <f t="shared" si="107"/>
        <v>27</v>
      </c>
      <c r="AX141" s="532"/>
    </row>
    <row r="142" spans="2:50" ht="14.25" customHeight="1">
      <c r="B142" s="501"/>
      <c r="C142" s="182">
        <v>22</v>
      </c>
      <c r="D142" s="185" t="s">
        <v>415</v>
      </c>
      <c r="E142" s="186">
        <v>3</v>
      </c>
      <c r="F142" s="182">
        <v>3600</v>
      </c>
      <c r="G142" s="187">
        <f>F142/E142</f>
        <v>1200</v>
      </c>
      <c r="H142" s="537"/>
      <c r="I142" s="188">
        <f t="shared" si="95"/>
        <v>3</v>
      </c>
      <c r="J142" s="188">
        <f t="shared" si="95"/>
        <v>3122.1764412549933</v>
      </c>
      <c r="K142" s="189">
        <f t="shared" si="95"/>
        <v>1040.7254804183308</v>
      </c>
      <c r="L142" s="538"/>
      <c r="M142" s="188">
        <f>RANK(K142, K$121:$K$153)</f>
        <v>3</v>
      </c>
      <c r="N142" s="552"/>
      <c r="O142" s="536"/>
      <c r="P142" s="190">
        <v>3</v>
      </c>
      <c r="Q142" s="190">
        <v>3121.0762331838537</v>
      </c>
      <c r="R142" s="187">
        <f t="shared" si="92"/>
        <v>1040.3587443946178</v>
      </c>
      <c r="S142" s="184">
        <f t="shared" si="96"/>
        <v>3</v>
      </c>
      <c r="T142" s="532"/>
      <c r="U142" s="190">
        <v>3</v>
      </c>
      <c r="V142" s="190">
        <v>3121.3818372153842</v>
      </c>
      <c r="W142" s="187">
        <f t="shared" si="93"/>
        <v>1040.4606124051281</v>
      </c>
      <c r="X142" s="184">
        <f t="shared" si="97"/>
        <v>3</v>
      </c>
      <c r="Y142" s="532"/>
      <c r="Z142" s="190">
        <v>3</v>
      </c>
      <c r="AA142" s="190">
        <v>3121.9741480611065</v>
      </c>
      <c r="AB142" s="187">
        <f t="shared" si="98"/>
        <v>1040.6580493537022</v>
      </c>
      <c r="AC142" s="184">
        <f t="shared" si="99"/>
        <v>3</v>
      </c>
      <c r="AD142" s="532"/>
      <c r="AE142" s="190">
        <v>3</v>
      </c>
      <c r="AF142" s="190">
        <v>3121.9822109275733</v>
      </c>
      <c r="AG142" s="187">
        <f t="shared" si="100"/>
        <v>1040.6607369758578</v>
      </c>
      <c r="AH142" s="184">
        <f t="shared" si="101"/>
        <v>3</v>
      </c>
      <c r="AI142" s="532"/>
      <c r="AJ142" s="190">
        <v>3</v>
      </c>
      <c r="AK142" s="190">
        <v>3122.2222222222213</v>
      </c>
      <c r="AL142" s="187">
        <f t="shared" si="102"/>
        <v>1040.7407407407404</v>
      </c>
      <c r="AM142" s="184">
        <f t="shared" si="103"/>
        <v>3</v>
      </c>
      <c r="AN142" s="532"/>
      <c r="AO142" s="190">
        <v>3</v>
      </c>
      <c r="AP142" s="190">
        <v>3122.9319431302797</v>
      </c>
      <c r="AQ142" s="187">
        <f t="shared" si="104"/>
        <v>1040.97731437676</v>
      </c>
      <c r="AR142" s="184">
        <f t="shared" si="105"/>
        <v>3</v>
      </c>
      <c r="AS142" s="532"/>
      <c r="AT142" s="190">
        <v>3</v>
      </c>
      <c r="AU142" s="190">
        <v>3123.6664940445321</v>
      </c>
      <c r="AV142" s="187">
        <f t="shared" si="106"/>
        <v>1041.2221646815108</v>
      </c>
      <c r="AW142" s="184">
        <f t="shared" si="107"/>
        <v>5</v>
      </c>
      <c r="AX142" s="532"/>
    </row>
    <row r="143" spans="2:50" ht="14.25" customHeight="1">
      <c r="B143" s="501"/>
      <c r="C143" s="182">
        <v>23</v>
      </c>
      <c r="D143" s="185" t="s">
        <v>419</v>
      </c>
      <c r="E143" s="186">
        <v>3</v>
      </c>
      <c r="F143" s="182">
        <v>3600</v>
      </c>
      <c r="G143" s="187">
        <f t="shared" ref="G143:G153" si="108">F143/E143</f>
        <v>1200</v>
      </c>
      <c r="H143" s="537"/>
      <c r="I143" s="188">
        <f t="shared" si="95"/>
        <v>3</v>
      </c>
      <c r="J143" s="188">
        <f t="shared" si="95"/>
        <v>3127.4685825578576</v>
      </c>
      <c r="K143" s="189">
        <f t="shared" si="95"/>
        <v>1042.4895275192857</v>
      </c>
      <c r="L143" s="538"/>
      <c r="M143" s="188">
        <f>RANK(K143, K$121:$K$153)</f>
        <v>1</v>
      </c>
      <c r="N143" s="552"/>
      <c r="O143" s="536"/>
      <c r="P143" s="190">
        <v>3</v>
      </c>
      <c r="Q143" s="190">
        <v>3126.5135699373818</v>
      </c>
      <c r="R143" s="187">
        <f t="shared" si="92"/>
        <v>1042.1711899791273</v>
      </c>
      <c r="S143" s="184">
        <f t="shared" si="96"/>
        <v>1</v>
      </c>
      <c r="T143" s="532"/>
      <c r="U143" s="190">
        <v>3</v>
      </c>
      <c r="V143" s="190">
        <v>3126.0700389105032</v>
      </c>
      <c r="W143" s="187">
        <f t="shared" si="93"/>
        <v>1042.0233463035011</v>
      </c>
      <c r="X143" s="184">
        <f t="shared" si="97"/>
        <v>1</v>
      </c>
      <c r="Y143" s="532"/>
      <c r="Z143" s="190">
        <v>3</v>
      </c>
      <c r="AA143" s="190">
        <v>3126.7132867132946</v>
      </c>
      <c r="AB143" s="187">
        <f t="shared" si="98"/>
        <v>1042.2377622377649</v>
      </c>
      <c r="AC143" s="184">
        <f t="shared" si="99"/>
        <v>1</v>
      </c>
      <c r="AD143" s="532"/>
      <c r="AE143" s="190">
        <v>3</v>
      </c>
      <c r="AF143" s="190">
        <v>3126.9338303821114</v>
      </c>
      <c r="AG143" s="187">
        <f t="shared" si="100"/>
        <v>1042.3112767940372</v>
      </c>
      <c r="AH143" s="184">
        <f t="shared" si="101"/>
        <v>1</v>
      </c>
      <c r="AI143" s="532"/>
      <c r="AJ143" s="190">
        <v>3</v>
      </c>
      <c r="AK143" s="190">
        <v>3127.9163314561565</v>
      </c>
      <c r="AL143" s="187">
        <f t="shared" si="102"/>
        <v>1042.6387771520522</v>
      </c>
      <c r="AM143" s="184">
        <f t="shared" si="103"/>
        <v>1</v>
      </c>
      <c r="AN143" s="532"/>
      <c r="AO143" s="190">
        <v>3</v>
      </c>
      <c r="AP143" s="190">
        <v>3129.2110874200444</v>
      </c>
      <c r="AQ143" s="187">
        <f t="shared" si="104"/>
        <v>1043.070362473348</v>
      </c>
      <c r="AR143" s="184">
        <f t="shared" si="105"/>
        <v>1</v>
      </c>
      <c r="AS143" s="532"/>
      <c r="AT143" s="190">
        <v>3</v>
      </c>
      <c r="AU143" s="190">
        <v>3128.9219330855112</v>
      </c>
      <c r="AV143" s="187">
        <f t="shared" si="106"/>
        <v>1042.9739776951703</v>
      </c>
      <c r="AW143" s="184">
        <f t="shared" si="107"/>
        <v>1</v>
      </c>
      <c r="AX143" s="532"/>
    </row>
    <row r="144" spans="2:50" ht="14.25" customHeight="1">
      <c r="B144" s="501"/>
      <c r="C144" s="182">
        <v>24</v>
      </c>
      <c r="D144" s="185" t="s">
        <v>418</v>
      </c>
      <c r="E144" s="186">
        <v>4</v>
      </c>
      <c r="F144" s="182">
        <v>3300</v>
      </c>
      <c r="G144" s="187">
        <f t="shared" si="108"/>
        <v>825</v>
      </c>
      <c r="H144" s="537"/>
      <c r="I144" s="188">
        <f t="shared" si="95"/>
        <v>4</v>
      </c>
      <c r="J144" s="188">
        <f t="shared" si="95"/>
        <v>2926.098015873386</v>
      </c>
      <c r="K144" s="189">
        <f t="shared" si="95"/>
        <v>731.52450396834649</v>
      </c>
      <c r="L144" s="538"/>
      <c r="M144" s="188">
        <f>RANK(K144, K$121:$K$153)</f>
        <v>21</v>
      </c>
      <c r="N144" s="552"/>
      <c r="O144" s="536"/>
      <c r="P144" s="190">
        <v>4</v>
      </c>
      <c r="Q144" s="190">
        <v>2925.5140898705313</v>
      </c>
      <c r="R144" s="187">
        <f t="shared" si="92"/>
        <v>731.37852246763282</v>
      </c>
      <c r="S144" s="184">
        <f t="shared" si="96"/>
        <v>21</v>
      </c>
      <c r="T144" s="532"/>
      <c r="U144" s="190">
        <v>4</v>
      </c>
      <c r="V144" s="190">
        <v>2925.6317689530729</v>
      </c>
      <c r="W144" s="187">
        <f t="shared" si="93"/>
        <v>731.40794223826822</v>
      </c>
      <c r="X144" s="184">
        <f t="shared" si="97"/>
        <v>21</v>
      </c>
      <c r="Y144" s="532"/>
      <c r="Z144" s="190">
        <v>4</v>
      </c>
      <c r="AA144" s="190">
        <v>2926.2206148282007</v>
      </c>
      <c r="AB144" s="187">
        <f t="shared" si="98"/>
        <v>731.55515370705018</v>
      </c>
      <c r="AC144" s="184">
        <f t="shared" si="99"/>
        <v>21</v>
      </c>
      <c r="AD144" s="532"/>
      <c r="AE144" s="190">
        <v>4</v>
      </c>
      <c r="AF144" s="190">
        <v>2926.2937794040699</v>
      </c>
      <c r="AG144" s="187">
        <f t="shared" si="100"/>
        <v>731.57344485101748</v>
      </c>
      <c r="AH144" s="184">
        <f t="shared" si="101"/>
        <v>21</v>
      </c>
      <c r="AI144" s="532"/>
      <c r="AJ144" s="190">
        <v>4</v>
      </c>
      <c r="AK144" s="190">
        <v>2925.9982253771022</v>
      </c>
      <c r="AL144" s="187">
        <f t="shared" si="102"/>
        <v>731.49955634427556</v>
      </c>
      <c r="AM144" s="184">
        <f t="shared" si="103"/>
        <v>21</v>
      </c>
      <c r="AN144" s="532"/>
      <c r="AO144" s="190">
        <v>4</v>
      </c>
      <c r="AP144" s="190">
        <v>2926.4516129032172</v>
      </c>
      <c r="AQ144" s="187">
        <f t="shared" si="104"/>
        <v>731.6129032258043</v>
      </c>
      <c r="AR144" s="184">
        <f t="shared" si="105"/>
        <v>20</v>
      </c>
      <c r="AS144" s="532"/>
      <c r="AT144" s="190">
        <v>4</v>
      </c>
      <c r="AU144" s="190">
        <v>2926.576019777508</v>
      </c>
      <c r="AV144" s="187">
        <f t="shared" si="106"/>
        <v>731.644004944377</v>
      </c>
      <c r="AW144" s="184">
        <f t="shared" si="107"/>
        <v>22</v>
      </c>
      <c r="AX144" s="532"/>
    </row>
    <row r="145" spans="1:50" ht="14.25" customHeight="1">
      <c r="B145" s="501"/>
      <c r="C145" s="182">
        <v>25</v>
      </c>
      <c r="D145" s="185" t="s">
        <v>414</v>
      </c>
      <c r="E145" s="186">
        <v>4</v>
      </c>
      <c r="F145" s="182">
        <v>3300</v>
      </c>
      <c r="G145" s="187">
        <f t="shared" si="108"/>
        <v>825</v>
      </c>
      <c r="H145" s="537"/>
      <c r="I145" s="188">
        <f t="shared" si="95"/>
        <v>4</v>
      </c>
      <c r="J145" s="188">
        <f t="shared" si="95"/>
        <v>2925.5983963681401</v>
      </c>
      <c r="K145" s="189">
        <f t="shared" si="95"/>
        <v>731.39959909203503</v>
      </c>
      <c r="L145" s="538"/>
      <c r="M145" s="188">
        <f>RANK(K145, K$121:$K$153)</f>
        <v>23</v>
      </c>
      <c r="N145" s="552"/>
      <c r="O145" s="536"/>
      <c r="P145" s="190">
        <v>4</v>
      </c>
      <c r="Q145" s="190">
        <v>2925.4034668260597</v>
      </c>
      <c r="R145" s="187">
        <f t="shared" si="92"/>
        <v>731.35086670651492</v>
      </c>
      <c r="S145" s="184">
        <f t="shared" si="96"/>
        <v>22</v>
      </c>
      <c r="T145" s="532"/>
      <c r="U145" s="190">
        <v>4</v>
      </c>
      <c r="V145" s="190">
        <v>2925.5001587805682</v>
      </c>
      <c r="W145" s="187">
        <f t="shared" si="93"/>
        <v>731.37503969514205</v>
      </c>
      <c r="X145" s="184">
        <f t="shared" si="97"/>
        <v>22</v>
      </c>
      <c r="Y145" s="532"/>
      <c r="Z145" s="190">
        <v>4</v>
      </c>
      <c r="AA145" s="190">
        <v>2925.0786988457448</v>
      </c>
      <c r="AB145" s="187">
        <f t="shared" si="98"/>
        <v>731.26967471143621</v>
      </c>
      <c r="AC145" s="184">
        <f t="shared" si="99"/>
        <v>22</v>
      </c>
      <c r="AD145" s="532"/>
      <c r="AE145" s="190">
        <v>4</v>
      </c>
      <c r="AF145" s="190">
        <v>2925.085388994301</v>
      </c>
      <c r="AG145" s="187">
        <f t="shared" si="100"/>
        <v>731.27134724857524</v>
      </c>
      <c r="AH145" s="184">
        <f t="shared" si="101"/>
        <v>24</v>
      </c>
      <c r="AI145" s="532"/>
      <c r="AJ145" s="190">
        <v>4</v>
      </c>
      <c r="AK145" s="190">
        <v>2926.3728813559346</v>
      </c>
      <c r="AL145" s="187">
        <f t="shared" si="102"/>
        <v>731.59322033898366</v>
      </c>
      <c r="AM145" s="184">
        <f t="shared" si="103"/>
        <v>20</v>
      </c>
      <c r="AN145" s="532"/>
      <c r="AO145" s="190">
        <v>4</v>
      </c>
      <c r="AP145" s="190">
        <v>2926.0375038426009</v>
      </c>
      <c r="AQ145" s="187">
        <f t="shared" si="104"/>
        <v>731.50937596065023</v>
      </c>
      <c r="AR145" s="184">
        <f t="shared" si="105"/>
        <v>23</v>
      </c>
      <c r="AS145" s="532"/>
      <c r="AT145" s="190">
        <v>4</v>
      </c>
      <c r="AU145" s="190">
        <v>2925.7106759317726</v>
      </c>
      <c r="AV145" s="187">
        <f t="shared" si="106"/>
        <v>731.42766898294315</v>
      </c>
      <c r="AW145" s="184">
        <f t="shared" si="107"/>
        <v>23</v>
      </c>
      <c r="AX145" s="532"/>
    </row>
    <row r="146" spans="1:50" ht="14.25" customHeight="1">
      <c r="B146" s="501"/>
      <c r="C146" s="182">
        <v>26</v>
      </c>
      <c r="D146" s="185" t="s">
        <v>417</v>
      </c>
      <c r="E146" s="186">
        <v>4</v>
      </c>
      <c r="F146" s="182">
        <v>3000</v>
      </c>
      <c r="G146" s="187">
        <f t="shared" si="108"/>
        <v>750</v>
      </c>
      <c r="H146" s="537"/>
      <c r="I146" s="188">
        <f t="shared" si="95"/>
        <v>4</v>
      </c>
      <c r="J146" s="188">
        <f t="shared" si="95"/>
        <v>2687.8203789092536</v>
      </c>
      <c r="K146" s="189">
        <f t="shared" si="95"/>
        <v>671.95509472731339</v>
      </c>
      <c r="L146" s="538"/>
      <c r="M146" s="188">
        <f>RANK(K146, K$121:$K$153)</f>
        <v>25</v>
      </c>
      <c r="N146" s="552"/>
      <c r="O146" s="536"/>
      <c r="P146" s="190">
        <v>4</v>
      </c>
      <c r="Q146" s="190">
        <v>2687.82816229117</v>
      </c>
      <c r="R146" s="187">
        <f t="shared" si="92"/>
        <v>671.95704057279249</v>
      </c>
      <c r="S146" s="184">
        <f t="shared" si="96"/>
        <v>25</v>
      </c>
      <c r="T146" s="532"/>
      <c r="U146" s="190">
        <v>4</v>
      </c>
      <c r="V146" s="190">
        <v>2687.4223602484544</v>
      </c>
      <c r="W146" s="187">
        <f t="shared" si="93"/>
        <v>671.85559006211361</v>
      </c>
      <c r="X146" s="184">
        <f t="shared" si="97"/>
        <v>25</v>
      </c>
      <c r="Y146" s="532"/>
      <c r="Z146" s="190">
        <v>4</v>
      </c>
      <c r="AA146" s="190">
        <v>2687.7966101694833</v>
      </c>
      <c r="AB146" s="187">
        <f t="shared" si="98"/>
        <v>671.94915254237083</v>
      </c>
      <c r="AC146" s="184">
        <f t="shared" si="99"/>
        <v>25</v>
      </c>
      <c r="AD146" s="532"/>
      <c r="AE146" s="190">
        <v>4</v>
      </c>
      <c r="AF146" s="190">
        <v>2687.9256965944328</v>
      </c>
      <c r="AG146" s="187">
        <f t="shared" si="100"/>
        <v>671.9814241486082</v>
      </c>
      <c r="AH146" s="184">
        <f t="shared" si="101"/>
        <v>25</v>
      </c>
      <c r="AI146" s="532"/>
      <c r="AJ146" s="190">
        <v>4</v>
      </c>
      <c r="AK146" s="190">
        <v>2687.7980364656401</v>
      </c>
      <c r="AL146" s="187">
        <f t="shared" si="102"/>
        <v>671.94950911641001</v>
      </c>
      <c r="AM146" s="184">
        <f t="shared" si="103"/>
        <v>24</v>
      </c>
      <c r="AN146" s="532"/>
      <c r="AO146" s="190">
        <v>4</v>
      </c>
      <c r="AP146" s="190">
        <v>2687.6113360323893</v>
      </c>
      <c r="AQ146" s="187">
        <f t="shared" si="104"/>
        <v>671.90283400809733</v>
      </c>
      <c r="AR146" s="184">
        <f t="shared" si="105"/>
        <v>24</v>
      </c>
      <c r="AS146" s="532"/>
      <c r="AT146" s="190">
        <v>4</v>
      </c>
      <c r="AU146" s="190">
        <v>2688.3604505632034</v>
      </c>
      <c r="AV146" s="187">
        <f t="shared" si="106"/>
        <v>672.09011264080084</v>
      </c>
      <c r="AW146" s="184">
        <f t="shared" si="107"/>
        <v>24</v>
      </c>
      <c r="AX146" s="532"/>
    </row>
    <row r="147" spans="1:50" ht="14.25" customHeight="1">
      <c r="B147" s="501"/>
      <c r="C147" s="182">
        <v>27</v>
      </c>
      <c r="D147" s="185" t="s">
        <v>416</v>
      </c>
      <c r="E147" s="186">
        <v>4</v>
      </c>
      <c r="F147" s="182">
        <v>3300</v>
      </c>
      <c r="G147" s="187">
        <f t="shared" si="108"/>
        <v>825</v>
      </c>
      <c r="H147" s="537"/>
      <c r="I147" s="188">
        <f t="shared" si="95"/>
        <v>4</v>
      </c>
      <c r="J147" s="188">
        <f t="shared" si="95"/>
        <v>2955.3815892982261</v>
      </c>
      <c r="K147" s="189">
        <f t="shared" si="95"/>
        <v>738.84539732455653</v>
      </c>
      <c r="L147" s="538"/>
      <c r="M147" s="188">
        <f>RANK(K147, K$121:$K$153)</f>
        <v>13</v>
      </c>
      <c r="N147" s="552"/>
      <c r="O147" s="536"/>
      <c r="P147" s="190">
        <v>4</v>
      </c>
      <c r="Q147" s="190">
        <v>2955.2238805970264</v>
      </c>
      <c r="R147" s="187">
        <f t="shared" si="92"/>
        <v>738.80597014925661</v>
      </c>
      <c r="S147" s="184">
        <f t="shared" si="96"/>
        <v>13</v>
      </c>
      <c r="T147" s="532"/>
      <c r="U147" s="190">
        <v>4</v>
      </c>
      <c r="V147" s="190">
        <v>2955.6270096462958</v>
      </c>
      <c r="W147" s="187">
        <f t="shared" si="93"/>
        <v>738.90675241157396</v>
      </c>
      <c r="X147" s="184">
        <f t="shared" si="97"/>
        <v>13</v>
      </c>
      <c r="Y147" s="532"/>
      <c r="Z147" s="190">
        <v>4</v>
      </c>
      <c r="AA147" s="190">
        <v>2954.5983701979153</v>
      </c>
      <c r="AB147" s="187">
        <f t="shared" si="98"/>
        <v>738.64959254947883</v>
      </c>
      <c r="AC147" s="184">
        <f t="shared" si="99"/>
        <v>13</v>
      </c>
      <c r="AD147" s="532"/>
      <c r="AE147" s="190">
        <v>4</v>
      </c>
      <c r="AF147" s="190">
        <v>2953.5603715170196</v>
      </c>
      <c r="AG147" s="187">
        <f t="shared" si="100"/>
        <v>738.39009287925489</v>
      </c>
      <c r="AH147" s="184">
        <f t="shared" si="101"/>
        <v>14</v>
      </c>
      <c r="AI147" s="532"/>
      <c r="AJ147" s="190">
        <v>4</v>
      </c>
      <c r="AK147" s="190">
        <v>2955.9845559845685</v>
      </c>
      <c r="AL147" s="187">
        <f t="shared" si="102"/>
        <v>738.99613899614212</v>
      </c>
      <c r="AM147" s="184">
        <f t="shared" si="103"/>
        <v>13</v>
      </c>
      <c r="AN147" s="532"/>
      <c r="AO147" s="190">
        <v>4</v>
      </c>
      <c r="AP147" s="190">
        <v>2955.8323895809722</v>
      </c>
      <c r="AQ147" s="187">
        <f t="shared" si="104"/>
        <v>738.95809739524304</v>
      </c>
      <c r="AR147" s="184">
        <f t="shared" si="105"/>
        <v>13</v>
      </c>
      <c r="AS147" s="532"/>
      <c r="AT147" s="190">
        <v>4</v>
      </c>
      <c r="AU147" s="190">
        <v>2956.8445475637814</v>
      </c>
      <c r="AV147" s="187">
        <f t="shared" si="106"/>
        <v>739.21113689094534</v>
      </c>
      <c r="AW147" s="184">
        <f t="shared" si="107"/>
        <v>13</v>
      </c>
      <c r="AX147" s="532"/>
    </row>
    <row r="148" spans="1:50" ht="14.25" customHeight="1">
      <c r="B148" s="501"/>
      <c r="C148" s="182">
        <v>28</v>
      </c>
      <c r="D148" s="185" t="s">
        <v>484</v>
      </c>
      <c r="E148" s="186">
        <v>3</v>
      </c>
      <c r="F148" s="182">
        <v>3300</v>
      </c>
      <c r="G148" s="187">
        <f t="shared" si="108"/>
        <v>1100</v>
      </c>
      <c r="H148" s="537"/>
      <c r="I148" s="188">
        <f t="shared" si="95"/>
        <v>3</v>
      </c>
      <c r="J148" s="188">
        <f t="shared" si="95"/>
        <v>2954.3943112470188</v>
      </c>
      <c r="K148" s="189">
        <f t="shared" si="95"/>
        <v>984.79810374900626</v>
      </c>
      <c r="L148" s="538"/>
      <c r="M148" s="188">
        <f>RANK(K148, K$121:$K$153)</f>
        <v>7</v>
      </c>
      <c r="N148" s="552"/>
      <c r="O148" s="536"/>
      <c r="P148" s="190">
        <v>3</v>
      </c>
      <c r="Q148" s="190">
        <v>2953.2139093782889</v>
      </c>
      <c r="R148" s="187">
        <f t="shared" si="92"/>
        <v>984.40463645942964</v>
      </c>
      <c r="S148" s="184">
        <f t="shared" si="96"/>
        <v>7</v>
      </c>
      <c r="T148" s="532"/>
      <c r="U148" s="190">
        <v>3</v>
      </c>
      <c r="V148" s="190">
        <v>2954.0398740818509</v>
      </c>
      <c r="W148" s="187">
        <f t="shared" si="93"/>
        <v>984.67995802728365</v>
      </c>
      <c r="X148" s="184">
        <f t="shared" si="97"/>
        <v>7</v>
      </c>
      <c r="Y148" s="532"/>
      <c r="Z148" s="190">
        <v>3</v>
      </c>
      <c r="AA148" s="190">
        <v>2954.4072948328358</v>
      </c>
      <c r="AB148" s="187">
        <f t="shared" si="98"/>
        <v>984.80243161094529</v>
      </c>
      <c r="AC148" s="184">
        <f t="shared" si="99"/>
        <v>7</v>
      </c>
      <c r="AD148" s="532"/>
      <c r="AE148" s="190">
        <v>3</v>
      </c>
      <c r="AF148" s="190">
        <v>2955.148095909743</v>
      </c>
      <c r="AG148" s="187">
        <f t="shared" si="100"/>
        <v>985.04936530324767</v>
      </c>
      <c r="AH148" s="184">
        <f t="shared" si="101"/>
        <v>7</v>
      </c>
      <c r="AI148" s="532"/>
      <c r="AJ148" s="190">
        <v>3</v>
      </c>
      <c r="AK148" s="190">
        <v>2954.5286506469597</v>
      </c>
      <c r="AL148" s="187">
        <f t="shared" si="102"/>
        <v>984.84288354898661</v>
      </c>
      <c r="AM148" s="184">
        <f t="shared" si="103"/>
        <v>7</v>
      </c>
      <c r="AN148" s="532"/>
      <c r="AO148" s="190">
        <v>3</v>
      </c>
      <c r="AP148" s="190">
        <v>2954.198473282434</v>
      </c>
      <c r="AQ148" s="187">
        <f t="shared" si="104"/>
        <v>984.73282442747802</v>
      </c>
      <c r="AR148" s="184">
        <f t="shared" si="105"/>
        <v>7</v>
      </c>
      <c r="AS148" s="532"/>
      <c r="AT148" s="190">
        <v>3</v>
      </c>
      <c r="AU148" s="190">
        <v>2955.2238805970192</v>
      </c>
      <c r="AV148" s="187">
        <f t="shared" si="106"/>
        <v>985.07462686567305</v>
      </c>
      <c r="AW148" s="184">
        <f t="shared" si="107"/>
        <v>7</v>
      </c>
      <c r="AX148" s="532"/>
    </row>
    <row r="149" spans="1:50" ht="14.25" customHeight="1">
      <c r="B149" s="501"/>
      <c r="C149" s="182">
        <v>29</v>
      </c>
      <c r="D149" s="185" t="s">
        <v>506</v>
      </c>
      <c r="E149" s="186">
        <v>4</v>
      </c>
      <c r="F149" s="182">
        <v>3000</v>
      </c>
      <c r="G149" s="187">
        <f t="shared" si="108"/>
        <v>750</v>
      </c>
      <c r="H149" s="537"/>
      <c r="I149" s="188">
        <f t="shared" si="95"/>
        <v>4</v>
      </c>
      <c r="J149" s="188">
        <f t="shared" si="95"/>
        <v>2663.6400215101544</v>
      </c>
      <c r="K149" s="189">
        <f t="shared" si="95"/>
        <v>665.9100053775386</v>
      </c>
      <c r="L149" s="538"/>
      <c r="M149" s="188">
        <f>RANK(K149, K$121:$K$153)</f>
        <v>26</v>
      </c>
      <c r="N149" s="552"/>
      <c r="O149" s="536"/>
      <c r="P149" s="190">
        <v>4</v>
      </c>
      <c r="Q149" s="190">
        <v>2662.92340555386</v>
      </c>
      <c r="R149" s="187">
        <f t="shared" si="92"/>
        <v>665.730851388465</v>
      </c>
      <c r="S149" s="184">
        <f t="shared" si="96"/>
        <v>26</v>
      </c>
      <c r="T149" s="532"/>
      <c r="U149" s="190">
        <v>4</v>
      </c>
      <c r="V149" s="190">
        <v>2663.0769230769247</v>
      </c>
      <c r="W149" s="187">
        <f t="shared" si="93"/>
        <v>665.76923076923117</v>
      </c>
      <c r="X149" s="184">
        <f t="shared" si="97"/>
        <v>26</v>
      </c>
      <c r="Y149" s="532"/>
      <c r="Z149" s="190">
        <v>4</v>
      </c>
      <c r="AA149" s="190">
        <v>2663.3720930232512</v>
      </c>
      <c r="AB149" s="187">
        <f t="shared" si="98"/>
        <v>665.8430232558128</v>
      </c>
      <c r="AC149" s="184">
        <f t="shared" si="99"/>
        <v>26</v>
      </c>
      <c r="AD149" s="532"/>
      <c r="AE149" s="190">
        <v>4</v>
      </c>
      <c r="AF149" s="190">
        <v>2663.9159205916649</v>
      </c>
      <c r="AG149" s="187">
        <f t="shared" si="100"/>
        <v>665.97898014791622</v>
      </c>
      <c r="AH149" s="184">
        <f t="shared" si="101"/>
        <v>26</v>
      </c>
      <c r="AI149" s="532"/>
      <c r="AJ149" s="190">
        <v>4</v>
      </c>
      <c r="AK149" s="190">
        <v>2663.8477801268564</v>
      </c>
      <c r="AL149" s="187">
        <f t="shared" si="102"/>
        <v>665.96194503171409</v>
      </c>
      <c r="AM149" s="184">
        <f t="shared" si="103"/>
        <v>25</v>
      </c>
      <c r="AN149" s="532"/>
      <c r="AO149" s="190">
        <v>4</v>
      </c>
      <c r="AP149" s="190">
        <v>2664.2029439398711</v>
      </c>
      <c r="AQ149" s="187">
        <f t="shared" si="104"/>
        <v>666.05073598496779</v>
      </c>
      <c r="AR149" s="184">
        <f t="shared" si="105"/>
        <v>25</v>
      </c>
      <c r="AS149" s="532"/>
      <c r="AT149" s="190">
        <v>4</v>
      </c>
      <c r="AU149" s="190">
        <v>2664.1410842586524</v>
      </c>
      <c r="AV149" s="187">
        <f t="shared" si="106"/>
        <v>666.03527106466311</v>
      </c>
      <c r="AW149" s="184">
        <f t="shared" si="107"/>
        <v>25</v>
      </c>
      <c r="AX149" s="532"/>
    </row>
    <row r="150" spans="1:50" ht="14.25" customHeight="1">
      <c r="B150" s="501"/>
      <c r="C150" s="182">
        <v>30</v>
      </c>
      <c r="D150" s="185" t="s">
        <v>555</v>
      </c>
      <c r="E150" s="186">
        <v>5</v>
      </c>
      <c r="F150" s="182">
        <v>3000</v>
      </c>
      <c r="G150" s="187">
        <f t="shared" si="108"/>
        <v>600</v>
      </c>
      <c r="H150" s="537"/>
      <c r="I150" s="188">
        <f t="shared" si="95"/>
        <v>5</v>
      </c>
      <c r="J150" s="188">
        <f t="shared" si="95"/>
        <v>2661.9817202743902</v>
      </c>
      <c r="K150" s="189">
        <f t="shared" si="95"/>
        <v>532.396344054878</v>
      </c>
      <c r="L150" s="538"/>
      <c r="M150" s="188">
        <f>RANK(K150, K$121:$K$153)</f>
        <v>31</v>
      </c>
      <c r="N150" s="552"/>
      <c r="O150" s="536"/>
      <c r="P150" s="190">
        <v>5</v>
      </c>
      <c r="Q150" s="190">
        <v>2660.4495135860457</v>
      </c>
      <c r="R150" s="187">
        <f t="shared" si="92"/>
        <v>532.08990271720916</v>
      </c>
      <c r="S150" s="184">
        <f t="shared" si="96"/>
        <v>31</v>
      </c>
      <c r="T150" s="532"/>
      <c r="U150" s="190">
        <v>5</v>
      </c>
      <c r="V150" s="190">
        <v>2660.813242173444</v>
      </c>
      <c r="W150" s="187">
        <f t="shared" si="93"/>
        <v>532.16264843468878</v>
      </c>
      <c r="X150" s="184">
        <f t="shared" si="97"/>
        <v>31</v>
      </c>
      <c r="Y150" s="532"/>
      <c r="Z150" s="190">
        <v>5</v>
      </c>
      <c r="AA150" s="190">
        <v>2660.6796116504929</v>
      </c>
      <c r="AB150" s="187">
        <f t="shared" si="98"/>
        <v>532.13592233009854</v>
      </c>
      <c r="AC150" s="184">
        <f t="shared" si="99"/>
        <v>31</v>
      </c>
      <c r="AD150" s="532"/>
      <c r="AE150" s="190">
        <v>5</v>
      </c>
      <c r="AF150" s="190">
        <v>2663.2653061224551</v>
      </c>
      <c r="AG150" s="187">
        <f t="shared" si="100"/>
        <v>532.65306122449101</v>
      </c>
      <c r="AH150" s="184">
        <f t="shared" si="101"/>
        <v>31</v>
      </c>
      <c r="AI150" s="532"/>
      <c r="AJ150" s="190">
        <v>5</v>
      </c>
      <c r="AK150" s="190">
        <v>2663.0750103605469</v>
      </c>
      <c r="AL150" s="187">
        <f t="shared" si="102"/>
        <v>532.61500207210941</v>
      </c>
      <c r="AM150" s="184">
        <f t="shared" si="103"/>
        <v>30</v>
      </c>
      <c r="AN150" s="532"/>
      <c r="AO150" s="190">
        <v>5</v>
      </c>
      <c r="AP150" s="190">
        <v>2662.7062706270681</v>
      </c>
      <c r="AQ150" s="187">
        <f t="shared" si="104"/>
        <v>532.54125412541362</v>
      </c>
      <c r="AR150" s="184">
        <f t="shared" si="105"/>
        <v>30</v>
      </c>
      <c r="AS150" s="532"/>
      <c r="AT150" s="190">
        <v>5</v>
      </c>
      <c r="AU150" s="190">
        <v>2662.8830874006803</v>
      </c>
      <c r="AV150" s="187">
        <f t="shared" si="106"/>
        <v>532.57661748013606</v>
      </c>
      <c r="AW150" s="184">
        <f t="shared" si="107"/>
        <v>29</v>
      </c>
      <c r="AX150" s="532"/>
    </row>
    <row r="151" spans="1:50" ht="14.25" customHeight="1">
      <c r="B151" s="501"/>
      <c r="C151" s="182">
        <v>31</v>
      </c>
      <c r="D151" s="185" t="s">
        <v>355</v>
      </c>
      <c r="E151" s="182">
        <v>3</v>
      </c>
      <c r="F151" s="182">
        <v>3000</v>
      </c>
      <c r="G151" s="187">
        <f t="shared" si="108"/>
        <v>1000</v>
      </c>
      <c r="H151" s="537"/>
      <c r="I151" s="188">
        <f t="shared" si="95"/>
        <v>3</v>
      </c>
      <c r="J151" s="188">
        <f t="shared" si="95"/>
        <v>2688.3750166626296</v>
      </c>
      <c r="K151" s="189">
        <f t="shared" si="95"/>
        <v>896.12500555420991</v>
      </c>
      <c r="L151" s="538"/>
      <c r="M151" s="188">
        <f>RANK(K151, K$121:$K$153)</f>
        <v>10</v>
      </c>
      <c r="N151" s="552"/>
      <c r="O151" s="536"/>
      <c r="P151" s="190">
        <v>3</v>
      </c>
      <c r="Q151" s="190">
        <v>2687.8956112771739</v>
      </c>
      <c r="R151" s="187">
        <f t="shared" si="92"/>
        <v>895.965203759058</v>
      </c>
      <c r="S151" s="184">
        <f t="shared" si="96"/>
        <v>11</v>
      </c>
      <c r="T151" s="532"/>
      <c r="U151" s="190">
        <v>3</v>
      </c>
      <c r="V151" s="190">
        <v>2688.2103291119502</v>
      </c>
      <c r="W151" s="187">
        <f t="shared" si="93"/>
        <v>896.07010970398335</v>
      </c>
      <c r="X151" s="184">
        <f t="shared" si="97"/>
        <v>10</v>
      </c>
      <c r="Y151" s="532"/>
      <c r="Z151" s="190">
        <v>3</v>
      </c>
      <c r="AA151" s="190">
        <v>2688.4466099391993</v>
      </c>
      <c r="AB151" s="187">
        <f t="shared" si="98"/>
        <v>896.14886997973315</v>
      </c>
      <c r="AC151" s="184">
        <f t="shared" si="99"/>
        <v>10</v>
      </c>
      <c r="AD151" s="532"/>
      <c r="AE151" s="190">
        <v>3</v>
      </c>
      <c r="AF151" s="190">
        <v>2688.377261655321</v>
      </c>
      <c r="AG151" s="187">
        <f t="shared" si="100"/>
        <v>896.12575388510697</v>
      </c>
      <c r="AH151" s="184">
        <f t="shared" si="101"/>
        <v>10</v>
      </c>
      <c r="AI151" s="532"/>
      <c r="AJ151" s="190">
        <v>3</v>
      </c>
      <c r="AK151" s="190">
        <v>2688.594287451197</v>
      </c>
      <c r="AL151" s="187">
        <f t="shared" si="102"/>
        <v>896.19809581706568</v>
      </c>
      <c r="AM151" s="184">
        <f t="shared" si="103"/>
        <v>10</v>
      </c>
      <c r="AN151" s="532"/>
      <c r="AO151" s="190">
        <v>3</v>
      </c>
      <c r="AP151" s="190">
        <v>2688.5523454675053</v>
      </c>
      <c r="AQ151" s="187">
        <f t="shared" si="104"/>
        <v>896.18411515583512</v>
      </c>
      <c r="AR151" s="184">
        <f t="shared" si="105"/>
        <v>11</v>
      </c>
      <c r="AS151" s="532"/>
      <c r="AT151" s="190">
        <v>3</v>
      </c>
      <c r="AU151" s="190">
        <v>2688.5486717360614</v>
      </c>
      <c r="AV151" s="187">
        <f t="shared" si="106"/>
        <v>896.18289057868708</v>
      </c>
      <c r="AW151" s="184">
        <f t="shared" si="107"/>
        <v>11</v>
      </c>
      <c r="AX151" s="532"/>
    </row>
    <row r="152" spans="1:50" ht="14.25" customHeight="1">
      <c r="B152" s="501"/>
      <c r="C152" s="182">
        <v>32</v>
      </c>
      <c r="D152" s="185" t="s">
        <v>495</v>
      </c>
      <c r="E152" s="182">
        <v>12</v>
      </c>
      <c r="F152" s="182">
        <v>3600</v>
      </c>
      <c r="G152" s="187">
        <f t="shared" si="108"/>
        <v>300</v>
      </c>
      <c r="H152" s="537"/>
      <c r="I152" s="188">
        <f t="shared" si="95"/>
        <v>12</v>
      </c>
      <c r="J152" s="188">
        <f t="shared" si="95"/>
        <v>3118.8239849460983</v>
      </c>
      <c r="K152" s="189">
        <f t="shared" si="95"/>
        <v>259.90199874550819</v>
      </c>
      <c r="L152" s="538"/>
      <c r="M152" s="188">
        <f>RANK(K152, K$121:$K$153)</f>
        <v>33</v>
      </c>
      <c r="N152" s="552"/>
      <c r="O152" s="536"/>
      <c r="P152" s="190">
        <v>12</v>
      </c>
      <c r="Q152" s="190">
        <v>3116.6292134831515</v>
      </c>
      <c r="R152" s="187">
        <f t="shared" si="92"/>
        <v>259.71910112359598</v>
      </c>
      <c r="S152" s="184">
        <f t="shared" si="96"/>
        <v>33</v>
      </c>
      <c r="T152" s="532"/>
      <c r="U152" s="190">
        <v>12</v>
      </c>
      <c r="V152" s="190">
        <v>3116.6666666666642</v>
      </c>
      <c r="W152" s="187">
        <f t="shared" si="93"/>
        <v>259.722222222222</v>
      </c>
      <c r="X152" s="184">
        <f t="shared" si="97"/>
        <v>33</v>
      </c>
      <c r="Y152" s="532"/>
      <c r="Z152" s="190">
        <v>12</v>
      </c>
      <c r="AA152" s="190">
        <v>3117.4078780177897</v>
      </c>
      <c r="AB152" s="187">
        <f t="shared" si="98"/>
        <v>259.78398983481583</v>
      </c>
      <c r="AC152" s="184">
        <f t="shared" si="99"/>
        <v>33</v>
      </c>
      <c r="AD152" s="532"/>
      <c r="AE152" s="190">
        <v>12</v>
      </c>
      <c r="AF152" s="190">
        <v>3118.6767746381811</v>
      </c>
      <c r="AG152" s="187">
        <f t="shared" si="100"/>
        <v>259.88973121984844</v>
      </c>
      <c r="AH152" s="184">
        <f t="shared" si="101"/>
        <v>32</v>
      </c>
      <c r="AI152" s="532"/>
      <c r="AJ152" s="190">
        <v>12</v>
      </c>
      <c r="AK152" s="190">
        <v>3119.6979232221665</v>
      </c>
      <c r="AL152" s="187">
        <f t="shared" si="102"/>
        <v>259.97482693518054</v>
      </c>
      <c r="AM152" s="184">
        <f t="shared" si="103"/>
        <v>32</v>
      </c>
      <c r="AN152" s="532"/>
      <c r="AO152" s="190">
        <v>12</v>
      </c>
      <c r="AP152" s="190">
        <v>3121.1300765155911</v>
      </c>
      <c r="AQ152" s="187">
        <f t="shared" si="104"/>
        <v>260.09417304296591</v>
      </c>
      <c r="AR152" s="184">
        <f t="shared" si="105"/>
        <v>31</v>
      </c>
      <c r="AS152" s="532"/>
      <c r="AT152" s="190">
        <v>12</v>
      </c>
      <c r="AU152" s="190">
        <v>3121.5593620791451</v>
      </c>
      <c r="AV152" s="187">
        <f t="shared" si="106"/>
        <v>260.12994683992878</v>
      </c>
      <c r="AW152" s="184">
        <f t="shared" si="107"/>
        <v>30</v>
      </c>
      <c r="AX152" s="532"/>
    </row>
    <row r="153" spans="1:50" ht="14.25" customHeight="1">
      <c r="B153" s="501"/>
      <c r="C153" s="182">
        <v>33</v>
      </c>
      <c r="D153" s="185" t="s">
        <v>626</v>
      </c>
      <c r="E153" s="182">
        <v>4</v>
      </c>
      <c r="F153" s="182">
        <v>3300</v>
      </c>
      <c r="G153" s="187">
        <f t="shared" si="108"/>
        <v>825</v>
      </c>
      <c r="H153" s="537"/>
      <c r="I153" s="188">
        <f t="shared" si="95"/>
        <v>4</v>
      </c>
      <c r="J153" s="188">
        <f t="shared" si="95"/>
        <v>2952.4021555627178</v>
      </c>
      <c r="K153" s="189">
        <f t="shared" si="95"/>
        <v>738.10053889067945</v>
      </c>
      <c r="L153" s="538"/>
      <c r="M153" s="188">
        <f>RANK(K153, K$121:$K$153)</f>
        <v>15</v>
      </c>
      <c r="N153" s="552"/>
      <c r="O153" s="536"/>
      <c r="P153" s="190">
        <v>4</v>
      </c>
      <c r="Q153" s="190">
        <v>2951.1025886864813</v>
      </c>
      <c r="R153" s="187">
        <f t="shared" si="92"/>
        <v>737.77564717162034</v>
      </c>
      <c r="S153" s="184">
        <f t="shared" si="96"/>
        <v>15</v>
      </c>
      <c r="T153" s="532"/>
      <c r="U153" s="190">
        <v>4</v>
      </c>
      <c r="V153" s="190">
        <v>2951.6254876462954</v>
      </c>
      <c r="W153" s="187">
        <f t="shared" si="93"/>
        <v>737.90637191157384</v>
      </c>
      <c r="X153" s="184">
        <f t="shared" si="97"/>
        <v>15</v>
      </c>
      <c r="Y153" s="532"/>
      <c r="Z153" s="190">
        <v>4</v>
      </c>
      <c r="AA153" s="190">
        <v>2951.8117295479983</v>
      </c>
      <c r="AB153" s="187">
        <f t="shared" si="98"/>
        <v>737.95293238699958</v>
      </c>
      <c r="AC153" s="184">
        <f t="shared" si="99"/>
        <v>16</v>
      </c>
      <c r="AD153" s="532"/>
      <c r="AE153" s="190">
        <v>4</v>
      </c>
      <c r="AF153" s="190">
        <v>2952.9515418502165</v>
      </c>
      <c r="AG153" s="187">
        <f t="shared" si="100"/>
        <v>738.23788546255412</v>
      </c>
      <c r="AH153" s="184">
        <f t="shared" si="101"/>
        <v>15</v>
      </c>
      <c r="AI153" s="532"/>
      <c r="AJ153" s="190">
        <v>4</v>
      </c>
      <c r="AK153" s="190">
        <v>2953.266331658293</v>
      </c>
      <c r="AL153" s="187">
        <f t="shared" si="102"/>
        <v>738.31658291457325</v>
      </c>
      <c r="AM153" s="184">
        <f t="shared" si="103"/>
        <v>15</v>
      </c>
      <c r="AN153" s="532"/>
      <c r="AO153" s="190">
        <v>4</v>
      </c>
      <c r="AP153" s="190">
        <v>2953.093738421634</v>
      </c>
      <c r="AQ153" s="187">
        <f t="shared" si="104"/>
        <v>738.27343460540851</v>
      </c>
      <c r="AR153" s="184">
        <f t="shared" si="105"/>
        <v>15</v>
      </c>
      <c r="AS153" s="532"/>
      <c r="AT153" s="190">
        <v>4</v>
      </c>
      <c r="AU153" s="190">
        <v>2952.9636711281073</v>
      </c>
      <c r="AV153" s="187">
        <f t="shared" si="106"/>
        <v>738.24091778202683</v>
      </c>
      <c r="AW153" s="184">
        <f t="shared" si="107"/>
        <v>16</v>
      </c>
      <c r="AX153" s="532"/>
    </row>
    <row r="154" spans="1:50" ht="14.25" customHeight="1" collapsed="1">
      <c r="B154" s="545" t="s">
        <v>605</v>
      </c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7"/>
      <c r="N154" s="550" t="s">
        <v>383</v>
      </c>
      <c r="O154" s="550" t="s">
        <v>105</v>
      </c>
      <c r="P154" s="541">
        <f>AT116+1</f>
        <v>46049</v>
      </c>
      <c r="Q154" s="542"/>
      <c r="R154" s="542"/>
      <c r="S154" s="542"/>
      <c r="T154" s="542"/>
      <c r="U154" s="539">
        <f>P154+1</f>
        <v>46050</v>
      </c>
      <c r="V154" s="540"/>
      <c r="W154" s="540"/>
      <c r="X154" s="540"/>
      <c r="Y154" s="540"/>
      <c r="Z154" s="541">
        <f t="shared" ref="Z154" si="109">U154+1</f>
        <v>46051</v>
      </c>
      <c r="AA154" s="542"/>
      <c r="AB154" s="542"/>
      <c r="AC154" s="542"/>
      <c r="AD154" s="542"/>
      <c r="AE154" s="539">
        <f t="shared" ref="AE154" si="110">Z154+1</f>
        <v>46052</v>
      </c>
      <c r="AF154" s="540"/>
      <c r="AG154" s="540"/>
      <c r="AH154" s="540"/>
      <c r="AI154" s="540"/>
      <c r="AJ154" s="523">
        <f t="shared" ref="AJ154" si="111">AE154+1</f>
        <v>46053</v>
      </c>
      <c r="AK154" s="524"/>
      <c r="AL154" s="524"/>
      <c r="AM154" s="524"/>
      <c r="AN154" s="525"/>
      <c r="AO154" s="539">
        <f t="shared" ref="AO154" si="112">AJ154+1</f>
        <v>46054</v>
      </c>
      <c r="AP154" s="540"/>
      <c r="AQ154" s="540"/>
      <c r="AR154" s="540"/>
      <c r="AS154" s="540"/>
      <c r="AT154" s="523">
        <f t="shared" ref="AT154" si="113">AO154+1</f>
        <v>46055</v>
      </c>
      <c r="AU154" s="524"/>
      <c r="AV154" s="524"/>
      <c r="AW154" s="524"/>
      <c r="AX154" s="525"/>
    </row>
    <row r="155" spans="1:50" ht="14.25" customHeight="1">
      <c r="B155" s="548"/>
      <c r="C155" s="548"/>
      <c r="D155" s="548"/>
      <c r="E155" s="548"/>
      <c r="F155" s="548"/>
      <c r="G155" s="548"/>
      <c r="H155" s="548"/>
      <c r="I155" s="548"/>
      <c r="J155" s="548"/>
      <c r="K155" s="548"/>
      <c r="L155" s="548"/>
      <c r="M155" s="549"/>
      <c r="N155" s="551"/>
      <c r="O155" s="551"/>
      <c r="P155" s="544">
        <f>P154</f>
        <v>46049</v>
      </c>
      <c r="Q155" s="544"/>
      <c r="R155" s="544"/>
      <c r="S155" s="544"/>
      <c r="T155" s="544"/>
      <c r="U155" s="543">
        <f>U154</f>
        <v>46050</v>
      </c>
      <c r="V155" s="543"/>
      <c r="W155" s="543"/>
      <c r="X155" s="543"/>
      <c r="Y155" s="543"/>
      <c r="Z155" s="544">
        <f t="shared" ref="Z155" si="114">Z154</f>
        <v>46051</v>
      </c>
      <c r="AA155" s="544"/>
      <c r="AB155" s="544"/>
      <c r="AC155" s="544"/>
      <c r="AD155" s="544"/>
      <c r="AE155" s="543">
        <f t="shared" ref="AE155" si="115">AE154</f>
        <v>46052</v>
      </c>
      <c r="AF155" s="543"/>
      <c r="AG155" s="543"/>
      <c r="AH155" s="543"/>
      <c r="AI155" s="543"/>
      <c r="AJ155" s="526">
        <f t="shared" ref="AJ155" si="116">AJ154</f>
        <v>46053</v>
      </c>
      <c r="AK155" s="527"/>
      <c r="AL155" s="527"/>
      <c r="AM155" s="527"/>
      <c r="AN155" s="528"/>
      <c r="AO155" s="543">
        <f t="shared" ref="AO155" si="117">AO154</f>
        <v>46054</v>
      </c>
      <c r="AP155" s="543"/>
      <c r="AQ155" s="543"/>
      <c r="AR155" s="543"/>
      <c r="AS155" s="543"/>
      <c r="AT155" s="526">
        <f t="shared" ref="AT155" si="118">AT154</f>
        <v>46055</v>
      </c>
      <c r="AU155" s="527"/>
      <c r="AV155" s="527"/>
      <c r="AW155" s="527"/>
      <c r="AX155" s="528"/>
    </row>
    <row r="156" spans="1:50" ht="14.25" customHeight="1">
      <c r="B156" s="501" t="s">
        <v>164</v>
      </c>
      <c r="C156" s="501" t="s">
        <v>159</v>
      </c>
      <c r="D156" s="501"/>
      <c r="E156" s="501" t="s">
        <v>160</v>
      </c>
      <c r="F156" s="501"/>
      <c r="G156" s="501"/>
      <c r="H156" s="501" t="s">
        <v>165</v>
      </c>
      <c r="I156" s="522" t="s">
        <v>384</v>
      </c>
      <c r="J156" s="522"/>
      <c r="K156" s="522"/>
      <c r="L156" s="522" t="s">
        <v>165</v>
      </c>
      <c r="M156" s="522" t="s">
        <v>167</v>
      </c>
      <c r="N156" s="552"/>
      <c r="O156" s="536" t="s">
        <v>166</v>
      </c>
      <c r="P156" s="536" t="s">
        <v>162</v>
      </c>
      <c r="Q156" s="536"/>
      <c r="R156" s="536"/>
      <c r="S156" s="536"/>
      <c r="T156" s="536" t="s">
        <v>165</v>
      </c>
      <c r="U156" s="536" t="s">
        <v>162</v>
      </c>
      <c r="V156" s="536"/>
      <c r="W156" s="536"/>
      <c r="X156" s="536"/>
      <c r="Y156" s="536" t="s">
        <v>165</v>
      </c>
      <c r="Z156" s="536" t="s">
        <v>162</v>
      </c>
      <c r="AA156" s="536"/>
      <c r="AB156" s="536"/>
      <c r="AC156" s="536"/>
      <c r="AD156" s="536" t="s">
        <v>165</v>
      </c>
      <c r="AE156" s="536" t="s">
        <v>162</v>
      </c>
      <c r="AF156" s="536"/>
      <c r="AG156" s="536"/>
      <c r="AH156" s="536"/>
      <c r="AI156" s="536" t="s">
        <v>165</v>
      </c>
      <c r="AJ156" s="536" t="s">
        <v>162</v>
      </c>
      <c r="AK156" s="536"/>
      <c r="AL156" s="536"/>
      <c r="AM156" s="536"/>
      <c r="AN156" s="536" t="s">
        <v>165</v>
      </c>
      <c r="AO156" s="536" t="s">
        <v>162</v>
      </c>
      <c r="AP156" s="536"/>
      <c r="AQ156" s="536"/>
      <c r="AR156" s="536"/>
      <c r="AS156" s="536" t="s">
        <v>165</v>
      </c>
      <c r="AT156" s="536" t="s">
        <v>162</v>
      </c>
      <c r="AU156" s="536"/>
      <c r="AV156" s="536"/>
      <c r="AW156" s="536"/>
      <c r="AX156" s="536" t="s">
        <v>165</v>
      </c>
    </row>
    <row r="157" spans="1:50" ht="14.25" customHeight="1">
      <c r="B157" s="501"/>
      <c r="C157" s="501"/>
      <c r="D157" s="501"/>
      <c r="E157" s="501" t="s">
        <v>385</v>
      </c>
      <c r="F157" s="501"/>
      <c r="G157" s="501"/>
      <c r="H157" s="501"/>
      <c r="I157" s="522" t="s">
        <v>385</v>
      </c>
      <c r="J157" s="522"/>
      <c r="K157" s="522"/>
      <c r="L157" s="522"/>
      <c r="M157" s="522"/>
      <c r="N157" s="552"/>
      <c r="O157" s="536"/>
      <c r="P157" s="536" t="s">
        <v>386</v>
      </c>
      <c r="Q157" s="536"/>
      <c r="R157" s="536"/>
      <c r="S157" s="536"/>
      <c r="T157" s="536"/>
      <c r="U157" s="536" t="s">
        <v>386</v>
      </c>
      <c r="V157" s="536"/>
      <c r="W157" s="536"/>
      <c r="X157" s="536"/>
      <c r="Y157" s="536"/>
      <c r="Z157" s="536" t="s">
        <v>386</v>
      </c>
      <c r="AA157" s="536"/>
      <c r="AB157" s="536"/>
      <c r="AC157" s="536"/>
      <c r="AD157" s="536"/>
      <c r="AE157" s="536" t="s">
        <v>386</v>
      </c>
      <c r="AF157" s="536"/>
      <c r="AG157" s="536"/>
      <c r="AH157" s="536"/>
      <c r="AI157" s="536"/>
      <c r="AJ157" s="536" t="s">
        <v>386</v>
      </c>
      <c r="AK157" s="536"/>
      <c r="AL157" s="536"/>
      <c r="AM157" s="536"/>
      <c r="AN157" s="536"/>
      <c r="AO157" s="536" t="s">
        <v>386</v>
      </c>
      <c r="AP157" s="536"/>
      <c r="AQ157" s="536"/>
      <c r="AR157" s="536"/>
      <c r="AS157" s="536"/>
      <c r="AT157" s="536" t="s">
        <v>386</v>
      </c>
      <c r="AU157" s="536"/>
      <c r="AV157" s="536"/>
      <c r="AW157" s="536"/>
      <c r="AX157" s="536"/>
    </row>
    <row r="158" spans="1:50" ht="14.25" customHeight="1">
      <c r="A158" s="179"/>
      <c r="B158" s="501"/>
      <c r="C158" s="501"/>
      <c r="D158" s="501"/>
      <c r="E158" s="182" t="s">
        <v>161</v>
      </c>
      <c r="F158" s="182" t="s">
        <v>387</v>
      </c>
      <c r="G158" s="182" t="s">
        <v>163</v>
      </c>
      <c r="H158" s="501"/>
      <c r="I158" s="183" t="s">
        <v>161</v>
      </c>
      <c r="J158" s="183" t="s">
        <v>387</v>
      </c>
      <c r="K158" s="183" t="s">
        <v>163</v>
      </c>
      <c r="L158" s="522"/>
      <c r="M158" s="522"/>
      <c r="N158" s="552"/>
      <c r="O158" s="536"/>
      <c r="P158" s="184" t="s">
        <v>161</v>
      </c>
      <c r="Q158" s="184" t="s">
        <v>387</v>
      </c>
      <c r="R158" s="184" t="s">
        <v>163</v>
      </c>
      <c r="S158" s="184" t="s">
        <v>167</v>
      </c>
      <c r="T158" s="536"/>
      <c r="U158" s="184" t="s">
        <v>161</v>
      </c>
      <c r="V158" s="184" t="s">
        <v>387</v>
      </c>
      <c r="W158" s="184" t="s">
        <v>163</v>
      </c>
      <c r="X158" s="184" t="s">
        <v>167</v>
      </c>
      <c r="Y158" s="536"/>
      <c r="Z158" s="184" t="s">
        <v>161</v>
      </c>
      <c r="AA158" s="184" t="s">
        <v>387</v>
      </c>
      <c r="AB158" s="184" t="s">
        <v>163</v>
      </c>
      <c r="AC158" s="184" t="s">
        <v>167</v>
      </c>
      <c r="AD158" s="536"/>
      <c r="AE158" s="184" t="s">
        <v>161</v>
      </c>
      <c r="AF158" s="184" t="s">
        <v>387</v>
      </c>
      <c r="AG158" s="184" t="s">
        <v>163</v>
      </c>
      <c r="AH158" s="184" t="s">
        <v>167</v>
      </c>
      <c r="AI158" s="536"/>
      <c r="AJ158" s="184" t="s">
        <v>161</v>
      </c>
      <c r="AK158" s="184" t="s">
        <v>387</v>
      </c>
      <c r="AL158" s="184" t="s">
        <v>163</v>
      </c>
      <c r="AM158" s="184" t="s">
        <v>167</v>
      </c>
      <c r="AN158" s="536"/>
      <c r="AO158" s="184" t="s">
        <v>161</v>
      </c>
      <c r="AP158" s="184" t="s">
        <v>387</v>
      </c>
      <c r="AQ158" s="184" t="s">
        <v>163</v>
      </c>
      <c r="AR158" s="184" t="s">
        <v>167</v>
      </c>
      <c r="AS158" s="536"/>
      <c r="AT158" s="184" t="s">
        <v>161</v>
      </c>
      <c r="AU158" s="184" t="s">
        <v>387</v>
      </c>
      <c r="AV158" s="184" t="s">
        <v>163</v>
      </c>
      <c r="AW158" s="184" t="s">
        <v>167</v>
      </c>
      <c r="AX158" s="536"/>
    </row>
    <row r="159" spans="1:50" ht="14.25" customHeight="1">
      <c r="B159" s="501" t="s">
        <v>603</v>
      </c>
      <c r="C159" s="182">
        <v>1</v>
      </c>
      <c r="D159" s="185"/>
      <c r="E159" s="186"/>
      <c r="F159" s="182"/>
      <c r="G159" s="187" t="e">
        <f>F159/E159</f>
        <v>#DIV/0!</v>
      </c>
      <c r="H159" s="537" t="e">
        <f>AVERAGE(G159:G191)</f>
        <v>#DIV/0!</v>
      </c>
      <c r="I159" s="188" t="e">
        <f>AVERAGE(P159,U159,Z159,AE159,AJ159,AO159,AT159)</f>
        <v>#DIV/0!</v>
      </c>
      <c r="J159" s="188" t="e">
        <f>AVERAGE(Q159,V159,AA159,AF159,AK159,AP159,AU159)</f>
        <v>#DIV/0!</v>
      </c>
      <c r="K159" s="189" t="e">
        <f>AVERAGE(R159,W159,AB159,AG159,AL159,AQ159,AV159)</f>
        <v>#DIV/0!</v>
      </c>
      <c r="L159" s="538" t="str">
        <f>IFERROR(AVERAGE(K159:K191),"-")</f>
        <v>-</v>
      </c>
      <c r="M159" s="188" t="e">
        <f>RANK(K159, K$83:$K$115)</f>
        <v>#DIV/0!</v>
      </c>
      <c r="N159" s="552"/>
      <c r="O159" s="536"/>
      <c r="P159" s="190"/>
      <c r="Q159" s="190"/>
      <c r="R159" s="187" t="e">
        <f t="shared" ref="R159:R190" si="119">Q159/P159</f>
        <v>#DIV/0!</v>
      </c>
      <c r="S159" s="184" t="e">
        <f>RANK(R159, R$83:R$115)</f>
        <v>#DIV/0!</v>
      </c>
      <c r="T159" s="532" t="e">
        <f>AVERAGE(R159:R191)</f>
        <v>#DIV/0!</v>
      </c>
      <c r="U159" s="190"/>
      <c r="V159" s="190"/>
      <c r="W159" s="187" t="e">
        <f t="shared" ref="W159:W190" si="120">V159/U159</f>
        <v>#DIV/0!</v>
      </c>
      <c r="X159" s="184" t="e">
        <f>RANK(W159, W$83:W$115)</f>
        <v>#DIV/0!</v>
      </c>
      <c r="Y159" s="532" t="e">
        <f>AVERAGE(W159:W191)</f>
        <v>#DIV/0!</v>
      </c>
      <c r="Z159" s="190"/>
      <c r="AA159" s="190"/>
      <c r="AB159" s="187" t="e">
        <f t="shared" ref="AB159:AB190" si="121">AA159/Z159</f>
        <v>#DIV/0!</v>
      </c>
      <c r="AC159" s="184" t="e">
        <f>RANK(AB159, AB$83:AB$115)</f>
        <v>#DIV/0!</v>
      </c>
      <c r="AD159" s="532" t="e">
        <f>AVERAGE(AB159:AB191)</f>
        <v>#DIV/0!</v>
      </c>
      <c r="AE159" s="190"/>
      <c r="AF159" s="190"/>
      <c r="AG159" s="187" t="e">
        <f t="shared" ref="AG159:AG190" si="122">AF159/AE159</f>
        <v>#DIV/0!</v>
      </c>
      <c r="AH159" s="184" t="e">
        <f>RANK(AG159, AG$83:AG$115)</f>
        <v>#DIV/0!</v>
      </c>
      <c r="AI159" s="532" t="e">
        <f>AVERAGE(AG159:AG191)</f>
        <v>#DIV/0!</v>
      </c>
      <c r="AJ159" s="190"/>
      <c r="AK159" s="190"/>
      <c r="AL159" s="187" t="e">
        <f t="shared" ref="AL159:AL190" si="123">AK159/AJ159</f>
        <v>#DIV/0!</v>
      </c>
      <c r="AM159" s="184" t="e">
        <f>RANK(AL159, AL$83:AL$115)</f>
        <v>#DIV/0!</v>
      </c>
      <c r="AN159" s="532" t="e">
        <f>AVERAGE(AL159:AL191)</f>
        <v>#DIV/0!</v>
      </c>
      <c r="AO159" s="190"/>
      <c r="AP159" s="190"/>
      <c r="AQ159" s="187" t="e">
        <f t="shared" ref="AQ159:AQ190" si="124">AP159/AO159</f>
        <v>#DIV/0!</v>
      </c>
      <c r="AR159" s="184" t="e">
        <f>RANK(AQ159, AQ$83:AQ$115)</f>
        <v>#DIV/0!</v>
      </c>
      <c r="AS159" s="532" t="e">
        <f>AVERAGE(AQ159:AQ191)</f>
        <v>#DIV/0!</v>
      </c>
      <c r="AT159" s="190"/>
      <c r="AU159" s="190"/>
      <c r="AV159" s="187" t="e">
        <f t="shared" ref="AV159:AV190" si="125">AU159/AT159</f>
        <v>#DIV/0!</v>
      </c>
      <c r="AW159" s="184" t="e">
        <f>RANK(AV159, AV$83:AV$115)</f>
        <v>#DIV/0!</v>
      </c>
      <c r="AX159" s="532" t="e">
        <f>AVERAGE(AV159:AV191)</f>
        <v>#DIV/0!</v>
      </c>
    </row>
    <row r="160" spans="1:50" ht="14.25" customHeight="1">
      <c r="B160" s="501"/>
      <c r="C160" s="182">
        <v>2</v>
      </c>
      <c r="D160" s="185"/>
      <c r="E160" s="186"/>
      <c r="F160" s="182"/>
      <c r="G160" s="187" t="e">
        <f t="shared" ref="G160:G179" si="126">F160/E160</f>
        <v>#DIV/0!</v>
      </c>
      <c r="H160" s="537"/>
      <c r="I160" s="188" t="e">
        <f t="shared" ref="I160:I191" si="127">AVERAGE(P160,U160,Z160,AE160,AJ160,AO160,AT160)</f>
        <v>#DIV/0!</v>
      </c>
      <c r="J160" s="188" t="e">
        <f t="shared" ref="J160:J191" si="128">AVERAGE(Q160,V160,AA160,AF160,AK160,AP160,AU160)</f>
        <v>#DIV/0!</v>
      </c>
      <c r="K160" s="189" t="e">
        <f t="shared" ref="K160:K191" si="129">AVERAGE(R160,W160,AB160,AG160,AL160,AQ160,AV160)</f>
        <v>#DIV/0!</v>
      </c>
      <c r="L160" s="538"/>
      <c r="M160" s="188" t="e">
        <f>RANK(K160, K$83:$K$115)</f>
        <v>#DIV/0!</v>
      </c>
      <c r="N160" s="552"/>
      <c r="O160" s="536"/>
      <c r="P160" s="190"/>
      <c r="Q160" s="190"/>
      <c r="R160" s="187" t="e">
        <f t="shared" si="119"/>
        <v>#DIV/0!</v>
      </c>
      <c r="S160" s="184" t="e">
        <f t="shared" ref="S160:S191" si="130">RANK(R160, R$83:R$115)</f>
        <v>#DIV/0!</v>
      </c>
      <c r="T160" s="532"/>
      <c r="U160" s="190"/>
      <c r="V160" s="190"/>
      <c r="W160" s="187" t="e">
        <f t="shared" si="120"/>
        <v>#DIV/0!</v>
      </c>
      <c r="X160" s="184" t="e">
        <f t="shared" ref="X160:X191" si="131">RANK(W160, W$83:W$115)</f>
        <v>#DIV/0!</v>
      </c>
      <c r="Y160" s="532"/>
      <c r="Z160" s="190"/>
      <c r="AA160" s="190"/>
      <c r="AB160" s="187" t="e">
        <f t="shared" si="121"/>
        <v>#DIV/0!</v>
      </c>
      <c r="AC160" s="184" t="e">
        <f t="shared" ref="AC160:AC191" si="132">RANK(AB160, AB$83:AB$115)</f>
        <v>#DIV/0!</v>
      </c>
      <c r="AD160" s="532"/>
      <c r="AE160" s="190"/>
      <c r="AF160" s="190"/>
      <c r="AG160" s="187" t="e">
        <f t="shared" si="122"/>
        <v>#DIV/0!</v>
      </c>
      <c r="AH160" s="184" t="e">
        <f t="shared" ref="AH160:AH191" si="133">RANK(AG160, AG$83:AG$115)</f>
        <v>#DIV/0!</v>
      </c>
      <c r="AI160" s="532"/>
      <c r="AJ160" s="190"/>
      <c r="AK160" s="190"/>
      <c r="AL160" s="187" t="e">
        <f t="shared" si="123"/>
        <v>#DIV/0!</v>
      </c>
      <c r="AM160" s="184" t="e">
        <f t="shared" ref="AM160:AM191" si="134">RANK(AL160, AL$83:AL$115)</f>
        <v>#DIV/0!</v>
      </c>
      <c r="AN160" s="532"/>
      <c r="AO160" s="190"/>
      <c r="AP160" s="190"/>
      <c r="AQ160" s="187" t="e">
        <f t="shared" si="124"/>
        <v>#DIV/0!</v>
      </c>
      <c r="AR160" s="184" t="e">
        <f t="shared" ref="AR160:AR191" si="135">RANK(AQ160, AQ$83:AQ$115)</f>
        <v>#DIV/0!</v>
      </c>
      <c r="AS160" s="532"/>
      <c r="AT160" s="190"/>
      <c r="AU160" s="190"/>
      <c r="AV160" s="187" t="e">
        <f t="shared" si="125"/>
        <v>#DIV/0!</v>
      </c>
      <c r="AW160" s="184" t="e">
        <f t="shared" ref="AW160:AW191" si="136">RANK(AV160, AV$83:AV$115)</f>
        <v>#DIV/0!</v>
      </c>
      <c r="AX160" s="532"/>
    </row>
    <row r="161" spans="2:50" ht="14.25" customHeight="1">
      <c r="B161" s="501"/>
      <c r="C161" s="182">
        <v>3</v>
      </c>
      <c r="D161" s="185"/>
      <c r="E161" s="186"/>
      <c r="F161" s="182"/>
      <c r="G161" s="187" t="e">
        <f t="shared" si="126"/>
        <v>#DIV/0!</v>
      </c>
      <c r="H161" s="537"/>
      <c r="I161" s="188" t="e">
        <f t="shared" si="127"/>
        <v>#DIV/0!</v>
      </c>
      <c r="J161" s="188" t="e">
        <f t="shared" si="128"/>
        <v>#DIV/0!</v>
      </c>
      <c r="K161" s="189" t="e">
        <f t="shared" si="129"/>
        <v>#DIV/0!</v>
      </c>
      <c r="L161" s="538"/>
      <c r="M161" s="188" t="e">
        <f>RANK(K161, K$83:$K$115)</f>
        <v>#DIV/0!</v>
      </c>
      <c r="N161" s="552"/>
      <c r="O161" s="536"/>
      <c r="P161" s="190"/>
      <c r="Q161" s="190"/>
      <c r="R161" s="187" t="e">
        <f t="shared" si="119"/>
        <v>#DIV/0!</v>
      </c>
      <c r="S161" s="184" t="e">
        <f t="shared" si="130"/>
        <v>#DIV/0!</v>
      </c>
      <c r="T161" s="532"/>
      <c r="U161" s="190"/>
      <c r="V161" s="190"/>
      <c r="W161" s="187" t="e">
        <f t="shared" si="120"/>
        <v>#DIV/0!</v>
      </c>
      <c r="X161" s="184" t="e">
        <f t="shared" si="131"/>
        <v>#DIV/0!</v>
      </c>
      <c r="Y161" s="532"/>
      <c r="Z161" s="190"/>
      <c r="AA161" s="190"/>
      <c r="AB161" s="187" t="e">
        <f t="shared" si="121"/>
        <v>#DIV/0!</v>
      </c>
      <c r="AC161" s="184" t="e">
        <f t="shared" si="132"/>
        <v>#DIV/0!</v>
      </c>
      <c r="AD161" s="532"/>
      <c r="AE161" s="190"/>
      <c r="AF161" s="190"/>
      <c r="AG161" s="187" t="e">
        <f t="shared" si="122"/>
        <v>#DIV/0!</v>
      </c>
      <c r="AH161" s="184" t="e">
        <f t="shared" si="133"/>
        <v>#DIV/0!</v>
      </c>
      <c r="AI161" s="532"/>
      <c r="AJ161" s="190"/>
      <c r="AK161" s="190"/>
      <c r="AL161" s="187" t="e">
        <f t="shared" si="123"/>
        <v>#DIV/0!</v>
      </c>
      <c r="AM161" s="184" t="e">
        <f t="shared" si="134"/>
        <v>#DIV/0!</v>
      </c>
      <c r="AN161" s="532"/>
      <c r="AO161" s="190"/>
      <c r="AP161" s="190"/>
      <c r="AQ161" s="187" t="e">
        <f t="shared" si="124"/>
        <v>#DIV/0!</v>
      </c>
      <c r="AR161" s="184" t="e">
        <f t="shared" si="135"/>
        <v>#DIV/0!</v>
      </c>
      <c r="AS161" s="532"/>
      <c r="AT161" s="190"/>
      <c r="AU161" s="190"/>
      <c r="AV161" s="187" t="e">
        <f t="shared" si="125"/>
        <v>#DIV/0!</v>
      </c>
      <c r="AW161" s="184" t="e">
        <f t="shared" si="136"/>
        <v>#DIV/0!</v>
      </c>
      <c r="AX161" s="532"/>
    </row>
    <row r="162" spans="2:50" ht="14.25" customHeight="1">
      <c r="B162" s="501"/>
      <c r="C162" s="182">
        <v>4</v>
      </c>
      <c r="D162" s="185"/>
      <c r="E162" s="186"/>
      <c r="F162" s="182"/>
      <c r="G162" s="187" t="e">
        <f t="shared" si="126"/>
        <v>#DIV/0!</v>
      </c>
      <c r="H162" s="537"/>
      <c r="I162" s="188" t="e">
        <f t="shared" si="127"/>
        <v>#DIV/0!</v>
      </c>
      <c r="J162" s="188" t="e">
        <f t="shared" si="128"/>
        <v>#DIV/0!</v>
      </c>
      <c r="K162" s="189" t="e">
        <f t="shared" si="129"/>
        <v>#DIV/0!</v>
      </c>
      <c r="L162" s="538"/>
      <c r="M162" s="188" t="e">
        <f>RANK(K162, K$83:$K$115)</f>
        <v>#DIV/0!</v>
      </c>
      <c r="N162" s="552"/>
      <c r="O162" s="536"/>
      <c r="P162" s="190"/>
      <c r="Q162" s="190"/>
      <c r="R162" s="187" t="e">
        <f t="shared" si="119"/>
        <v>#DIV/0!</v>
      </c>
      <c r="S162" s="184" t="e">
        <f t="shared" si="130"/>
        <v>#DIV/0!</v>
      </c>
      <c r="T162" s="532"/>
      <c r="U162" s="190"/>
      <c r="V162" s="190"/>
      <c r="W162" s="187" t="e">
        <f t="shared" si="120"/>
        <v>#DIV/0!</v>
      </c>
      <c r="X162" s="184" t="e">
        <f t="shared" si="131"/>
        <v>#DIV/0!</v>
      </c>
      <c r="Y162" s="532"/>
      <c r="Z162" s="190"/>
      <c r="AA162" s="190"/>
      <c r="AB162" s="187" t="e">
        <f t="shared" si="121"/>
        <v>#DIV/0!</v>
      </c>
      <c r="AC162" s="184" t="e">
        <f t="shared" si="132"/>
        <v>#DIV/0!</v>
      </c>
      <c r="AD162" s="532"/>
      <c r="AE162" s="190"/>
      <c r="AF162" s="190"/>
      <c r="AG162" s="187" t="e">
        <f t="shared" si="122"/>
        <v>#DIV/0!</v>
      </c>
      <c r="AH162" s="184" t="e">
        <f t="shared" si="133"/>
        <v>#DIV/0!</v>
      </c>
      <c r="AI162" s="532"/>
      <c r="AJ162" s="190"/>
      <c r="AK162" s="190"/>
      <c r="AL162" s="187" t="e">
        <f t="shared" si="123"/>
        <v>#DIV/0!</v>
      </c>
      <c r="AM162" s="184" t="e">
        <f t="shared" si="134"/>
        <v>#DIV/0!</v>
      </c>
      <c r="AN162" s="532"/>
      <c r="AO162" s="190"/>
      <c r="AP162" s="190"/>
      <c r="AQ162" s="187" t="e">
        <f t="shared" si="124"/>
        <v>#DIV/0!</v>
      </c>
      <c r="AR162" s="184" t="e">
        <f t="shared" si="135"/>
        <v>#DIV/0!</v>
      </c>
      <c r="AS162" s="532"/>
      <c r="AT162" s="190"/>
      <c r="AU162" s="190"/>
      <c r="AV162" s="187" t="e">
        <f t="shared" si="125"/>
        <v>#DIV/0!</v>
      </c>
      <c r="AW162" s="184" t="e">
        <f t="shared" si="136"/>
        <v>#DIV/0!</v>
      </c>
      <c r="AX162" s="532"/>
    </row>
    <row r="163" spans="2:50" ht="14.25" customHeight="1">
      <c r="B163" s="501"/>
      <c r="C163" s="182">
        <v>5</v>
      </c>
      <c r="D163" s="185"/>
      <c r="E163" s="186"/>
      <c r="F163" s="182"/>
      <c r="G163" s="187" t="e">
        <f t="shared" si="126"/>
        <v>#DIV/0!</v>
      </c>
      <c r="H163" s="537"/>
      <c r="I163" s="188" t="e">
        <f t="shared" si="127"/>
        <v>#DIV/0!</v>
      </c>
      <c r="J163" s="188" t="e">
        <f t="shared" si="128"/>
        <v>#DIV/0!</v>
      </c>
      <c r="K163" s="189" t="e">
        <f t="shared" si="129"/>
        <v>#DIV/0!</v>
      </c>
      <c r="L163" s="538"/>
      <c r="M163" s="188" t="e">
        <f>RANK(K163, K$83:$K$115)</f>
        <v>#DIV/0!</v>
      </c>
      <c r="N163" s="552"/>
      <c r="O163" s="536"/>
      <c r="P163" s="190"/>
      <c r="Q163" s="190"/>
      <c r="R163" s="187" t="e">
        <f t="shared" si="119"/>
        <v>#DIV/0!</v>
      </c>
      <c r="S163" s="184" t="e">
        <f t="shared" si="130"/>
        <v>#DIV/0!</v>
      </c>
      <c r="T163" s="532"/>
      <c r="U163" s="190"/>
      <c r="V163" s="190"/>
      <c r="W163" s="187" t="e">
        <f t="shared" si="120"/>
        <v>#DIV/0!</v>
      </c>
      <c r="X163" s="184" t="e">
        <f t="shared" si="131"/>
        <v>#DIV/0!</v>
      </c>
      <c r="Y163" s="532"/>
      <c r="Z163" s="190"/>
      <c r="AA163" s="190"/>
      <c r="AB163" s="187" t="e">
        <f t="shared" si="121"/>
        <v>#DIV/0!</v>
      </c>
      <c r="AC163" s="184" t="e">
        <f t="shared" si="132"/>
        <v>#DIV/0!</v>
      </c>
      <c r="AD163" s="532"/>
      <c r="AE163" s="190"/>
      <c r="AF163" s="190"/>
      <c r="AG163" s="187" t="e">
        <f t="shared" si="122"/>
        <v>#DIV/0!</v>
      </c>
      <c r="AH163" s="184" t="e">
        <f t="shared" si="133"/>
        <v>#DIV/0!</v>
      </c>
      <c r="AI163" s="532"/>
      <c r="AJ163" s="190"/>
      <c r="AK163" s="190"/>
      <c r="AL163" s="187" t="e">
        <f t="shared" si="123"/>
        <v>#DIV/0!</v>
      </c>
      <c r="AM163" s="184" t="e">
        <f t="shared" si="134"/>
        <v>#DIV/0!</v>
      </c>
      <c r="AN163" s="532"/>
      <c r="AO163" s="190"/>
      <c r="AP163" s="190"/>
      <c r="AQ163" s="187" t="e">
        <f t="shared" si="124"/>
        <v>#DIV/0!</v>
      </c>
      <c r="AR163" s="184" t="e">
        <f t="shared" si="135"/>
        <v>#DIV/0!</v>
      </c>
      <c r="AS163" s="532"/>
      <c r="AT163" s="190"/>
      <c r="AU163" s="190"/>
      <c r="AV163" s="187" t="e">
        <f t="shared" si="125"/>
        <v>#DIV/0!</v>
      </c>
      <c r="AW163" s="184" t="e">
        <f t="shared" si="136"/>
        <v>#DIV/0!</v>
      </c>
      <c r="AX163" s="532"/>
    </row>
    <row r="164" spans="2:50" ht="14.25" customHeight="1">
      <c r="B164" s="501"/>
      <c r="C164" s="182">
        <v>6</v>
      </c>
      <c r="D164" s="185"/>
      <c r="E164" s="186"/>
      <c r="F164" s="182"/>
      <c r="G164" s="187" t="e">
        <f t="shared" si="126"/>
        <v>#DIV/0!</v>
      </c>
      <c r="H164" s="537"/>
      <c r="I164" s="188" t="e">
        <f t="shared" si="127"/>
        <v>#DIV/0!</v>
      </c>
      <c r="J164" s="188" t="e">
        <f t="shared" si="128"/>
        <v>#DIV/0!</v>
      </c>
      <c r="K164" s="189" t="e">
        <f t="shared" si="129"/>
        <v>#DIV/0!</v>
      </c>
      <c r="L164" s="538"/>
      <c r="M164" s="188" t="e">
        <f>RANK(K164, K$83:$K$115)</f>
        <v>#DIV/0!</v>
      </c>
      <c r="N164" s="552"/>
      <c r="O164" s="536"/>
      <c r="P164" s="190"/>
      <c r="Q164" s="190"/>
      <c r="R164" s="187" t="e">
        <f t="shared" si="119"/>
        <v>#DIV/0!</v>
      </c>
      <c r="S164" s="184" t="e">
        <f t="shared" si="130"/>
        <v>#DIV/0!</v>
      </c>
      <c r="T164" s="532"/>
      <c r="U164" s="190"/>
      <c r="V164" s="190"/>
      <c r="W164" s="187" t="e">
        <f t="shared" si="120"/>
        <v>#DIV/0!</v>
      </c>
      <c r="X164" s="184" t="e">
        <f t="shared" si="131"/>
        <v>#DIV/0!</v>
      </c>
      <c r="Y164" s="532"/>
      <c r="Z164" s="190"/>
      <c r="AA164" s="190"/>
      <c r="AB164" s="187" t="e">
        <f t="shared" si="121"/>
        <v>#DIV/0!</v>
      </c>
      <c r="AC164" s="184" t="e">
        <f t="shared" si="132"/>
        <v>#DIV/0!</v>
      </c>
      <c r="AD164" s="532"/>
      <c r="AE164" s="190"/>
      <c r="AF164" s="190"/>
      <c r="AG164" s="187" t="e">
        <f t="shared" si="122"/>
        <v>#DIV/0!</v>
      </c>
      <c r="AH164" s="184" t="e">
        <f t="shared" si="133"/>
        <v>#DIV/0!</v>
      </c>
      <c r="AI164" s="532"/>
      <c r="AJ164" s="190"/>
      <c r="AK164" s="190"/>
      <c r="AL164" s="187" t="e">
        <f t="shared" si="123"/>
        <v>#DIV/0!</v>
      </c>
      <c r="AM164" s="184" t="e">
        <f t="shared" si="134"/>
        <v>#DIV/0!</v>
      </c>
      <c r="AN164" s="532"/>
      <c r="AO164" s="190"/>
      <c r="AP164" s="190"/>
      <c r="AQ164" s="187" t="e">
        <f t="shared" si="124"/>
        <v>#DIV/0!</v>
      </c>
      <c r="AR164" s="184" t="e">
        <f t="shared" si="135"/>
        <v>#DIV/0!</v>
      </c>
      <c r="AS164" s="532"/>
      <c r="AT164" s="190"/>
      <c r="AU164" s="190"/>
      <c r="AV164" s="187" t="e">
        <f t="shared" si="125"/>
        <v>#DIV/0!</v>
      </c>
      <c r="AW164" s="184" t="e">
        <f t="shared" si="136"/>
        <v>#DIV/0!</v>
      </c>
      <c r="AX164" s="532"/>
    </row>
    <row r="165" spans="2:50" ht="14.25" customHeight="1">
      <c r="B165" s="501"/>
      <c r="C165" s="182">
        <v>7</v>
      </c>
      <c r="D165" s="185"/>
      <c r="E165" s="186"/>
      <c r="F165" s="182"/>
      <c r="G165" s="187" t="e">
        <f t="shared" si="126"/>
        <v>#DIV/0!</v>
      </c>
      <c r="H165" s="537"/>
      <c r="I165" s="188" t="e">
        <f t="shared" si="127"/>
        <v>#DIV/0!</v>
      </c>
      <c r="J165" s="188" t="e">
        <f t="shared" si="128"/>
        <v>#DIV/0!</v>
      </c>
      <c r="K165" s="189" t="e">
        <f t="shared" si="129"/>
        <v>#DIV/0!</v>
      </c>
      <c r="L165" s="538"/>
      <c r="M165" s="188" t="e">
        <f>RANK(K165, K$83:$K$115)</f>
        <v>#DIV/0!</v>
      </c>
      <c r="N165" s="552"/>
      <c r="O165" s="536"/>
      <c r="P165" s="190"/>
      <c r="Q165" s="190"/>
      <c r="R165" s="187" t="e">
        <f t="shared" si="119"/>
        <v>#DIV/0!</v>
      </c>
      <c r="S165" s="184" t="e">
        <f t="shared" si="130"/>
        <v>#DIV/0!</v>
      </c>
      <c r="T165" s="532"/>
      <c r="U165" s="190"/>
      <c r="V165" s="190"/>
      <c r="W165" s="187" t="e">
        <f t="shared" si="120"/>
        <v>#DIV/0!</v>
      </c>
      <c r="X165" s="184" t="e">
        <f t="shared" si="131"/>
        <v>#DIV/0!</v>
      </c>
      <c r="Y165" s="532"/>
      <c r="Z165" s="190"/>
      <c r="AA165" s="190"/>
      <c r="AB165" s="187" t="e">
        <f t="shared" si="121"/>
        <v>#DIV/0!</v>
      </c>
      <c r="AC165" s="184" t="e">
        <f t="shared" si="132"/>
        <v>#DIV/0!</v>
      </c>
      <c r="AD165" s="532"/>
      <c r="AE165" s="190"/>
      <c r="AF165" s="190"/>
      <c r="AG165" s="187" t="e">
        <f t="shared" si="122"/>
        <v>#DIV/0!</v>
      </c>
      <c r="AH165" s="184" t="e">
        <f t="shared" si="133"/>
        <v>#DIV/0!</v>
      </c>
      <c r="AI165" s="532"/>
      <c r="AJ165" s="190"/>
      <c r="AK165" s="190"/>
      <c r="AL165" s="187" t="e">
        <f t="shared" si="123"/>
        <v>#DIV/0!</v>
      </c>
      <c r="AM165" s="184" t="e">
        <f t="shared" si="134"/>
        <v>#DIV/0!</v>
      </c>
      <c r="AN165" s="532"/>
      <c r="AO165" s="190"/>
      <c r="AP165" s="190"/>
      <c r="AQ165" s="187" t="e">
        <f t="shared" si="124"/>
        <v>#DIV/0!</v>
      </c>
      <c r="AR165" s="184" t="e">
        <f t="shared" si="135"/>
        <v>#DIV/0!</v>
      </c>
      <c r="AS165" s="532"/>
      <c r="AT165" s="190"/>
      <c r="AU165" s="190"/>
      <c r="AV165" s="187" t="e">
        <f t="shared" si="125"/>
        <v>#DIV/0!</v>
      </c>
      <c r="AW165" s="184" t="e">
        <f t="shared" si="136"/>
        <v>#DIV/0!</v>
      </c>
      <c r="AX165" s="532"/>
    </row>
    <row r="166" spans="2:50" ht="14.25" customHeight="1">
      <c r="B166" s="501"/>
      <c r="C166" s="182">
        <v>8</v>
      </c>
      <c r="D166" s="185"/>
      <c r="E166" s="186"/>
      <c r="F166" s="182"/>
      <c r="G166" s="187" t="e">
        <f t="shared" si="126"/>
        <v>#DIV/0!</v>
      </c>
      <c r="H166" s="537"/>
      <c r="I166" s="188" t="e">
        <f t="shared" si="127"/>
        <v>#DIV/0!</v>
      </c>
      <c r="J166" s="188" t="e">
        <f t="shared" si="128"/>
        <v>#DIV/0!</v>
      </c>
      <c r="K166" s="189" t="e">
        <f t="shared" si="129"/>
        <v>#DIV/0!</v>
      </c>
      <c r="L166" s="538"/>
      <c r="M166" s="188" t="e">
        <f>RANK(K166, K$83:$K$115)</f>
        <v>#DIV/0!</v>
      </c>
      <c r="N166" s="552"/>
      <c r="O166" s="536"/>
      <c r="P166" s="190"/>
      <c r="Q166" s="190"/>
      <c r="R166" s="187" t="e">
        <f t="shared" si="119"/>
        <v>#DIV/0!</v>
      </c>
      <c r="S166" s="184" t="e">
        <f t="shared" si="130"/>
        <v>#DIV/0!</v>
      </c>
      <c r="T166" s="532"/>
      <c r="U166" s="190"/>
      <c r="V166" s="190"/>
      <c r="W166" s="187" t="e">
        <f t="shared" si="120"/>
        <v>#DIV/0!</v>
      </c>
      <c r="X166" s="184" t="e">
        <f t="shared" si="131"/>
        <v>#DIV/0!</v>
      </c>
      <c r="Y166" s="532"/>
      <c r="Z166" s="190"/>
      <c r="AA166" s="190"/>
      <c r="AB166" s="187" t="e">
        <f t="shared" si="121"/>
        <v>#DIV/0!</v>
      </c>
      <c r="AC166" s="184" t="e">
        <f t="shared" si="132"/>
        <v>#DIV/0!</v>
      </c>
      <c r="AD166" s="532"/>
      <c r="AE166" s="190"/>
      <c r="AF166" s="190"/>
      <c r="AG166" s="187" t="e">
        <f t="shared" si="122"/>
        <v>#DIV/0!</v>
      </c>
      <c r="AH166" s="184" t="e">
        <f t="shared" si="133"/>
        <v>#DIV/0!</v>
      </c>
      <c r="AI166" s="532"/>
      <c r="AJ166" s="190"/>
      <c r="AK166" s="190"/>
      <c r="AL166" s="187" t="e">
        <f t="shared" si="123"/>
        <v>#DIV/0!</v>
      </c>
      <c r="AM166" s="184" t="e">
        <f t="shared" si="134"/>
        <v>#DIV/0!</v>
      </c>
      <c r="AN166" s="532"/>
      <c r="AO166" s="190"/>
      <c r="AP166" s="190"/>
      <c r="AQ166" s="187" t="e">
        <f t="shared" si="124"/>
        <v>#DIV/0!</v>
      </c>
      <c r="AR166" s="184" t="e">
        <f t="shared" si="135"/>
        <v>#DIV/0!</v>
      </c>
      <c r="AS166" s="532"/>
      <c r="AT166" s="190"/>
      <c r="AU166" s="190"/>
      <c r="AV166" s="187" t="e">
        <f t="shared" si="125"/>
        <v>#DIV/0!</v>
      </c>
      <c r="AW166" s="184" t="e">
        <f t="shared" si="136"/>
        <v>#DIV/0!</v>
      </c>
      <c r="AX166" s="532"/>
    </row>
    <row r="167" spans="2:50" ht="14.25" customHeight="1">
      <c r="B167" s="501"/>
      <c r="C167" s="182">
        <v>9</v>
      </c>
      <c r="D167" s="185"/>
      <c r="E167" s="186"/>
      <c r="F167" s="182"/>
      <c r="G167" s="187" t="e">
        <f t="shared" si="126"/>
        <v>#DIV/0!</v>
      </c>
      <c r="H167" s="537"/>
      <c r="I167" s="188" t="e">
        <f t="shared" si="127"/>
        <v>#DIV/0!</v>
      </c>
      <c r="J167" s="188" t="e">
        <f t="shared" si="128"/>
        <v>#DIV/0!</v>
      </c>
      <c r="K167" s="189" t="e">
        <f t="shared" si="129"/>
        <v>#DIV/0!</v>
      </c>
      <c r="L167" s="538"/>
      <c r="M167" s="188" t="e">
        <f>RANK(K167, K$83:$K$115)</f>
        <v>#DIV/0!</v>
      </c>
      <c r="N167" s="552"/>
      <c r="O167" s="536"/>
      <c r="P167" s="190"/>
      <c r="Q167" s="190"/>
      <c r="R167" s="187" t="e">
        <f t="shared" si="119"/>
        <v>#DIV/0!</v>
      </c>
      <c r="S167" s="184" t="e">
        <f t="shared" si="130"/>
        <v>#DIV/0!</v>
      </c>
      <c r="T167" s="532"/>
      <c r="U167" s="190"/>
      <c r="V167" s="190"/>
      <c r="W167" s="187" t="e">
        <f t="shared" si="120"/>
        <v>#DIV/0!</v>
      </c>
      <c r="X167" s="184" t="e">
        <f t="shared" si="131"/>
        <v>#DIV/0!</v>
      </c>
      <c r="Y167" s="532"/>
      <c r="Z167" s="190"/>
      <c r="AA167" s="190"/>
      <c r="AB167" s="187" t="e">
        <f t="shared" si="121"/>
        <v>#DIV/0!</v>
      </c>
      <c r="AC167" s="184" t="e">
        <f t="shared" si="132"/>
        <v>#DIV/0!</v>
      </c>
      <c r="AD167" s="532"/>
      <c r="AE167" s="190"/>
      <c r="AF167" s="190"/>
      <c r="AG167" s="187" t="e">
        <f t="shared" si="122"/>
        <v>#DIV/0!</v>
      </c>
      <c r="AH167" s="184" t="e">
        <f t="shared" si="133"/>
        <v>#DIV/0!</v>
      </c>
      <c r="AI167" s="532"/>
      <c r="AJ167" s="190"/>
      <c r="AK167" s="190"/>
      <c r="AL167" s="187" t="e">
        <f t="shared" si="123"/>
        <v>#DIV/0!</v>
      </c>
      <c r="AM167" s="184" t="e">
        <f t="shared" si="134"/>
        <v>#DIV/0!</v>
      </c>
      <c r="AN167" s="532"/>
      <c r="AO167" s="190"/>
      <c r="AP167" s="190"/>
      <c r="AQ167" s="187" t="e">
        <f t="shared" si="124"/>
        <v>#DIV/0!</v>
      </c>
      <c r="AR167" s="184" t="e">
        <f t="shared" si="135"/>
        <v>#DIV/0!</v>
      </c>
      <c r="AS167" s="532"/>
      <c r="AT167" s="190"/>
      <c r="AU167" s="190"/>
      <c r="AV167" s="187" t="e">
        <f t="shared" si="125"/>
        <v>#DIV/0!</v>
      </c>
      <c r="AW167" s="184" t="e">
        <f t="shared" si="136"/>
        <v>#DIV/0!</v>
      </c>
      <c r="AX167" s="532"/>
    </row>
    <row r="168" spans="2:50" ht="14.25" customHeight="1">
      <c r="B168" s="501"/>
      <c r="C168" s="182">
        <v>10</v>
      </c>
      <c r="D168" s="185"/>
      <c r="E168" s="186"/>
      <c r="F168" s="182"/>
      <c r="G168" s="187" t="e">
        <f t="shared" si="126"/>
        <v>#DIV/0!</v>
      </c>
      <c r="H168" s="537"/>
      <c r="I168" s="188" t="e">
        <f t="shared" si="127"/>
        <v>#DIV/0!</v>
      </c>
      <c r="J168" s="188" t="e">
        <f t="shared" si="128"/>
        <v>#DIV/0!</v>
      </c>
      <c r="K168" s="189" t="e">
        <f t="shared" si="129"/>
        <v>#DIV/0!</v>
      </c>
      <c r="L168" s="538"/>
      <c r="M168" s="188" t="e">
        <f>RANK(K168, K$83:$K$115)</f>
        <v>#DIV/0!</v>
      </c>
      <c r="N168" s="552"/>
      <c r="O168" s="536"/>
      <c r="P168" s="190"/>
      <c r="Q168" s="190"/>
      <c r="R168" s="187" t="e">
        <f t="shared" si="119"/>
        <v>#DIV/0!</v>
      </c>
      <c r="S168" s="184" t="e">
        <f t="shared" si="130"/>
        <v>#DIV/0!</v>
      </c>
      <c r="T168" s="532"/>
      <c r="U168" s="190"/>
      <c r="V168" s="190"/>
      <c r="W168" s="187" t="e">
        <f t="shared" si="120"/>
        <v>#DIV/0!</v>
      </c>
      <c r="X168" s="184" t="e">
        <f t="shared" si="131"/>
        <v>#DIV/0!</v>
      </c>
      <c r="Y168" s="532"/>
      <c r="Z168" s="190"/>
      <c r="AA168" s="190"/>
      <c r="AB168" s="187" t="e">
        <f t="shared" si="121"/>
        <v>#DIV/0!</v>
      </c>
      <c r="AC168" s="184" t="e">
        <f t="shared" si="132"/>
        <v>#DIV/0!</v>
      </c>
      <c r="AD168" s="532"/>
      <c r="AE168" s="190"/>
      <c r="AF168" s="190"/>
      <c r="AG168" s="187" t="e">
        <f t="shared" si="122"/>
        <v>#DIV/0!</v>
      </c>
      <c r="AH168" s="184" t="e">
        <f t="shared" si="133"/>
        <v>#DIV/0!</v>
      </c>
      <c r="AI168" s="532"/>
      <c r="AJ168" s="190"/>
      <c r="AK168" s="190"/>
      <c r="AL168" s="187" t="e">
        <f t="shared" si="123"/>
        <v>#DIV/0!</v>
      </c>
      <c r="AM168" s="184" t="e">
        <f t="shared" si="134"/>
        <v>#DIV/0!</v>
      </c>
      <c r="AN168" s="532"/>
      <c r="AO168" s="190"/>
      <c r="AP168" s="190"/>
      <c r="AQ168" s="187" t="e">
        <f t="shared" si="124"/>
        <v>#DIV/0!</v>
      </c>
      <c r="AR168" s="184" t="e">
        <f t="shared" si="135"/>
        <v>#DIV/0!</v>
      </c>
      <c r="AS168" s="532"/>
      <c r="AT168" s="190"/>
      <c r="AU168" s="190"/>
      <c r="AV168" s="187" t="e">
        <f t="shared" si="125"/>
        <v>#DIV/0!</v>
      </c>
      <c r="AW168" s="184" t="e">
        <f t="shared" si="136"/>
        <v>#DIV/0!</v>
      </c>
      <c r="AX168" s="532"/>
    </row>
    <row r="169" spans="2:50" ht="14.25" customHeight="1">
      <c r="B169" s="501"/>
      <c r="C169" s="182">
        <v>11</v>
      </c>
      <c r="D169" s="185"/>
      <c r="E169" s="186"/>
      <c r="F169" s="182"/>
      <c r="G169" s="187" t="e">
        <f t="shared" si="126"/>
        <v>#DIV/0!</v>
      </c>
      <c r="H169" s="537"/>
      <c r="I169" s="188" t="e">
        <f t="shared" si="127"/>
        <v>#DIV/0!</v>
      </c>
      <c r="J169" s="188" t="e">
        <f t="shared" si="128"/>
        <v>#DIV/0!</v>
      </c>
      <c r="K169" s="189" t="e">
        <f t="shared" si="129"/>
        <v>#DIV/0!</v>
      </c>
      <c r="L169" s="538"/>
      <c r="M169" s="188" t="e">
        <f>RANK(K169, K$83:$K$115)</f>
        <v>#DIV/0!</v>
      </c>
      <c r="N169" s="552"/>
      <c r="O169" s="536"/>
      <c r="P169" s="184"/>
      <c r="Q169" s="184"/>
      <c r="R169" s="187" t="e">
        <f t="shared" si="119"/>
        <v>#DIV/0!</v>
      </c>
      <c r="S169" s="184" t="e">
        <f t="shared" si="130"/>
        <v>#DIV/0!</v>
      </c>
      <c r="T169" s="532"/>
      <c r="U169" s="184"/>
      <c r="V169" s="184"/>
      <c r="W169" s="187" t="e">
        <f t="shared" si="120"/>
        <v>#DIV/0!</v>
      </c>
      <c r="X169" s="184" t="e">
        <f t="shared" si="131"/>
        <v>#DIV/0!</v>
      </c>
      <c r="Y169" s="532"/>
      <c r="Z169" s="184"/>
      <c r="AA169" s="184"/>
      <c r="AB169" s="187" t="e">
        <f t="shared" si="121"/>
        <v>#DIV/0!</v>
      </c>
      <c r="AC169" s="184" t="e">
        <f t="shared" si="132"/>
        <v>#DIV/0!</v>
      </c>
      <c r="AD169" s="532"/>
      <c r="AE169" s="184"/>
      <c r="AF169" s="184"/>
      <c r="AG169" s="187" t="e">
        <f t="shared" si="122"/>
        <v>#DIV/0!</v>
      </c>
      <c r="AH169" s="184" t="e">
        <f t="shared" si="133"/>
        <v>#DIV/0!</v>
      </c>
      <c r="AI169" s="532"/>
      <c r="AJ169" s="184"/>
      <c r="AK169" s="184"/>
      <c r="AL169" s="187" t="e">
        <f t="shared" si="123"/>
        <v>#DIV/0!</v>
      </c>
      <c r="AM169" s="184" t="e">
        <f t="shared" si="134"/>
        <v>#DIV/0!</v>
      </c>
      <c r="AN169" s="532"/>
      <c r="AO169" s="184"/>
      <c r="AP169" s="184"/>
      <c r="AQ169" s="187" t="e">
        <f t="shared" si="124"/>
        <v>#DIV/0!</v>
      </c>
      <c r="AR169" s="184" t="e">
        <f t="shared" si="135"/>
        <v>#DIV/0!</v>
      </c>
      <c r="AS169" s="532"/>
      <c r="AT169" s="184"/>
      <c r="AU169" s="184"/>
      <c r="AV169" s="187" t="e">
        <f t="shared" si="125"/>
        <v>#DIV/0!</v>
      </c>
      <c r="AW169" s="184" t="e">
        <f t="shared" si="136"/>
        <v>#DIV/0!</v>
      </c>
      <c r="AX169" s="532"/>
    </row>
    <row r="170" spans="2:50" ht="14.25" customHeight="1">
      <c r="B170" s="501"/>
      <c r="C170" s="182">
        <v>12</v>
      </c>
      <c r="D170" s="185"/>
      <c r="E170" s="186"/>
      <c r="F170" s="182"/>
      <c r="G170" s="187" t="e">
        <f t="shared" si="126"/>
        <v>#DIV/0!</v>
      </c>
      <c r="H170" s="537"/>
      <c r="I170" s="188" t="e">
        <f t="shared" si="127"/>
        <v>#DIV/0!</v>
      </c>
      <c r="J170" s="188" t="e">
        <f t="shared" si="128"/>
        <v>#DIV/0!</v>
      </c>
      <c r="K170" s="189" t="e">
        <f t="shared" si="129"/>
        <v>#DIV/0!</v>
      </c>
      <c r="L170" s="538"/>
      <c r="M170" s="188" t="e">
        <f>RANK(K170, K$83:$K$115)</f>
        <v>#DIV/0!</v>
      </c>
      <c r="N170" s="552"/>
      <c r="O170" s="536"/>
      <c r="P170" s="184"/>
      <c r="Q170" s="184"/>
      <c r="R170" s="187" t="e">
        <f t="shared" si="119"/>
        <v>#DIV/0!</v>
      </c>
      <c r="S170" s="184" t="e">
        <f t="shared" si="130"/>
        <v>#DIV/0!</v>
      </c>
      <c r="T170" s="532"/>
      <c r="U170" s="184"/>
      <c r="V170" s="184"/>
      <c r="W170" s="187" t="e">
        <f t="shared" si="120"/>
        <v>#DIV/0!</v>
      </c>
      <c r="X170" s="184" t="e">
        <f t="shared" si="131"/>
        <v>#DIV/0!</v>
      </c>
      <c r="Y170" s="532"/>
      <c r="Z170" s="184"/>
      <c r="AA170" s="184"/>
      <c r="AB170" s="187" t="e">
        <f t="shared" si="121"/>
        <v>#DIV/0!</v>
      </c>
      <c r="AC170" s="184" t="e">
        <f t="shared" si="132"/>
        <v>#DIV/0!</v>
      </c>
      <c r="AD170" s="532"/>
      <c r="AE170" s="184"/>
      <c r="AF170" s="184"/>
      <c r="AG170" s="187" t="e">
        <f t="shared" si="122"/>
        <v>#DIV/0!</v>
      </c>
      <c r="AH170" s="184" t="e">
        <f t="shared" si="133"/>
        <v>#DIV/0!</v>
      </c>
      <c r="AI170" s="532"/>
      <c r="AJ170" s="184"/>
      <c r="AK170" s="184"/>
      <c r="AL170" s="187" t="e">
        <f t="shared" si="123"/>
        <v>#DIV/0!</v>
      </c>
      <c r="AM170" s="184" t="e">
        <f t="shared" si="134"/>
        <v>#DIV/0!</v>
      </c>
      <c r="AN170" s="532"/>
      <c r="AO170" s="184"/>
      <c r="AP170" s="184"/>
      <c r="AQ170" s="187" t="e">
        <f t="shared" si="124"/>
        <v>#DIV/0!</v>
      </c>
      <c r="AR170" s="184" t="e">
        <f t="shared" si="135"/>
        <v>#DIV/0!</v>
      </c>
      <c r="AS170" s="532"/>
      <c r="AT170" s="184"/>
      <c r="AU170" s="184"/>
      <c r="AV170" s="187" t="e">
        <f t="shared" si="125"/>
        <v>#DIV/0!</v>
      </c>
      <c r="AW170" s="184" t="e">
        <f t="shared" si="136"/>
        <v>#DIV/0!</v>
      </c>
      <c r="AX170" s="532"/>
    </row>
    <row r="171" spans="2:50" ht="14.25" customHeight="1">
      <c r="B171" s="501"/>
      <c r="C171" s="182">
        <v>13</v>
      </c>
      <c r="D171" s="185"/>
      <c r="E171" s="186"/>
      <c r="F171" s="182"/>
      <c r="G171" s="187" t="e">
        <f t="shared" si="126"/>
        <v>#DIV/0!</v>
      </c>
      <c r="H171" s="537"/>
      <c r="I171" s="188" t="e">
        <f t="shared" si="127"/>
        <v>#DIV/0!</v>
      </c>
      <c r="J171" s="188" t="e">
        <f t="shared" si="128"/>
        <v>#DIV/0!</v>
      </c>
      <c r="K171" s="189" t="e">
        <f t="shared" si="129"/>
        <v>#DIV/0!</v>
      </c>
      <c r="L171" s="538"/>
      <c r="M171" s="188" t="e">
        <f>RANK(K171, K$83:$K$115)</f>
        <v>#DIV/0!</v>
      </c>
      <c r="N171" s="552"/>
      <c r="O171" s="536"/>
      <c r="P171" s="184"/>
      <c r="Q171" s="184"/>
      <c r="R171" s="187" t="e">
        <f t="shared" si="119"/>
        <v>#DIV/0!</v>
      </c>
      <c r="S171" s="184" t="e">
        <f t="shared" si="130"/>
        <v>#DIV/0!</v>
      </c>
      <c r="T171" s="532"/>
      <c r="U171" s="184"/>
      <c r="V171" s="184"/>
      <c r="W171" s="187" t="e">
        <f t="shared" si="120"/>
        <v>#DIV/0!</v>
      </c>
      <c r="X171" s="184" t="e">
        <f t="shared" si="131"/>
        <v>#DIV/0!</v>
      </c>
      <c r="Y171" s="532"/>
      <c r="Z171" s="184"/>
      <c r="AA171" s="184"/>
      <c r="AB171" s="187" t="e">
        <f t="shared" si="121"/>
        <v>#DIV/0!</v>
      </c>
      <c r="AC171" s="184" t="e">
        <f t="shared" si="132"/>
        <v>#DIV/0!</v>
      </c>
      <c r="AD171" s="532"/>
      <c r="AE171" s="184"/>
      <c r="AF171" s="184"/>
      <c r="AG171" s="187" t="e">
        <f t="shared" si="122"/>
        <v>#DIV/0!</v>
      </c>
      <c r="AH171" s="184" t="e">
        <f t="shared" si="133"/>
        <v>#DIV/0!</v>
      </c>
      <c r="AI171" s="532"/>
      <c r="AJ171" s="184"/>
      <c r="AK171" s="184"/>
      <c r="AL171" s="187" t="e">
        <f t="shared" si="123"/>
        <v>#DIV/0!</v>
      </c>
      <c r="AM171" s="184" t="e">
        <f t="shared" si="134"/>
        <v>#DIV/0!</v>
      </c>
      <c r="AN171" s="532"/>
      <c r="AO171" s="184"/>
      <c r="AP171" s="184"/>
      <c r="AQ171" s="187" t="e">
        <f t="shared" si="124"/>
        <v>#DIV/0!</v>
      </c>
      <c r="AR171" s="184" t="e">
        <f t="shared" si="135"/>
        <v>#DIV/0!</v>
      </c>
      <c r="AS171" s="532"/>
      <c r="AT171" s="184"/>
      <c r="AU171" s="184"/>
      <c r="AV171" s="187" t="e">
        <f t="shared" si="125"/>
        <v>#DIV/0!</v>
      </c>
      <c r="AW171" s="184" t="e">
        <f t="shared" si="136"/>
        <v>#DIV/0!</v>
      </c>
      <c r="AX171" s="532"/>
    </row>
    <row r="172" spans="2:50" ht="14.25" customHeight="1">
      <c r="B172" s="501"/>
      <c r="C172" s="182">
        <v>14</v>
      </c>
      <c r="D172" s="185"/>
      <c r="E172" s="186"/>
      <c r="F172" s="182"/>
      <c r="G172" s="187" t="e">
        <f t="shared" si="126"/>
        <v>#DIV/0!</v>
      </c>
      <c r="H172" s="537"/>
      <c r="I172" s="188" t="e">
        <f t="shared" si="127"/>
        <v>#DIV/0!</v>
      </c>
      <c r="J172" s="188" t="e">
        <f t="shared" si="128"/>
        <v>#DIV/0!</v>
      </c>
      <c r="K172" s="189" t="e">
        <f t="shared" si="129"/>
        <v>#DIV/0!</v>
      </c>
      <c r="L172" s="538"/>
      <c r="M172" s="188" t="e">
        <f>RANK(K172, K$83:$K$115)</f>
        <v>#DIV/0!</v>
      </c>
      <c r="N172" s="552"/>
      <c r="O172" s="536"/>
      <c r="P172" s="184"/>
      <c r="Q172" s="184"/>
      <c r="R172" s="187" t="e">
        <f t="shared" si="119"/>
        <v>#DIV/0!</v>
      </c>
      <c r="S172" s="184" t="e">
        <f t="shared" si="130"/>
        <v>#DIV/0!</v>
      </c>
      <c r="T172" s="532"/>
      <c r="U172" s="184"/>
      <c r="V172" s="184"/>
      <c r="W172" s="187" t="e">
        <f t="shared" si="120"/>
        <v>#DIV/0!</v>
      </c>
      <c r="X172" s="184" t="e">
        <f t="shared" si="131"/>
        <v>#DIV/0!</v>
      </c>
      <c r="Y172" s="532"/>
      <c r="Z172" s="184"/>
      <c r="AA172" s="184"/>
      <c r="AB172" s="187" t="e">
        <f t="shared" si="121"/>
        <v>#DIV/0!</v>
      </c>
      <c r="AC172" s="184" t="e">
        <f t="shared" si="132"/>
        <v>#DIV/0!</v>
      </c>
      <c r="AD172" s="532"/>
      <c r="AE172" s="184"/>
      <c r="AF172" s="184"/>
      <c r="AG172" s="187" t="e">
        <f t="shared" si="122"/>
        <v>#DIV/0!</v>
      </c>
      <c r="AH172" s="184" t="e">
        <f t="shared" si="133"/>
        <v>#DIV/0!</v>
      </c>
      <c r="AI172" s="532"/>
      <c r="AJ172" s="184"/>
      <c r="AK172" s="184"/>
      <c r="AL172" s="187" t="e">
        <f t="shared" si="123"/>
        <v>#DIV/0!</v>
      </c>
      <c r="AM172" s="184" t="e">
        <f t="shared" si="134"/>
        <v>#DIV/0!</v>
      </c>
      <c r="AN172" s="532"/>
      <c r="AO172" s="184"/>
      <c r="AP172" s="184"/>
      <c r="AQ172" s="187" t="e">
        <f t="shared" si="124"/>
        <v>#DIV/0!</v>
      </c>
      <c r="AR172" s="184" t="e">
        <f t="shared" si="135"/>
        <v>#DIV/0!</v>
      </c>
      <c r="AS172" s="532"/>
      <c r="AT172" s="184"/>
      <c r="AU172" s="184"/>
      <c r="AV172" s="187" t="e">
        <f t="shared" si="125"/>
        <v>#DIV/0!</v>
      </c>
      <c r="AW172" s="184" t="e">
        <f t="shared" si="136"/>
        <v>#DIV/0!</v>
      </c>
      <c r="AX172" s="532"/>
    </row>
    <row r="173" spans="2:50" ht="14.25" customHeight="1">
      <c r="B173" s="501"/>
      <c r="C173" s="182">
        <v>15</v>
      </c>
      <c r="D173" s="185"/>
      <c r="E173" s="186"/>
      <c r="F173" s="182"/>
      <c r="G173" s="187" t="e">
        <f t="shared" si="126"/>
        <v>#DIV/0!</v>
      </c>
      <c r="H173" s="537"/>
      <c r="I173" s="188" t="e">
        <f t="shared" si="127"/>
        <v>#DIV/0!</v>
      </c>
      <c r="J173" s="188" t="e">
        <f t="shared" si="128"/>
        <v>#DIV/0!</v>
      </c>
      <c r="K173" s="189" t="e">
        <f t="shared" si="129"/>
        <v>#DIV/0!</v>
      </c>
      <c r="L173" s="538"/>
      <c r="M173" s="188" t="e">
        <f>RANK(K173, K$83:$K$115)</f>
        <v>#DIV/0!</v>
      </c>
      <c r="N173" s="552"/>
      <c r="O173" s="536"/>
      <c r="P173" s="184"/>
      <c r="Q173" s="184"/>
      <c r="R173" s="187" t="e">
        <f t="shared" si="119"/>
        <v>#DIV/0!</v>
      </c>
      <c r="S173" s="184" t="e">
        <f t="shared" si="130"/>
        <v>#DIV/0!</v>
      </c>
      <c r="T173" s="532"/>
      <c r="U173" s="184"/>
      <c r="V173" s="184"/>
      <c r="W173" s="187" t="e">
        <f t="shared" si="120"/>
        <v>#DIV/0!</v>
      </c>
      <c r="X173" s="184" t="e">
        <f t="shared" si="131"/>
        <v>#DIV/0!</v>
      </c>
      <c r="Y173" s="532"/>
      <c r="Z173" s="184"/>
      <c r="AA173" s="184"/>
      <c r="AB173" s="187" t="e">
        <f t="shared" si="121"/>
        <v>#DIV/0!</v>
      </c>
      <c r="AC173" s="184" t="e">
        <f t="shared" si="132"/>
        <v>#DIV/0!</v>
      </c>
      <c r="AD173" s="532"/>
      <c r="AE173" s="184"/>
      <c r="AF173" s="184"/>
      <c r="AG173" s="187" t="e">
        <f t="shared" si="122"/>
        <v>#DIV/0!</v>
      </c>
      <c r="AH173" s="184" t="e">
        <f t="shared" si="133"/>
        <v>#DIV/0!</v>
      </c>
      <c r="AI173" s="532"/>
      <c r="AJ173" s="184"/>
      <c r="AK173" s="184"/>
      <c r="AL173" s="187" t="e">
        <f t="shared" si="123"/>
        <v>#DIV/0!</v>
      </c>
      <c r="AM173" s="184" t="e">
        <f t="shared" si="134"/>
        <v>#DIV/0!</v>
      </c>
      <c r="AN173" s="532"/>
      <c r="AO173" s="184"/>
      <c r="AP173" s="184"/>
      <c r="AQ173" s="187" t="e">
        <f t="shared" si="124"/>
        <v>#DIV/0!</v>
      </c>
      <c r="AR173" s="184" t="e">
        <f t="shared" si="135"/>
        <v>#DIV/0!</v>
      </c>
      <c r="AS173" s="532"/>
      <c r="AT173" s="184"/>
      <c r="AU173" s="184"/>
      <c r="AV173" s="187" t="e">
        <f t="shared" si="125"/>
        <v>#DIV/0!</v>
      </c>
      <c r="AW173" s="184" t="e">
        <f t="shared" si="136"/>
        <v>#DIV/0!</v>
      </c>
      <c r="AX173" s="532"/>
    </row>
    <row r="174" spans="2:50" ht="14.25" customHeight="1">
      <c r="B174" s="501"/>
      <c r="C174" s="182">
        <v>16</v>
      </c>
      <c r="D174" s="185"/>
      <c r="E174" s="186"/>
      <c r="F174" s="182"/>
      <c r="G174" s="187" t="e">
        <f t="shared" si="126"/>
        <v>#DIV/0!</v>
      </c>
      <c r="H174" s="537"/>
      <c r="I174" s="188" t="e">
        <f t="shared" si="127"/>
        <v>#DIV/0!</v>
      </c>
      <c r="J174" s="188" t="e">
        <f t="shared" si="128"/>
        <v>#DIV/0!</v>
      </c>
      <c r="K174" s="189" t="e">
        <f t="shared" si="129"/>
        <v>#DIV/0!</v>
      </c>
      <c r="L174" s="538"/>
      <c r="M174" s="188" t="e">
        <f>RANK(K174, K$83:$K$115)</f>
        <v>#DIV/0!</v>
      </c>
      <c r="N174" s="552"/>
      <c r="O174" s="536"/>
      <c r="P174" s="184"/>
      <c r="Q174" s="184"/>
      <c r="R174" s="187" t="e">
        <f t="shared" si="119"/>
        <v>#DIV/0!</v>
      </c>
      <c r="S174" s="184" t="e">
        <f t="shared" si="130"/>
        <v>#DIV/0!</v>
      </c>
      <c r="T174" s="532"/>
      <c r="U174" s="184"/>
      <c r="V174" s="184"/>
      <c r="W174" s="187" t="e">
        <f t="shared" si="120"/>
        <v>#DIV/0!</v>
      </c>
      <c r="X174" s="184" t="e">
        <f t="shared" si="131"/>
        <v>#DIV/0!</v>
      </c>
      <c r="Y174" s="532"/>
      <c r="Z174" s="184"/>
      <c r="AA174" s="184"/>
      <c r="AB174" s="187" t="e">
        <f t="shared" si="121"/>
        <v>#DIV/0!</v>
      </c>
      <c r="AC174" s="184" t="e">
        <f t="shared" si="132"/>
        <v>#DIV/0!</v>
      </c>
      <c r="AD174" s="532"/>
      <c r="AE174" s="184"/>
      <c r="AF174" s="184"/>
      <c r="AG174" s="187" t="e">
        <f t="shared" si="122"/>
        <v>#DIV/0!</v>
      </c>
      <c r="AH174" s="184" t="e">
        <f t="shared" si="133"/>
        <v>#DIV/0!</v>
      </c>
      <c r="AI174" s="532"/>
      <c r="AJ174" s="184"/>
      <c r="AK174" s="184"/>
      <c r="AL174" s="187" t="e">
        <f t="shared" si="123"/>
        <v>#DIV/0!</v>
      </c>
      <c r="AM174" s="184" t="e">
        <f t="shared" si="134"/>
        <v>#DIV/0!</v>
      </c>
      <c r="AN174" s="532"/>
      <c r="AO174" s="184"/>
      <c r="AP174" s="184"/>
      <c r="AQ174" s="187" t="e">
        <f t="shared" si="124"/>
        <v>#DIV/0!</v>
      </c>
      <c r="AR174" s="184" t="e">
        <f t="shared" si="135"/>
        <v>#DIV/0!</v>
      </c>
      <c r="AS174" s="532"/>
      <c r="AT174" s="184"/>
      <c r="AU174" s="184"/>
      <c r="AV174" s="187" t="e">
        <f t="shared" si="125"/>
        <v>#DIV/0!</v>
      </c>
      <c r="AW174" s="184" t="e">
        <f t="shared" si="136"/>
        <v>#DIV/0!</v>
      </c>
      <c r="AX174" s="532"/>
    </row>
    <row r="175" spans="2:50" ht="14.25" customHeight="1">
      <c r="B175" s="501"/>
      <c r="C175" s="182">
        <v>17</v>
      </c>
      <c r="D175" s="185"/>
      <c r="E175" s="186"/>
      <c r="F175" s="182"/>
      <c r="G175" s="187" t="e">
        <f t="shared" si="126"/>
        <v>#DIV/0!</v>
      </c>
      <c r="H175" s="537"/>
      <c r="I175" s="188" t="e">
        <f t="shared" si="127"/>
        <v>#DIV/0!</v>
      </c>
      <c r="J175" s="188" t="e">
        <f t="shared" si="128"/>
        <v>#DIV/0!</v>
      </c>
      <c r="K175" s="189" t="e">
        <f t="shared" si="129"/>
        <v>#DIV/0!</v>
      </c>
      <c r="L175" s="538"/>
      <c r="M175" s="188" t="e">
        <f>RANK(K175, K$83:$K$115)</f>
        <v>#DIV/0!</v>
      </c>
      <c r="N175" s="552"/>
      <c r="O175" s="536"/>
      <c r="P175" s="184"/>
      <c r="Q175" s="184"/>
      <c r="R175" s="187" t="e">
        <f t="shared" si="119"/>
        <v>#DIV/0!</v>
      </c>
      <c r="S175" s="184" t="e">
        <f t="shared" si="130"/>
        <v>#DIV/0!</v>
      </c>
      <c r="T175" s="532"/>
      <c r="U175" s="184"/>
      <c r="V175" s="184"/>
      <c r="W175" s="187" t="e">
        <f t="shared" si="120"/>
        <v>#DIV/0!</v>
      </c>
      <c r="X175" s="184" t="e">
        <f t="shared" si="131"/>
        <v>#DIV/0!</v>
      </c>
      <c r="Y175" s="532"/>
      <c r="Z175" s="184"/>
      <c r="AA175" s="184"/>
      <c r="AB175" s="187" t="e">
        <f t="shared" si="121"/>
        <v>#DIV/0!</v>
      </c>
      <c r="AC175" s="184" t="e">
        <f t="shared" si="132"/>
        <v>#DIV/0!</v>
      </c>
      <c r="AD175" s="532"/>
      <c r="AE175" s="184"/>
      <c r="AF175" s="184"/>
      <c r="AG175" s="187" t="e">
        <f t="shared" si="122"/>
        <v>#DIV/0!</v>
      </c>
      <c r="AH175" s="184" t="e">
        <f t="shared" si="133"/>
        <v>#DIV/0!</v>
      </c>
      <c r="AI175" s="532"/>
      <c r="AJ175" s="184"/>
      <c r="AK175" s="184"/>
      <c r="AL175" s="187" t="e">
        <f t="shared" si="123"/>
        <v>#DIV/0!</v>
      </c>
      <c r="AM175" s="184" t="e">
        <f t="shared" si="134"/>
        <v>#DIV/0!</v>
      </c>
      <c r="AN175" s="532"/>
      <c r="AO175" s="184"/>
      <c r="AP175" s="184"/>
      <c r="AQ175" s="187" t="e">
        <f t="shared" si="124"/>
        <v>#DIV/0!</v>
      </c>
      <c r="AR175" s="184" t="e">
        <f t="shared" si="135"/>
        <v>#DIV/0!</v>
      </c>
      <c r="AS175" s="532"/>
      <c r="AT175" s="184"/>
      <c r="AU175" s="184"/>
      <c r="AV175" s="187" t="e">
        <f t="shared" si="125"/>
        <v>#DIV/0!</v>
      </c>
      <c r="AW175" s="184" t="e">
        <f t="shared" si="136"/>
        <v>#DIV/0!</v>
      </c>
      <c r="AX175" s="532"/>
    </row>
    <row r="176" spans="2:50" ht="14.25" customHeight="1">
      <c r="B176" s="501"/>
      <c r="C176" s="182">
        <v>18</v>
      </c>
      <c r="D176" s="185"/>
      <c r="E176" s="186"/>
      <c r="F176" s="182"/>
      <c r="G176" s="187" t="e">
        <f t="shared" si="126"/>
        <v>#DIV/0!</v>
      </c>
      <c r="H176" s="537"/>
      <c r="I176" s="188" t="e">
        <f t="shared" si="127"/>
        <v>#DIV/0!</v>
      </c>
      <c r="J176" s="188" t="e">
        <f t="shared" si="128"/>
        <v>#DIV/0!</v>
      </c>
      <c r="K176" s="189" t="e">
        <f t="shared" si="129"/>
        <v>#DIV/0!</v>
      </c>
      <c r="L176" s="538"/>
      <c r="M176" s="188" t="e">
        <f>RANK(K176, K$83:$K$115)</f>
        <v>#DIV/0!</v>
      </c>
      <c r="N176" s="552"/>
      <c r="O176" s="536"/>
      <c r="P176" s="184"/>
      <c r="Q176" s="184"/>
      <c r="R176" s="187" t="e">
        <f t="shared" si="119"/>
        <v>#DIV/0!</v>
      </c>
      <c r="S176" s="184" t="e">
        <f t="shared" si="130"/>
        <v>#DIV/0!</v>
      </c>
      <c r="T176" s="532"/>
      <c r="U176" s="184"/>
      <c r="V176" s="184"/>
      <c r="W176" s="187" t="e">
        <f t="shared" si="120"/>
        <v>#DIV/0!</v>
      </c>
      <c r="X176" s="184" t="e">
        <f t="shared" si="131"/>
        <v>#DIV/0!</v>
      </c>
      <c r="Y176" s="532"/>
      <c r="Z176" s="184"/>
      <c r="AA176" s="184"/>
      <c r="AB176" s="187" t="e">
        <f t="shared" si="121"/>
        <v>#DIV/0!</v>
      </c>
      <c r="AC176" s="184" t="e">
        <f t="shared" si="132"/>
        <v>#DIV/0!</v>
      </c>
      <c r="AD176" s="532"/>
      <c r="AE176" s="184"/>
      <c r="AF176" s="184"/>
      <c r="AG176" s="187" t="e">
        <f t="shared" si="122"/>
        <v>#DIV/0!</v>
      </c>
      <c r="AH176" s="184" t="e">
        <f t="shared" si="133"/>
        <v>#DIV/0!</v>
      </c>
      <c r="AI176" s="532"/>
      <c r="AJ176" s="184"/>
      <c r="AK176" s="184"/>
      <c r="AL176" s="187" t="e">
        <f t="shared" si="123"/>
        <v>#DIV/0!</v>
      </c>
      <c r="AM176" s="184" t="e">
        <f t="shared" si="134"/>
        <v>#DIV/0!</v>
      </c>
      <c r="AN176" s="532"/>
      <c r="AO176" s="184"/>
      <c r="AP176" s="184"/>
      <c r="AQ176" s="187" t="e">
        <f t="shared" si="124"/>
        <v>#DIV/0!</v>
      </c>
      <c r="AR176" s="184" t="e">
        <f t="shared" si="135"/>
        <v>#DIV/0!</v>
      </c>
      <c r="AS176" s="532"/>
      <c r="AT176" s="184"/>
      <c r="AU176" s="184"/>
      <c r="AV176" s="187" t="e">
        <f t="shared" si="125"/>
        <v>#DIV/0!</v>
      </c>
      <c r="AW176" s="184" t="e">
        <f t="shared" si="136"/>
        <v>#DIV/0!</v>
      </c>
      <c r="AX176" s="532"/>
    </row>
    <row r="177" spans="2:50" ht="14.25" customHeight="1">
      <c r="B177" s="501"/>
      <c r="C177" s="182">
        <v>19</v>
      </c>
      <c r="D177" s="185"/>
      <c r="E177" s="186"/>
      <c r="F177" s="182"/>
      <c r="G177" s="187" t="e">
        <f t="shared" si="126"/>
        <v>#DIV/0!</v>
      </c>
      <c r="H177" s="537"/>
      <c r="I177" s="188" t="e">
        <f t="shared" si="127"/>
        <v>#DIV/0!</v>
      </c>
      <c r="J177" s="188" t="e">
        <f t="shared" si="128"/>
        <v>#DIV/0!</v>
      </c>
      <c r="K177" s="189" t="e">
        <f t="shared" si="129"/>
        <v>#DIV/0!</v>
      </c>
      <c r="L177" s="538"/>
      <c r="M177" s="188" t="e">
        <f>RANK(K177, K$83:$K$115)</f>
        <v>#DIV/0!</v>
      </c>
      <c r="N177" s="552"/>
      <c r="O177" s="536"/>
      <c r="P177" s="184"/>
      <c r="Q177" s="184"/>
      <c r="R177" s="187" t="e">
        <f t="shared" si="119"/>
        <v>#DIV/0!</v>
      </c>
      <c r="S177" s="184" t="e">
        <f t="shared" si="130"/>
        <v>#DIV/0!</v>
      </c>
      <c r="T177" s="532"/>
      <c r="U177" s="184"/>
      <c r="V177" s="184"/>
      <c r="W177" s="187" t="e">
        <f t="shared" si="120"/>
        <v>#DIV/0!</v>
      </c>
      <c r="X177" s="184" t="e">
        <f t="shared" si="131"/>
        <v>#DIV/0!</v>
      </c>
      <c r="Y177" s="532"/>
      <c r="Z177" s="184"/>
      <c r="AA177" s="184"/>
      <c r="AB177" s="187" t="e">
        <f t="shared" si="121"/>
        <v>#DIV/0!</v>
      </c>
      <c r="AC177" s="184" t="e">
        <f t="shared" si="132"/>
        <v>#DIV/0!</v>
      </c>
      <c r="AD177" s="532"/>
      <c r="AE177" s="184"/>
      <c r="AF177" s="184"/>
      <c r="AG177" s="187" t="e">
        <f t="shared" si="122"/>
        <v>#DIV/0!</v>
      </c>
      <c r="AH177" s="184" t="e">
        <f t="shared" si="133"/>
        <v>#DIV/0!</v>
      </c>
      <c r="AI177" s="532"/>
      <c r="AJ177" s="184"/>
      <c r="AK177" s="184"/>
      <c r="AL177" s="187" t="e">
        <f t="shared" si="123"/>
        <v>#DIV/0!</v>
      </c>
      <c r="AM177" s="184" t="e">
        <f t="shared" si="134"/>
        <v>#DIV/0!</v>
      </c>
      <c r="AN177" s="532"/>
      <c r="AO177" s="184"/>
      <c r="AP177" s="184"/>
      <c r="AQ177" s="187" t="e">
        <f t="shared" si="124"/>
        <v>#DIV/0!</v>
      </c>
      <c r="AR177" s="184" t="e">
        <f t="shared" si="135"/>
        <v>#DIV/0!</v>
      </c>
      <c r="AS177" s="532"/>
      <c r="AT177" s="184"/>
      <c r="AU177" s="184"/>
      <c r="AV177" s="187" t="e">
        <f t="shared" si="125"/>
        <v>#DIV/0!</v>
      </c>
      <c r="AW177" s="184" t="e">
        <f t="shared" si="136"/>
        <v>#DIV/0!</v>
      </c>
      <c r="AX177" s="532"/>
    </row>
    <row r="178" spans="2:50" ht="14.25" customHeight="1">
      <c r="B178" s="501"/>
      <c r="C178" s="182">
        <v>20</v>
      </c>
      <c r="D178" s="185"/>
      <c r="E178" s="186"/>
      <c r="F178" s="182"/>
      <c r="G178" s="187" t="e">
        <f t="shared" si="126"/>
        <v>#DIV/0!</v>
      </c>
      <c r="H178" s="537"/>
      <c r="I178" s="188" t="e">
        <f t="shared" si="127"/>
        <v>#DIV/0!</v>
      </c>
      <c r="J178" s="188" t="e">
        <f t="shared" si="128"/>
        <v>#DIV/0!</v>
      </c>
      <c r="K178" s="189" t="e">
        <f t="shared" si="129"/>
        <v>#DIV/0!</v>
      </c>
      <c r="L178" s="538"/>
      <c r="M178" s="188" t="e">
        <f>RANK(K178, K$83:$K$115)</f>
        <v>#DIV/0!</v>
      </c>
      <c r="N178" s="552"/>
      <c r="O178" s="536"/>
      <c r="P178" s="184"/>
      <c r="Q178" s="184"/>
      <c r="R178" s="187" t="e">
        <f t="shared" si="119"/>
        <v>#DIV/0!</v>
      </c>
      <c r="S178" s="184" t="e">
        <f t="shared" si="130"/>
        <v>#DIV/0!</v>
      </c>
      <c r="T178" s="532"/>
      <c r="U178" s="184"/>
      <c r="V178" s="184"/>
      <c r="W178" s="187" t="e">
        <f t="shared" si="120"/>
        <v>#DIV/0!</v>
      </c>
      <c r="X178" s="184" t="e">
        <f t="shared" si="131"/>
        <v>#DIV/0!</v>
      </c>
      <c r="Y178" s="532"/>
      <c r="Z178" s="184"/>
      <c r="AA178" s="184"/>
      <c r="AB178" s="187" t="e">
        <f t="shared" si="121"/>
        <v>#DIV/0!</v>
      </c>
      <c r="AC178" s="184" t="e">
        <f t="shared" si="132"/>
        <v>#DIV/0!</v>
      </c>
      <c r="AD178" s="532"/>
      <c r="AE178" s="184"/>
      <c r="AF178" s="184"/>
      <c r="AG178" s="187" t="e">
        <f t="shared" si="122"/>
        <v>#DIV/0!</v>
      </c>
      <c r="AH178" s="184" t="e">
        <f t="shared" si="133"/>
        <v>#DIV/0!</v>
      </c>
      <c r="AI178" s="532"/>
      <c r="AJ178" s="184"/>
      <c r="AK178" s="184"/>
      <c r="AL178" s="187" t="e">
        <f t="shared" si="123"/>
        <v>#DIV/0!</v>
      </c>
      <c r="AM178" s="184" t="e">
        <f t="shared" si="134"/>
        <v>#DIV/0!</v>
      </c>
      <c r="AN178" s="532"/>
      <c r="AO178" s="184"/>
      <c r="AP178" s="184"/>
      <c r="AQ178" s="187" t="e">
        <f t="shared" si="124"/>
        <v>#DIV/0!</v>
      </c>
      <c r="AR178" s="184" t="e">
        <f t="shared" si="135"/>
        <v>#DIV/0!</v>
      </c>
      <c r="AS178" s="532"/>
      <c r="AT178" s="184"/>
      <c r="AU178" s="184"/>
      <c r="AV178" s="187" t="e">
        <f t="shared" si="125"/>
        <v>#DIV/0!</v>
      </c>
      <c r="AW178" s="184" t="e">
        <f t="shared" si="136"/>
        <v>#DIV/0!</v>
      </c>
      <c r="AX178" s="532"/>
    </row>
    <row r="179" spans="2:50" ht="14.25" customHeight="1">
      <c r="B179" s="501"/>
      <c r="C179" s="182">
        <v>21</v>
      </c>
      <c r="D179" s="185"/>
      <c r="E179" s="186"/>
      <c r="F179" s="182"/>
      <c r="G179" s="187" t="e">
        <f t="shared" si="126"/>
        <v>#DIV/0!</v>
      </c>
      <c r="H179" s="537"/>
      <c r="I179" s="188" t="e">
        <f t="shared" si="127"/>
        <v>#DIV/0!</v>
      </c>
      <c r="J179" s="188" t="e">
        <f t="shared" si="128"/>
        <v>#DIV/0!</v>
      </c>
      <c r="K179" s="189" t="e">
        <f t="shared" si="129"/>
        <v>#DIV/0!</v>
      </c>
      <c r="L179" s="538"/>
      <c r="M179" s="188" t="e">
        <f>RANK(K179, K$83:$K$115)</f>
        <v>#DIV/0!</v>
      </c>
      <c r="N179" s="552"/>
      <c r="O179" s="536"/>
      <c r="P179" s="184"/>
      <c r="Q179" s="184"/>
      <c r="R179" s="187" t="e">
        <f t="shared" si="119"/>
        <v>#DIV/0!</v>
      </c>
      <c r="S179" s="184" t="e">
        <f t="shared" si="130"/>
        <v>#DIV/0!</v>
      </c>
      <c r="T179" s="532"/>
      <c r="U179" s="184"/>
      <c r="V179" s="184"/>
      <c r="W179" s="187" t="e">
        <f t="shared" si="120"/>
        <v>#DIV/0!</v>
      </c>
      <c r="X179" s="184" t="e">
        <f t="shared" si="131"/>
        <v>#DIV/0!</v>
      </c>
      <c r="Y179" s="532"/>
      <c r="Z179" s="184"/>
      <c r="AA179" s="184"/>
      <c r="AB179" s="187" t="e">
        <f t="shared" si="121"/>
        <v>#DIV/0!</v>
      </c>
      <c r="AC179" s="184" t="e">
        <f t="shared" si="132"/>
        <v>#DIV/0!</v>
      </c>
      <c r="AD179" s="532"/>
      <c r="AE179" s="184"/>
      <c r="AF179" s="184"/>
      <c r="AG179" s="187" t="e">
        <f t="shared" si="122"/>
        <v>#DIV/0!</v>
      </c>
      <c r="AH179" s="184" t="e">
        <f t="shared" si="133"/>
        <v>#DIV/0!</v>
      </c>
      <c r="AI179" s="532"/>
      <c r="AJ179" s="184"/>
      <c r="AK179" s="184"/>
      <c r="AL179" s="187" t="e">
        <f t="shared" si="123"/>
        <v>#DIV/0!</v>
      </c>
      <c r="AM179" s="184" t="e">
        <f t="shared" si="134"/>
        <v>#DIV/0!</v>
      </c>
      <c r="AN179" s="532"/>
      <c r="AO179" s="184"/>
      <c r="AP179" s="184"/>
      <c r="AQ179" s="187" t="e">
        <f t="shared" si="124"/>
        <v>#DIV/0!</v>
      </c>
      <c r="AR179" s="184" t="e">
        <f t="shared" si="135"/>
        <v>#DIV/0!</v>
      </c>
      <c r="AS179" s="532"/>
      <c r="AT179" s="184"/>
      <c r="AU179" s="184"/>
      <c r="AV179" s="187" t="e">
        <f t="shared" si="125"/>
        <v>#DIV/0!</v>
      </c>
      <c r="AW179" s="184" t="e">
        <f t="shared" si="136"/>
        <v>#DIV/0!</v>
      </c>
      <c r="AX179" s="532"/>
    </row>
    <row r="180" spans="2:50" ht="14.25" customHeight="1">
      <c r="B180" s="501"/>
      <c r="C180" s="182">
        <v>22</v>
      </c>
      <c r="D180" s="185"/>
      <c r="E180" s="186"/>
      <c r="F180" s="182"/>
      <c r="G180" s="187" t="e">
        <f>F180/E180</f>
        <v>#DIV/0!</v>
      </c>
      <c r="H180" s="537"/>
      <c r="I180" s="188" t="e">
        <f t="shared" si="127"/>
        <v>#DIV/0!</v>
      </c>
      <c r="J180" s="188" t="e">
        <f t="shared" si="128"/>
        <v>#DIV/0!</v>
      </c>
      <c r="K180" s="189" t="e">
        <f t="shared" si="129"/>
        <v>#DIV/0!</v>
      </c>
      <c r="L180" s="538"/>
      <c r="M180" s="188" t="e">
        <f>RANK(K180, K$83:$K$115)</f>
        <v>#DIV/0!</v>
      </c>
      <c r="N180" s="552"/>
      <c r="O180" s="536"/>
      <c r="P180" s="184"/>
      <c r="Q180" s="184"/>
      <c r="R180" s="187" t="e">
        <f t="shared" si="119"/>
        <v>#DIV/0!</v>
      </c>
      <c r="S180" s="184" t="e">
        <f t="shared" si="130"/>
        <v>#DIV/0!</v>
      </c>
      <c r="T180" s="532"/>
      <c r="U180" s="184"/>
      <c r="V180" s="184"/>
      <c r="W180" s="187" t="e">
        <f t="shared" si="120"/>
        <v>#DIV/0!</v>
      </c>
      <c r="X180" s="184" t="e">
        <f t="shared" si="131"/>
        <v>#DIV/0!</v>
      </c>
      <c r="Y180" s="532"/>
      <c r="Z180" s="184"/>
      <c r="AA180" s="184"/>
      <c r="AB180" s="187" t="e">
        <f t="shared" si="121"/>
        <v>#DIV/0!</v>
      </c>
      <c r="AC180" s="184" t="e">
        <f t="shared" si="132"/>
        <v>#DIV/0!</v>
      </c>
      <c r="AD180" s="532"/>
      <c r="AE180" s="184"/>
      <c r="AF180" s="184"/>
      <c r="AG180" s="187" t="e">
        <f t="shared" si="122"/>
        <v>#DIV/0!</v>
      </c>
      <c r="AH180" s="184" t="e">
        <f t="shared" si="133"/>
        <v>#DIV/0!</v>
      </c>
      <c r="AI180" s="532"/>
      <c r="AJ180" s="184"/>
      <c r="AK180" s="184"/>
      <c r="AL180" s="187" t="e">
        <f t="shared" si="123"/>
        <v>#DIV/0!</v>
      </c>
      <c r="AM180" s="184" t="e">
        <f t="shared" si="134"/>
        <v>#DIV/0!</v>
      </c>
      <c r="AN180" s="532"/>
      <c r="AO180" s="184"/>
      <c r="AP180" s="184"/>
      <c r="AQ180" s="187" t="e">
        <f t="shared" si="124"/>
        <v>#DIV/0!</v>
      </c>
      <c r="AR180" s="184" t="e">
        <f t="shared" si="135"/>
        <v>#DIV/0!</v>
      </c>
      <c r="AS180" s="532"/>
      <c r="AT180" s="184"/>
      <c r="AU180" s="184"/>
      <c r="AV180" s="187" t="e">
        <f t="shared" si="125"/>
        <v>#DIV/0!</v>
      </c>
      <c r="AW180" s="184" t="e">
        <f t="shared" si="136"/>
        <v>#DIV/0!</v>
      </c>
      <c r="AX180" s="532"/>
    </row>
    <row r="181" spans="2:50" ht="14.25" customHeight="1">
      <c r="B181" s="501"/>
      <c r="C181" s="182">
        <v>23</v>
      </c>
      <c r="D181" s="185"/>
      <c r="E181" s="186"/>
      <c r="F181" s="182"/>
      <c r="G181" s="187" t="e">
        <f t="shared" ref="G181:G191" si="137">F181/E181</f>
        <v>#DIV/0!</v>
      </c>
      <c r="H181" s="537"/>
      <c r="I181" s="188" t="e">
        <f t="shared" si="127"/>
        <v>#DIV/0!</v>
      </c>
      <c r="J181" s="188" t="e">
        <f t="shared" si="128"/>
        <v>#DIV/0!</v>
      </c>
      <c r="K181" s="189" t="e">
        <f t="shared" si="129"/>
        <v>#DIV/0!</v>
      </c>
      <c r="L181" s="538"/>
      <c r="M181" s="188" t="e">
        <f>RANK(K181, K$83:$K$115)</f>
        <v>#DIV/0!</v>
      </c>
      <c r="N181" s="552"/>
      <c r="O181" s="536"/>
      <c r="P181" s="184"/>
      <c r="Q181" s="184"/>
      <c r="R181" s="187" t="e">
        <f t="shared" si="119"/>
        <v>#DIV/0!</v>
      </c>
      <c r="S181" s="184" t="e">
        <f t="shared" si="130"/>
        <v>#DIV/0!</v>
      </c>
      <c r="T181" s="532"/>
      <c r="U181" s="184"/>
      <c r="V181" s="184"/>
      <c r="W181" s="187" t="e">
        <f t="shared" si="120"/>
        <v>#DIV/0!</v>
      </c>
      <c r="X181" s="184" t="e">
        <f t="shared" si="131"/>
        <v>#DIV/0!</v>
      </c>
      <c r="Y181" s="532"/>
      <c r="Z181" s="184"/>
      <c r="AA181" s="184"/>
      <c r="AB181" s="187" t="e">
        <f t="shared" si="121"/>
        <v>#DIV/0!</v>
      </c>
      <c r="AC181" s="184" t="e">
        <f t="shared" si="132"/>
        <v>#DIV/0!</v>
      </c>
      <c r="AD181" s="532"/>
      <c r="AE181" s="184"/>
      <c r="AF181" s="184"/>
      <c r="AG181" s="187" t="e">
        <f t="shared" si="122"/>
        <v>#DIV/0!</v>
      </c>
      <c r="AH181" s="184" t="e">
        <f t="shared" si="133"/>
        <v>#DIV/0!</v>
      </c>
      <c r="AI181" s="532"/>
      <c r="AJ181" s="184"/>
      <c r="AK181" s="184"/>
      <c r="AL181" s="187" t="e">
        <f t="shared" si="123"/>
        <v>#DIV/0!</v>
      </c>
      <c r="AM181" s="184" t="e">
        <f t="shared" si="134"/>
        <v>#DIV/0!</v>
      </c>
      <c r="AN181" s="532"/>
      <c r="AO181" s="184"/>
      <c r="AP181" s="184"/>
      <c r="AQ181" s="187" t="e">
        <f t="shared" si="124"/>
        <v>#DIV/0!</v>
      </c>
      <c r="AR181" s="184" t="e">
        <f t="shared" si="135"/>
        <v>#DIV/0!</v>
      </c>
      <c r="AS181" s="532"/>
      <c r="AT181" s="184"/>
      <c r="AU181" s="184"/>
      <c r="AV181" s="187" t="e">
        <f t="shared" si="125"/>
        <v>#DIV/0!</v>
      </c>
      <c r="AW181" s="184" t="e">
        <f t="shared" si="136"/>
        <v>#DIV/0!</v>
      </c>
      <c r="AX181" s="532"/>
    </row>
    <row r="182" spans="2:50" ht="14.25" customHeight="1">
      <c r="B182" s="501"/>
      <c r="C182" s="182">
        <v>24</v>
      </c>
      <c r="D182" s="185"/>
      <c r="E182" s="186"/>
      <c r="F182" s="182"/>
      <c r="G182" s="187" t="e">
        <f t="shared" si="137"/>
        <v>#DIV/0!</v>
      </c>
      <c r="H182" s="537"/>
      <c r="I182" s="188" t="e">
        <f t="shared" si="127"/>
        <v>#DIV/0!</v>
      </c>
      <c r="J182" s="188" t="e">
        <f t="shared" si="128"/>
        <v>#DIV/0!</v>
      </c>
      <c r="K182" s="189" t="e">
        <f t="shared" si="129"/>
        <v>#DIV/0!</v>
      </c>
      <c r="L182" s="538"/>
      <c r="M182" s="188" t="e">
        <f>RANK(K182, K$83:$K$115)</f>
        <v>#DIV/0!</v>
      </c>
      <c r="N182" s="552"/>
      <c r="O182" s="536"/>
      <c r="P182" s="184"/>
      <c r="Q182" s="184"/>
      <c r="R182" s="187" t="e">
        <f t="shared" si="119"/>
        <v>#DIV/0!</v>
      </c>
      <c r="S182" s="184" t="e">
        <f t="shared" si="130"/>
        <v>#DIV/0!</v>
      </c>
      <c r="T182" s="532"/>
      <c r="U182" s="184"/>
      <c r="V182" s="184"/>
      <c r="W182" s="187" t="e">
        <f t="shared" si="120"/>
        <v>#DIV/0!</v>
      </c>
      <c r="X182" s="184" t="e">
        <f t="shared" si="131"/>
        <v>#DIV/0!</v>
      </c>
      <c r="Y182" s="532"/>
      <c r="Z182" s="184"/>
      <c r="AA182" s="184"/>
      <c r="AB182" s="187" t="e">
        <f t="shared" si="121"/>
        <v>#DIV/0!</v>
      </c>
      <c r="AC182" s="184" t="e">
        <f t="shared" si="132"/>
        <v>#DIV/0!</v>
      </c>
      <c r="AD182" s="532"/>
      <c r="AE182" s="184"/>
      <c r="AF182" s="184"/>
      <c r="AG182" s="187" t="e">
        <f t="shared" si="122"/>
        <v>#DIV/0!</v>
      </c>
      <c r="AH182" s="184" t="e">
        <f t="shared" si="133"/>
        <v>#DIV/0!</v>
      </c>
      <c r="AI182" s="532"/>
      <c r="AJ182" s="184"/>
      <c r="AK182" s="184"/>
      <c r="AL182" s="187" t="e">
        <f t="shared" si="123"/>
        <v>#DIV/0!</v>
      </c>
      <c r="AM182" s="184" t="e">
        <f t="shared" si="134"/>
        <v>#DIV/0!</v>
      </c>
      <c r="AN182" s="532"/>
      <c r="AO182" s="184"/>
      <c r="AP182" s="184"/>
      <c r="AQ182" s="187" t="e">
        <f t="shared" si="124"/>
        <v>#DIV/0!</v>
      </c>
      <c r="AR182" s="184" t="e">
        <f t="shared" si="135"/>
        <v>#DIV/0!</v>
      </c>
      <c r="AS182" s="532"/>
      <c r="AT182" s="184"/>
      <c r="AU182" s="184"/>
      <c r="AV182" s="187" t="e">
        <f t="shared" si="125"/>
        <v>#DIV/0!</v>
      </c>
      <c r="AW182" s="184" t="e">
        <f t="shared" si="136"/>
        <v>#DIV/0!</v>
      </c>
      <c r="AX182" s="532"/>
    </row>
    <row r="183" spans="2:50" ht="14.25" customHeight="1">
      <c r="B183" s="501"/>
      <c r="C183" s="182">
        <v>25</v>
      </c>
      <c r="D183" s="185"/>
      <c r="E183" s="186"/>
      <c r="F183" s="182"/>
      <c r="G183" s="187" t="e">
        <f t="shared" si="137"/>
        <v>#DIV/0!</v>
      </c>
      <c r="H183" s="537"/>
      <c r="I183" s="188" t="e">
        <f t="shared" si="127"/>
        <v>#DIV/0!</v>
      </c>
      <c r="J183" s="188" t="e">
        <f t="shared" si="128"/>
        <v>#DIV/0!</v>
      </c>
      <c r="K183" s="189" t="e">
        <f t="shared" si="129"/>
        <v>#DIV/0!</v>
      </c>
      <c r="L183" s="538"/>
      <c r="M183" s="188" t="e">
        <f>RANK(K183, K$83:$K$115)</f>
        <v>#DIV/0!</v>
      </c>
      <c r="N183" s="552"/>
      <c r="O183" s="536"/>
      <c r="P183" s="184"/>
      <c r="Q183" s="184"/>
      <c r="R183" s="187" t="e">
        <f t="shared" si="119"/>
        <v>#DIV/0!</v>
      </c>
      <c r="S183" s="184" t="e">
        <f t="shared" si="130"/>
        <v>#DIV/0!</v>
      </c>
      <c r="T183" s="532"/>
      <c r="U183" s="184"/>
      <c r="V183" s="184"/>
      <c r="W183" s="187" t="e">
        <f t="shared" si="120"/>
        <v>#DIV/0!</v>
      </c>
      <c r="X183" s="184" t="e">
        <f t="shared" si="131"/>
        <v>#DIV/0!</v>
      </c>
      <c r="Y183" s="532"/>
      <c r="Z183" s="184"/>
      <c r="AA183" s="184"/>
      <c r="AB183" s="187" t="e">
        <f t="shared" si="121"/>
        <v>#DIV/0!</v>
      </c>
      <c r="AC183" s="184" t="e">
        <f t="shared" si="132"/>
        <v>#DIV/0!</v>
      </c>
      <c r="AD183" s="532"/>
      <c r="AE183" s="184"/>
      <c r="AF183" s="184"/>
      <c r="AG183" s="187" t="e">
        <f t="shared" si="122"/>
        <v>#DIV/0!</v>
      </c>
      <c r="AH183" s="184" t="e">
        <f t="shared" si="133"/>
        <v>#DIV/0!</v>
      </c>
      <c r="AI183" s="532"/>
      <c r="AJ183" s="184"/>
      <c r="AK183" s="184"/>
      <c r="AL183" s="187" t="e">
        <f t="shared" si="123"/>
        <v>#DIV/0!</v>
      </c>
      <c r="AM183" s="184" t="e">
        <f t="shared" si="134"/>
        <v>#DIV/0!</v>
      </c>
      <c r="AN183" s="532"/>
      <c r="AO183" s="184"/>
      <c r="AP183" s="184"/>
      <c r="AQ183" s="187" t="e">
        <f t="shared" si="124"/>
        <v>#DIV/0!</v>
      </c>
      <c r="AR183" s="184" t="e">
        <f t="shared" si="135"/>
        <v>#DIV/0!</v>
      </c>
      <c r="AS183" s="532"/>
      <c r="AT183" s="184"/>
      <c r="AU183" s="184"/>
      <c r="AV183" s="187" t="e">
        <f t="shared" si="125"/>
        <v>#DIV/0!</v>
      </c>
      <c r="AW183" s="184" t="e">
        <f t="shared" si="136"/>
        <v>#DIV/0!</v>
      </c>
      <c r="AX183" s="532"/>
    </row>
    <row r="184" spans="2:50" ht="14.25" customHeight="1">
      <c r="B184" s="501"/>
      <c r="C184" s="182">
        <v>26</v>
      </c>
      <c r="D184" s="185"/>
      <c r="E184" s="186"/>
      <c r="F184" s="182"/>
      <c r="G184" s="187" t="e">
        <f t="shared" si="137"/>
        <v>#DIV/0!</v>
      </c>
      <c r="H184" s="537"/>
      <c r="I184" s="188" t="e">
        <f t="shared" si="127"/>
        <v>#DIV/0!</v>
      </c>
      <c r="J184" s="188" t="e">
        <f t="shared" si="128"/>
        <v>#DIV/0!</v>
      </c>
      <c r="K184" s="189" t="e">
        <f t="shared" si="129"/>
        <v>#DIV/0!</v>
      </c>
      <c r="L184" s="538"/>
      <c r="M184" s="188" t="e">
        <f>RANK(K184, K$83:$K$115)</f>
        <v>#DIV/0!</v>
      </c>
      <c r="N184" s="552"/>
      <c r="O184" s="536"/>
      <c r="P184" s="184"/>
      <c r="Q184" s="184"/>
      <c r="R184" s="187" t="e">
        <f t="shared" si="119"/>
        <v>#DIV/0!</v>
      </c>
      <c r="S184" s="184" t="e">
        <f t="shared" si="130"/>
        <v>#DIV/0!</v>
      </c>
      <c r="T184" s="532"/>
      <c r="U184" s="184"/>
      <c r="V184" s="184"/>
      <c r="W184" s="187" t="e">
        <f t="shared" si="120"/>
        <v>#DIV/0!</v>
      </c>
      <c r="X184" s="184" t="e">
        <f t="shared" si="131"/>
        <v>#DIV/0!</v>
      </c>
      <c r="Y184" s="532"/>
      <c r="Z184" s="184"/>
      <c r="AA184" s="184"/>
      <c r="AB184" s="187" t="e">
        <f t="shared" si="121"/>
        <v>#DIV/0!</v>
      </c>
      <c r="AC184" s="184" t="e">
        <f t="shared" si="132"/>
        <v>#DIV/0!</v>
      </c>
      <c r="AD184" s="532"/>
      <c r="AE184" s="184"/>
      <c r="AF184" s="184"/>
      <c r="AG184" s="187" t="e">
        <f t="shared" si="122"/>
        <v>#DIV/0!</v>
      </c>
      <c r="AH184" s="184" t="e">
        <f t="shared" si="133"/>
        <v>#DIV/0!</v>
      </c>
      <c r="AI184" s="532"/>
      <c r="AJ184" s="184"/>
      <c r="AK184" s="184"/>
      <c r="AL184" s="187" t="e">
        <f t="shared" si="123"/>
        <v>#DIV/0!</v>
      </c>
      <c r="AM184" s="184" t="e">
        <f t="shared" si="134"/>
        <v>#DIV/0!</v>
      </c>
      <c r="AN184" s="532"/>
      <c r="AO184" s="184"/>
      <c r="AP184" s="184"/>
      <c r="AQ184" s="187" t="e">
        <f t="shared" si="124"/>
        <v>#DIV/0!</v>
      </c>
      <c r="AR184" s="184" t="e">
        <f t="shared" si="135"/>
        <v>#DIV/0!</v>
      </c>
      <c r="AS184" s="532"/>
      <c r="AT184" s="184"/>
      <c r="AU184" s="184"/>
      <c r="AV184" s="187" t="e">
        <f t="shared" si="125"/>
        <v>#DIV/0!</v>
      </c>
      <c r="AW184" s="184" t="e">
        <f t="shared" si="136"/>
        <v>#DIV/0!</v>
      </c>
      <c r="AX184" s="532"/>
    </row>
    <row r="185" spans="2:50" ht="14.25" customHeight="1">
      <c r="B185" s="501"/>
      <c r="C185" s="182">
        <v>27</v>
      </c>
      <c r="D185" s="185"/>
      <c r="E185" s="186"/>
      <c r="F185" s="182"/>
      <c r="G185" s="187" t="e">
        <f t="shared" si="137"/>
        <v>#DIV/0!</v>
      </c>
      <c r="H185" s="537"/>
      <c r="I185" s="188" t="e">
        <f t="shared" si="127"/>
        <v>#DIV/0!</v>
      </c>
      <c r="J185" s="188" t="e">
        <f t="shared" si="128"/>
        <v>#DIV/0!</v>
      </c>
      <c r="K185" s="189" t="e">
        <f t="shared" si="129"/>
        <v>#DIV/0!</v>
      </c>
      <c r="L185" s="538"/>
      <c r="M185" s="188" t="e">
        <f>RANK(K185, K$83:$K$115)</f>
        <v>#DIV/0!</v>
      </c>
      <c r="N185" s="552"/>
      <c r="O185" s="536"/>
      <c r="P185" s="184"/>
      <c r="Q185" s="184"/>
      <c r="R185" s="187" t="e">
        <f t="shared" si="119"/>
        <v>#DIV/0!</v>
      </c>
      <c r="S185" s="184" t="e">
        <f t="shared" si="130"/>
        <v>#DIV/0!</v>
      </c>
      <c r="T185" s="532"/>
      <c r="U185" s="184"/>
      <c r="V185" s="184"/>
      <c r="W185" s="187" t="e">
        <f t="shared" si="120"/>
        <v>#DIV/0!</v>
      </c>
      <c r="X185" s="184" t="e">
        <f t="shared" si="131"/>
        <v>#DIV/0!</v>
      </c>
      <c r="Y185" s="532"/>
      <c r="Z185" s="184"/>
      <c r="AA185" s="184"/>
      <c r="AB185" s="187" t="e">
        <f t="shared" si="121"/>
        <v>#DIV/0!</v>
      </c>
      <c r="AC185" s="184" t="e">
        <f t="shared" si="132"/>
        <v>#DIV/0!</v>
      </c>
      <c r="AD185" s="532"/>
      <c r="AE185" s="184"/>
      <c r="AF185" s="184"/>
      <c r="AG185" s="187" t="e">
        <f t="shared" si="122"/>
        <v>#DIV/0!</v>
      </c>
      <c r="AH185" s="184" t="e">
        <f t="shared" si="133"/>
        <v>#DIV/0!</v>
      </c>
      <c r="AI185" s="532"/>
      <c r="AJ185" s="184"/>
      <c r="AK185" s="184"/>
      <c r="AL185" s="187" t="e">
        <f t="shared" si="123"/>
        <v>#DIV/0!</v>
      </c>
      <c r="AM185" s="184" t="e">
        <f t="shared" si="134"/>
        <v>#DIV/0!</v>
      </c>
      <c r="AN185" s="532"/>
      <c r="AO185" s="184"/>
      <c r="AP185" s="184"/>
      <c r="AQ185" s="187" t="e">
        <f t="shared" si="124"/>
        <v>#DIV/0!</v>
      </c>
      <c r="AR185" s="184" t="e">
        <f t="shared" si="135"/>
        <v>#DIV/0!</v>
      </c>
      <c r="AS185" s="532"/>
      <c r="AT185" s="184"/>
      <c r="AU185" s="184"/>
      <c r="AV185" s="187" t="e">
        <f t="shared" si="125"/>
        <v>#DIV/0!</v>
      </c>
      <c r="AW185" s="184" t="e">
        <f t="shared" si="136"/>
        <v>#DIV/0!</v>
      </c>
      <c r="AX185" s="532"/>
    </row>
    <row r="186" spans="2:50" ht="14.25" customHeight="1">
      <c r="B186" s="501"/>
      <c r="C186" s="182">
        <v>28</v>
      </c>
      <c r="D186" s="185"/>
      <c r="E186" s="186"/>
      <c r="F186" s="182"/>
      <c r="G186" s="187" t="e">
        <f t="shared" si="137"/>
        <v>#DIV/0!</v>
      </c>
      <c r="H186" s="537"/>
      <c r="I186" s="188" t="e">
        <f t="shared" si="127"/>
        <v>#DIV/0!</v>
      </c>
      <c r="J186" s="188" t="e">
        <f t="shared" si="128"/>
        <v>#DIV/0!</v>
      </c>
      <c r="K186" s="189" t="e">
        <f t="shared" si="129"/>
        <v>#DIV/0!</v>
      </c>
      <c r="L186" s="538"/>
      <c r="M186" s="188" t="e">
        <f>RANK(K186, K$83:$K$115)</f>
        <v>#DIV/0!</v>
      </c>
      <c r="N186" s="552"/>
      <c r="O186" s="536"/>
      <c r="P186" s="184"/>
      <c r="Q186" s="184"/>
      <c r="R186" s="187" t="e">
        <f t="shared" si="119"/>
        <v>#DIV/0!</v>
      </c>
      <c r="S186" s="184" t="e">
        <f t="shared" si="130"/>
        <v>#DIV/0!</v>
      </c>
      <c r="T186" s="532"/>
      <c r="U186" s="184"/>
      <c r="V186" s="184"/>
      <c r="W186" s="187" t="e">
        <f t="shared" si="120"/>
        <v>#DIV/0!</v>
      </c>
      <c r="X186" s="184" t="e">
        <f t="shared" si="131"/>
        <v>#DIV/0!</v>
      </c>
      <c r="Y186" s="532"/>
      <c r="Z186" s="184"/>
      <c r="AA186" s="184"/>
      <c r="AB186" s="187" t="e">
        <f t="shared" si="121"/>
        <v>#DIV/0!</v>
      </c>
      <c r="AC186" s="184" t="e">
        <f t="shared" si="132"/>
        <v>#DIV/0!</v>
      </c>
      <c r="AD186" s="532"/>
      <c r="AE186" s="184"/>
      <c r="AF186" s="184"/>
      <c r="AG186" s="187" t="e">
        <f t="shared" si="122"/>
        <v>#DIV/0!</v>
      </c>
      <c r="AH186" s="184" t="e">
        <f t="shared" si="133"/>
        <v>#DIV/0!</v>
      </c>
      <c r="AI186" s="532"/>
      <c r="AJ186" s="184"/>
      <c r="AK186" s="184"/>
      <c r="AL186" s="187" t="e">
        <f t="shared" si="123"/>
        <v>#DIV/0!</v>
      </c>
      <c r="AM186" s="184" t="e">
        <f t="shared" si="134"/>
        <v>#DIV/0!</v>
      </c>
      <c r="AN186" s="532"/>
      <c r="AO186" s="184"/>
      <c r="AP186" s="184"/>
      <c r="AQ186" s="187" t="e">
        <f t="shared" si="124"/>
        <v>#DIV/0!</v>
      </c>
      <c r="AR186" s="184" t="e">
        <f t="shared" si="135"/>
        <v>#DIV/0!</v>
      </c>
      <c r="AS186" s="532"/>
      <c r="AT186" s="184"/>
      <c r="AU186" s="184"/>
      <c r="AV186" s="187" t="e">
        <f t="shared" si="125"/>
        <v>#DIV/0!</v>
      </c>
      <c r="AW186" s="184" t="e">
        <f t="shared" si="136"/>
        <v>#DIV/0!</v>
      </c>
      <c r="AX186" s="532"/>
    </row>
    <row r="187" spans="2:50" ht="14.25" customHeight="1">
      <c r="B187" s="501"/>
      <c r="C187" s="182">
        <v>29</v>
      </c>
      <c r="D187" s="185"/>
      <c r="E187" s="186"/>
      <c r="F187" s="182"/>
      <c r="G187" s="187" t="e">
        <f t="shared" si="137"/>
        <v>#DIV/0!</v>
      </c>
      <c r="H187" s="537"/>
      <c r="I187" s="188" t="e">
        <f t="shared" si="127"/>
        <v>#DIV/0!</v>
      </c>
      <c r="J187" s="188" t="e">
        <f t="shared" si="128"/>
        <v>#DIV/0!</v>
      </c>
      <c r="K187" s="189" t="e">
        <f t="shared" si="129"/>
        <v>#DIV/0!</v>
      </c>
      <c r="L187" s="538"/>
      <c r="M187" s="188" t="e">
        <f>RANK(K187, K$83:$K$115)</f>
        <v>#DIV/0!</v>
      </c>
      <c r="N187" s="552"/>
      <c r="O187" s="536"/>
      <c r="P187" s="184"/>
      <c r="Q187" s="184"/>
      <c r="R187" s="187" t="e">
        <f t="shared" si="119"/>
        <v>#DIV/0!</v>
      </c>
      <c r="S187" s="184" t="e">
        <f t="shared" si="130"/>
        <v>#DIV/0!</v>
      </c>
      <c r="T187" s="532"/>
      <c r="U187" s="184"/>
      <c r="V187" s="184"/>
      <c r="W187" s="187" t="e">
        <f t="shared" si="120"/>
        <v>#DIV/0!</v>
      </c>
      <c r="X187" s="184" t="e">
        <f t="shared" si="131"/>
        <v>#DIV/0!</v>
      </c>
      <c r="Y187" s="532"/>
      <c r="Z187" s="184"/>
      <c r="AA187" s="184"/>
      <c r="AB187" s="187" t="e">
        <f t="shared" si="121"/>
        <v>#DIV/0!</v>
      </c>
      <c r="AC187" s="184" t="e">
        <f t="shared" si="132"/>
        <v>#DIV/0!</v>
      </c>
      <c r="AD187" s="532"/>
      <c r="AE187" s="184"/>
      <c r="AF187" s="184"/>
      <c r="AG187" s="187" t="e">
        <f t="shared" si="122"/>
        <v>#DIV/0!</v>
      </c>
      <c r="AH187" s="184" t="e">
        <f t="shared" si="133"/>
        <v>#DIV/0!</v>
      </c>
      <c r="AI187" s="532"/>
      <c r="AJ187" s="184"/>
      <c r="AK187" s="184"/>
      <c r="AL187" s="187" t="e">
        <f t="shared" si="123"/>
        <v>#DIV/0!</v>
      </c>
      <c r="AM187" s="184" t="e">
        <f t="shared" si="134"/>
        <v>#DIV/0!</v>
      </c>
      <c r="AN187" s="532"/>
      <c r="AO187" s="184"/>
      <c r="AP187" s="184"/>
      <c r="AQ187" s="187" t="e">
        <f t="shared" si="124"/>
        <v>#DIV/0!</v>
      </c>
      <c r="AR187" s="184" t="e">
        <f t="shared" si="135"/>
        <v>#DIV/0!</v>
      </c>
      <c r="AS187" s="532"/>
      <c r="AT187" s="184"/>
      <c r="AU187" s="184"/>
      <c r="AV187" s="187" t="e">
        <f t="shared" si="125"/>
        <v>#DIV/0!</v>
      </c>
      <c r="AW187" s="184" t="e">
        <f t="shared" si="136"/>
        <v>#DIV/0!</v>
      </c>
      <c r="AX187" s="532"/>
    </row>
    <row r="188" spans="2:50" ht="14.25" customHeight="1">
      <c r="B188" s="501"/>
      <c r="C188" s="182">
        <v>30</v>
      </c>
      <c r="D188" s="185"/>
      <c r="E188" s="186"/>
      <c r="F188" s="182"/>
      <c r="G188" s="187" t="e">
        <f t="shared" si="137"/>
        <v>#DIV/0!</v>
      </c>
      <c r="H188" s="537"/>
      <c r="I188" s="188" t="e">
        <f t="shared" si="127"/>
        <v>#DIV/0!</v>
      </c>
      <c r="J188" s="188" t="e">
        <f t="shared" si="128"/>
        <v>#DIV/0!</v>
      </c>
      <c r="K188" s="189" t="e">
        <f t="shared" si="129"/>
        <v>#DIV/0!</v>
      </c>
      <c r="L188" s="538"/>
      <c r="M188" s="188" t="e">
        <f>RANK(K188, K$83:$K$115)</f>
        <v>#DIV/0!</v>
      </c>
      <c r="N188" s="552"/>
      <c r="O188" s="536"/>
      <c r="P188" s="184"/>
      <c r="Q188" s="184"/>
      <c r="R188" s="187" t="e">
        <f t="shared" si="119"/>
        <v>#DIV/0!</v>
      </c>
      <c r="S188" s="184" t="e">
        <f t="shared" si="130"/>
        <v>#DIV/0!</v>
      </c>
      <c r="T188" s="532"/>
      <c r="U188" s="184"/>
      <c r="V188" s="184"/>
      <c r="W188" s="187" t="e">
        <f t="shared" si="120"/>
        <v>#DIV/0!</v>
      </c>
      <c r="X188" s="184" t="e">
        <f t="shared" si="131"/>
        <v>#DIV/0!</v>
      </c>
      <c r="Y188" s="532"/>
      <c r="Z188" s="184"/>
      <c r="AA188" s="184"/>
      <c r="AB188" s="187" t="e">
        <f t="shared" si="121"/>
        <v>#DIV/0!</v>
      </c>
      <c r="AC188" s="184" t="e">
        <f t="shared" si="132"/>
        <v>#DIV/0!</v>
      </c>
      <c r="AD188" s="532"/>
      <c r="AE188" s="184"/>
      <c r="AF188" s="184"/>
      <c r="AG188" s="187" t="e">
        <f t="shared" si="122"/>
        <v>#DIV/0!</v>
      </c>
      <c r="AH188" s="184" t="e">
        <f t="shared" si="133"/>
        <v>#DIV/0!</v>
      </c>
      <c r="AI188" s="532"/>
      <c r="AJ188" s="184"/>
      <c r="AK188" s="184"/>
      <c r="AL188" s="187" t="e">
        <f t="shared" si="123"/>
        <v>#DIV/0!</v>
      </c>
      <c r="AM188" s="184" t="e">
        <f t="shared" si="134"/>
        <v>#DIV/0!</v>
      </c>
      <c r="AN188" s="532"/>
      <c r="AO188" s="184"/>
      <c r="AP188" s="184"/>
      <c r="AQ188" s="187" t="e">
        <f t="shared" si="124"/>
        <v>#DIV/0!</v>
      </c>
      <c r="AR188" s="184" t="e">
        <f t="shared" si="135"/>
        <v>#DIV/0!</v>
      </c>
      <c r="AS188" s="532"/>
      <c r="AT188" s="184"/>
      <c r="AU188" s="184"/>
      <c r="AV188" s="187" t="e">
        <f t="shared" si="125"/>
        <v>#DIV/0!</v>
      </c>
      <c r="AW188" s="184" t="e">
        <f t="shared" si="136"/>
        <v>#DIV/0!</v>
      </c>
      <c r="AX188" s="532"/>
    </row>
    <row r="189" spans="2:50" ht="14.25" customHeight="1">
      <c r="B189" s="501"/>
      <c r="C189" s="182">
        <v>31</v>
      </c>
      <c r="D189" s="185"/>
      <c r="E189" s="182"/>
      <c r="F189" s="182"/>
      <c r="G189" s="187" t="e">
        <f t="shared" si="137"/>
        <v>#DIV/0!</v>
      </c>
      <c r="H189" s="537"/>
      <c r="I189" s="188" t="e">
        <f t="shared" si="127"/>
        <v>#DIV/0!</v>
      </c>
      <c r="J189" s="188" t="e">
        <f t="shared" si="128"/>
        <v>#DIV/0!</v>
      </c>
      <c r="K189" s="189" t="e">
        <f t="shared" si="129"/>
        <v>#DIV/0!</v>
      </c>
      <c r="L189" s="538"/>
      <c r="M189" s="188" t="e">
        <f>RANK(K189, K$83:$K$115)</f>
        <v>#DIV/0!</v>
      </c>
      <c r="N189" s="552"/>
      <c r="O189" s="536"/>
      <c r="P189" s="184"/>
      <c r="Q189" s="184"/>
      <c r="R189" s="187" t="e">
        <f t="shared" si="119"/>
        <v>#DIV/0!</v>
      </c>
      <c r="S189" s="184" t="e">
        <f t="shared" si="130"/>
        <v>#DIV/0!</v>
      </c>
      <c r="T189" s="532"/>
      <c r="U189" s="184"/>
      <c r="V189" s="184"/>
      <c r="W189" s="187" t="e">
        <f t="shared" si="120"/>
        <v>#DIV/0!</v>
      </c>
      <c r="X189" s="184" t="e">
        <f t="shared" si="131"/>
        <v>#DIV/0!</v>
      </c>
      <c r="Y189" s="532"/>
      <c r="Z189" s="184"/>
      <c r="AA189" s="184"/>
      <c r="AB189" s="187" t="e">
        <f t="shared" si="121"/>
        <v>#DIV/0!</v>
      </c>
      <c r="AC189" s="184" t="e">
        <f t="shared" si="132"/>
        <v>#DIV/0!</v>
      </c>
      <c r="AD189" s="532"/>
      <c r="AE189" s="184"/>
      <c r="AF189" s="184"/>
      <c r="AG189" s="187" t="e">
        <f t="shared" si="122"/>
        <v>#DIV/0!</v>
      </c>
      <c r="AH189" s="184" t="e">
        <f t="shared" si="133"/>
        <v>#DIV/0!</v>
      </c>
      <c r="AI189" s="532"/>
      <c r="AJ189" s="184"/>
      <c r="AK189" s="184"/>
      <c r="AL189" s="187" t="e">
        <f t="shared" si="123"/>
        <v>#DIV/0!</v>
      </c>
      <c r="AM189" s="184" t="e">
        <f t="shared" si="134"/>
        <v>#DIV/0!</v>
      </c>
      <c r="AN189" s="532"/>
      <c r="AO189" s="184"/>
      <c r="AP189" s="184"/>
      <c r="AQ189" s="187" t="e">
        <f t="shared" si="124"/>
        <v>#DIV/0!</v>
      </c>
      <c r="AR189" s="184" t="e">
        <f t="shared" si="135"/>
        <v>#DIV/0!</v>
      </c>
      <c r="AS189" s="532"/>
      <c r="AT189" s="184"/>
      <c r="AU189" s="184"/>
      <c r="AV189" s="187" t="e">
        <f t="shared" si="125"/>
        <v>#DIV/0!</v>
      </c>
      <c r="AW189" s="184" t="e">
        <f t="shared" si="136"/>
        <v>#DIV/0!</v>
      </c>
      <c r="AX189" s="532"/>
    </row>
    <row r="190" spans="2:50" ht="14.25" customHeight="1">
      <c r="B190" s="501"/>
      <c r="C190" s="182">
        <v>32</v>
      </c>
      <c r="D190" s="185"/>
      <c r="E190" s="182"/>
      <c r="F190" s="182"/>
      <c r="G190" s="187" t="e">
        <f t="shared" si="137"/>
        <v>#DIV/0!</v>
      </c>
      <c r="H190" s="537"/>
      <c r="I190" s="188" t="e">
        <f t="shared" si="127"/>
        <v>#DIV/0!</v>
      </c>
      <c r="J190" s="188" t="e">
        <f t="shared" si="128"/>
        <v>#DIV/0!</v>
      </c>
      <c r="K190" s="189" t="e">
        <f t="shared" si="129"/>
        <v>#DIV/0!</v>
      </c>
      <c r="L190" s="538"/>
      <c r="M190" s="188" t="e">
        <f>RANK(K190, K$83:$K$115)</f>
        <v>#DIV/0!</v>
      </c>
      <c r="N190" s="552"/>
      <c r="O190" s="536"/>
      <c r="P190" s="184"/>
      <c r="Q190" s="184"/>
      <c r="R190" s="187" t="e">
        <f t="shared" si="119"/>
        <v>#DIV/0!</v>
      </c>
      <c r="S190" s="184" t="e">
        <f t="shared" si="130"/>
        <v>#DIV/0!</v>
      </c>
      <c r="T190" s="532"/>
      <c r="U190" s="184"/>
      <c r="V190" s="184"/>
      <c r="W190" s="187" t="e">
        <f t="shared" si="120"/>
        <v>#DIV/0!</v>
      </c>
      <c r="X190" s="184" t="e">
        <f t="shared" si="131"/>
        <v>#DIV/0!</v>
      </c>
      <c r="Y190" s="532"/>
      <c r="Z190" s="184"/>
      <c r="AA190" s="184"/>
      <c r="AB190" s="187" t="e">
        <f t="shared" si="121"/>
        <v>#DIV/0!</v>
      </c>
      <c r="AC190" s="184" t="e">
        <f t="shared" si="132"/>
        <v>#DIV/0!</v>
      </c>
      <c r="AD190" s="532"/>
      <c r="AE190" s="184"/>
      <c r="AF190" s="184"/>
      <c r="AG190" s="187" t="e">
        <f t="shared" si="122"/>
        <v>#DIV/0!</v>
      </c>
      <c r="AH190" s="184" t="e">
        <f t="shared" si="133"/>
        <v>#DIV/0!</v>
      </c>
      <c r="AI190" s="532"/>
      <c r="AJ190" s="184"/>
      <c r="AK190" s="184"/>
      <c r="AL190" s="187" t="e">
        <f t="shared" si="123"/>
        <v>#DIV/0!</v>
      </c>
      <c r="AM190" s="184" t="e">
        <f t="shared" si="134"/>
        <v>#DIV/0!</v>
      </c>
      <c r="AN190" s="532"/>
      <c r="AO190" s="184"/>
      <c r="AP190" s="184"/>
      <c r="AQ190" s="187" t="e">
        <f t="shared" si="124"/>
        <v>#DIV/0!</v>
      </c>
      <c r="AR190" s="184" t="e">
        <f t="shared" si="135"/>
        <v>#DIV/0!</v>
      </c>
      <c r="AS190" s="532"/>
      <c r="AT190" s="184"/>
      <c r="AU190" s="184"/>
      <c r="AV190" s="187" t="e">
        <f t="shared" si="125"/>
        <v>#DIV/0!</v>
      </c>
      <c r="AW190" s="184" t="e">
        <f t="shared" si="136"/>
        <v>#DIV/0!</v>
      </c>
      <c r="AX190" s="532"/>
    </row>
    <row r="191" spans="2:50" ht="14.25" customHeight="1">
      <c r="B191" s="501"/>
      <c r="C191" s="182">
        <v>33</v>
      </c>
      <c r="D191" s="185"/>
      <c r="E191" s="182"/>
      <c r="F191" s="182"/>
      <c r="G191" s="187" t="e">
        <f t="shared" si="137"/>
        <v>#DIV/0!</v>
      </c>
      <c r="H191" s="537"/>
      <c r="I191" s="188" t="e">
        <f t="shared" si="127"/>
        <v>#DIV/0!</v>
      </c>
      <c r="J191" s="188" t="e">
        <f t="shared" si="128"/>
        <v>#DIV/0!</v>
      </c>
      <c r="K191" s="189" t="e">
        <f t="shared" si="129"/>
        <v>#DIV/0!</v>
      </c>
      <c r="L191" s="538"/>
      <c r="M191" s="188" t="e">
        <f>RANK(K191, K$83:$K$115)</f>
        <v>#DIV/0!</v>
      </c>
      <c r="N191" s="552"/>
      <c r="O191" s="536"/>
      <c r="P191" s="184"/>
      <c r="Q191" s="190"/>
      <c r="R191" s="187" t="e">
        <f>Q191/P191</f>
        <v>#DIV/0!</v>
      </c>
      <c r="S191" s="184" t="e">
        <f t="shared" si="130"/>
        <v>#DIV/0!</v>
      </c>
      <c r="T191" s="532"/>
      <c r="U191" s="184"/>
      <c r="V191" s="190"/>
      <c r="W191" s="187" t="e">
        <f>V191/U191</f>
        <v>#DIV/0!</v>
      </c>
      <c r="X191" s="184" t="e">
        <f t="shared" si="131"/>
        <v>#DIV/0!</v>
      </c>
      <c r="Y191" s="532"/>
      <c r="Z191" s="184"/>
      <c r="AA191" s="190"/>
      <c r="AB191" s="187" t="e">
        <f>AA191/Z191</f>
        <v>#DIV/0!</v>
      </c>
      <c r="AC191" s="184" t="e">
        <f t="shared" si="132"/>
        <v>#DIV/0!</v>
      </c>
      <c r="AD191" s="532"/>
      <c r="AE191" s="184"/>
      <c r="AF191" s="190"/>
      <c r="AG191" s="187" t="e">
        <f>AF191/AE191</f>
        <v>#DIV/0!</v>
      </c>
      <c r="AH191" s="184" t="e">
        <f t="shared" si="133"/>
        <v>#DIV/0!</v>
      </c>
      <c r="AI191" s="532"/>
      <c r="AJ191" s="184"/>
      <c r="AK191" s="190"/>
      <c r="AL191" s="187" t="e">
        <f>AK191/AJ191</f>
        <v>#DIV/0!</v>
      </c>
      <c r="AM191" s="184" t="e">
        <f t="shared" si="134"/>
        <v>#DIV/0!</v>
      </c>
      <c r="AN191" s="532"/>
      <c r="AO191" s="184"/>
      <c r="AP191" s="190"/>
      <c r="AQ191" s="187" t="e">
        <f>AP191/AO191</f>
        <v>#DIV/0!</v>
      </c>
      <c r="AR191" s="184" t="e">
        <f t="shared" si="135"/>
        <v>#DIV/0!</v>
      </c>
      <c r="AS191" s="532"/>
      <c r="AT191" s="184"/>
      <c r="AU191" s="190"/>
      <c r="AV191" s="187" t="e">
        <f>AU191/AT191</f>
        <v>#DIV/0!</v>
      </c>
      <c r="AW191" s="184" t="e">
        <f t="shared" si="136"/>
        <v>#DIV/0!</v>
      </c>
      <c r="AX191" s="532"/>
    </row>
  </sheetData>
  <mergeCells count="295">
    <mergeCell ref="AS159:AS191"/>
    <mergeCell ref="AX159:AX191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D121:AD153"/>
    <mergeCell ref="AI121:AI153"/>
    <mergeCell ref="AN121:AN153"/>
    <mergeCell ref="AS121:AS153"/>
    <mergeCell ref="AJ118:AM118"/>
    <mergeCell ref="AN118:AN120"/>
    <mergeCell ref="AO118:AR118"/>
    <mergeCell ref="AS118:AS120"/>
    <mergeCell ref="AT118:AW118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B121:B153"/>
    <mergeCell ref="H121:H153"/>
    <mergeCell ref="L121:L153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AJ79:AN79"/>
    <mergeCell ref="T45:T77"/>
    <mergeCell ref="Y45:Y77"/>
    <mergeCell ref="AD45:AD77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I42:K42"/>
    <mergeCell ref="L42:L44"/>
    <mergeCell ref="M42:M44"/>
    <mergeCell ref="N42:N77"/>
    <mergeCell ref="O42:O77"/>
    <mergeCell ref="B45:B77"/>
    <mergeCell ref="H45:H77"/>
    <mergeCell ref="L45:L77"/>
    <mergeCell ref="AS45:AS77"/>
    <mergeCell ref="E43:G43"/>
    <mergeCell ref="AJ42:AM42"/>
    <mergeCell ref="AN42:AN44"/>
    <mergeCell ref="AO42:AR42"/>
    <mergeCell ref="AS42:AS44"/>
    <mergeCell ref="I43:K43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P41:T41"/>
    <mergeCell ref="U41:Y41"/>
    <mergeCell ref="Z41:AD41"/>
    <mergeCell ref="AE41:AI41"/>
    <mergeCell ref="AJ41:AN41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AJ5:AM5"/>
    <mergeCell ref="AO5:AR5"/>
    <mergeCell ref="AT5:AW5"/>
    <mergeCell ref="AO116:AS116"/>
    <mergeCell ref="AN7:AN39"/>
    <mergeCell ref="AS7:AS39"/>
    <mergeCell ref="AJ4:AM4"/>
    <mergeCell ref="AN4:AN6"/>
    <mergeCell ref="AO4:AR4"/>
    <mergeCell ref="AS4:AS6"/>
    <mergeCell ref="AT4:AW4"/>
    <mergeCell ref="AT43:AW43"/>
    <mergeCell ref="AT78:AX78"/>
    <mergeCell ref="AJ78:AN78"/>
    <mergeCell ref="AO78:AS78"/>
    <mergeCell ref="AX4:AX6"/>
    <mergeCell ref="AT40:AX40"/>
    <mergeCell ref="AO41:AS41"/>
    <mergeCell ref="AT41:AX41"/>
    <mergeCell ref="AO40:AS40"/>
    <mergeCell ref="AO79:AS79"/>
    <mergeCell ref="AJ40:AN40"/>
    <mergeCell ref="AT79:AX79"/>
    <mergeCell ref="AT42:AW42"/>
    <mergeCell ref="AE4:AH4"/>
    <mergeCell ref="AI4:AI6"/>
    <mergeCell ref="B7:B39"/>
    <mergeCell ref="H7:H39"/>
    <mergeCell ref="L7:L39"/>
    <mergeCell ref="T7:T39"/>
    <mergeCell ref="Y7:Y39"/>
    <mergeCell ref="AD7:AD39"/>
    <mergeCell ref="AI7:AI39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E5:G5"/>
    <mergeCell ref="I5:K5"/>
    <mergeCell ref="P5:S5"/>
    <mergeCell ref="U5:X5"/>
    <mergeCell ref="Z5:AC5"/>
    <mergeCell ref="AE5:AH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N156:N191"/>
    <mergeCell ref="O156:O191"/>
    <mergeCell ref="P156:S156"/>
    <mergeCell ref="T156:T158"/>
    <mergeCell ref="U156:X156"/>
    <mergeCell ref="AO154:AS154"/>
    <mergeCell ref="AT154:AX154"/>
    <mergeCell ref="AO155:AS155"/>
    <mergeCell ref="AT155:AX155"/>
    <mergeCell ref="AX7:AX39"/>
    <mergeCell ref="P4:S4"/>
    <mergeCell ref="T4:T6"/>
    <mergeCell ref="U4:X4"/>
    <mergeCell ref="Y4:Y6"/>
    <mergeCell ref="Z4:AC4"/>
    <mergeCell ref="AD4:AD6"/>
    <mergeCell ref="H159:H191"/>
    <mergeCell ref="L159:L191"/>
    <mergeCell ref="T159:T191"/>
    <mergeCell ref="Y159:Y191"/>
    <mergeCell ref="AD159:AD191"/>
    <mergeCell ref="AI159:AI191"/>
    <mergeCell ref="AN159:AN191"/>
    <mergeCell ref="B159:B191"/>
    <mergeCell ref="U154:Y154"/>
    <mergeCell ref="Z154:AD154"/>
    <mergeCell ref="AE154:AI154"/>
    <mergeCell ref="AJ154:AN154"/>
    <mergeCell ref="U155:Y155"/>
    <mergeCell ref="Z155:AD155"/>
    <mergeCell ref="AE155:AI155"/>
    <mergeCell ref="AJ155:AN155"/>
    <mergeCell ref="Y156:Y158"/>
    <mergeCell ref="B154:M155"/>
    <mergeCell ref="N154:N155"/>
    <mergeCell ref="O154:O155"/>
    <mergeCell ref="P154:T154"/>
    <mergeCell ref="P155:T155"/>
    <mergeCell ref="B156:B158"/>
    <mergeCell ref="C156:D158"/>
    <mergeCell ref="E156:G156"/>
    <mergeCell ref="H156:H158"/>
    <mergeCell ref="I156:K156"/>
    <mergeCell ref="L156:L158"/>
    <mergeCell ref="M156:M158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AX121:AX153"/>
    <mergeCell ref="P118:S118"/>
    <mergeCell ref="T118:T120"/>
    <mergeCell ref="U118:X118"/>
    <mergeCell ref="Y118:Y120"/>
    <mergeCell ref="Z118:AC118"/>
    <mergeCell ref="AD118:AD120"/>
    <mergeCell ref="AE118:AH118"/>
    <mergeCell ref="AI118:AI120"/>
    <mergeCell ref="T121:T153"/>
    <mergeCell ref="Y121:Y153"/>
  </mergeCells>
  <phoneticPr fontId="15" type="noConversion"/>
  <conditionalFormatting sqref="A4:A39">
    <cfRule type="expression" dxfId="20" priority="1">
      <formula>A4&lt;0</formula>
    </cfRule>
    <cfRule type="expression" dxfId="1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50" activePane="bottomRight" state="frozen"/>
      <selection activeCell="E31" sqref="E31"/>
      <selection pane="topRight" activeCell="E31" sqref="E31"/>
      <selection pane="bottomLeft" activeCell="E31" sqref="E31"/>
      <selection pane="bottomRight" activeCell="S68" sqref="S6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5" t="s">
        <v>600</v>
      </c>
      <c r="C1" s="177">
        <f>AVERAGE(L7,L27,L47,L67,L87)</f>
        <v>273.68319940872118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389</v>
      </c>
      <c r="C7" s="182">
        <v>1</v>
      </c>
      <c r="D7" s="185" t="s">
        <v>357</v>
      </c>
      <c r="E7" s="182">
        <v>17</v>
      </c>
      <c r="F7" s="182">
        <v>3600</v>
      </c>
      <c r="G7" s="187">
        <f t="shared" ref="G7:G16" si="10">F7/E7</f>
        <v>211.76470588235293</v>
      </c>
      <c r="H7" s="537">
        <f>AVERAGE(G7:G21)</f>
        <v>293.07709447415328</v>
      </c>
      <c r="I7" s="188">
        <f>AVERAGE(P7,U7,Z7,AE7,AJ7,AO7,AT7)</f>
        <v>17</v>
      </c>
      <c r="J7" s="188">
        <f>AVERAGE(Q7,V7,AA7,AF7,AK7,AP7,AU7)</f>
        <v>3118.3041988375985</v>
      </c>
      <c r="K7" s="189">
        <f>AVERAGE(R7,W7,AB7,AG7,AL7,AQ7,AV7)</f>
        <v>183.42965875515287</v>
      </c>
      <c r="L7" s="538">
        <f>IFERROR(AVERAGE(K7:K21),"-")</f>
        <v>258.25874124635646</v>
      </c>
      <c r="M7" s="188">
        <f>RANK(K7, K$7:$K$21)</f>
        <v>6</v>
      </c>
      <c r="N7" s="501"/>
      <c r="O7" s="501"/>
      <c r="P7" s="186">
        <v>17</v>
      </c>
      <c r="Q7" s="186">
        <v>3117.7246496290209</v>
      </c>
      <c r="R7" s="187">
        <f t="shared" ref="R7:R16" si="11">Q7/P7</f>
        <v>183.39556762523651</v>
      </c>
      <c r="S7" s="184">
        <f>RANK(R7, R$7:R$21)</f>
        <v>9</v>
      </c>
      <c r="T7" s="537">
        <f>AVERAGE(R7:R21)</f>
        <v>258.20912284495466</v>
      </c>
      <c r="U7" s="186">
        <v>17</v>
      </c>
      <c r="V7" s="186">
        <v>3118.3946488294359</v>
      </c>
      <c r="W7" s="187">
        <f t="shared" ref="W7:W16" si="12">V7/U7</f>
        <v>183.43497934290801</v>
      </c>
      <c r="X7" s="184">
        <f>RANK(W7, W$7:W$21)</f>
        <v>7</v>
      </c>
      <c r="Y7" s="537">
        <f>AVERAGE(W7:W21)</f>
        <v>258.2387896505212</v>
      </c>
      <c r="Z7" s="186">
        <v>17</v>
      </c>
      <c r="AA7" s="186">
        <v>3118.8475390156095</v>
      </c>
      <c r="AB7" s="187">
        <f t="shared" ref="AB7:AB16" si="13">AA7/Z7</f>
        <v>183.46161994209467</v>
      </c>
      <c r="AC7" s="184">
        <f>RANK(AB7, AB$7:AB$21)</f>
        <v>7</v>
      </c>
      <c r="AD7" s="537">
        <f>AVERAGE(AB7:AB21)</f>
        <v>258.24436303047651</v>
      </c>
      <c r="AE7" s="186">
        <v>17</v>
      </c>
      <c r="AF7" s="186">
        <v>3117.839054586379</v>
      </c>
      <c r="AG7" s="187">
        <f t="shared" ref="AG7:AG16" si="14">AF7/AE7</f>
        <v>183.40229732861053</v>
      </c>
      <c r="AH7" s="184">
        <f>RANK(AG7, AG$7:AG$21)</f>
        <v>7</v>
      </c>
      <c r="AI7" s="537">
        <f>AVERAGE(AG7:AG21)</f>
        <v>258.27874977879867</v>
      </c>
      <c r="AJ7" s="186">
        <v>17</v>
      </c>
      <c r="AK7" s="186">
        <v>3118.3259353202275</v>
      </c>
      <c r="AL7" s="187">
        <f t="shared" ref="AL7:AL16" si="15">AK7/AJ7</f>
        <v>183.4309373717781</v>
      </c>
      <c r="AM7" s="184">
        <f>RANK(AL7, AL$7:AL$21)</f>
        <v>7</v>
      </c>
      <c r="AN7" s="537">
        <f>AVERAGE(AL7:AL21)</f>
        <v>258.28069555126353</v>
      </c>
      <c r="AO7" s="186">
        <v>17</v>
      </c>
      <c r="AP7" s="186">
        <v>3118.5069984447891</v>
      </c>
      <c r="AQ7" s="187">
        <f t="shared" ref="AQ7:AQ16" si="16">AP7/AO7</f>
        <v>183.44158814381112</v>
      </c>
      <c r="AR7" s="184">
        <f>RANK(AQ7, AQ$7:AQ$21)</f>
        <v>7</v>
      </c>
      <c r="AS7" s="537">
        <f>AVERAGE(AQ7:AQ21)</f>
        <v>258.27093918676826</v>
      </c>
      <c r="AT7" s="186">
        <v>17</v>
      </c>
      <c r="AU7" s="186">
        <v>3118.4905660377312</v>
      </c>
      <c r="AV7" s="187">
        <f t="shared" ref="AV7:AV16" si="17">AU7/AT7</f>
        <v>183.44062153163125</v>
      </c>
      <c r="AW7" s="184">
        <f>RANK(AV7, AV$7:AV$21)</f>
        <v>7</v>
      </c>
      <c r="AX7" s="537">
        <f>AVERAGE(AV7:AV21)</f>
        <v>258.28852868171253</v>
      </c>
    </row>
    <row r="8" spans="1:50" ht="14.25" customHeight="1">
      <c r="B8" s="501"/>
      <c r="C8" s="182">
        <v>2</v>
      </c>
      <c r="D8" s="185" t="s">
        <v>358</v>
      </c>
      <c r="E8" s="182">
        <v>17</v>
      </c>
      <c r="F8" s="182">
        <v>3600</v>
      </c>
      <c r="G8" s="187">
        <f t="shared" si="10"/>
        <v>211.76470588235293</v>
      </c>
      <c r="H8" s="537"/>
      <c r="I8" s="188">
        <f t="shared" ref="I8:K16" si="18">AVERAGE(P8,U8,Z8,AE8,AJ8,AO8,AT8)</f>
        <v>17</v>
      </c>
      <c r="J8" s="188">
        <f t="shared" si="18"/>
        <v>3118.0490785382744</v>
      </c>
      <c r="K8" s="189">
        <f t="shared" si="18"/>
        <v>183.41465167872204</v>
      </c>
      <c r="L8" s="538"/>
      <c r="M8" s="188">
        <f>RANK(K8, K$7:$K$21)</f>
        <v>8</v>
      </c>
      <c r="N8" s="501"/>
      <c r="O8" s="501"/>
      <c r="P8" s="186">
        <v>17</v>
      </c>
      <c r="Q8" s="186">
        <v>3118.2214472537021</v>
      </c>
      <c r="R8" s="187">
        <f t="shared" si="11"/>
        <v>183.42479101492364</v>
      </c>
      <c r="S8" s="184">
        <f t="shared" ref="S8:S16" si="19">RANK(R8, R$7:R$21)</f>
        <v>6</v>
      </c>
      <c r="T8" s="537"/>
      <c r="U8" s="186">
        <v>17</v>
      </c>
      <c r="V8" s="186">
        <v>3119.1489361702115</v>
      </c>
      <c r="W8" s="187">
        <f t="shared" si="12"/>
        <v>183.47934918648303</v>
      </c>
      <c r="X8" s="184">
        <f t="shared" ref="X8:X16" si="20">RANK(W8, W$7:W$21)</f>
        <v>6</v>
      </c>
      <c r="Y8" s="537"/>
      <c r="Z8" s="186">
        <v>17</v>
      </c>
      <c r="AA8" s="186">
        <v>3119.2878338278856</v>
      </c>
      <c r="AB8" s="187">
        <f t="shared" si="13"/>
        <v>183.48751963693445</v>
      </c>
      <c r="AC8" s="184">
        <f t="shared" ref="AC8:AC16" si="21">RANK(AB8, AB$7:AB$21)</f>
        <v>6</v>
      </c>
      <c r="AD8" s="537"/>
      <c r="AE8" s="186">
        <v>17</v>
      </c>
      <c r="AF8" s="186">
        <v>3117.7981651376122</v>
      </c>
      <c r="AG8" s="187">
        <f t="shared" si="14"/>
        <v>183.39989206691837</v>
      </c>
      <c r="AH8" s="184">
        <f t="shared" ref="AH8:AH16" si="22">RANK(AG8, AG$7:AG$21)</f>
        <v>8</v>
      </c>
      <c r="AI8" s="537"/>
      <c r="AJ8" s="186">
        <v>17</v>
      </c>
      <c r="AK8" s="186">
        <v>3117.5757575757539</v>
      </c>
      <c r="AL8" s="187">
        <f t="shared" si="15"/>
        <v>183.386809269162</v>
      </c>
      <c r="AM8" s="184">
        <f t="shared" ref="AM8:AM16" si="23">RANK(AL8, AL$7:AL$21)</f>
        <v>8</v>
      </c>
      <c r="AN8" s="537"/>
      <c r="AO8" s="186">
        <v>17</v>
      </c>
      <c r="AP8" s="186">
        <v>3117.2185430463574</v>
      </c>
      <c r="AQ8" s="187">
        <f t="shared" si="16"/>
        <v>183.36579664978572</v>
      </c>
      <c r="AR8" s="184">
        <f t="shared" ref="AR8:AR16" si="24">RANK(AQ8, AQ$7:AQ$21)</f>
        <v>8</v>
      </c>
      <c r="AS8" s="537"/>
      <c r="AT8" s="186">
        <v>17</v>
      </c>
      <c r="AU8" s="186">
        <v>3117.0928667563953</v>
      </c>
      <c r="AV8" s="187">
        <f t="shared" si="17"/>
        <v>183.35840392684679</v>
      </c>
      <c r="AW8" s="184">
        <f t="shared" ref="AW8:AW16" si="25">RANK(AV8, AV$7:AV$21)</f>
        <v>8</v>
      </c>
      <c r="AX8" s="537"/>
    </row>
    <row r="9" spans="1:50" ht="14.25" customHeight="1">
      <c r="B9" s="501"/>
      <c r="C9" s="182">
        <v>3</v>
      </c>
      <c r="D9" s="185" t="s">
        <v>356</v>
      </c>
      <c r="E9" s="182">
        <v>11</v>
      </c>
      <c r="F9" s="182">
        <v>3600</v>
      </c>
      <c r="G9" s="187">
        <f t="shared" si="10"/>
        <v>327.27272727272725</v>
      </c>
      <c r="H9" s="537"/>
      <c r="I9" s="188">
        <f t="shared" si="18"/>
        <v>11</v>
      </c>
      <c r="J9" s="188">
        <f t="shared" si="18"/>
        <v>3150.6297372932304</v>
      </c>
      <c r="K9" s="189">
        <f t="shared" si="18"/>
        <v>286.4208852084754</v>
      </c>
      <c r="L9" s="538"/>
      <c r="M9" s="188">
        <f>RANK(K9, K$7:$K$21)</f>
        <v>5</v>
      </c>
      <c r="N9" s="501"/>
      <c r="O9" s="501"/>
      <c r="P9" s="186">
        <v>11</v>
      </c>
      <c r="Q9" s="186">
        <v>3149.4310998735787</v>
      </c>
      <c r="R9" s="187">
        <f t="shared" si="11"/>
        <v>286.31191817032533</v>
      </c>
      <c r="S9" s="184">
        <f t="shared" si="19"/>
        <v>5</v>
      </c>
      <c r="T9" s="537"/>
      <c r="U9" s="186">
        <v>11</v>
      </c>
      <c r="V9" s="186">
        <v>3150.387596899227</v>
      </c>
      <c r="W9" s="187">
        <f t="shared" si="12"/>
        <v>286.39887244538426</v>
      </c>
      <c r="X9" s="184">
        <f t="shared" si="20"/>
        <v>5</v>
      </c>
      <c r="Y9" s="537"/>
      <c r="Z9" s="186">
        <v>11</v>
      </c>
      <c r="AA9" s="186">
        <v>3151.1627906976701</v>
      </c>
      <c r="AB9" s="187">
        <f t="shared" si="13"/>
        <v>286.46934460887911</v>
      </c>
      <c r="AC9" s="184">
        <f t="shared" si="21"/>
        <v>5</v>
      </c>
      <c r="AD9" s="537"/>
      <c r="AE9" s="186">
        <v>11</v>
      </c>
      <c r="AF9" s="186">
        <v>3150.3823279524254</v>
      </c>
      <c r="AG9" s="187">
        <f t="shared" si="14"/>
        <v>286.39839345022051</v>
      </c>
      <c r="AH9" s="184">
        <f t="shared" si="22"/>
        <v>5</v>
      </c>
      <c r="AI9" s="537"/>
      <c r="AJ9" s="186">
        <v>11</v>
      </c>
      <c r="AK9" s="186">
        <v>3150.416281221098</v>
      </c>
      <c r="AL9" s="187">
        <f t="shared" si="15"/>
        <v>286.40148011100888</v>
      </c>
      <c r="AM9" s="184">
        <f t="shared" si="23"/>
        <v>5</v>
      </c>
      <c r="AN9" s="537"/>
      <c r="AO9" s="186">
        <v>11</v>
      </c>
      <c r="AP9" s="186">
        <v>3149.4610778443102</v>
      </c>
      <c r="AQ9" s="187">
        <f t="shared" si="16"/>
        <v>286.31464344039182</v>
      </c>
      <c r="AR9" s="184">
        <f t="shared" si="24"/>
        <v>5</v>
      </c>
      <c r="AS9" s="537"/>
      <c r="AT9" s="186">
        <v>11</v>
      </c>
      <c r="AU9" s="186">
        <v>3153.1669865642998</v>
      </c>
      <c r="AV9" s="187">
        <f t="shared" si="17"/>
        <v>286.65154423311816</v>
      </c>
      <c r="AW9" s="184">
        <f t="shared" si="25"/>
        <v>4</v>
      </c>
      <c r="AX9" s="537"/>
    </row>
    <row r="10" spans="1:50" ht="14.25" customHeight="1">
      <c r="B10" s="501"/>
      <c r="C10" s="182">
        <v>4</v>
      </c>
      <c r="D10" s="185" t="s">
        <v>485</v>
      </c>
      <c r="E10" s="182">
        <v>6</v>
      </c>
      <c r="F10" s="182">
        <v>2600</v>
      </c>
      <c r="G10" s="187">
        <f t="shared" si="10"/>
        <v>433.33333333333331</v>
      </c>
      <c r="H10" s="537"/>
      <c r="I10" s="188">
        <f t="shared" si="18"/>
        <v>6</v>
      </c>
      <c r="J10" s="188">
        <f t="shared" si="18"/>
        <v>2316.693056135497</v>
      </c>
      <c r="K10" s="189">
        <f t="shared" si="18"/>
        <v>386.11550935591612</v>
      </c>
      <c r="L10" s="538"/>
      <c r="M10" s="188">
        <f>RANK(K10, K$7:$K$21)</f>
        <v>2</v>
      </c>
      <c r="N10" s="501"/>
      <c r="O10" s="501"/>
      <c r="P10" s="186">
        <v>6</v>
      </c>
      <c r="Q10" s="186">
        <v>2316.4718384697153</v>
      </c>
      <c r="R10" s="187">
        <f t="shared" si="11"/>
        <v>386.07863974495257</v>
      </c>
      <c r="S10" s="184">
        <f t="shared" si="19"/>
        <v>2</v>
      </c>
      <c r="T10" s="537"/>
      <c r="U10" s="186">
        <v>6</v>
      </c>
      <c r="V10" s="186">
        <v>2316.1853593015458</v>
      </c>
      <c r="W10" s="187">
        <f t="shared" si="12"/>
        <v>386.03089321692431</v>
      </c>
      <c r="X10" s="184">
        <f t="shared" si="20"/>
        <v>2</v>
      </c>
      <c r="Y10" s="537"/>
      <c r="Z10" s="186">
        <v>6</v>
      </c>
      <c r="AA10" s="186">
        <v>2315.9235668789847</v>
      </c>
      <c r="AB10" s="187">
        <f t="shared" si="13"/>
        <v>385.98726114649747</v>
      </c>
      <c r="AC10" s="184">
        <f t="shared" si="21"/>
        <v>2</v>
      </c>
      <c r="AD10" s="537"/>
      <c r="AE10" s="186">
        <v>6</v>
      </c>
      <c r="AF10" s="186">
        <v>2316.2576687116548</v>
      </c>
      <c r="AG10" s="187">
        <f t="shared" si="14"/>
        <v>386.04294478527578</v>
      </c>
      <c r="AH10" s="184">
        <f t="shared" si="22"/>
        <v>2</v>
      </c>
      <c r="AI10" s="537"/>
      <c r="AJ10" s="186">
        <v>6</v>
      </c>
      <c r="AK10" s="186">
        <v>2317.2413793103465</v>
      </c>
      <c r="AL10" s="187">
        <f t="shared" si="15"/>
        <v>386.20689655172441</v>
      </c>
      <c r="AM10" s="184">
        <f t="shared" si="23"/>
        <v>2</v>
      </c>
      <c r="AN10" s="537"/>
      <c r="AO10" s="186">
        <v>6</v>
      </c>
      <c r="AP10" s="186">
        <v>2317.8589809572827</v>
      </c>
      <c r="AQ10" s="187">
        <f t="shared" si="16"/>
        <v>386.30983015954712</v>
      </c>
      <c r="AR10" s="184">
        <f t="shared" si="24"/>
        <v>1</v>
      </c>
      <c r="AS10" s="537"/>
      <c r="AT10" s="186">
        <v>6</v>
      </c>
      <c r="AU10" s="186">
        <v>2316.9125993189509</v>
      </c>
      <c r="AV10" s="187">
        <f t="shared" si="17"/>
        <v>386.15209988649184</v>
      </c>
      <c r="AW10" s="184">
        <f t="shared" si="25"/>
        <v>2</v>
      </c>
      <c r="AX10" s="537"/>
    </row>
    <row r="11" spans="1:50" ht="14.25" customHeight="1">
      <c r="B11" s="501"/>
      <c r="C11" s="182">
        <v>5</v>
      </c>
      <c r="D11" s="185" t="s">
        <v>496</v>
      </c>
      <c r="E11" s="182">
        <v>6</v>
      </c>
      <c r="F11" s="182">
        <v>2500</v>
      </c>
      <c r="G11" s="187">
        <f t="shared" si="10"/>
        <v>416.66666666666669</v>
      </c>
      <c r="H11" s="537"/>
      <c r="I11" s="188">
        <f t="shared" si="18"/>
        <v>6</v>
      </c>
      <c r="J11" s="188">
        <f t="shared" si="18"/>
        <v>2255.2202233422727</v>
      </c>
      <c r="K11" s="189">
        <f t="shared" si="18"/>
        <v>375.87003722371219</v>
      </c>
      <c r="L11" s="538"/>
      <c r="M11" s="188">
        <f>RANK(K11, K$7:$K$21)</f>
        <v>3</v>
      </c>
      <c r="N11" s="501"/>
      <c r="O11" s="501"/>
      <c r="P11" s="186">
        <v>6</v>
      </c>
      <c r="Q11" s="186">
        <v>2254.7703180212088</v>
      </c>
      <c r="R11" s="187">
        <f t="shared" si="11"/>
        <v>375.7950530035348</v>
      </c>
      <c r="S11" s="184">
        <f t="shared" si="19"/>
        <v>3</v>
      </c>
      <c r="T11" s="537"/>
      <c r="U11" s="186">
        <v>6</v>
      </c>
      <c r="V11" s="186">
        <v>2254.545454545454</v>
      </c>
      <c r="W11" s="187">
        <f t="shared" si="12"/>
        <v>375.75757575757569</v>
      </c>
      <c r="X11" s="184">
        <f t="shared" si="20"/>
        <v>3</v>
      </c>
      <c r="Y11" s="537"/>
      <c r="Z11" s="186">
        <v>6</v>
      </c>
      <c r="AA11" s="186">
        <v>2254.3844109831698</v>
      </c>
      <c r="AB11" s="187">
        <f t="shared" si="13"/>
        <v>375.73073516386165</v>
      </c>
      <c r="AC11" s="184">
        <f t="shared" si="21"/>
        <v>3</v>
      </c>
      <c r="AD11" s="537"/>
      <c r="AE11" s="186">
        <v>6</v>
      </c>
      <c r="AF11" s="186">
        <v>2256.8067226890807</v>
      </c>
      <c r="AG11" s="187">
        <f t="shared" si="14"/>
        <v>376.13445378151346</v>
      </c>
      <c r="AH11" s="184">
        <f t="shared" si="22"/>
        <v>3</v>
      </c>
      <c r="AI11" s="537"/>
      <c r="AJ11" s="186">
        <v>6</v>
      </c>
      <c r="AK11" s="186">
        <v>2255.0335570469906</v>
      </c>
      <c r="AL11" s="187">
        <f t="shared" si="15"/>
        <v>375.83892617449845</v>
      </c>
      <c r="AM11" s="184">
        <f t="shared" si="23"/>
        <v>3</v>
      </c>
      <c r="AN11" s="537"/>
      <c r="AO11" s="186">
        <v>6</v>
      </c>
      <c r="AP11" s="186">
        <v>2255.4455445544477</v>
      </c>
      <c r="AQ11" s="187">
        <f t="shared" si="16"/>
        <v>375.90759075907459</v>
      </c>
      <c r="AR11" s="184">
        <f t="shared" si="24"/>
        <v>3</v>
      </c>
      <c r="AS11" s="537"/>
      <c r="AT11" s="186">
        <v>6</v>
      </c>
      <c r="AU11" s="186">
        <v>2255.5555555555593</v>
      </c>
      <c r="AV11" s="187">
        <f t="shared" si="17"/>
        <v>375.92592592592655</v>
      </c>
      <c r="AW11" s="184">
        <f t="shared" si="25"/>
        <v>3</v>
      </c>
      <c r="AX11" s="537"/>
    </row>
    <row r="12" spans="1:50" ht="14.25" customHeight="1">
      <c r="B12" s="501"/>
      <c r="C12" s="182">
        <v>6</v>
      </c>
      <c r="D12" s="185" t="s">
        <v>494</v>
      </c>
      <c r="E12" s="182">
        <v>6</v>
      </c>
      <c r="F12" s="182">
        <v>2600</v>
      </c>
      <c r="G12" s="187">
        <f t="shared" si="10"/>
        <v>433.33333333333331</v>
      </c>
      <c r="H12" s="537"/>
      <c r="I12" s="188">
        <f t="shared" si="18"/>
        <v>6</v>
      </c>
      <c r="J12" s="188">
        <f t="shared" si="18"/>
        <v>2317.2668160219409</v>
      </c>
      <c r="K12" s="189">
        <f t="shared" si="18"/>
        <v>386.21113600365692</v>
      </c>
      <c r="L12" s="538"/>
      <c r="M12" s="188">
        <f>RANK(K12, K$7:$K$21)</f>
        <v>1</v>
      </c>
      <c r="N12" s="501"/>
      <c r="O12" s="501"/>
      <c r="P12" s="186">
        <v>6</v>
      </c>
      <c r="Q12" s="186">
        <v>2316.5708311552535</v>
      </c>
      <c r="R12" s="187">
        <f t="shared" si="11"/>
        <v>386.0951385258756</v>
      </c>
      <c r="S12" s="184">
        <f t="shared" si="19"/>
        <v>1</v>
      </c>
      <c r="T12" s="537"/>
      <c r="U12" s="186">
        <v>6</v>
      </c>
      <c r="V12" s="186">
        <v>2317.6201372997648</v>
      </c>
      <c r="W12" s="187">
        <f t="shared" si="12"/>
        <v>386.27002288329413</v>
      </c>
      <c r="X12" s="184">
        <f t="shared" si="20"/>
        <v>1</v>
      </c>
      <c r="Y12" s="537"/>
      <c r="Z12" s="186">
        <v>6</v>
      </c>
      <c r="AA12" s="186">
        <v>2317.3109243697527</v>
      </c>
      <c r="AB12" s="187">
        <f t="shared" si="13"/>
        <v>386.2184873949588</v>
      </c>
      <c r="AC12" s="184">
        <f t="shared" si="21"/>
        <v>1</v>
      </c>
      <c r="AD12" s="537"/>
      <c r="AE12" s="186">
        <v>6</v>
      </c>
      <c r="AF12" s="186">
        <v>2317.4813587406825</v>
      </c>
      <c r="AG12" s="187">
        <f t="shared" si="14"/>
        <v>386.24689312344708</v>
      </c>
      <c r="AH12" s="184">
        <f t="shared" si="22"/>
        <v>1</v>
      </c>
      <c r="AI12" s="537"/>
      <c r="AJ12" s="186">
        <v>6</v>
      </c>
      <c r="AK12" s="186">
        <v>2317.5217812197479</v>
      </c>
      <c r="AL12" s="187">
        <f t="shared" si="15"/>
        <v>386.25363020329132</v>
      </c>
      <c r="AM12" s="184">
        <f t="shared" si="23"/>
        <v>1</v>
      </c>
      <c r="AN12" s="537"/>
      <c r="AO12" s="186">
        <v>6</v>
      </c>
      <c r="AP12" s="186">
        <v>2317.1213000580415</v>
      </c>
      <c r="AQ12" s="187">
        <f t="shared" si="16"/>
        <v>386.18688334300691</v>
      </c>
      <c r="AR12" s="184">
        <f t="shared" si="24"/>
        <v>2</v>
      </c>
      <c r="AS12" s="537"/>
      <c r="AT12" s="186">
        <v>6</v>
      </c>
      <c r="AU12" s="186">
        <v>2317.2413793103456</v>
      </c>
      <c r="AV12" s="187">
        <f t="shared" si="17"/>
        <v>386.20689655172424</v>
      </c>
      <c r="AW12" s="184">
        <f t="shared" si="25"/>
        <v>1</v>
      </c>
      <c r="AX12" s="537"/>
    </row>
    <row r="13" spans="1:50" ht="14.25" customHeight="1">
      <c r="B13" s="501"/>
      <c r="C13" s="182">
        <v>7</v>
      </c>
      <c r="D13" s="185" t="s">
        <v>577</v>
      </c>
      <c r="E13" s="182">
        <v>12</v>
      </c>
      <c r="F13" s="182">
        <v>1750</v>
      </c>
      <c r="G13" s="187">
        <f t="shared" si="10"/>
        <v>145.83333333333334</v>
      </c>
      <c r="H13" s="537"/>
      <c r="I13" s="188">
        <f t="shared" si="18"/>
        <v>12</v>
      </c>
      <c r="J13" s="188">
        <f t="shared" si="18"/>
        <v>1532.4675071943911</v>
      </c>
      <c r="K13" s="189">
        <f t="shared" si="18"/>
        <v>127.7056255995326</v>
      </c>
      <c r="L13" s="538"/>
      <c r="M13" s="188">
        <f>RANK(K13, K$7:$K$21)</f>
        <v>10</v>
      </c>
      <c r="N13" s="501"/>
      <c r="O13" s="501"/>
      <c r="P13" s="186">
        <v>12</v>
      </c>
      <c r="Q13" s="186">
        <v>1532.2243346007606</v>
      </c>
      <c r="R13" s="187">
        <f t="shared" si="11"/>
        <v>127.68536121673004</v>
      </c>
      <c r="S13" s="184">
        <f t="shared" si="19"/>
        <v>10</v>
      </c>
      <c r="T13" s="537"/>
      <c r="U13" s="186">
        <v>12</v>
      </c>
      <c r="V13" s="186">
        <v>1532.4717285945094</v>
      </c>
      <c r="W13" s="187">
        <f t="shared" si="12"/>
        <v>127.70597738287579</v>
      </c>
      <c r="X13" s="184">
        <f t="shared" si="20"/>
        <v>10</v>
      </c>
      <c r="Y13" s="537"/>
      <c r="Z13" s="186">
        <v>12</v>
      </c>
      <c r="AA13" s="186">
        <v>1532.5635103926079</v>
      </c>
      <c r="AB13" s="187">
        <f t="shared" si="13"/>
        <v>127.71362586605066</v>
      </c>
      <c r="AC13" s="184">
        <f t="shared" si="21"/>
        <v>10</v>
      </c>
      <c r="AD13" s="537"/>
      <c r="AE13" s="186">
        <v>12</v>
      </c>
      <c r="AF13" s="186">
        <v>1532.6226012793184</v>
      </c>
      <c r="AG13" s="187">
        <f t="shared" si="14"/>
        <v>127.71855010660987</v>
      </c>
      <c r="AH13" s="184">
        <f t="shared" si="22"/>
        <v>10</v>
      </c>
      <c r="AI13" s="537"/>
      <c r="AJ13" s="186">
        <v>12</v>
      </c>
      <c r="AK13" s="186">
        <v>1532.4114088159074</v>
      </c>
      <c r="AL13" s="187">
        <f t="shared" si="15"/>
        <v>127.70095073465895</v>
      </c>
      <c r="AM13" s="184">
        <f t="shared" si="23"/>
        <v>10</v>
      </c>
      <c r="AN13" s="537"/>
      <c r="AO13" s="186">
        <v>12</v>
      </c>
      <c r="AP13" s="186">
        <v>1532.3975938126644</v>
      </c>
      <c r="AQ13" s="187">
        <f t="shared" si="16"/>
        <v>127.69979948438869</v>
      </c>
      <c r="AR13" s="184">
        <f t="shared" si="24"/>
        <v>10</v>
      </c>
      <c r="AS13" s="537"/>
      <c r="AT13" s="186">
        <v>12</v>
      </c>
      <c r="AU13" s="186">
        <v>1532.5813728649707</v>
      </c>
      <c r="AV13" s="187">
        <f t="shared" si="17"/>
        <v>127.71511440541423</v>
      </c>
      <c r="AW13" s="184">
        <f t="shared" si="25"/>
        <v>10</v>
      </c>
      <c r="AX13" s="537"/>
    </row>
    <row r="14" spans="1:50" ht="14.25" customHeight="1">
      <c r="B14" s="501"/>
      <c r="C14" s="182">
        <v>8</v>
      </c>
      <c r="D14" s="185" t="s">
        <v>360</v>
      </c>
      <c r="E14" s="182">
        <v>17</v>
      </c>
      <c r="F14" s="182">
        <v>3600</v>
      </c>
      <c r="G14" s="187">
        <f t="shared" si="10"/>
        <v>211.76470588235293</v>
      </c>
      <c r="H14" s="537"/>
      <c r="I14" s="188">
        <f t="shared" si="18"/>
        <v>17</v>
      </c>
      <c r="J14" s="188">
        <f t="shared" si="18"/>
        <v>3116.8324771197917</v>
      </c>
      <c r="K14" s="189">
        <f t="shared" si="18"/>
        <v>183.34308688939953</v>
      </c>
      <c r="L14" s="538"/>
      <c r="M14" s="188">
        <f>RANK(K14, K$7:$K$21)</f>
        <v>9</v>
      </c>
      <c r="N14" s="501"/>
      <c r="O14" s="501"/>
      <c r="P14" s="186">
        <v>17</v>
      </c>
      <c r="Q14" s="186">
        <v>3117.7617634590915</v>
      </c>
      <c r="R14" s="187">
        <f t="shared" si="11"/>
        <v>183.39775079171127</v>
      </c>
      <c r="S14" s="184">
        <f t="shared" si="19"/>
        <v>7</v>
      </c>
      <c r="T14" s="537"/>
      <c r="U14" s="186">
        <v>17</v>
      </c>
      <c r="V14" s="186">
        <v>3116.9082125603804</v>
      </c>
      <c r="W14" s="187">
        <f t="shared" si="12"/>
        <v>183.3475419153165</v>
      </c>
      <c r="X14" s="184">
        <f t="shared" si="20"/>
        <v>9</v>
      </c>
      <c r="Y14" s="537"/>
      <c r="Z14" s="186">
        <v>17</v>
      </c>
      <c r="AA14" s="186">
        <v>3116.746829908177</v>
      </c>
      <c r="AB14" s="187">
        <f t="shared" si="13"/>
        <v>183.33804881812807</v>
      </c>
      <c r="AC14" s="184">
        <f t="shared" si="21"/>
        <v>9</v>
      </c>
      <c r="AD14" s="537"/>
      <c r="AE14" s="186">
        <v>17</v>
      </c>
      <c r="AF14" s="186">
        <v>3116.2790697674336</v>
      </c>
      <c r="AG14" s="187">
        <f t="shared" si="14"/>
        <v>183.31053351573138</v>
      </c>
      <c r="AH14" s="184">
        <f t="shared" si="22"/>
        <v>9</v>
      </c>
      <c r="AI14" s="537"/>
      <c r="AJ14" s="186">
        <v>17</v>
      </c>
      <c r="AK14" s="186">
        <v>3117.0731707317063</v>
      </c>
      <c r="AL14" s="187">
        <f t="shared" si="15"/>
        <v>183.35724533715918</v>
      </c>
      <c r="AM14" s="184">
        <f t="shared" si="23"/>
        <v>9</v>
      </c>
      <c r="AN14" s="537"/>
      <c r="AO14" s="186">
        <v>17</v>
      </c>
      <c r="AP14" s="186">
        <v>3116.6896551724212</v>
      </c>
      <c r="AQ14" s="187">
        <f t="shared" si="16"/>
        <v>183.33468559837772</v>
      </c>
      <c r="AR14" s="184">
        <f t="shared" si="24"/>
        <v>9</v>
      </c>
      <c r="AS14" s="537"/>
      <c r="AT14" s="186">
        <v>17</v>
      </c>
      <c r="AU14" s="186">
        <v>3116.3686382393325</v>
      </c>
      <c r="AV14" s="187">
        <f t="shared" si="17"/>
        <v>183.3158022493725</v>
      </c>
      <c r="AW14" s="184">
        <f t="shared" si="25"/>
        <v>9</v>
      </c>
      <c r="AX14" s="537"/>
    </row>
    <row r="15" spans="1:50" ht="14.25" customHeight="1">
      <c r="B15" s="501"/>
      <c r="C15" s="182">
        <v>9</v>
      </c>
      <c r="D15" s="185" t="s">
        <v>361</v>
      </c>
      <c r="E15" s="182">
        <v>17</v>
      </c>
      <c r="F15" s="182">
        <v>3600</v>
      </c>
      <c r="G15" s="187">
        <f t="shared" si="10"/>
        <v>211.76470588235293</v>
      </c>
      <c r="H15" s="537"/>
      <c r="I15" s="188">
        <f t="shared" si="18"/>
        <v>17</v>
      </c>
      <c r="J15" s="188">
        <f t="shared" si="18"/>
        <v>3118.2515284563851</v>
      </c>
      <c r="K15" s="189">
        <f t="shared" si="18"/>
        <v>183.42656049743442</v>
      </c>
      <c r="L15" s="538"/>
      <c r="M15" s="188">
        <f>RANK(K15, K$7:$K$21)</f>
        <v>7</v>
      </c>
      <c r="N15" s="501"/>
      <c r="O15" s="501"/>
      <c r="P15" s="186">
        <v>17</v>
      </c>
      <c r="Q15" s="186">
        <v>3117.7266576454654</v>
      </c>
      <c r="R15" s="187">
        <f t="shared" si="11"/>
        <v>183.39568574385089</v>
      </c>
      <c r="S15" s="184">
        <f t="shared" si="19"/>
        <v>8</v>
      </c>
      <c r="T15" s="537"/>
      <c r="U15" s="186">
        <v>17</v>
      </c>
      <c r="V15" s="186">
        <v>3117.3626373626375</v>
      </c>
      <c r="W15" s="187">
        <f t="shared" si="12"/>
        <v>183.37427278603749</v>
      </c>
      <c r="X15" s="184">
        <f t="shared" si="20"/>
        <v>8</v>
      </c>
      <c r="Y15" s="537"/>
      <c r="Z15" s="186">
        <v>17</v>
      </c>
      <c r="AA15" s="186">
        <v>3117.9015186378265</v>
      </c>
      <c r="AB15" s="187">
        <f t="shared" si="13"/>
        <v>183.40597168457802</v>
      </c>
      <c r="AC15" s="184">
        <f t="shared" si="21"/>
        <v>8</v>
      </c>
      <c r="AD15" s="537"/>
      <c r="AE15" s="186">
        <v>17</v>
      </c>
      <c r="AF15" s="186">
        <v>3118.1102362204674</v>
      </c>
      <c r="AG15" s="187">
        <f t="shared" si="14"/>
        <v>183.41824918943925</v>
      </c>
      <c r="AH15" s="184">
        <f t="shared" si="22"/>
        <v>6</v>
      </c>
      <c r="AI15" s="537"/>
      <c r="AJ15" s="186">
        <v>17</v>
      </c>
      <c r="AK15" s="186">
        <v>3118.8228080931963</v>
      </c>
      <c r="AL15" s="187">
        <f t="shared" si="15"/>
        <v>183.46016518195273</v>
      </c>
      <c r="AM15" s="184">
        <f t="shared" si="23"/>
        <v>6</v>
      </c>
      <c r="AN15" s="537"/>
      <c r="AO15" s="186">
        <v>17</v>
      </c>
      <c r="AP15" s="186">
        <v>3118.7939698492601</v>
      </c>
      <c r="AQ15" s="187">
        <f t="shared" si="16"/>
        <v>183.45846881466235</v>
      </c>
      <c r="AR15" s="184">
        <f t="shared" si="24"/>
        <v>6</v>
      </c>
      <c r="AS15" s="537"/>
      <c r="AT15" s="186">
        <v>17</v>
      </c>
      <c r="AU15" s="186">
        <v>3119.0428713858419</v>
      </c>
      <c r="AV15" s="187">
        <f t="shared" si="17"/>
        <v>183.4731100815201</v>
      </c>
      <c r="AW15" s="184">
        <f t="shared" si="25"/>
        <v>6</v>
      </c>
      <c r="AX15" s="537"/>
    </row>
    <row r="16" spans="1:50" ht="14.25" customHeight="1">
      <c r="B16" s="501"/>
      <c r="C16" s="182">
        <v>10</v>
      </c>
      <c r="D16" s="185" t="s">
        <v>359</v>
      </c>
      <c r="E16" s="182">
        <v>11</v>
      </c>
      <c r="F16" s="182">
        <v>3600</v>
      </c>
      <c r="G16" s="187">
        <f t="shared" si="10"/>
        <v>327.27272727272725</v>
      </c>
      <c r="H16" s="537"/>
      <c r="I16" s="188">
        <f t="shared" si="18"/>
        <v>11</v>
      </c>
      <c r="J16" s="188">
        <f t="shared" si="18"/>
        <v>3153.152873767187</v>
      </c>
      <c r="K16" s="189">
        <f t="shared" si="18"/>
        <v>286.65026125156243</v>
      </c>
      <c r="L16" s="538"/>
      <c r="M16" s="188">
        <f>RANK(K16, K$7:$K$21)</f>
        <v>4</v>
      </c>
      <c r="N16" s="501"/>
      <c r="O16" s="501"/>
      <c r="P16" s="186">
        <v>11</v>
      </c>
      <c r="Q16" s="186">
        <v>3151.6245487364604</v>
      </c>
      <c r="R16" s="187">
        <f t="shared" si="11"/>
        <v>286.51132261240548</v>
      </c>
      <c r="S16" s="184">
        <f t="shared" si="19"/>
        <v>4</v>
      </c>
      <c r="T16" s="537"/>
      <c r="U16" s="186">
        <v>11</v>
      </c>
      <c r="V16" s="186">
        <v>3152.4725274725402</v>
      </c>
      <c r="W16" s="187">
        <f t="shared" si="12"/>
        <v>286.58841158841273</v>
      </c>
      <c r="X16" s="184">
        <f t="shared" si="20"/>
        <v>4</v>
      </c>
      <c r="Y16" s="537"/>
      <c r="Z16" s="186">
        <v>11</v>
      </c>
      <c r="AA16" s="186">
        <v>3152.9411764705983</v>
      </c>
      <c r="AB16" s="187">
        <f t="shared" si="13"/>
        <v>286.63101604278165</v>
      </c>
      <c r="AC16" s="184">
        <f t="shared" si="21"/>
        <v>4</v>
      </c>
      <c r="AD16" s="537"/>
      <c r="AE16" s="186">
        <v>11</v>
      </c>
      <c r="AF16" s="186">
        <v>3153.8681948424196</v>
      </c>
      <c r="AG16" s="187">
        <f t="shared" si="14"/>
        <v>286.71529044021997</v>
      </c>
      <c r="AH16" s="184">
        <f t="shared" si="22"/>
        <v>4</v>
      </c>
      <c r="AI16" s="537"/>
      <c r="AJ16" s="186">
        <v>11</v>
      </c>
      <c r="AK16" s="186">
        <v>3154.4690603514132</v>
      </c>
      <c r="AL16" s="187">
        <f t="shared" si="15"/>
        <v>286.76991457740121</v>
      </c>
      <c r="AM16" s="184">
        <f t="shared" si="23"/>
        <v>4</v>
      </c>
      <c r="AN16" s="537"/>
      <c r="AO16" s="186">
        <v>11</v>
      </c>
      <c r="AP16" s="186">
        <v>3153.5911602210026</v>
      </c>
      <c r="AQ16" s="187">
        <f t="shared" si="16"/>
        <v>286.6901054746366</v>
      </c>
      <c r="AR16" s="184">
        <f t="shared" si="24"/>
        <v>4</v>
      </c>
      <c r="AS16" s="537"/>
      <c r="AT16" s="186">
        <v>11</v>
      </c>
      <c r="AU16" s="186">
        <v>3153.1034482758746</v>
      </c>
      <c r="AV16" s="187">
        <f t="shared" si="17"/>
        <v>286.64576802507952</v>
      </c>
      <c r="AW16" s="184">
        <f t="shared" si="25"/>
        <v>5</v>
      </c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2"/>
      <c r="Q17" s="182"/>
      <c r="R17" s="187"/>
      <c r="S17" s="184"/>
      <c r="T17" s="537"/>
      <c r="U17" s="182"/>
      <c r="V17" s="182"/>
      <c r="W17" s="187"/>
      <c r="X17" s="184"/>
      <c r="Y17" s="537"/>
      <c r="Z17" s="182"/>
      <c r="AA17" s="182"/>
      <c r="AB17" s="187"/>
      <c r="AC17" s="184"/>
      <c r="AD17" s="537"/>
      <c r="AE17" s="182"/>
      <c r="AF17" s="182"/>
      <c r="AG17" s="187"/>
      <c r="AH17" s="184"/>
      <c r="AI17" s="537"/>
      <c r="AJ17" s="182"/>
      <c r="AK17" s="182"/>
      <c r="AL17" s="187"/>
      <c r="AM17" s="184"/>
      <c r="AN17" s="537"/>
      <c r="AO17" s="182"/>
      <c r="AP17" s="182"/>
      <c r="AQ17" s="187"/>
      <c r="AR17" s="184"/>
      <c r="AS17" s="537"/>
      <c r="AT17" s="182"/>
      <c r="AU17" s="182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389</v>
      </c>
      <c r="C27" s="182">
        <v>1</v>
      </c>
      <c r="D27" s="185" t="s">
        <v>357</v>
      </c>
      <c r="E27" s="182">
        <v>17</v>
      </c>
      <c r="F27" s="182">
        <v>3600</v>
      </c>
      <c r="G27" s="187">
        <f t="shared" ref="G27:G36" si="36">F27/E27</f>
        <v>211.76470588235293</v>
      </c>
      <c r="H27" s="537">
        <f>AVERAGE(G27:G41)</f>
        <v>293.07709447415328</v>
      </c>
      <c r="I27" s="188">
        <f>AVERAGE(P27,U27,Z27,AE27,AJ27,AO27,AT27)</f>
        <v>17</v>
      </c>
      <c r="J27" s="188">
        <f>AVERAGE(Q27,V27,AA27,AF27,AK27,AP27,AU27)</f>
        <v>3117.5544847808919</v>
      </c>
      <c r="K27" s="189">
        <f>AVERAGE(R27,W27,AB27,AG27,AL27,AQ27,AV27)</f>
        <v>183.38555792828774</v>
      </c>
      <c r="L27" s="538">
        <f>IFERROR(AVERAGE(K27:K41),"-")</f>
        <v>258.30825157917604</v>
      </c>
      <c r="M27" s="188">
        <f>RANK(K27, K$27:$K$41)</f>
        <v>8</v>
      </c>
      <c r="N27" s="501"/>
      <c r="O27" s="501"/>
      <c r="P27" s="190">
        <v>17</v>
      </c>
      <c r="Q27" s="190">
        <v>3118.7894073140001</v>
      </c>
      <c r="R27" s="187">
        <f>IFERROR(Q27/P27,"")</f>
        <v>183.45820043023531</v>
      </c>
      <c r="S27" s="184">
        <f>RANK(R27, R$27:R$41)</f>
        <v>6</v>
      </c>
      <c r="T27" s="537">
        <f>AVERAGE(R27:R41)</f>
        <v>258.29275465601512</v>
      </c>
      <c r="U27" s="190">
        <v>17</v>
      </c>
      <c r="V27" s="190">
        <v>3117.9326546593602</v>
      </c>
      <c r="W27" s="187">
        <f t="shared" ref="W27:W36" si="37">IFERROR(V27/U27,"")</f>
        <v>183.40780321525648</v>
      </c>
      <c r="X27" s="184">
        <f>RANK(W27, W$27:W$41)</f>
        <v>7</v>
      </c>
      <c r="Y27" s="537">
        <f>AVERAGE(W27:W41)</f>
        <v>258.3032219054935</v>
      </c>
      <c r="Z27" s="190">
        <v>17</v>
      </c>
      <c r="AA27" s="190">
        <v>3117.3022882376526</v>
      </c>
      <c r="AB27" s="187">
        <f t="shared" ref="AB27:AB36" si="38">IFERROR(AA27/Z27,"")</f>
        <v>183.37072283750899</v>
      </c>
      <c r="AC27" s="184">
        <f>RANK(AB27, AB$27:AB$41)</f>
        <v>8</v>
      </c>
      <c r="AD27" s="537">
        <f>AVERAGE(AB27:AB41)</f>
        <v>258.27701610985525</v>
      </c>
      <c r="AE27" s="190">
        <v>17</v>
      </c>
      <c r="AF27" s="190">
        <v>3116.9398907103764</v>
      </c>
      <c r="AG27" s="187">
        <f>IFERROR(AF27/AE27,"")</f>
        <v>183.34940533590449</v>
      </c>
      <c r="AH27" s="184">
        <f>RANK(AG27, AG$27:AG$41)</f>
        <v>8</v>
      </c>
      <c r="AI27" s="537">
        <f>AVERAGE(AG27:AG41)</f>
        <v>258.32019215798834</v>
      </c>
      <c r="AJ27" s="190">
        <v>17</v>
      </c>
      <c r="AK27" s="190">
        <v>3116.9559412550052</v>
      </c>
      <c r="AL27" s="187">
        <f t="shared" ref="AL27:AL36" si="39">IFERROR(AK27/AJ27,"")</f>
        <v>183.35034948558854</v>
      </c>
      <c r="AM27" s="184">
        <f>RANK(AL27, AL$27:AL$41)</f>
        <v>8</v>
      </c>
      <c r="AN27" s="537">
        <f>AVERAGE(AL27:AL41)</f>
        <v>258.32331754185088</v>
      </c>
      <c r="AO27" s="190">
        <v>17</v>
      </c>
      <c r="AP27" s="190">
        <v>3117.2137710168126</v>
      </c>
      <c r="AQ27" s="187">
        <f t="shared" ref="AQ27:AQ36" si="40">IFERROR(AP27/AO27,"")</f>
        <v>183.36551594216544</v>
      </c>
      <c r="AR27" s="184">
        <f>RANK(AQ27, AQ$27:AQ$41)</f>
        <v>8</v>
      </c>
      <c r="AS27" s="537">
        <f>AVERAGE(AQ27:AQ41)</f>
        <v>258.30759573759133</v>
      </c>
      <c r="AT27" s="190">
        <v>17</v>
      </c>
      <c r="AU27" s="190">
        <v>3117.7474402730327</v>
      </c>
      <c r="AV27" s="187">
        <f t="shared" ref="AV27:AV36" si="41">IFERROR(AU27/AT27,"")</f>
        <v>183.39690825135486</v>
      </c>
      <c r="AW27" s="184">
        <f>RANK(AV27, AV$27:AV$41)</f>
        <v>8</v>
      </c>
      <c r="AX27" s="537">
        <f>AVERAGE(AV27:AV41)</f>
        <v>258.3336629454376</v>
      </c>
    </row>
    <row r="28" spans="2:50" ht="14.25" customHeight="1">
      <c r="B28" s="501"/>
      <c r="C28" s="182">
        <v>2</v>
      </c>
      <c r="D28" s="185" t="s">
        <v>358</v>
      </c>
      <c r="E28" s="182">
        <v>17</v>
      </c>
      <c r="F28" s="182">
        <v>3600</v>
      </c>
      <c r="G28" s="187">
        <f t="shared" si="36"/>
        <v>211.76470588235293</v>
      </c>
      <c r="H28" s="537"/>
      <c r="I28" s="188">
        <f t="shared" ref="I28:K36" si="42">AVERAGE(P28,U28,Z28,AE28,AJ28,AO28,AT28)</f>
        <v>17</v>
      </c>
      <c r="J28" s="188">
        <f t="shared" si="42"/>
        <v>3118.1461899094456</v>
      </c>
      <c r="K28" s="189">
        <f t="shared" si="42"/>
        <v>183.42036411232033</v>
      </c>
      <c r="L28" s="538"/>
      <c r="M28" s="188">
        <f>RANK(K28, K$27:$K$41)</f>
        <v>7</v>
      </c>
      <c r="N28" s="501"/>
      <c r="O28" s="501"/>
      <c r="P28" s="190">
        <v>17</v>
      </c>
      <c r="Q28" s="190">
        <v>3117.2540045766623</v>
      </c>
      <c r="R28" s="187">
        <f t="shared" ref="R28:R36" si="43">IFERROR(Q28/P28,"")</f>
        <v>183.3678826221566</v>
      </c>
      <c r="S28" s="184">
        <f t="shared" ref="S28:S36" si="44">RANK(R28, R$27:R$41)</f>
        <v>8</v>
      </c>
      <c r="T28" s="537"/>
      <c r="U28" s="190">
        <v>17</v>
      </c>
      <c r="V28" s="190">
        <v>3117.7246496290145</v>
      </c>
      <c r="W28" s="187">
        <f t="shared" si="37"/>
        <v>183.39556762523614</v>
      </c>
      <c r="X28" s="184">
        <f t="shared" ref="X28:X36" si="45">RANK(W28, W$27:W$41)</f>
        <v>8</v>
      </c>
      <c r="Y28" s="537"/>
      <c r="Z28" s="190">
        <v>17</v>
      </c>
      <c r="AA28" s="190">
        <v>3117.6062445793591</v>
      </c>
      <c r="AB28" s="187">
        <f t="shared" si="38"/>
        <v>183.38860262231523</v>
      </c>
      <c r="AC28" s="184">
        <f t="shared" ref="AC28:AC36" si="46">RANK(AB28, AB$27:AB$41)</f>
        <v>7</v>
      </c>
      <c r="AD28" s="537"/>
      <c r="AE28" s="190">
        <v>17</v>
      </c>
      <c r="AF28" s="190">
        <v>3117.9818887451515</v>
      </c>
      <c r="AG28" s="187">
        <f t="shared" ref="AG28:AG36" si="47">IFERROR(AF28/AE28,"")</f>
        <v>183.41069933795009</v>
      </c>
      <c r="AH28" s="184">
        <f t="shared" ref="AH28:AH36" si="48">RANK(AG28, AG$27:AG$41)</f>
        <v>7</v>
      </c>
      <c r="AI28" s="537"/>
      <c r="AJ28" s="190">
        <v>17</v>
      </c>
      <c r="AK28" s="190">
        <v>3119.3108399138578</v>
      </c>
      <c r="AL28" s="187">
        <f t="shared" si="39"/>
        <v>183.48887293610929</v>
      </c>
      <c r="AM28" s="184">
        <f t="shared" ref="AM28:AM36" si="49">RANK(AL28, AL$27:AL$41)</f>
        <v>6</v>
      </c>
      <c r="AN28" s="537"/>
      <c r="AO28" s="190">
        <v>17</v>
      </c>
      <c r="AP28" s="190">
        <v>3118.5504745470216</v>
      </c>
      <c r="AQ28" s="187">
        <f t="shared" si="40"/>
        <v>183.44414556158949</v>
      </c>
      <c r="AR28" s="184">
        <f t="shared" ref="AR28:AR36" si="50">RANK(AQ28, AQ$27:AQ$41)</f>
        <v>6</v>
      </c>
      <c r="AS28" s="537"/>
      <c r="AT28" s="190">
        <v>17</v>
      </c>
      <c r="AU28" s="190">
        <v>3118.5952273750518</v>
      </c>
      <c r="AV28" s="187">
        <f t="shared" si="41"/>
        <v>183.44677808088539</v>
      </c>
      <c r="AW28" s="184">
        <f t="shared" ref="AW28:AW36" si="51">RANK(AV28, AV$27:AV$41)</f>
        <v>6</v>
      </c>
      <c r="AX28" s="537"/>
    </row>
    <row r="29" spans="2:50" ht="14.25" customHeight="1">
      <c r="B29" s="501"/>
      <c r="C29" s="182">
        <v>3</v>
      </c>
      <c r="D29" s="185" t="s">
        <v>356</v>
      </c>
      <c r="E29" s="182">
        <v>11</v>
      </c>
      <c r="F29" s="182">
        <v>3600</v>
      </c>
      <c r="G29" s="187">
        <f t="shared" si="36"/>
        <v>327.27272727272725</v>
      </c>
      <c r="H29" s="537"/>
      <c r="I29" s="188">
        <f t="shared" si="42"/>
        <v>11</v>
      </c>
      <c r="J29" s="188">
        <f t="shared" si="42"/>
        <v>3152.9601938218543</v>
      </c>
      <c r="K29" s="189">
        <f t="shared" si="42"/>
        <v>286.63274489289586</v>
      </c>
      <c r="L29" s="538"/>
      <c r="M29" s="188">
        <f>RANK(K29, K$27:$K$41)</f>
        <v>5</v>
      </c>
      <c r="N29" s="501"/>
      <c r="O29" s="501"/>
      <c r="P29" s="190">
        <v>11</v>
      </c>
      <c r="Q29" s="190">
        <v>3152.7141133896284</v>
      </c>
      <c r="R29" s="187">
        <f t="shared" si="43"/>
        <v>286.61037394451165</v>
      </c>
      <c r="S29" s="184">
        <f t="shared" si="44"/>
        <v>5</v>
      </c>
      <c r="T29" s="537"/>
      <c r="U29" s="190">
        <v>11</v>
      </c>
      <c r="V29" s="190">
        <v>3152.3532829750166</v>
      </c>
      <c r="W29" s="187">
        <f t="shared" si="37"/>
        <v>286.57757117954696</v>
      </c>
      <c r="X29" s="184">
        <f t="shared" si="45"/>
        <v>5</v>
      </c>
      <c r="Y29" s="537"/>
      <c r="Z29" s="190">
        <v>11</v>
      </c>
      <c r="AA29" s="190">
        <v>3152.2388059701543</v>
      </c>
      <c r="AB29" s="187">
        <f t="shared" si="38"/>
        <v>286.56716417910496</v>
      </c>
      <c r="AC29" s="184">
        <f t="shared" si="46"/>
        <v>5</v>
      </c>
      <c r="AD29" s="537"/>
      <c r="AE29" s="190">
        <v>11</v>
      </c>
      <c r="AF29" s="190">
        <v>3152.2537562604293</v>
      </c>
      <c r="AG29" s="187">
        <f t="shared" si="47"/>
        <v>286.56852329640265</v>
      </c>
      <c r="AH29" s="184">
        <f t="shared" si="48"/>
        <v>5</v>
      </c>
      <c r="AI29" s="537"/>
      <c r="AJ29" s="190">
        <v>11</v>
      </c>
      <c r="AK29" s="190">
        <v>3154.2533081285569</v>
      </c>
      <c r="AL29" s="187">
        <f t="shared" si="39"/>
        <v>286.75030073895971</v>
      </c>
      <c r="AM29" s="184">
        <f t="shared" si="49"/>
        <v>5</v>
      </c>
      <c r="AN29" s="537"/>
      <c r="AO29" s="190">
        <v>11</v>
      </c>
      <c r="AP29" s="190">
        <v>3153.4554046072017</v>
      </c>
      <c r="AQ29" s="187">
        <f t="shared" si="40"/>
        <v>286.67776405520016</v>
      </c>
      <c r="AR29" s="184">
        <f t="shared" si="50"/>
        <v>5</v>
      </c>
      <c r="AS29" s="537"/>
      <c r="AT29" s="190">
        <v>11</v>
      </c>
      <c r="AU29" s="190">
        <v>3153.4526854219921</v>
      </c>
      <c r="AV29" s="187">
        <f t="shared" si="41"/>
        <v>286.67751685654474</v>
      </c>
      <c r="AW29" s="184">
        <f t="shared" si="51"/>
        <v>5</v>
      </c>
      <c r="AX29" s="537"/>
    </row>
    <row r="30" spans="2:50" ht="14.25" customHeight="1">
      <c r="B30" s="501"/>
      <c r="C30" s="182">
        <v>4</v>
      </c>
      <c r="D30" s="185" t="s">
        <v>485</v>
      </c>
      <c r="E30" s="182">
        <v>6</v>
      </c>
      <c r="F30" s="182">
        <v>2600</v>
      </c>
      <c r="G30" s="187">
        <f t="shared" si="36"/>
        <v>433.33333333333331</v>
      </c>
      <c r="H30" s="537"/>
      <c r="I30" s="188">
        <f t="shared" si="42"/>
        <v>6</v>
      </c>
      <c r="J30" s="188">
        <f t="shared" si="42"/>
        <v>2316.9253525978638</v>
      </c>
      <c r="K30" s="189">
        <f t="shared" si="42"/>
        <v>386.15422543297728</v>
      </c>
      <c r="L30" s="538"/>
      <c r="M30" s="188">
        <f>RANK(K30, K$27:$K$41)</f>
        <v>2</v>
      </c>
      <c r="N30" s="501"/>
      <c r="O30" s="501"/>
      <c r="P30" s="190">
        <v>6</v>
      </c>
      <c r="Q30" s="190">
        <v>2316.5967645296532</v>
      </c>
      <c r="R30" s="187">
        <f t="shared" si="43"/>
        <v>386.09946075494219</v>
      </c>
      <c r="S30" s="184">
        <f t="shared" si="44"/>
        <v>2</v>
      </c>
      <c r="T30" s="537"/>
      <c r="U30" s="190">
        <v>6</v>
      </c>
      <c r="V30" s="190">
        <v>2317.050691244242</v>
      </c>
      <c r="W30" s="187">
        <f t="shared" si="37"/>
        <v>386.17511520737366</v>
      </c>
      <c r="X30" s="184">
        <f t="shared" si="45"/>
        <v>2</v>
      </c>
      <c r="Y30" s="537"/>
      <c r="Z30" s="190">
        <v>6</v>
      </c>
      <c r="AA30" s="190">
        <v>2317.0837867246973</v>
      </c>
      <c r="AB30" s="187">
        <f t="shared" si="38"/>
        <v>386.18063112078289</v>
      </c>
      <c r="AC30" s="184">
        <f t="shared" si="46"/>
        <v>2</v>
      </c>
      <c r="AD30" s="537"/>
      <c r="AE30" s="190">
        <v>6</v>
      </c>
      <c r="AF30" s="190">
        <v>2318.3402489626565</v>
      </c>
      <c r="AG30" s="187">
        <f t="shared" si="47"/>
        <v>386.3900414937761</v>
      </c>
      <c r="AH30" s="184">
        <f t="shared" si="48"/>
        <v>2</v>
      </c>
      <c r="AI30" s="537"/>
      <c r="AJ30" s="190">
        <v>6</v>
      </c>
      <c r="AK30" s="190">
        <v>2315.7495256167017</v>
      </c>
      <c r="AL30" s="187">
        <f t="shared" si="39"/>
        <v>385.95825426945026</v>
      </c>
      <c r="AM30" s="184">
        <f t="shared" si="49"/>
        <v>2</v>
      </c>
      <c r="AN30" s="537"/>
      <c r="AO30" s="190">
        <v>6</v>
      </c>
      <c r="AP30" s="190">
        <v>2316.6576234400409</v>
      </c>
      <c r="AQ30" s="187">
        <f t="shared" si="40"/>
        <v>386.1096039066735</v>
      </c>
      <c r="AR30" s="184">
        <f t="shared" si="50"/>
        <v>2</v>
      </c>
      <c r="AS30" s="537"/>
      <c r="AT30" s="190">
        <v>6</v>
      </c>
      <c r="AU30" s="190">
        <v>2316.9988276670556</v>
      </c>
      <c r="AV30" s="187">
        <f t="shared" si="41"/>
        <v>386.16647127784262</v>
      </c>
      <c r="AW30" s="184">
        <f t="shared" si="51"/>
        <v>2</v>
      </c>
      <c r="AX30" s="537"/>
    </row>
    <row r="31" spans="2:50" ht="14.25" customHeight="1">
      <c r="B31" s="501"/>
      <c r="C31" s="182">
        <v>5</v>
      </c>
      <c r="D31" s="185" t="s">
        <v>496</v>
      </c>
      <c r="E31" s="182">
        <v>6</v>
      </c>
      <c r="F31" s="182">
        <v>2500</v>
      </c>
      <c r="G31" s="187">
        <f t="shared" si="36"/>
        <v>416.66666666666669</v>
      </c>
      <c r="H31" s="537"/>
      <c r="I31" s="188">
        <f t="shared" si="42"/>
        <v>6</v>
      </c>
      <c r="J31" s="188">
        <f t="shared" si="42"/>
        <v>2255.5581480416954</v>
      </c>
      <c r="K31" s="189">
        <f t="shared" si="42"/>
        <v>375.92635800694916</v>
      </c>
      <c r="L31" s="538"/>
      <c r="M31" s="188">
        <f>RANK(K31, K$27:$K$41)</f>
        <v>3</v>
      </c>
      <c r="N31" s="501"/>
      <c r="O31" s="501"/>
      <c r="P31" s="190">
        <v>6</v>
      </c>
      <c r="Q31" s="190">
        <v>2255.9999999999909</v>
      </c>
      <c r="R31" s="187">
        <f t="shared" si="43"/>
        <v>375.99999999999847</v>
      </c>
      <c r="S31" s="184">
        <f t="shared" si="44"/>
        <v>3</v>
      </c>
      <c r="T31" s="537"/>
      <c r="U31" s="190">
        <v>6</v>
      </c>
      <c r="V31" s="190">
        <v>2255.737704918025</v>
      </c>
      <c r="W31" s="187">
        <f t="shared" si="37"/>
        <v>375.95628415300416</v>
      </c>
      <c r="X31" s="184">
        <f t="shared" si="45"/>
        <v>3</v>
      </c>
      <c r="Y31" s="537"/>
      <c r="Z31" s="190">
        <v>6</v>
      </c>
      <c r="AA31" s="190">
        <v>2254.6972860125202</v>
      </c>
      <c r="AB31" s="187">
        <f t="shared" si="38"/>
        <v>375.7828810020867</v>
      </c>
      <c r="AC31" s="184">
        <f t="shared" si="46"/>
        <v>3</v>
      </c>
      <c r="AD31" s="537"/>
      <c r="AE31" s="190">
        <v>6</v>
      </c>
      <c r="AF31" s="190">
        <v>2254.4731610337958</v>
      </c>
      <c r="AG31" s="187">
        <f t="shared" si="47"/>
        <v>375.74552683896599</v>
      </c>
      <c r="AH31" s="184">
        <f t="shared" si="48"/>
        <v>3</v>
      </c>
      <c r="AI31" s="537"/>
      <c r="AJ31" s="190">
        <v>6</v>
      </c>
      <c r="AK31" s="190">
        <v>2256.2211981566866</v>
      </c>
      <c r="AL31" s="187">
        <f t="shared" si="39"/>
        <v>376.03686635944774</v>
      </c>
      <c r="AM31" s="184">
        <f t="shared" si="49"/>
        <v>3</v>
      </c>
      <c r="AN31" s="537"/>
      <c r="AO31" s="190">
        <v>6</v>
      </c>
      <c r="AP31" s="190">
        <v>2255.3359683794433</v>
      </c>
      <c r="AQ31" s="187">
        <f t="shared" si="40"/>
        <v>375.88932806324055</v>
      </c>
      <c r="AR31" s="184">
        <f t="shared" si="50"/>
        <v>3</v>
      </c>
      <c r="AS31" s="537"/>
      <c r="AT31" s="190">
        <v>6</v>
      </c>
      <c r="AU31" s="190">
        <v>2256.441717791402</v>
      </c>
      <c r="AV31" s="187">
        <f t="shared" si="41"/>
        <v>376.07361963190033</v>
      </c>
      <c r="AW31" s="184">
        <f t="shared" si="51"/>
        <v>3</v>
      </c>
      <c r="AX31" s="537"/>
    </row>
    <row r="32" spans="2:50" ht="14.25" customHeight="1">
      <c r="B32" s="501"/>
      <c r="C32" s="182">
        <v>6</v>
      </c>
      <c r="D32" s="185" t="s">
        <v>494</v>
      </c>
      <c r="E32" s="182">
        <v>6</v>
      </c>
      <c r="F32" s="182">
        <v>2600</v>
      </c>
      <c r="G32" s="187">
        <f t="shared" si="36"/>
        <v>433.33333333333331</v>
      </c>
      <c r="H32" s="537"/>
      <c r="I32" s="188">
        <f t="shared" si="42"/>
        <v>6</v>
      </c>
      <c r="J32" s="188">
        <f t="shared" si="42"/>
        <v>2317.6606143603663</v>
      </c>
      <c r="K32" s="189">
        <f t="shared" si="42"/>
        <v>386.27676906006093</v>
      </c>
      <c r="L32" s="538"/>
      <c r="M32" s="188">
        <f>RANK(K32, K$27:$K$41)</f>
        <v>1</v>
      </c>
      <c r="N32" s="501"/>
      <c r="O32" s="501"/>
      <c r="P32" s="190">
        <v>6</v>
      </c>
      <c r="Q32" s="190">
        <v>2317.4561972744982</v>
      </c>
      <c r="R32" s="187">
        <f t="shared" si="43"/>
        <v>386.2426995457497</v>
      </c>
      <c r="S32" s="184">
        <f t="shared" si="44"/>
        <v>1</v>
      </c>
      <c r="T32" s="537"/>
      <c r="U32" s="190">
        <v>6</v>
      </c>
      <c r="V32" s="190">
        <v>2317.6403857061819</v>
      </c>
      <c r="W32" s="187">
        <f t="shared" si="37"/>
        <v>386.27339761769696</v>
      </c>
      <c r="X32" s="184">
        <f t="shared" si="45"/>
        <v>1</v>
      </c>
      <c r="Y32" s="537"/>
      <c r="Z32" s="190">
        <v>6</v>
      </c>
      <c r="AA32" s="190">
        <v>2317.2165566886624</v>
      </c>
      <c r="AB32" s="187">
        <f t="shared" si="38"/>
        <v>386.20275944811038</v>
      </c>
      <c r="AC32" s="184">
        <f t="shared" si="46"/>
        <v>1</v>
      </c>
      <c r="AD32" s="537"/>
      <c r="AE32" s="190">
        <v>6</v>
      </c>
      <c r="AF32" s="190">
        <v>2318.6440677966079</v>
      </c>
      <c r="AG32" s="187">
        <f t="shared" si="47"/>
        <v>386.4406779661013</v>
      </c>
      <c r="AH32" s="184">
        <f t="shared" si="48"/>
        <v>1</v>
      </c>
      <c r="AI32" s="537"/>
      <c r="AJ32" s="190">
        <v>6</v>
      </c>
      <c r="AK32" s="190">
        <v>2317.7072671443248</v>
      </c>
      <c r="AL32" s="187">
        <f t="shared" si="39"/>
        <v>386.28454452405413</v>
      </c>
      <c r="AM32" s="184">
        <f t="shared" si="49"/>
        <v>1</v>
      </c>
      <c r="AN32" s="537"/>
      <c r="AO32" s="190">
        <v>6</v>
      </c>
      <c r="AP32" s="190">
        <v>2317.7184466019417</v>
      </c>
      <c r="AQ32" s="187">
        <f t="shared" si="40"/>
        <v>386.28640776699029</v>
      </c>
      <c r="AR32" s="184">
        <f t="shared" si="50"/>
        <v>1</v>
      </c>
      <c r="AS32" s="537"/>
      <c r="AT32" s="190">
        <v>6</v>
      </c>
      <c r="AU32" s="190">
        <v>2317.2413793103456</v>
      </c>
      <c r="AV32" s="187">
        <f t="shared" si="41"/>
        <v>386.20689655172424</v>
      </c>
      <c r="AW32" s="184">
        <f t="shared" si="51"/>
        <v>1</v>
      </c>
      <c r="AX32" s="537"/>
    </row>
    <row r="33" spans="2:50" ht="14.25" customHeight="1">
      <c r="B33" s="501"/>
      <c r="C33" s="182">
        <v>7</v>
      </c>
      <c r="D33" s="185" t="s">
        <v>577</v>
      </c>
      <c r="E33" s="182">
        <v>12</v>
      </c>
      <c r="F33" s="182">
        <v>1750</v>
      </c>
      <c r="G33" s="187">
        <f t="shared" si="36"/>
        <v>145.83333333333334</v>
      </c>
      <c r="H33" s="537"/>
      <c r="I33" s="188">
        <f t="shared" si="42"/>
        <v>12</v>
      </c>
      <c r="J33" s="188">
        <f t="shared" si="42"/>
        <v>1533.1740933162259</v>
      </c>
      <c r="K33" s="189">
        <f t="shared" si="42"/>
        <v>127.76450777635218</v>
      </c>
      <c r="L33" s="538"/>
      <c r="M33" s="188">
        <f>RANK(K33, K$27:$K$41)</f>
        <v>10</v>
      </c>
      <c r="N33" s="501"/>
      <c r="O33" s="501"/>
      <c r="P33" s="190">
        <v>12</v>
      </c>
      <c r="Q33" s="190">
        <v>1532.3583180987202</v>
      </c>
      <c r="R33" s="187">
        <f t="shared" si="43"/>
        <v>127.69652650822668</v>
      </c>
      <c r="S33" s="184">
        <f t="shared" si="44"/>
        <v>10</v>
      </c>
      <c r="T33" s="537"/>
      <c r="U33" s="190">
        <v>12</v>
      </c>
      <c r="V33" s="190">
        <v>1532.842105263157</v>
      </c>
      <c r="W33" s="187">
        <f t="shared" si="37"/>
        <v>127.73684210526308</v>
      </c>
      <c r="X33" s="184">
        <f t="shared" si="45"/>
        <v>10</v>
      </c>
      <c r="Y33" s="537"/>
      <c r="Z33" s="190">
        <v>12</v>
      </c>
      <c r="AA33" s="190">
        <v>1533.1086773378274</v>
      </c>
      <c r="AB33" s="187">
        <f t="shared" si="38"/>
        <v>127.75905644481895</v>
      </c>
      <c r="AC33" s="184">
        <f t="shared" si="46"/>
        <v>10</v>
      </c>
      <c r="AD33" s="537"/>
      <c r="AE33" s="190">
        <v>12</v>
      </c>
      <c r="AF33" s="190">
        <v>1533.5837716003002</v>
      </c>
      <c r="AG33" s="187">
        <f t="shared" si="47"/>
        <v>127.79864763335836</v>
      </c>
      <c r="AH33" s="184">
        <f t="shared" si="48"/>
        <v>10</v>
      </c>
      <c r="AI33" s="537"/>
      <c r="AJ33" s="190">
        <v>12</v>
      </c>
      <c r="AK33" s="190">
        <v>1533.3333333333358</v>
      </c>
      <c r="AL33" s="187">
        <f t="shared" si="39"/>
        <v>127.77777777777798</v>
      </c>
      <c r="AM33" s="184">
        <f t="shared" si="49"/>
        <v>10</v>
      </c>
      <c r="AN33" s="537"/>
      <c r="AO33" s="190">
        <v>12</v>
      </c>
      <c r="AP33" s="190">
        <v>1533.3717579250724</v>
      </c>
      <c r="AQ33" s="187">
        <f t="shared" si="40"/>
        <v>127.78097982708937</v>
      </c>
      <c r="AR33" s="184">
        <f t="shared" si="50"/>
        <v>10</v>
      </c>
      <c r="AS33" s="537"/>
      <c r="AT33" s="190">
        <v>12</v>
      </c>
      <c r="AU33" s="190">
        <v>1533.6206896551703</v>
      </c>
      <c r="AV33" s="187">
        <f t="shared" si="41"/>
        <v>127.80172413793086</v>
      </c>
      <c r="AW33" s="184">
        <f t="shared" si="51"/>
        <v>10</v>
      </c>
      <c r="AX33" s="537"/>
    </row>
    <row r="34" spans="2:50" ht="14.25" customHeight="1">
      <c r="B34" s="501"/>
      <c r="C34" s="182">
        <v>8</v>
      </c>
      <c r="D34" s="185" t="s">
        <v>360</v>
      </c>
      <c r="E34" s="182">
        <v>17</v>
      </c>
      <c r="F34" s="182">
        <v>3600</v>
      </c>
      <c r="G34" s="187">
        <f t="shared" si="36"/>
        <v>211.76470588235293</v>
      </c>
      <c r="H34" s="537"/>
      <c r="I34" s="188">
        <f t="shared" si="42"/>
        <v>17</v>
      </c>
      <c r="J34" s="188">
        <f t="shared" si="42"/>
        <v>3116.8878074362724</v>
      </c>
      <c r="K34" s="189">
        <f t="shared" si="42"/>
        <v>183.34634161389837</v>
      </c>
      <c r="L34" s="538"/>
      <c r="M34" s="188">
        <f>RANK(K34, K$27:$K$41)</f>
        <v>9</v>
      </c>
      <c r="N34" s="501"/>
      <c r="O34" s="501"/>
      <c r="P34" s="190">
        <v>17</v>
      </c>
      <c r="Q34" s="190">
        <v>3116.8096054888547</v>
      </c>
      <c r="R34" s="187">
        <f t="shared" si="43"/>
        <v>183.34174149934438</v>
      </c>
      <c r="S34" s="184">
        <f t="shared" si="44"/>
        <v>9</v>
      </c>
      <c r="T34" s="537"/>
      <c r="U34" s="190">
        <v>17</v>
      </c>
      <c r="V34" s="190">
        <v>3116.9426751592314</v>
      </c>
      <c r="W34" s="187">
        <f t="shared" si="37"/>
        <v>183.34956912701361</v>
      </c>
      <c r="X34" s="184">
        <f t="shared" si="45"/>
        <v>9</v>
      </c>
      <c r="Y34" s="537"/>
      <c r="Z34" s="190">
        <v>17</v>
      </c>
      <c r="AA34" s="190">
        <v>3117.1336701883215</v>
      </c>
      <c r="AB34" s="187">
        <f t="shared" si="38"/>
        <v>183.36080412872479</v>
      </c>
      <c r="AC34" s="184">
        <f t="shared" si="46"/>
        <v>9</v>
      </c>
      <c r="AD34" s="537"/>
      <c r="AE34" s="190">
        <v>17</v>
      </c>
      <c r="AF34" s="190">
        <v>3116.9006176305388</v>
      </c>
      <c r="AG34" s="187">
        <f t="shared" si="47"/>
        <v>183.34709515473759</v>
      </c>
      <c r="AH34" s="184">
        <f t="shared" si="48"/>
        <v>9</v>
      </c>
      <c r="AI34" s="537"/>
      <c r="AJ34" s="190">
        <v>17</v>
      </c>
      <c r="AK34" s="190">
        <v>3116.8364289993851</v>
      </c>
      <c r="AL34" s="187">
        <f t="shared" si="39"/>
        <v>183.34331935290501</v>
      </c>
      <c r="AM34" s="184">
        <f t="shared" si="49"/>
        <v>9</v>
      </c>
      <c r="AN34" s="537"/>
      <c r="AO34" s="190">
        <v>17</v>
      </c>
      <c r="AP34" s="190">
        <v>3117.0731707317063</v>
      </c>
      <c r="AQ34" s="187">
        <f t="shared" si="40"/>
        <v>183.35724533715918</v>
      </c>
      <c r="AR34" s="184">
        <f t="shared" si="50"/>
        <v>9</v>
      </c>
      <c r="AS34" s="537"/>
      <c r="AT34" s="190">
        <v>17</v>
      </c>
      <c r="AU34" s="190">
        <v>3116.5184838558662</v>
      </c>
      <c r="AV34" s="187">
        <f t="shared" si="41"/>
        <v>183.32461669740388</v>
      </c>
      <c r="AW34" s="184">
        <f t="shared" si="51"/>
        <v>9</v>
      </c>
      <c r="AX34" s="537"/>
    </row>
    <row r="35" spans="2:50" ht="14.25" customHeight="1">
      <c r="B35" s="501"/>
      <c r="C35" s="182">
        <v>9</v>
      </c>
      <c r="D35" s="185" t="s">
        <v>361</v>
      </c>
      <c r="E35" s="182">
        <v>17</v>
      </c>
      <c r="F35" s="182">
        <v>3600</v>
      </c>
      <c r="G35" s="187">
        <f t="shared" si="36"/>
        <v>211.76470588235293</v>
      </c>
      <c r="H35" s="537"/>
      <c r="I35" s="188">
        <f t="shared" si="42"/>
        <v>17</v>
      </c>
      <c r="J35" s="188">
        <f t="shared" si="42"/>
        <v>3118.676264156496</v>
      </c>
      <c r="K35" s="189">
        <f t="shared" si="42"/>
        <v>183.4515449503821</v>
      </c>
      <c r="L35" s="538"/>
      <c r="M35" s="188">
        <f>RANK(K35, K$27:$K$41)</f>
        <v>6</v>
      </c>
      <c r="N35" s="501"/>
      <c r="O35" s="501"/>
      <c r="P35" s="190">
        <v>17</v>
      </c>
      <c r="Q35" s="190">
        <v>3118.1102362204792</v>
      </c>
      <c r="R35" s="187">
        <f t="shared" si="43"/>
        <v>183.41824918943996</v>
      </c>
      <c r="S35" s="184">
        <f t="shared" si="44"/>
        <v>7</v>
      </c>
      <c r="T35" s="537"/>
      <c r="U35" s="190">
        <v>17</v>
      </c>
      <c r="V35" s="190">
        <v>3118.4919210053768</v>
      </c>
      <c r="W35" s="187">
        <f t="shared" si="37"/>
        <v>183.44070123561039</v>
      </c>
      <c r="X35" s="184">
        <f t="shared" si="45"/>
        <v>6</v>
      </c>
      <c r="Y35" s="537"/>
      <c r="Z35" s="190">
        <v>17</v>
      </c>
      <c r="AA35" s="190">
        <v>3118.9580318379185</v>
      </c>
      <c r="AB35" s="187">
        <f t="shared" si="38"/>
        <v>183.46811951987755</v>
      </c>
      <c r="AC35" s="184">
        <f t="shared" si="46"/>
        <v>6</v>
      </c>
      <c r="AD35" s="537"/>
      <c r="AE35" s="190">
        <v>17</v>
      </c>
      <c r="AF35" s="190">
        <v>3119.7089144936285</v>
      </c>
      <c r="AG35" s="187">
        <f t="shared" si="47"/>
        <v>183.51228908786049</v>
      </c>
      <c r="AH35" s="184">
        <f t="shared" si="48"/>
        <v>6</v>
      </c>
      <c r="AI35" s="537"/>
      <c r="AJ35" s="190">
        <v>17</v>
      </c>
      <c r="AK35" s="190">
        <v>3118.5909980430533</v>
      </c>
      <c r="AL35" s="187">
        <f t="shared" si="39"/>
        <v>183.4465292966502</v>
      </c>
      <c r="AM35" s="184">
        <f t="shared" si="49"/>
        <v>7</v>
      </c>
      <c r="AN35" s="537"/>
      <c r="AO35" s="190">
        <v>17</v>
      </c>
      <c r="AP35" s="190">
        <v>3118.436873747507</v>
      </c>
      <c r="AQ35" s="187">
        <f t="shared" si="40"/>
        <v>183.43746316161807</v>
      </c>
      <c r="AR35" s="184">
        <f t="shared" si="50"/>
        <v>7</v>
      </c>
      <c r="AS35" s="537"/>
      <c r="AT35" s="190">
        <v>17</v>
      </c>
      <c r="AU35" s="190">
        <v>3118.436873747507</v>
      </c>
      <c r="AV35" s="187">
        <f t="shared" si="41"/>
        <v>183.43746316161807</v>
      </c>
      <c r="AW35" s="184">
        <f t="shared" si="51"/>
        <v>7</v>
      </c>
      <c r="AX35" s="537"/>
    </row>
    <row r="36" spans="2:50" ht="14.25" customHeight="1">
      <c r="B36" s="501"/>
      <c r="C36" s="182">
        <v>10</v>
      </c>
      <c r="D36" s="185" t="s">
        <v>359</v>
      </c>
      <c r="E36" s="182">
        <v>11</v>
      </c>
      <c r="F36" s="182">
        <v>3600</v>
      </c>
      <c r="G36" s="187">
        <f t="shared" si="36"/>
        <v>327.27272727272725</v>
      </c>
      <c r="H36" s="537"/>
      <c r="I36" s="188">
        <f t="shared" si="42"/>
        <v>11</v>
      </c>
      <c r="J36" s="188">
        <f t="shared" si="42"/>
        <v>3153.9651221939998</v>
      </c>
      <c r="K36" s="189">
        <f t="shared" si="42"/>
        <v>286.72410201763631</v>
      </c>
      <c r="L36" s="538"/>
      <c r="M36" s="188">
        <f>RANK(K36, K$27:$K$41)</f>
        <v>4</v>
      </c>
      <c r="N36" s="501"/>
      <c r="O36" s="501"/>
      <c r="P36" s="190">
        <v>11</v>
      </c>
      <c r="Q36" s="190">
        <v>3153.6165327210151</v>
      </c>
      <c r="R36" s="187">
        <f t="shared" si="43"/>
        <v>286.69241206554682</v>
      </c>
      <c r="S36" s="184">
        <f t="shared" si="44"/>
        <v>4</v>
      </c>
      <c r="T36" s="537"/>
      <c r="U36" s="190">
        <v>11</v>
      </c>
      <c r="V36" s="190">
        <v>3153.9130434782664</v>
      </c>
      <c r="W36" s="187">
        <f t="shared" si="37"/>
        <v>286.71936758893332</v>
      </c>
      <c r="X36" s="184">
        <f t="shared" si="45"/>
        <v>4</v>
      </c>
      <c r="Y36" s="537"/>
      <c r="Z36" s="190">
        <v>11</v>
      </c>
      <c r="AA36" s="190">
        <v>3153.5836177474462</v>
      </c>
      <c r="AB36" s="187">
        <f t="shared" si="38"/>
        <v>286.68941979522236</v>
      </c>
      <c r="AC36" s="184">
        <f t="shared" si="46"/>
        <v>4</v>
      </c>
      <c r="AD36" s="537"/>
      <c r="AE36" s="190">
        <v>11</v>
      </c>
      <c r="AF36" s="190">
        <v>3153.0291697830935</v>
      </c>
      <c r="AG36" s="187">
        <f t="shared" si="47"/>
        <v>286.63901543482666</v>
      </c>
      <c r="AH36" s="184">
        <f t="shared" si="48"/>
        <v>4</v>
      </c>
      <c r="AI36" s="537"/>
      <c r="AJ36" s="190">
        <v>11</v>
      </c>
      <c r="AK36" s="190">
        <v>3154.7599674532298</v>
      </c>
      <c r="AL36" s="187">
        <f t="shared" si="39"/>
        <v>286.79636067756633</v>
      </c>
      <c r="AM36" s="184">
        <f t="shared" si="49"/>
        <v>4</v>
      </c>
      <c r="AN36" s="537"/>
      <c r="AO36" s="190">
        <v>11</v>
      </c>
      <c r="AP36" s="190">
        <v>3154.0025412960613</v>
      </c>
      <c r="AQ36" s="187">
        <f t="shared" si="40"/>
        <v>286.72750375418741</v>
      </c>
      <c r="AR36" s="184">
        <f t="shared" si="50"/>
        <v>4</v>
      </c>
      <c r="AS36" s="537"/>
      <c r="AT36" s="190">
        <v>11</v>
      </c>
      <c r="AU36" s="190">
        <v>3154.8509828788833</v>
      </c>
      <c r="AV36" s="187">
        <f t="shared" si="41"/>
        <v>286.80463480717123</v>
      </c>
      <c r="AW36" s="184">
        <f t="shared" si="51"/>
        <v>4</v>
      </c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7"/>
      <c r="N42" s="563" t="s">
        <v>383</v>
      </c>
      <c r="O42" s="563" t="s">
        <v>105</v>
      </c>
      <c r="P42" s="598">
        <f>AT22+1</f>
        <v>46035</v>
      </c>
      <c r="Q42" s="599"/>
      <c r="R42" s="599"/>
      <c r="S42" s="599"/>
      <c r="T42" s="599"/>
      <c r="U42" s="600">
        <f>P42+1</f>
        <v>46036</v>
      </c>
      <c r="V42" s="601"/>
      <c r="W42" s="601"/>
      <c r="X42" s="601"/>
      <c r="Y42" s="601"/>
      <c r="Z42" s="598">
        <f t="shared" ref="Z42" si="52">U42+1</f>
        <v>46037</v>
      </c>
      <c r="AA42" s="599"/>
      <c r="AB42" s="599"/>
      <c r="AC42" s="599"/>
      <c r="AD42" s="599"/>
      <c r="AE42" s="600">
        <f t="shared" ref="AE42" si="53">Z42+1</f>
        <v>46038</v>
      </c>
      <c r="AF42" s="601"/>
      <c r="AG42" s="601"/>
      <c r="AH42" s="601"/>
      <c r="AI42" s="601"/>
      <c r="AJ42" s="590">
        <f t="shared" ref="AJ42" si="54">AE42+1</f>
        <v>46039</v>
      </c>
      <c r="AK42" s="591"/>
      <c r="AL42" s="591"/>
      <c r="AM42" s="591"/>
      <c r="AN42" s="592"/>
      <c r="AO42" s="600">
        <f t="shared" ref="AO42" si="55">AJ42+1</f>
        <v>46040</v>
      </c>
      <c r="AP42" s="601"/>
      <c r="AQ42" s="601"/>
      <c r="AR42" s="601"/>
      <c r="AS42" s="601"/>
      <c r="AT42" s="590">
        <f t="shared" ref="AT42" si="56">AO42+1</f>
        <v>46041</v>
      </c>
      <c r="AU42" s="591"/>
      <c r="AV42" s="591"/>
      <c r="AW42" s="591"/>
      <c r="AX42" s="592"/>
    </row>
    <row r="43" spans="2:50" ht="14.25" customHeight="1">
      <c r="B43" s="548"/>
      <c r="C43" s="548"/>
      <c r="D43" s="548"/>
      <c r="E43" s="548"/>
      <c r="F43" s="548"/>
      <c r="G43" s="548"/>
      <c r="H43" s="548"/>
      <c r="I43" s="548"/>
      <c r="J43" s="548"/>
      <c r="K43" s="548"/>
      <c r="L43" s="548"/>
      <c r="M43" s="549"/>
      <c r="N43" s="565"/>
      <c r="O43" s="565"/>
      <c r="P43" s="593">
        <f>P42</f>
        <v>46035</v>
      </c>
      <c r="Q43" s="593"/>
      <c r="R43" s="593"/>
      <c r="S43" s="593"/>
      <c r="T43" s="593"/>
      <c r="U43" s="594">
        <f>U42</f>
        <v>46036</v>
      </c>
      <c r="V43" s="594"/>
      <c r="W43" s="594"/>
      <c r="X43" s="594"/>
      <c r="Y43" s="594"/>
      <c r="Z43" s="593">
        <f t="shared" ref="Z43" si="57">Z42</f>
        <v>46037</v>
      </c>
      <c r="AA43" s="593"/>
      <c r="AB43" s="593"/>
      <c r="AC43" s="593"/>
      <c r="AD43" s="593"/>
      <c r="AE43" s="594">
        <f t="shared" ref="AE43" si="58">AE42</f>
        <v>46038</v>
      </c>
      <c r="AF43" s="594"/>
      <c r="AG43" s="594"/>
      <c r="AH43" s="594"/>
      <c r="AI43" s="594"/>
      <c r="AJ43" s="595">
        <f t="shared" ref="AJ43" si="59">AJ42</f>
        <v>46039</v>
      </c>
      <c r="AK43" s="596"/>
      <c r="AL43" s="596"/>
      <c r="AM43" s="596"/>
      <c r="AN43" s="597"/>
      <c r="AO43" s="594">
        <f t="shared" ref="AO43" si="60">AO42</f>
        <v>46040</v>
      </c>
      <c r="AP43" s="594"/>
      <c r="AQ43" s="594"/>
      <c r="AR43" s="594"/>
      <c r="AS43" s="594"/>
      <c r="AT43" s="595">
        <f t="shared" ref="AT43" si="61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389</v>
      </c>
      <c r="C47" s="182">
        <v>1</v>
      </c>
      <c r="D47" s="185" t="s">
        <v>357</v>
      </c>
      <c r="E47" s="182">
        <v>12</v>
      </c>
      <c r="F47" s="182">
        <v>3600</v>
      </c>
      <c r="G47" s="187">
        <f t="shared" ref="G47:G56" si="62">F47/E47</f>
        <v>300</v>
      </c>
      <c r="H47" s="537">
        <f>AVERAGE(G47:G61)</f>
        <v>328.37121212121212</v>
      </c>
      <c r="I47" s="188">
        <f>AVERAGE(P47,U47,Z47,AE47,AJ47,AO47,AT47)</f>
        <v>12</v>
      </c>
      <c r="J47" s="188">
        <f>AVERAGE(Q47,V47,AA47,AF47,AK47,AP47,AU47)</f>
        <v>3120.8706242071917</v>
      </c>
      <c r="K47" s="189">
        <f>AVERAGE(R47,W47,AB47,AG47,AL47,AQ47,AV47)</f>
        <v>260.07255201726599</v>
      </c>
      <c r="L47" s="538">
        <f>IFERROR(AVERAGE(K47:K61),"-")</f>
        <v>288.95732638271312</v>
      </c>
      <c r="M47" s="188">
        <f>RANK(K47, K$47:$K$61)</f>
        <v>6</v>
      </c>
      <c r="N47" s="501"/>
      <c r="O47" s="501"/>
      <c r="P47" s="190">
        <v>12</v>
      </c>
      <c r="Q47" s="190">
        <v>3118.1736794986541</v>
      </c>
      <c r="R47" s="187">
        <f>IFERROR(Q47/P47,"")</f>
        <v>259.84780662488782</v>
      </c>
      <c r="S47" s="184">
        <f>RANK(R47, R$47:R$61)</f>
        <v>8</v>
      </c>
      <c r="T47" s="537">
        <f>AVERAGE(R47:R61)</f>
        <v>288.92991418808799</v>
      </c>
      <c r="U47" s="190">
        <v>12</v>
      </c>
      <c r="V47" s="190">
        <v>3119.7973828619679</v>
      </c>
      <c r="W47" s="187">
        <f t="shared" ref="W47:W56" si="63">IFERROR(V47/U47,"")</f>
        <v>259.98311523849731</v>
      </c>
      <c r="X47" s="184">
        <f>RANK(W47, W$47:W$61)</f>
        <v>6</v>
      </c>
      <c r="Y47" s="537">
        <f>AVERAGE(W47:W61)</f>
        <v>288.95347103231762</v>
      </c>
      <c r="Z47" s="190">
        <v>12</v>
      </c>
      <c r="AA47" s="190">
        <v>3121.2535154680604</v>
      </c>
      <c r="AB47" s="187">
        <f t="shared" ref="AB47:AB56" si="64">IFERROR(AA47/Z47,"")</f>
        <v>260.10445962233837</v>
      </c>
      <c r="AC47" s="184">
        <f>RANK(AB47, AB$47:AB$61)</f>
        <v>6</v>
      </c>
      <c r="AD47" s="537">
        <f>AVERAGE(AB47:AB61)</f>
        <v>288.98549825451022</v>
      </c>
      <c r="AE47" s="190">
        <v>12</v>
      </c>
      <c r="AF47" s="190">
        <v>3120.4419889502756</v>
      </c>
      <c r="AG47" s="187">
        <f>IFERROR(AF47/AE47,"")</f>
        <v>260.03683241252298</v>
      </c>
      <c r="AH47" s="184">
        <f>RANK(AG47, AG$47:AG$61)</f>
        <v>6</v>
      </c>
      <c r="AI47" s="537">
        <f>AVERAGE(AG47:AG61)</f>
        <v>288.94501446310591</v>
      </c>
      <c r="AJ47" s="190">
        <v>12</v>
      </c>
      <c r="AK47" s="190">
        <v>3121.5635179153128</v>
      </c>
      <c r="AL47" s="187">
        <f t="shared" ref="AL47:AL56" si="65">IFERROR(AK47/AJ47,"")</f>
        <v>260.13029315960938</v>
      </c>
      <c r="AM47" s="184">
        <f>RANK(AL47, AL$47:AL$61)</f>
        <v>6</v>
      </c>
      <c r="AN47" s="537">
        <f>AVERAGE(AL47:AL61)</f>
        <v>288.94040528649219</v>
      </c>
      <c r="AO47" s="190">
        <v>12</v>
      </c>
      <c r="AP47" s="190">
        <v>3122.0095693779917</v>
      </c>
      <c r="AQ47" s="187">
        <f t="shared" ref="AQ47:AQ56" si="66">IFERROR(AP47/AO47,"")</f>
        <v>260.16746411483263</v>
      </c>
      <c r="AR47" s="184">
        <f>RANK(AQ47, AQ$47:AQ$61)</f>
        <v>6</v>
      </c>
      <c r="AS47" s="537">
        <f>AVERAGE(AQ47:AQ61)</f>
        <v>288.95849838763223</v>
      </c>
      <c r="AT47" s="190">
        <v>12</v>
      </c>
      <c r="AU47" s="190">
        <v>3122.8547153780773</v>
      </c>
      <c r="AV47" s="187">
        <f t="shared" ref="AV47:AV56" si="67">IFERROR(AU47/AT47,"")</f>
        <v>260.23789294817311</v>
      </c>
      <c r="AW47" s="184">
        <f>RANK(AV47, AV$47:AV$61)</f>
        <v>6</v>
      </c>
      <c r="AX47" s="537">
        <f>AVERAGE(AV47:AV61)</f>
        <v>288.98848306684579</v>
      </c>
    </row>
    <row r="48" spans="2:50" ht="14.25" customHeight="1">
      <c r="B48" s="501"/>
      <c r="C48" s="182">
        <v>2</v>
      </c>
      <c r="D48" s="185" t="s">
        <v>358</v>
      </c>
      <c r="E48" s="182">
        <v>12</v>
      </c>
      <c r="F48" s="182">
        <v>3600</v>
      </c>
      <c r="G48" s="187">
        <f t="shared" si="62"/>
        <v>300</v>
      </c>
      <c r="H48" s="537"/>
      <c r="I48" s="188">
        <f t="shared" ref="I48:K56" si="68">AVERAGE(P48,U48,Z48,AE48,AJ48,AO48,AT48)</f>
        <v>12</v>
      </c>
      <c r="J48" s="188">
        <f t="shared" si="68"/>
        <v>3119.190399447335</v>
      </c>
      <c r="K48" s="189">
        <f t="shared" si="68"/>
        <v>259.93253328727792</v>
      </c>
      <c r="L48" s="538"/>
      <c r="M48" s="188">
        <f>RANK(K48, K$47:$K$61)</f>
        <v>9</v>
      </c>
      <c r="N48" s="501"/>
      <c r="O48" s="501"/>
      <c r="P48" s="190">
        <v>12</v>
      </c>
      <c r="Q48" s="190">
        <v>3118.8544152744657</v>
      </c>
      <c r="R48" s="187">
        <f t="shared" ref="R48:R56" si="69">IFERROR(Q48/P48,"")</f>
        <v>259.90453460620546</v>
      </c>
      <c r="S48" s="184">
        <f t="shared" ref="S48:S56" si="70">RANK(R48, R$47:R$61)</f>
        <v>7</v>
      </c>
      <c r="T48" s="537"/>
      <c r="U48" s="190">
        <v>12</v>
      </c>
      <c r="V48" s="190">
        <v>3119.3675889328051</v>
      </c>
      <c r="W48" s="187">
        <f t="shared" si="63"/>
        <v>259.94729907773376</v>
      </c>
      <c r="X48" s="184">
        <f t="shared" ref="X48:X56" si="71">RANK(W48, W$47:W$61)</f>
        <v>7</v>
      </c>
      <c r="Y48" s="537"/>
      <c r="Z48" s="190">
        <v>12</v>
      </c>
      <c r="AA48" s="190">
        <v>3118.6139493558371</v>
      </c>
      <c r="AB48" s="187">
        <f t="shared" si="64"/>
        <v>259.88449577965309</v>
      </c>
      <c r="AC48" s="184">
        <f t="shared" ref="AC48:AC56" si="72">RANK(AB48, AB$47:AB$61)</f>
        <v>9</v>
      </c>
      <c r="AD48" s="537"/>
      <c r="AE48" s="190">
        <v>12</v>
      </c>
      <c r="AF48" s="190">
        <v>3118.4262295081962</v>
      </c>
      <c r="AG48" s="187">
        <f t="shared" ref="AG48:AG56" si="73">IFERROR(AF48/AE48,"")</f>
        <v>259.86885245901635</v>
      </c>
      <c r="AH48" s="184">
        <f t="shared" ref="AH48:AH56" si="74">RANK(AG48, AG$47:AG$61)</f>
        <v>9</v>
      </c>
      <c r="AI48" s="537"/>
      <c r="AJ48" s="190">
        <v>12</v>
      </c>
      <c r="AK48" s="190">
        <v>3118.8365650969486</v>
      </c>
      <c r="AL48" s="187">
        <f t="shared" si="65"/>
        <v>259.90304709141236</v>
      </c>
      <c r="AM48" s="184">
        <f t="shared" ref="AM48:AM56" si="75">RANK(AL48, AL$47:AL$61)</f>
        <v>9</v>
      </c>
      <c r="AN48" s="537"/>
      <c r="AO48" s="190">
        <v>12</v>
      </c>
      <c r="AP48" s="190">
        <v>3119.7960917587061</v>
      </c>
      <c r="AQ48" s="187">
        <f t="shared" si="66"/>
        <v>259.98300764655886</v>
      </c>
      <c r="AR48" s="184">
        <f t="shared" ref="AR48:AR56" si="76">RANK(AQ48, AQ$47:AQ$61)</f>
        <v>8</v>
      </c>
      <c r="AS48" s="537"/>
      <c r="AT48" s="190">
        <v>12</v>
      </c>
      <c r="AU48" s="190">
        <v>3120.437956204386</v>
      </c>
      <c r="AV48" s="187">
        <f t="shared" si="67"/>
        <v>260.0364963503655</v>
      </c>
      <c r="AW48" s="184">
        <f t="shared" ref="AW48:AW56" si="77">RANK(AV48, AV$47:AV$61)</f>
        <v>8</v>
      </c>
      <c r="AX48" s="537"/>
    </row>
    <row r="49" spans="2:50" ht="14.25" customHeight="1">
      <c r="B49" s="501"/>
      <c r="C49" s="182">
        <v>3</v>
      </c>
      <c r="D49" s="185" t="s">
        <v>356</v>
      </c>
      <c r="E49" s="182">
        <v>11</v>
      </c>
      <c r="F49" s="182">
        <v>3600</v>
      </c>
      <c r="G49" s="187">
        <f t="shared" si="62"/>
        <v>327.27272727272725</v>
      </c>
      <c r="H49" s="537"/>
      <c r="I49" s="188">
        <f t="shared" si="68"/>
        <v>11</v>
      </c>
      <c r="J49" s="188">
        <f t="shared" si="68"/>
        <v>3154.4557546526421</v>
      </c>
      <c r="K49" s="189">
        <f t="shared" si="68"/>
        <v>286.76870496842201</v>
      </c>
      <c r="L49" s="538"/>
      <c r="M49" s="188">
        <f>RANK(K49, K$47:$K$61)</f>
        <v>5</v>
      </c>
      <c r="N49" s="501"/>
      <c r="O49" s="501"/>
      <c r="P49" s="190">
        <v>11</v>
      </c>
      <c r="Q49" s="190">
        <v>3154.5918367346962</v>
      </c>
      <c r="R49" s="187">
        <f t="shared" si="69"/>
        <v>286.78107606679055</v>
      </c>
      <c r="S49" s="184">
        <f t="shared" si="70"/>
        <v>5</v>
      </c>
      <c r="T49" s="537"/>
      <c r="U49" s="190">
        <v>11</v>
      </c>
      <c r="V49" s="190">
        <v>3153.8650306748423</v>
      </c>
      <c r="W49" s="187">
        <f t="shared" si="63"/>
        <v>286.71500278862203</v>
      </c>
      <c r="X49" s="184">
        <f t="shared" si="71"/>
        <v>5</v>
      </c>
      <c r="Y49" s="537"/>
      <c r="Z49" s="190">
        <v>11</v>
      </c>
      <c r="AA49" s="190">
        <v>3153.1669865642998</v>
      </c>
      <c r="AB49" s="187">
        <f t="shared" si="64"/>
        <v>286.65154423311816</v>
      </c>
      <c r="AC49" s="184">
        <f t="shared" si="72"/>
        <v>5</v>
      </c>
      <c r="AD49" s="537"/>
      <c r="AE49" s="190">
        <v>11</v>
      </c>
      <c r="AF49" s="190">
        <v>3154.2857142857188</v>
      </c>
      <c r="AG49" s="187">
        <f t="shared" si="73"/>
        <v>286.75324675324714</v>
      </c>
      <c r="AH49" s="184">
        <f t="shared" si="74"/>
        <v>5</v>
      </c>
      <c r="AI49" s="537"/>
      <c r="AJ49" s="190">
        <v>11</v>
      </c>
      <c r="AK49" s="190">
        <v>3154.8042704626428</v>
      </c>
      <c r="AL49" s="187">
        <f t="shared" si="65"/>
        <v>286.80038822387661</v>
      </c>
      <c r="AM49" s="184">
        <f t="shared" si="75"/>
        <v>5</v>
      </c>
      <c r="AN49" s="537"/>
      <c r="AO49" s="190">
        <v>11</v>
      </c>
      <c r="AP49" s="190">
        <v>3154.5293072824147</v>
      </c>
      <c r="AQ49" s="187">
        <f t="shared" si="66"/>
        <v>286.77539157112864</v>
      </c>
      <c r="AR49" s="184">
        <f t="shared" si="76"/>
        <v>5</v>
      </c>
      <c r="AS49" s="537"/>
      <c r="AT49" s="190">
        <v>11</v>
      </c>
      <c r="AU49" s="190">
        <v>3155.9471365638815</v>
      </c>
      <c r="AV49" s="187">
        <f t="shared" si="67"/>
        <v>286.90428514217103</v>
      </c>
      <c r="AW49" s="184">
        <f t="shared" si="77"/>
        <v>5</v>
      </c>
      <c r="AX49" s="537"/>
    </row>
    <row r="50" spans="2:50" ht="14.25" customHeight="1">
      <c r="B50" s="501"/>
      <c r="C50" s="182">
        <v>4</v>
      </c>
      <c r="D50" s="185" t="s">
        <v>485</v>
      </c>
      <c r="E50" s="182">
        <v>6</v>
      </c>
      <c r="F50" s="182">
        <v>2600</v>
      </c>
      <c r="G50" s="187">
        <f t="shared" si="62"/>
        <v>433.33333333333331</v>
      </c>
      <c r="H50" s="537"/>
      <c r="I50" s="188">
        <f t="shared" si="68"/>
        <v>6</v>
      </c>
      <c r="J50" s="188">
        <f t="shared" si="68"/>
        <v>2316.3824809476246</v>
      </c>
      <c r="K50" s="189">
        <f t="shared" si="68"/>
        <v>386.06374682460398</v>
      </c>
      <c r="L50" s="538"/>
      <c r="M50" s="188">
        <f>RANK(K50, K$47:$K$61)</f>
        <v>2</v>
      </c>
      <c r="N50" s="501"/>
      <c r="O50" s="501"/>
      <c r="P50" s="190">
        <v>6</v>
      </c>
      <c r="Q50" s="190">
        <v>2316.8316831683151</v>
      </c>
      <c r="R50" s="187">
        <f t="shared" si="69"/>
        <v>386.13861386138586</v>
      </c>
      <c r="S50" s="184">
        <f t="shared" si="70"/>
        <v>2</v>
      </c>
      <c r="T50" s="537"/>
      <c r="U50" s="190">
        <v>6</v>
      </c>
      <c r="V50" s="190">
        <v>2316.2946428571504</v>
      </c>
      <c r="W50" s="187">
        <f t="shared" si="63"/>
        <v>386.04910714285842</v>
      </c>
      <c r="X50" s="184">
        <f t="shared" si="71"/>
        <v>2</v>
      </c>
      <c r="Y50" s="537"/>
      <c r="Z50" s="190">
        <v>6</v>
      </c>
      <c r="AA50" s="190">
        <v>2316.8110918544166</v>
      </c>
      <c r="AB50" s="187">
        <f t="shared" si="64"/>
        <v>386.13518197573609</v>
      </c>
      <c r="AC50" s="184">
        <f t="shared" si="72"/>
        <v>2</v>
      </c>
      <c r="AD50" s="537"/>
      <c r="AE50" s="190">
        <v>6</v>
      </c>
      <c r="AF50" s="190">
        <v>2316.3934426229562</v>
      </c>
      <c r="AG50" s="187">
        <f t="shared" si="73"/>
        <v>386.06557377049268</v>
      </c>
      <c r="AH50" s="184">
        <f t="shared" si="74"/>
        <v>2</v>
      </c>
      <c r="AI50" s="537"/>
      <c r="AJ50" s="190">
        <v>6</v>
      </c>
      <c r="AK50" s="190">
        <v>2316.3034001743704</v>
      </c>
      <c r="AL50" s="187">
        <f t="shared" si="65"/>
        <v>386.05056669572838</v>
      </c>
      <c r="AM50" s="184">
        <f t="shared" si="75"/>
        <v>2</v>
      </c>
      <c r="AN50" s="537"/>
      <c r="AO50" s="190">
        <v>6</v>
      </c>
      <c r="AP50" s="190">
        <v>2315.9737417943052</v>
      </c>
      <c r="AQ50" s="187">
        <f t="shared" si="66"/>
        <v>385.99562363238419</v>
      </c>
      <c r="AR50" s="184">
        <f t="shared" si="76"/>
        <v>2</v>
      </c>
      <c r="AS50" s="537"/>
      <c r="AT50" s="190">
        <v>6</v>
      </c>
      <c r="AU50" s="190">
        <v>2316.0693641618559</v>
      </c>
      <c r="AV50" s="187">
        <f t="shared" si="67"/>
        <v>386.01156069364265</v>
      </c>
      <c r="AW50" s="184">
        <f t="shared" si="77"/>
        <v>2</v>
      </c>
      <c r="AX50" s="537"/>
    </row>
    <row r="51" spans="2:50" ht="14.25" customHeight="1">
      <c r="B51" s="501"/>
      <c r="C51" s="182">
        <v>5</v>
      </c>
      <c r="D51" s="185" t="s">
        <v>496</v>
      </c>
      <c r="E51" s="182">
        <v>6</v>
      </c>
      <c r="F51" s="182">
        <v>2500</v>
      </c>
      <c r="G51" s="187">
        <f t="shared" si="62"/>
        <v>416.66666666666669</v>
      </c>
      <c r="H51" s="537"/>
      <c r="I51" s="188">
        <f t="shared" si="68"/>
        <v>6</v>
      </c>
      <c r="J51" s="188">
        <f t="shared" si="68"/>
        <v>2255.8619913627635</v>
      </c>
      <c r="K51" s="189">
        <f t="shared" si="68"/>
        <v>375.97699856046063</v>
      </c>
      <c r="L51" s="538"/>
      <c r="M51" s="188">
        <f>RANK(K51, K$47:$K$61)</f>
        <v>3</v>
      </c>
      <c r="N51" s="501"/>
      <c r="O51" s="501"/>
      <c r="P51" s="190">
        <v>6</v>
      </c>
      <c r="Q51" s="190">
        <v>2257.4821852731448</v>
      </c>
      <c r="R51" s="187">
        <f t="shared" si="69"/>
        <v>376.24703087885746</v>
      </c>
      <c r="S51" s="184">
        <f t="shared" si="70"/>
        <v>3</v>
      </c>
      <c r="T51" s="537"/>
      <c r="U51" s="190">
        <v>6</v>
      </c>
      <c r="V51" s="190">
        <v>2257.1127502634322</v>
      </c>
      <c r="W51" s="187">
        <f t="shared" si="63"/>
        <v>376.18545837723872</v>
      </c>
      <c r="X51" s="184">
        <f t="shared" si="71"/>
        <v>3</v>
      </c>
      <c r="Y51" s="537"/>
      <c r="Z51" s="190">
        <v>6</v>
      </c>
      <c r="AA51" s="190">
        <v>2258.181818181818</v>
      </c>
      <c r="AB51" s="187">
        <f t="shared" si="64"/>
        <v>376.36363636363632</v>
      </c>
      <c r="AC51" s="184">
        <f t="shared" si="72"/>
        <v>3</v>
      </c>
      <c r="AD51" s="537"/>
      <c r="AE51" s="190">
        <v>6</v>
      </c>
      <c r="AF51" s="190">
        <v>2254.9450549450671</v>
      </c>
      <c r="AG51" s="187">
        <f t="shared" si="73"/>
        <v>375.82417582417787</v>
      </c>
      <c r="AH51" s="184">
        <f t="shared" si="74"/>
        <v>3</v>
      </c>
      <c r="AI51" s="537"/>
      <c r="AJ51" s="190">
        <v>6</v>
      </c>
      <c r="AK51" s="190">
        <v>2253.3665835411543</v>
      </c>
      <c r="AL51" s="187">
        <f t="shared" si="65"/>
        <v>375.56109725685906</v>
      </c>
      <c r="AM51" s="184">
        <f t="shared" si="75"/>
        <v>3</v>
      </c>
      <c r="AN51" s="537"/>
      <c r="AO51" s="190">
        <v>6</v>
      </c>
      <c r="AP51" s="190">
        <v>2254.9019607843029</v>
      </c>
      <c r="AQ51" s="187">
        <f t="shared" si="66"/>
        <v>375.81699346405048</v>
      </c>
      <c r="AR51" s="184">
        <f t="shared" si="76"/>
        <v>3</v>
      </c>
      <c r="AS51" s="537"/>
      <c r="AT51" s="190">
        <v>6</v>
      </c>
      <c r="AU51" s="190">
        <v>2255.0435865504246</v>
      </c>
      <c r="AV51" s="187">
        <f t="shared" si="67"/>
        <v>375.8405977584041</v>
      </c>
      <c r="AW51" s="184">
        <f t="shared" si="77"/>
        <v>3</v>
      </c>
      <c r="AX51" s="537"/>
    </row>
    <row r="52" spans="2:50" ht="14.25" customHeight="1">
      <c r="B52" s="501"/>
      <c r="C52" s="182">
        <v>6</v>
      </c>
      <c r="D52" s="185" t="s">
        <v>494</v>
      </c>
      <c r="E52" s="182">
        <v>6</v>
      </c>
      <c r="F52" s="182">
        <v>2600</v>
      </c>
      <c r="G52" s="187">
        <f t="shared" si="62"/>
        <v>433.33333333333331</v>
      </c>
      <c r="H52" s="537"/>
      <c r="I52" s="188">
        <f t="shared" si="68"/>
        <v>6</v>
      </c>
      <c r="J52" s="188">
        <f t="shared" si="68"/>
        <v>2317.1662019377509</v>
      </c>
      <c r="K52" s="189">
        <f t="shared" si="68"/>
        <v>386.19436698962511</v>
      </c>
      <c r="L52" s="538"/>
      <c r="M52" s="188">
        <f>RANK(K52, K$47:$K$61)</f>
        <v>1</v>
      </c>
      <c r="N52" s="501"/>
      <c r="O52" s="501"/>
      <c r="P52" s="190">
        <v>6</v>
      </c>
      <c r="Q52" s="190">
        <v>2316.8796234028232</v>
      </c>
      <c r="R52" s="187">
        <f t="shared" si="69"/>
        <v>386.14660390047055</v>
      </c>
      <c r="S52" s="184">
        <f t="shared" si="70"/>
        <v>1</v>
      </c>
      <c r="T52" s="537"/>
      <c r="U52" s="190">
        <v>6</v>
      </c>
      <c r="V52" s="190">
        <v>2317.2413793103456</v>
      </c>
      <c r="W52" s="187">
        <f t="shared" si="63"/>
        <v>386.20689655172424</v>
      </c>
      <c r="X52" s="184">
        <f t="shared" si="71"/>
        <v>1</v>
      </c>
      <c r="Y52" s="537"/>
      <c r="Z52" s="190">
        <v>6</v>
      </c>
      <c r="AA52" s="190">
        <v>2317.1445289643043</v>
      </c>
      <c r="AB52" s="187">
        <f t="shared" si="64"/>
        <v>386.19075482738407</v>
      </c>
      <c r="AC52" s="184">
        <f t="shared" si="72"/>
        <v>1</v>
      </c>
      <c r="AD52" s="537"/>
      <c r="AE52" s="190">
        <v>6</v>
      </c>
      <c r="AF52" s="190">
        <v>2317.5406871609434</v>
      </c>
      <c r="AG52" s="187">
        <f t="shared" si="73"/>
        <v>386.25678119349055</v>
      </c>
      <c r="AH52" s="184">
        <f t="shared" si="74"/>
        <v>1</v>
      </c>
      <c r="AI52" s="537"/>
      <c r="AJ52" s="190">
        <v>6</v>
      </c>
      <c r="AK52" s="190">
        <v>2317.6589303733645</v>
      </c>
      <c r="AL52" s="187">
        <f t="shared" si="65"/>
        <v>386.27648839556076</v>
      </c>
      <c r="AM52" s="184">
        <f t="shared" si="75"/>
        <v>1</v>
      </c>
      <c r="AN52" s="537"/>
      <c r="AO52" s="190">
        <v>6</v>
      </c>
      <c r="AP52" s="190">
        <v>2317.0093457943976</v>
      </c>
      <c r="AQ52" s="187">
        <f t="shared" si="66"/>
        <v>386.16822429906625</v>
      </c>
      <c r="AR52" s="184">
        <f t="shared" si="76"/>
        <v>1</v>
      </c>
      <c r="AS52" s="537"/>
      <c r="AT52" s="190">
        <v>6</v>
      </c>
      <c r="AU52" s="190">
        <v>2316.6889185580762</v>
      </c>
      <c r="AV52" s="187">
        <f t="shared" si="67"/>
        <v>386.11481975967939</v>
      </c>
      <c r="AW52" s="184">
        <f t="shared" si="77"/>
        <v>1</v>
      </c>
      <c r="AX52" s="537"/>
    </row>
    <row r="53" spans="2:50" ht="14.25" customHeight="1">
      <c r="B53" s="501"/>
      <c r="C53" s="182">
        <v>7</v>
      </c>
      <c r="D53" s="185" t="s">
        <v>577</v>
      </c>
      <c r="E53" s="182">
        <v>12</v>
      </c>
      <c r="F53" s="182">
        <v>1750</v>
      </c>
      <c r="G53" s="187">
        <f t="shared" si="62"/>
        <v>145.83333333333334</v>
      </c>
      <c r="H53" s="537"/>
      <c r="I53" s="188">
        <f t="shared" si="68"/>
        <v>12</v>
      </c>
      <c r="J53" s="188">
        <f t="shared" si="68"/>
        <v>1533.0575728439217</v>
      </c>
      <c r="K53" s="189">
        <f t="shared" si="68"/>
        <v>127.75479773699348</v>
      </c>
      <c r="L53" s="538"/>
      <c r="M53" s="188">
        <f>RANK(K53, K$47:$K$61)</f>
        <v>10</v>
      </c>
      <c r="N53" s="501"/>
      <c r="O53" s="501"/>
      <c r="P53" s="190">
        <v>12</v>
      </c>
      <c r="Q53" s="190">
        <v>1533.0396475770904</v>
      </c>
      <c r="R53" s="187">
        <f t="shared" si="69"/>
        <v>127.75330396475754</v>
      </c>
      <c r="S53" s="184">
        <f t="shared" si="70"/>
        <v>10</v>
      </c>
      <c r="T53" s="537"/>
      <c r="U53" s="190">
        <v>12</v>
      </c>
      <c r="V53" s="190">
        <v>1533.3946642134263</v>
      </c>
      <c r="W53" s="187">
        <f t="shared" si="63"/>
        <v>127.78288868445219</v>
      </c>
      <c r="X53" s="184">
        <f t="shared" si="71"/>
        <v>10</v>
      </c>
      <c r="Y53" s="537"/>
      <c r="Z53" s="190">
        <v>12</v>
      </c>
      <c r="AA53" s="190">
        <v>1533.3805811481202</v>
      </c>
      <c r="AB53" s="187">
        <f t="shared" si="64"/>
        <v>127.78171509567669</v>
      </c>
      <c r="AC53" s="184">
        <f t="shared" si="72"/>
        <v>10</v>
      </c>
      <c r="AD53" s="537"/>
      <c r="AE53" s="190">
        <v>12</v>
      </c>
      <c r="AF53" s="190">
        <v>1533.3333333333344</v>
      </c>
      <c r="AG53" s="187">
        <f t="shared" si="73"/>
        <v>127.77777777777787</v>
      </c>
      <c r="AH53" s="184">
        <f t="shared" si="74"/>
        <v>10</v>
      </c>
      <c r="AI53" s="537"/>
      <c r="AJ53" s="190">
        <v>12</v>
      </c>
      <c r="AK53" s="190">
        <v>1533.1941544885133</v>
      </c>
      <c r="AL53" s="187">
        <f t="shared" si="65"/>
        <v>127.76617954070944</v>
      </c>
      <c r="AM53" s="184">
        <f t="shared" si="75"/>
        <v>10</v>
      </c>
      <c r="AN53" s="537"/>
      <c r="AO53" s="190">
        <v>12</v>
      </c>
      <c r="AP53" s="190">
        <v>1532.8806983511208</v>
      </c>
      <c r="AQ53" s="187">
        <f t="shared" si="66"/>
        <v>127.74005819592674</v>
      </c>
      <c r="AR53" s="184">
        <f t="shared" si="76"/>
        <v>10</v>
      </c>
      <c r="AS53" s="537"/>
      <c r="AT53" s="190">
        <v>12</v>
      </c>
      <c r="AU53" s="190">
        <v>1532.1799307958456</v>
      </c>
      <c r="AV53" s="187">
        <f t="shared" si="67"/>
        <v>127.68166089965381</v>
      </c>
      <c r="AW53" s="184">
        <f t="shared" si="77"/>
        <v>10</v>
      </c>
      <c r="AX53" s="537"/>
    </row>
    <row r="54" spans="2:50" ht="14.25" customHeight="1">
      <c r="B54" s="501"/>
      <c r="C54" s="182">
        <v>8</v>
      </c>
      <c r="D54" s="185" t="s">
        <v>360</v>
      </c>
      <c r="E54" s="182">
        <v>12</v>
      </c>
      <c r="F54" s="182">
        <v>3600</v>
      </c>
      <c r="G54" s="187">
        <f t="shared" si="62"/>
        <v>300</v>
      </c>
      <c r="H54" s="537"/>
      <c r="I54" s="188">
        <f t="shared" si="68"/>
        <v>12</v>
      </c>
      <c r="J54" s="188">
        <f t="shared" si="68"/>
        <v>3119.3478016618851</v>
      </c>
      <c r="K54" s="189">
        <f t="shared" si="68"/>
        <v>259.94565013849041</v>
      </c>
      <c r="L54" s="538"/>
      <c r="M54" s="188">
        <f>RANK(K54, K$47:$K$61)</f>
        <v>8</v>
      </c>
      <c r="N54" s="501"/>
      <c r="O54" s="501"/>
      <c r="P54" s="190">
        <v>12</v>
      </c>
      <c r="Q54" s="190">
        <v>3117.3184357541904</v>
      </c>
      <c r="R54" s="187">
        <f t="shared" si="69"/>
        <v>259.7765363128492</v>
      </c>
      <c r="S54" s="184">
        <f t="shared" si="70"/>
        <v>9</v>
      </c>
      <c r="T54" s="537"/>
      <c r="U54" s="190">
        <v>12</v>
      </c>
      <c r="V54" s="190">
        <v>3118.5661764705865</v>
      </c>
      <c r="W54" s="187">
        <f t="shared" si="63"/>
        <v>259.88051470588221</v>
      </c>
      <c r="X54" s="184">
        <f t="shared" si="71"/>
        <v>9</v>
      </c>
      <c r="Y54" s="537"/>
      <c r="Z54" s="190">
        <v>12</v>
      </c>
      <c r="AA54" s="190">
        <v>3119.2071731949009</v>
      </c>
      <c r="AB54" s="187">
        <f t="shared" si="64"/>
        <v>259.93393109957509</v>
      </c>
      <c r="AC54" s="184">
        <f t="shared" si="72"/>
        <v>7</v>
      </c>
      <c r="AD54" s="537"/>
      <c r="AE54" s="190">
        <v>12</v>
      </c>
      <c r="AF54" s="190">
        <v>3119.4615816040264</v>
      </c>
      <c r="AG54" s="187">
        <f t="shared" si="73"/>
        <v>259.95513180033555</v>
      </c>
      <c r="AH54" s="184">
        <f>RANK(AG54, AG$47:AG$61)</f>
        <v>7</v>
      </c>
      <c r="AI54" s="537"/>
      <c r="AJ54" s="190">
        <v>12</v>
      </c>
      <c r="AK54" s="190">
        <v>3120.4225352112717</v>
      </c>
      <c r="AL54" s="187">
        <f t="shared" si="65"/>
        <v>260.03521126760597</v>
      </c>
      <c r="AM54" s="184">
        <f t="shared" si="75"/>
        <v>7</v>
      </c>
      <c r="AN54" s="537"/>
      <c r="AO54" s="190">
        <v>12</v>
      </c>
      <c r="AP54" s="190">
        <v>3120.2334630350169</v>
      </c>
      <c r="AQ54" s="187">
        <f t="shared" si="66"/>
        <v>260.01945525291808</v>
      </c>
      <c r="AR54" s="184">
        <f t="shared" si="76"/>
        <v>7</v>
      </c>
      <c r="AS54" s="537"/>
      <c r="AT54" s="190">
        <v>12</v>
      </c>
      <c r="AU54" s="190">
        <v>3120.2252463632044</v>
      </c>
      <c r="AV54" s="187">
        <f t="shared" si="67"/>
        <v>260.01877053026703</v>
      </c>
      <c r="AW54" s="184">
        <f t="shared" si="77"/>
        <v>9</v>
      </c>
      <c r="AX54" s="537"/>
    </row>
    <row r="55" spans="2:50" ht="14.25" customHeight="1">
      <c r="B55" s="501"/>
      <c r="C55" s="182">
        <v>9</v>
      </c>
      <c r="D55" s="185" t="s">
        <v>361</v>
      </c>
      <c r="E55" s="182">
        <v>12</v>
      </c>
      <c r="F55" s="182">
        <v>3600</v>
      </c>
      <c r="G55" s="187">
        <f t="shared" si="62"/>
        <v>300</v>
      </c>
      <c r="H55" s="537"/>
      <c r="I55" s="188">
        <f t="shared" si="68"/>
        <v>12</v>
      </c>
      <c r="J55" s="188">
        <f t="shared" si="68"/>
        <v>3119.5216483071031</v>
      </c>
      <c r="K55" s="189">
        <f t="shared" si="68"/>
        <v>259.96013735892535</v>
      </c>
      <c r="L55" s="538"/>
      <c r="M55" s="188">
        <f>RANK(K55, K$47:$K$61)</f>
        <v>7</v>
      </c>
      <c r="N55" s="501"/>
      <c r="O55" s="501"/>
      <c r="P55" s="190">
        <v>12</v>
      </c>
      <c r="Q55" s="190">
        <v>3118.9189189189105</v>
      </c>
      <c r="R55" s="187">
        <f t="shared" si="69"/>
        <v>259.90990990990923</v>
      </c>
      <c r="S55" s="184">
        <f t="shared" si="70"/>
        <v>6</v>
      </c>
      <c r="T55" s="537"/>
      <c r="U55" s="190">
        <v>12</v>
      </c>
      <c r="V55" s="190">
        <v>3119.0773666506452</v>
      </c>
      <c r="W55" s="187">
        <f t="shared" si="63"/>
        <v>259.92311388755377</v>
      </c>
      <c r="X55" s="184">
        <f t="shared" si="71"/>
        <v>8</v>
      </c>
      <c r="Y55" s="537"/>
      <c r="Z55" s="190">
        <v>12</v>
      </c>
      <c r="AA55" s="190">
        <v>3119.049975259768</v>
      </c>
      <c r="AB55" s="187">
        <f t="shared" si="64"/>
        <v>259.92083127164733</v>
      </c>
      <c r="AC55" s="184">
        <f t="shared" si="72"/>
        <v>8</v>
      </c>
      <c r="AD55" s="537"/>
      <c r="AE55" s="190">
        <v>12</v>
      </c>
      <c r="AF55" s="190">
        <v>3119.2941176470581</v>
      </c>
      <c r="AG55" s="187">
        <f t="shared" si="73"/>
        <v>259.94117647058818</v>
      </c>
      <c r="AH55" s="184">
        <f t="shared" si="74"/>
        <v>8</v>
      </c>
      <c r="AI55" s="537"/>
      <c r="AJ55" s="190">
        <v>12</v>
      </c>
      <c r="AK55" s="190">
        <v>3119.8497182216711</v>
      </c>
      <c r="AL55" s="187">
        <f t="shared" si="65"/>
        <v>259.98747651847259</v>
      </c>
      <c r="AM55" s="184">
        <f t="shared" si="75"/>
        <v>8</v>
      </c>
      <c r="AN55" s="537"/>
      <c r="AO55" s="190">
        <v>12</v>
      </c>
      <c r="AP55" s="190">
        <v>3119.528949950934</v>
      </c>
      <c r="AQ55" s="187">
        <f t="shared" si="66"/>
        <v>259.9607458292445</v>
      </c>
      <c r="AR55" s="184">
        <f t="shared" si="76"/>
        <v>9</v>
      </c>
      <c r="AS55" s="537"/>
      <c r="AT55" s="190">
        <v>12</v>
      </c>
      <c r="AU55" s="190">
        <v>3120.9324915007401</v>
      </c>
      <c r="AV55" s="187">
        <f t="shared" si="67"/>
        <v>260.07770762506169</v>
      </c>
      <c r="AW55" s="184">
        <f t="shared" si="77"/>
        <v>7</v>
      </c>
      <c r="AX55" s="537"/>
    </row>
    <row r="56" spans="2:50" ht="14.25" customHeight="1">
      <c r="B56" s="501"/>
      <c r="C56" s="182">
        <v>10</v>
      </c>
      <c r="D56" s="185" t="s">
        <v>359</v>
      </c>
      <c r="E56" s="182">
        <v>11</v>
      </c>
      <c r="F56" s="182">
        <v>3600</v>
      </c>
      <c r="G56" s="187">
        <f t="shared" si="62"/>
        <v>327.27272727272725</v>
      </c>
      <c r="H56" s="537"/>
      <c r="I56" s="188">
        <f t="shared" si="68"/>
        <v>11</v>
      </c>
      <c r="J56" s="188">
        <f t="shared" si="68"/>
        <v>3155.9415353957306</v>
      </c>
      <c r="K56" s="189">
        <f t="shared" si="68"/>
        <v>286.9037759450664</v>
      </c>
      <c r="L56" s="538"/>
      <c r="M56" s="188">
        <f>RANK(K56, K$47:$K$61)</f>
        <v>4</v>
      </c>
      <c r="N56" s="501"/>
      <c r="O56" s="501"/>
      <c r="P56" s="190">
        <v>11</v>
      </c>
      <c r="Q56" s="190">
        <v>3154.7309833024237</v>
      </c>
      <c r="R56" s="187">
        <f t="shared" si="69"/>
        <v>286.79372575476577</v>
      </c>
      <c r="S56" s="184">
        <f t="shared" si="70"/>
        <v>4</v>
      </c>
      <c r="T56" s="537"/>
      <c r="U56" s="190">
        <v>11</v>
      </c>
      <c r="V56" s="190">
        <v>3155.4744525547485</v>
      </c>
      <c r="W56" s="187">
        <f t="shared" si="63"/>
        <v>286.86131386861348</v>
      </c>
      <c r="X56" s="184">
        <f t="shared" si="71"/>
        <v>4</v>
      </c>
      <c r="Y56" s="537"/>
      <c r="Z56" s="190">
        <v>11</v>
      </c>
      <c r="AA56" s="190">
        <v>3155.7727550397067</v>
      </c>
      <c r="AB56" s="187">
        <f t="shared" si="64"/>
        <v>286.88843227633697</v>
      </c>
      <c r="AC56" s="184">
        <f t="shared" si="72"/>
        <v>4</v>
      </c>
      <c r="AD56" s="537"/>
      <c r="AE56" s="190">
        <v>11</v>
      </c>
      <c r="AF56" s="190">
        <v>3156.67655786351</v>
      </c>
      <c r="AG56" s="187">
        <f t="shared" si="73"/>
        <v>286.97059616940999</v>
      </c>
      <c r="AH56" s="184">
        <f t="shared" si="74"/>
        <v>4</v>
      </c>
      <c r="AI56" s="537"/>
      <c r="AJ56" s="190">
        <v>11</v>
      </c>
      <c r="AK56" s="190">
        <v>3155.8263518659619</v>
      </c>
      <c r="AL56" s="187">
        <f t="shared" si="65"/>
        <v>286.89330471508742</v>
      </c>
      <c r="AM56" s="184">
        <f t="shared" si="75"/>
        <v>4</v>
      </c>
      <c r="AN56" s="537"/>
      <c r="AO56" s="190">
        <v>11</v>
      </c>
      <c r="AP56" s="190">
        <v>3156.5382185723288</v>
      </c>
      <c r="AQ56" s="187">
        <f t="shared" si="66"/>
        <v>286.95801987021173</v>
      </c>
      <c r="AR56" s="184">
        <f t="shared" si="76"/>
        <v>4</v>
      </c>
      <c r="AS56" s="537"/>
      <c r="AT56" s="190">
        <v>11</v>
      </c>
      <c r="AU56" s="190">
        <v>3156.5714285714348</v>
      </c>
      <c r="AV56" s="187">
        <f t="shared" si="67"/>
        <v>286.96103896103955</v>
      </c>
      <c r="AW56" s="184">
        <f t="shared" si="77"/>
        <v>4</v>
      </c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57"/>
      <c r="N62" s="563" t="s">
        <v>383</v>
      </c>
      <c r="O62" s="563" t="s">
        <v>105</v>
      </c>
      <c r="P62" s="590">
        <f>AT42+1</f>
        <v>46042</v>
      </c>
      <c r="Q62" s="591"/>
      <c r="R62" s="591"/>
      <c r="S62" s="591"/>
      <c r="T62" s="592"/>
      <c r="U62" s="602">
        <f>P62+1</f>
        <v>46043</v>
      </c>
      <c r="V62" s="603"/>
      <c r="W62" s="603"/>
      <c r="X62" s="603"/>
      <c r="Y62" s="604"/>
      <c r="Z62" s="590">
        <f t="shared" ref="Z62" si="78">U62+1</f>
        <v>46044</v>
      </c>
      <c r="AA62" s="591"/>
      <c r="AB62" s="591"/>
      <c r="AC62" s="591"/>
      <c r="AD62" s="592"/>
      <c r="AE62" s="602">
        <f t="shared" ref="AE62" si="79">Z62+1</f>
        <v>46045</v>
      </c>
      <c r="AF62" s="603"/>
      <c r="AG62" s="603"/>
      <c r="AH62" s="603"/>
      <c r="AI62" s="604"/>
      <c r="AJ62" s="590">
        <f t="shared" ref="AJ62" si="80">AE62+1</f>
        <v>46046</v>
      </c>
      <c r="AK62" s="591"/>
      <c r="AL62" s="591"/>
      <c r="AM62" s="591"/>
      <c r="AN62" s="592"/>
      <c r="AO62" s="602">
        <f t="shared" ref="AO62" si="81">AJ62+1</f>
        <v>46047</v>
      </c>
      <c r="AP62" s="603"/>
      <c r="AQ62" s="603"/>
      <c r="AR62" s="603"/>
      <c r="AS62" s="604"/>
      <c r="AT62" s="590">
        <f t="shared" ref="AT62" si="82">AO62+1</f>
        <v>46048</v>
      </c>
      <c r="AU62" s="591"/>
      <c r="AV62" s="591"/>
      <c r="AW62" s="591"/>
      <c r="AX62" s="592"/>
    </row>
    <row r="63" spans="2:50" ht="14.25" customHeight="1"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9"/>
      <c r="N63" s="565"/>
      <c r="O63" s="565"/>
      <c r="P63" s="595">
        <f>P62</f>
        <v>46042</v>
      </c>
      <c r="Q63" s="596"/>
      <c r="R63" s="596"/>
      <c r="S63" s="596"/>
      <c r="T63" s="597"/>
      <c r="U63" s="605">
        <f>U62</f>
        <v>46043</v>
      </c>
      <c r="V63" s="606"/>
      <c r="W63" s="606"/>
      <c r="X63" s="606"/>
      <c r="Y63" s="607"/>
      <c r="Z63" s="595">
        <f t="shared" ref="Z63" si="83">Z62</f>
        <v>46044</v>
      </c>
      <c r="AA63" s="596"/>
      <c r="AB63" s="596"/>
      <c r="AC63" s="596"/>
      <c r="AD63" s="597"/>
      <c r="AE63" s="605">
        <f t="shared" ref="AE63" si="84">AE62</f>
        <v>46045</v>
      </c>
      <c r="AF63" s="606"/>
      <c r="AG63" s="606"/>
      <c r="AH63" s="606"/>
      <c r="AI63" s="607"/>
      <c r="AJ63" s="595">
        <f t="shared" ref="AJ63" si="85">AJ62</f>
        <v>46046</v>
      </c>
      <c r="AK63" s="596"/>
      <c r="AL63" s="596"/>
      <c r="AM63" s="596"/>
      <c r="AN63" s="597"/>
      <c r="AO63" s="605">
        <f t="shared" ref="AO63" si="86">AO62</f>
        <v>46047</v>
      </c>
      <c r="AP63" s="606"/>
      <c r="AQ63" s="606"/>
      <c r="AR63" s="606"/>
      <c r="AS63" s="607"/>
      <c r="AT63" s="595">
        <f t="shared" ref="AT63" si="87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78" t="s">
        <v>160</v>
      </c>
      <c r="F64" s="579"/>
      <c r="G64" s="580"/>
      <c r="H64" s="501" t="s">
        <v>165</v>
      </c>
      <c r="I64" s="581" t="s">
        <v>384</v>
      </c>
      <c r="J64" s="582"/>
      <c r="K64" s="583"/>
      <c r="L64" s="522" t="s">
        <v>165</v>
      </c>
      <c r="M64" s="522" t="s">
        <v>167</v>
      </c>
      <c r="N64" s="501"/>
      <c r="O64" s="501" t="s">
        <v>166</v>
      </c>
      <c r="P64" s="578" t="s">
        <v>162</v>
      </c>
      <c r="Q64" s="579"/>
      <c r="R64" s="579"/>
      <c r="S64" s="580"/>
      <c r="T64" s="501" t="s">
        <v>165</v>
      </c>
      <c r="U64" s="578" t="s">
        <v>162</v>
      </c>
      <c r="V64" s="579"/>
      <c r="W64" s="579"/>
      <c r="X64" s="580"/>
      <c r="Y64" s="501" t="s">
        <v>165</v>
      </c>
      <c r="Z64" s="578" t="s">
        <v>162</v>
      </c>
      <c r="AA64" s="579"/>
      <c r="AB64" s="579"/>
      <c r="AC64" s="580"/>
      <c r="AD64" s="501" t="s">
        <v>165</v>
      </c>
      <c r="AE64" s="578" t="s">
        <v>162</v>
      </c>
      <c r="AF64" s="579"/>
      <c r="AG64" s="579"/>
      <c r="AH64" s="580"/>
      <c r="AI64" s="501" t="s">
        <v>165</v>
      </c>
      <c r="AJ64" s="578" t="s">
        <v>162</v>
      </c>
      <c r="AK64" s="579"/>
      <c r="AL64" s="579"/>
      <c r="AM64" s="580"/>
      <c r="AN64" s="501" t="s">
        <v>165</v>
      </c>
      <c r="AO64" s="578" t="s">
        <v>162</v>
      </c>
      <c r="AP64" s="579"/>
      <c r="AQ64" s="579"/>
      <c r="AR64" s="580"/>
      <c r="AS64" s="501" t="s">
        <v>165</v>
      </c>
      <c r="AT64" s="578" t="s">
        <v>162</v>
      </c>
      <c r="AU64" s="579"/>
      <c r="AV64" s="579"/>
      <c r="AW64" s="580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389</v>
      </c>
      <c r="C67" s="182">
        <v>1</v>
      </c>
      <c r="D67" s="185" t="s">
        <v>357</v>
      </c>
      <c r="E67" s="182">
        <v>12</v>
      </c>
      <c r="F67" s="182">
        <v>3600</v>
      </c>
      <c r="G67" s="187">
        <f t="shared" ref="G67:G76" si="88">F67/E67</f>
        <v>300</v>
      </c>
      <c r="H67" s="537">
        <f>AVERAGE(G67:G81)</f>
        <v>328.37121212121212</v>
      </c>
      <c r="I67" s="188">
        <f>AVERAGE(P67,U67,Z67,AE67,AJ67,AO67,AT67)</f>
        <v>12</v>
      </c>
      <c r="J67" s="188">
        <f>AVERAGE(Q67,V67,AA67,AF67,AK67,AP67,AU67)</f>
        <v>3124.5897662715552</v>
      </c>
      <c r="K67" s="189">
        <f>AVERAGE(R67,W67,AB67,AG67,AL67,AQ67,AV67)</f>
        <v>260.38248052262963</v>
      </c>
      <c r="L67" s="538">
        <f>IFERROR(AVERAGE(K67:K81),"-")</f>
        <v>289.20847842663932</v>
      </c>
      <c r="M67" s="188">
        <f>RANK(K67, K$67:$K$81)</f>
        <v>8</v>
      </c>
      <c r="N67" s="501"/>
      <c r="O67" s="501"/>
      <c r="P67" s="190">
        <v>12</v>
      </c>
      <c r="Q67" s="190">
        <v>3123.1686541737636</v>
      </c>
      <c r="R67" s="187">
        <f>IFERROR(Q67/P67,"")</f>
        <v>260.26405451448028</v>
      </c>
      <c r="S67" s="184">
        <f>RANK(R67, R$67:R$81)</f>
        <v>6</v>
      </c>
      <c r="T67" s="537">
        <f>AVERAGE(R67:R81)</f>
        <v>289.03026030626881</v>
      </c>
      <c r="U67" s="190">
        <v>12</v>
      </c>
      <c r="V67" s="190">
        <v>3123.8329238329202</v>
      </c>
      <c r="W67" s="187">
        <f t="shared" ref="W67:W76" si="89">IFERROR(V67/U67,"")</f>
        <v>260.31941031941</v>
      </c>
      <c r="X67" s="184">
        <f>RANK(W67, W$67:W$81)</f>
        <v>7</v>
      </c>
      <c r="Y67" s="537">
        <f>AVERAGE(W67:W81)</f>
        <v>307.01180841248902</v>
      </c>
      <c r="Z67" s="190">
        <v>12</v>
      </c>
      <c r="AA67" s="190">
        <v>3123.1986672219873</v>
      </c>
      <c r="AB67" s="187">
        <f t="shared" ref="AB67:AB76" si="90">IFERROR(AA67/Z67,"")</f>
        <v>260.26655560183229</v>
      </c>
      <c r="AC67" s="184">
        <f>RANK(AB67, AB$67:AB$81)</f>
        <v>7</v>
      </c>
      <c r="AD67" s="537">
        <f>AVERAGE(AB67:AB81)</f>
        <v>307.07253672545107</v>
      </c>
      <c r="AE67" s="190">
        <v>12</v>
      </c>
      <c r="AF67" s="190">
        <v>3123.360916613623</v>
      </c>
      <c r="AG67" s="187">
        <f>IFERROR(AF67/AE67,"")</f>
        <v>260.2800763844686</v>
      </c>
      <c r="AH67" s="184" t="e">
        <f>RANK(AG67, AG$7:AG$21)</f>
        <v>#N/A</v>
      </c>
      <c r="AI67" s="537">
        <f>AVERAGE(AG67:AG81)</f>
        <v>307.10952238517444</v>
      </c>
      <c r="AJ67" s="190">
        <v>12</v>
      </c>
      <c r="AK67" s="190">
        <v>3123.7071860308943</v>
      </c>
      <c r="AL67" s="187">
        <f t="shared" ref="AL67:AL76" si="91">IFERROR(AK67/AJ67,"")</f>
        <v>260.30893216924119</v>
      </c>
      <c r="AM67" s="184">
        <f>RANK(AL67, AL$67:AL$81)</f>
        <v>9</v>
      </c>
      <c r="AN67" s="537">
        <f>AVERAGE(AL67:AL81)</f>
        <v>307.23322353245419</v>
      </c>
      <c r="AO67" s="190">
        <v>12</v>
      </c>
      <c r="AP67" s="190">
        <v>3123.2673267326732</v>
      </c>
      <c r="AQ67" s="187">
        <f t="shared" ref="AQ67:AQ76" si="92">IFERROR(AP67/AO67,"")</f>
        <v>260.27227722772278</v>
      </c>
      <c r="AR67" s="184">
        <f>RANK(AQ67, AQ$67:AQ$81)</f>
        <v>9</v>
      </c>
      <c r="AS67" s="537">
        <f>AVERAGE(AQ67:AQ81)</f>
        <v>307.22351684765749</v>
      </c>
      <c r="AT67" s="190">
        <v>12</v>
      </c>
      <c r="AU67" s="190">
        <v>3131.5926892950265</v>
      </c>
      <c r="AV67" s="187">
        <f t="shared" ref="AV67:AV76" si="93">IFERROR(AU67/AT67,"")</f>
        <v>260.96605744125219</v>
      </c>
      <c r="AW67" s="184">
        <f>RANK(AV67, AV$67:AV$81)</f>
        <v>8</v>
      </c>
      <c r="AX67" s="537">
        <f>AVERAGE(AV67:AV81)</f>
        <v>307.47572994657514</v>
      </c>
    </row>
    <row r="68" spans="2:50" ht="14.25" customHeight="1">
      <c r="B68" s="501"/>
      <c r="C68" s="182">
        <v>2</v>
      </c>
      <c r="D68" s="185" t="s">
        <v>358</v>
      </c>
      <c r="E68" s="182">
        <v>12</v>
      </c>
      <c r="F68" s="182">
        <v>3600</v>
      </c>
      <c r="G68" s="187">
        <f t="shared" si="88"/>
        <v>300</v>
      </c>
      <c r="H68" s="537"/>
      <c r="I68" s="188">
        <f t="shared" ref="I68:K76" si="94">AVERAGE(P68,U68,Z68,AE68,AJ68,AO68,AT68)</f>
        <v>12</v>
      </c>
      <c r="J68" s="188">
        <f t="shared" si="94"/>
        <v>3126.8958290305586</v>
      </c>
      <c r="K68" s="189">
        <f t="shared" si="94"/>
        <v>260.57465241921324</v>
      </c>
      <c r="L68" s="538"/>
      <c r="M68" s="188">
        <f>RANK(K68, K$67:$K$81)</f>
        <v>6</v>
      </c>
      <c r="N68" s="501"/>
      <c r="O68" s="501"/>
      <c r="P68" s="190">
        <v>12</v>
      </c>
      <c r="Q68" s="190">
        <v>3121.4552238806</v>
      </c>
      <c r="R68" s="187">
        <f t="shared" ref="R68:R76" si="95">IFERROR(Q68/P68,"")</f>
        <v>260.12126865671667</v>
      </c>
      <c r="S68" s="184">
        <f t="shared" ref="S68:S76" si="96">RANK(R68, R$67:R$81)</f>
        <v>7</v>
      </c>
      <c r="T68" s="537"/>
      <c r="U68" s="190">
        <v>12</v>
      </c>
      <c r="V68" s="190">
        <v>3125.3424657534197</v>
      </c>
      <c r="W68" s="187">
        <f t="shared" si="89"/>
        <v>260.44520547945166</v>
      </c>
      <c r="X68" s="184">
        <f t="shared" ref="X68:X76" si="97">RANK(W68, W$67:W$81)</f>
        <v>6</v>
      </c>
      <c r="Y68" s="537"/>
      <c r="Z68" s="190">
        <v>12</v>
      </c>
      <c r="AA68" s="190">
        <v>3126.2730959891842</v>
      </c>
      <c r="AB68" s="187">
        <f t="shared" si="90"/>
        <v>260.5227579990987</v>
      </c>
      <c r="AC68" s="184">
        <f t="shared" ref="AC68:AC76" si="98">RANK(AB68, AB$67:AB$81)</f>
        <v>6</v>
      </c>
      <c r="AD68" s="537"/>
      <c r="AE68" s="190">
        <v>12</v>
      </c>
      <c r="AF68" s="190">
        <v>3127.2229822161426</v>
      </c>
      <c r="AG68" s="187">
        <f t="shared" ref="AG68:AG76" si="99">IFERROR(AF68/AE68,"")</f>
        <v>260.60191518467855</v>
      </c>
      <c r="AH68" s="184" t="e">
        <f t="shared" ref="AH68:AH76" si="100">RANK(AG68, AG$7:AG$21)</f>
        <v>#N/A</v>
      </c>
      <c r="AI68" s="537"/>
      <c r="AJ68" s="190">
        <v>12</v>
      </c>
      <c r="AK68" s="190">
        <v>3128.3950617283899</v>
      </c>
      <c r="AL68" s="187">
        <f t="shared" si="91"/>
        <v>260.69958847736581</v>
      </c>
      <c r="AM68" s="184">
        <f t="shared" ref="AM68:AM76" si="101">RANK(AL68, AL$67:AL$81)</f>
        <v>6</v>
      </c>
      <c r="AN68" s="537"/>
      <c r="AO68" s="190">
        <v>12</v>
      </c>
      <c r="AP68" s="190">
        <v>3128.4191829484967</v>
      </c>
      <c r="AQ68" s="187">
        <f t="shared" si="92"/>
        <v>260.70159857904139</v>
      </c>
      <c r="AR68" s="184">
        <f t="shared" ref="AR68:AR76" si="102">RANK(AQ68, AQ$67:AQ$81)</f>
        <v>6</v>
      </c>
      <c r="AS68" s="537"/>
      <c r="AT68" s="190">
        <v>12</v>
      </c>
      <c r="AU68" s="190">
        <v>3131.162790697676</v>
      </c>
      <c r="AV68" s="187">
        <f t="shared" si="93"/>
        <v>260.93023255813966</v>
      </c>
      <c r="AW68" s="184">
        <f t="shared" ref="AW68:AW76" si="103">RANK(AV68, AV$67:AV$81)</f>
        <v>9</v>
      </c>
      <c r="AX68" s="537"/>
    </row>
    <row r="69" spans="2:50" ht="14.25" customHeight="1">
      <c r="B69" s="501"/>
      <c r="C69" s="182">
        <v>3</v>
      </c>
      <c r="D69" s="185" t="s">
        <v>356</v>
      </c>
      <c r="E69" s="182">
        <v>11</v>
      </c>
      <c r="F69" s="182">
        <v>3600</v>
      </c>
      <c r="G69" s="187">
        <f t="shared" si="88"/>
        <v>327.27272727272725</v>
      </c>
      <c r="H69" s="537"/>
      <c r="I69" s="188">
        <f t="shared" si="94"/>
        <v>11</v>
      </c>
      <c r="J69" s="188">
        <f t="shared" si="94"/>
        <v>3158.9228222945962</v>
      </c>
      <c r="K69" s="189">
        <f t="shared" si="94"/>
        <v>287.17480202678144</v>
      </c>
      <c r="L69" s="538"/>
      <c r="M69" s="188">
        <f>RANK(K69, K$67:$K$81)</f>
        <v>5</v>
      </c>
      <c r="N69" s="501"/>
      <c r="O69" s="501"/>
      <c r="P69" s="190">
        <v>11</v>
      </c>
      <c r="Q69" s="190">
        <v>3156.1643835616428</v>
      </c>
      <c r="R69" s="187">
        <f t="shared" si="95"/>
        <v>286.92403486924024</v>
      </c>
      <c r="S69" s="184">
        <f t="shared" si="96"/>
        <v>5</v>
      </c>
      <c r="T69" s="537"/>
      <c r="U69" s="190">
        <v>11</v>
      </c>
      <c r="V69" s="190">
        <v>3156.1643835616428</v>
      </c>
      <c r="W69" s="187">
        <f t="shared" si="89"/>
        <v>286.92403486924024</v>
      </c>
      <c r="X69" s="184">
        <f t="shared" si="97"/>
        <v>5</v>
      </c>
      <c r="Y69" s="537"/>
      <c r="Z69" s="190">
        <v>11</v>
      </c>
      <c r="AA69" s="190">
        <v>3156.6293459045378</v>
      </c>
      <c r="AB69" s="187">
        <f t="shared" si="90"/>
        <v>286.9663041731398</v>
      </c>
      <c r="AC69" s="184">
        <f t="shared" si="98"/>
        <v>5</v>
      </c>
      <c r="AD69" s="537"/>
      <c r="AE69" s="190">
        <v>11</v>
      </c>
      <c r="AF69" s="190">
        <v>3159.2440427280153</v>
      </c>
      <c r="AG69" s="187">
        <f t="shared" si="99"/>
        <v>287.20400388436502</v>
      </c>
      <c r="AH69" s="184" t="e">
        <f t="shared" si="100"/>
        <v>#N/A</v>
      </c>
      <c r="AI69" s="537"/>
      <c r="AJ69" s="190">
        <v>11</v>
      </c>
      <c r="AK69" s="190">
        <v>3160.819234194124</v>
      </c>
      <c r="AL69" s="187">
        <f t="shared" si="91"/>
        <v>287.3472031085567</v>
      </c>
      <c r="AM69" s="184">
        <f t="shared" si="101"/>
        <v>4</v>
      </c>
      <c r="AN69" s="537"/>
      <c r="AO69" s="190">
        <v>11</v>
      </c>
      <c r="AP69" s="190">
        <v>3161.335676625662</v>
      </c>
      <c r="AQ69" s="187">
        <f t="shared" si="92"/>
        <v>287.39415242051473</v>
      </c>
      <c r="AR69" s="184">
        <f t="shared" si="102"/>
        <v>4</v>
      </c>
      <c r="AS69" s="537"/>
      <c r="AT69" s="190">
        <v>11</v>
      </c>
      <c r="AU69" s="190">
        <v>3162.1026894865463</v>
      </c>
      <c r="AV69" s="187">
        <f t="shared" si="93"/>
        <v>287.4638808624133</v>
      </c>
      <c r="AW69" s="184">
        <f t="shared" si="103"/>
        <v>4</v>
      </c>
      <c r="AX69" s="537"/>
    </row>
    <row r="70" spans="2:50" ht="14.25" customHeight="1">
      <c r="B70" s="501"/>
      <c r="C70" s="182">
        <v>4</v>
      </c>
      <c r="D70" s="185" t="s">
        <v>485</v>
      </c>
      <c r="E70" s="182">
        <v>6</v>
      </c>
      <c r="F70" s="182">
        <v>2600</v>
      </c>
      <c r="G70" s="187">
        <f t="shared" si="88"/>
        <v>433.33333333333331</v>
      </c>
      <c r="H70" s="537"/>
      <c r="I70" s="188">
        <f t="shared" si="94"/>
        <v>6</v>
      </c>
      <c r="J70" s="188">
        <f t="shared" si="94"/>
        <v>2316.8162933121425</v>
      </c>
      <c r="K70" s="189">
        <f t="shared" si="94"/>
        <v>386.13604888535701</v>
      </c>
      <c r="L70" s="538"/>
      <c r="M70" s="188">
        <f>RANK(K70, K$67:$K$81)</f>
        <v>1</v>
      </c>
      <c r="N70" s="501"/>
      <c r="O70" s="501"/>
      <c r="P70" s="190">
        <v>6</v>
      </c>
      <c r="Q70" s="190">
        <v>2316.2463343108511</v>
      </c>
      <c r="R70" s="187">
        <f t="shared" si="95"/>
        <v>386.04105571847521</v>
      </c>
      <c r="S70" s="184">
        <f t="shared" si="96"/>
        <v>1</v>
      </c>
      <c r="T70" s="537"/>
      <c r="U70" s="190">
        <v>6</v>
      </c>
      <c r="V70" s="190">
        <v>2316.5542293720805</v>
      </c>
      <c r="W70" s="187">
        <f t="shared" si="89"/>
        <v>386.0923715620134</v>
      </c>
      <c r="X70" s="184">
        <f t="shared" si="97"/>
        <v>1</v>
      </c>
      <c r="Y70" s="537"/>
      <c r="Z70" s="190">
        <v>6</v>
      </c>
      <c r="AA70" s="190">
        <v>2316.8693812797464</v>
      </c>
      <c r="AB70" s="187">
        <f t="shared" si="90"/>
        <v>386.14489687995774</v>
      </c>
      <c r="AC70" s="184">
        <f t="shared" si="98"/>
        <v>1</v>
      </c>
      <c r="AD70" s="537"/>
      <c r="AE70" s="190">
        <v>6</v>
      </c>
      <c r="AF70" s="190">
        <v>2316.1445783132476</v>
      </c>
      <c r="AG70" s="187">
        <f t="shared" si="99"/>
        <v>386.02409638554127</v>
      </c>
      <c r="AH70" s="184" t="e">
        <f t="shared" si="100"/>
        <v>#N/A</v>
      </c>
      <c r="AI70" s="537"/>
      <c r="AJ70" s="190">
        <v>6</v>
      </c>
      <c r="AK70" s="190">
        <v>2317.7637511271432</v>
      </c>
      <c r="AL70" s="187">
        <f t="shared" si="91"/>
        <v>386.29395852119052</v>
      </c>
      <c r="AM70" s="184">
        <f t="shared" si="101"/>
        <v>1</v>
      </c>
      <c r="AN70" s="537"/>
      <c r="AO70" s="190">
        <v>6</v>
      </c>
      <c r="AP70" s="190">
        <v>2317.449664429535</v>
      </c>
      <c r="AQ70" s="187">
        <f t="shared" si="92"/>
        <v>386.24161073825582</v>
      </c>
      <c r="AR70" s="184">
        <f t="shared" si="102"/>
        <v>1</v>
      </c>
      <c r="AS70" s="537"/>
      <c r="AT70" s="190">
        <v>6</v>
      </c>
      <c r="AU70" s="190">
        <v>2316.6861143523906</v>
      </c>
      <c r="AV70" s="187">
        <f t="shared" si="93"/>
        <v>386.11435239206509</v>
      </c>
      <c r="AW70" s="184">
        <f t="shared" si="103"/>
        <v>2</v>
      </c>
      <c r="AX70" s="537"/>
    </row>
    <row r="71" spans="2:50" ht="14.25" customHeight="1">
      <c r="B71" s="501"/>
      <c r="C71" s="182">
        <v>5</v>
      </c>
      <c r="D71" s="185" t="s">
        <v>496</v>
      </c>
      <c r="E71" s="182">
        <v>6</v>
      </c>
      <c r="F71" s="182">
        <v>2500</v>
      </c>
      <c r="G71" s="187">
        <f t="shared" si="88"/>
        <v>416.66666666666669</v>
      </c>
      <c r="H71" s="537"/>
      <c r="I71" s="188">
        <f t="shared" si="94"/>
        <v>6</v>
      </c>
      <c r="J71" s="188">
        <f t="shared" si="94"/>
        <v>2256.6379051417657</v>
      </c>
      <c r="K71" s="189">
        <f t="shared" si="94"/>
        <v>376.10631752362758</v>
      </c>
      <c r="L71" s="538"/>
      <c r="M71" s="188">
        <f>RANK(K71, K$67:$K$81)</f>
        <v>3</v>
      </c>
      <c r="N71" s="501"/>
      <c r="O71" s="501"/>
      <c r="P71" s="190">
        <v>6</v>
      </c>
      <c r="Q71" s="190">
        <v>2256.6442953020046</v>
      </c>
      <c r="R71" s="187">
        <f t="shared" si="95"/>
        <v>376.10738255033408</v>
      </c>
      <c r="S71" s="184">
        <f t="shared" si="96"/>
        <v>3</v>
      </c>
      <c r="T71" s="537"/>
      <c r="U71" s="190">
        <v>6</v>
      </c>
      <c r="V71" s="190">
        <v>2255.7939914163085</v>
      </c>
      <c r="W71" s="187">
        <f t="shared" si="89"/>
        <v>375.96566523605139</v>
      </c>
      <c r="X71" s="184">
        <f t="shared" si="97"/>
        <v>3</v>
      </c>
      <c r="Y71" s="537"/>
      <c r="Z71" s="190">
        <v>6</v>
      </c>
      <c r="AA71" s="190">
        <v>2257.3216520650763</v>
      </c>
      <c r="AB71" s="187">
        <f t="shared" si="90"/>
        <v>376.22027534417936</v>
      </c>
      <c r="AC71" s="184">
        <f t="shared" si="98"/>
        <v>3</v>
      </c>
      <c r="AD71" s="537"/>
      <c r="AE71" s="190">
        <v>6</v>
      </c>
      <c r="AF71" s="190">
        <v>2255.2204176334176</v>
      </c>
      <c r="AG71" s="187">
        <f t="shared" si="99"/>
        <v>375.8700696055696</v>
      </c>
      <c r="AH71" s="184" t="e">
        <f t="shared" si="100"/>
        <v>#N/A</v>
      </c>
      <c r="AI71" s="537"/>
      <c r="AJ71" s="190">
        <v>6</v>
      </c>
      <c r="AK71" s="190">
        <v>2257.2972972973153</v>
      </c>
      <c r="AL71" s="187">
        <f t="shared" si="91"/>
        <v>376.21621621621921</v>
      </c>
      <c r="AM71" s="184">
        <f t="shared" si="101"/>
        <v>3</v>
      </c>
      <c r="AN71" s="537"/>
      <c r="AO71" s="190">
        <v>6</v>
      </c>
      <c r="AP71" s="190">
        <v>2257.471264367809</v>
      </c>
      <c r="AQ71" s="187">
        <f t="shared" si="92"/>
        <v>376.24521072796819</v>
      </c>
      <c r="AR71" s="184">
        <f t="shared" si="102"/>
        <v>3</v>
      </c>
      <c r="AS71" s="537"/>
      <c r="AT71" s="190">
        <v>6</v>
      </c>
      <c r="AU71" s="190">
        <v>2256.7164179104288</v>
      </c>
      <c r="AV71" s="187">
        <f t="shared" si="93"/>
        <v>376.11940298507147</v>
      </c>
      <c r="AW71" s="184">
        <f t="shared" si="103"/>
        <v>3</v>
      </c>
      <c r="AX71" s="537"/>
    </row>
    <row r="72" spans="2:50" ht="14.25" customHeight="1">
      <c r="B72" s="501"/>
      <c r="C72" s="182">
        <v>6</v>
      </c>
      <c r="D72" s="185" t="s">
        <v>494</v>
      </c>
      <c r="E72" s="182">
        <v>6</v>
      </c>
      <c r="F72" s="182">
        <v>2600</v>
      </c>
      <c r="G72" s="187">
        <f t="shared" si="88"/>
        <v>433.33333333333331</v>
      </c>
      <c r="H72" s="537"/>
      <c r="I72" s="188">
        <f t="shared" si="94"/>
        <v>6</v>
      </c>
      <c r="J72" s="188">
        <f t="shared" si="94"/>
        <v>2316.4592342801029</v>
      </c>
      <c r="K72" s="189">
        <f t="shared" si="94"/>
        <v>386.07653904668376</v>
      </c>
      <c r="L72" s="538"/>
      <c r="M72" s="188">
        <f>RANK(K72, K$67:$K$81)</f>
        <v>2</v>
      </c>
      <c r="N72" s="501"/>
      <c r="O72" s="501"/>
      <c r="P72" s="190">
        <v>6</v>
      </c>
      <c r="Q72" s="190">
        <v>2316.0664819944641</v>
      </c>
      <c r="R72" s="187">
        <f t="shared" si="95"/>
        <v>386.0110803324107</v>
      </c>
      <c r="S72" s="184">
        <f t="shared" si="96"/>
        <v>2</v>
      </c>
      <c r="T72" s="537"/>
      <c r="U72" s="190">
        <v>6</v>
      </c>
      <c r="V72" s="190">
        <v>2316.5037377803314</v>
      </c>
      <c r="W72" s="187">
        <f t="shared" si="89"/>
        <v>386.08395629672191</v>
      </c>
      <c r="X72" s="184">
        <f t="shared" si="97"/>
        <v>2</v>
      </c>
      <c r="Y72" s="537"/>
      <c r="Z72" s="190">
        <v>6</v>
      </c>
      <c r="AA72" s="190">
        <v>2316.3157894736901</v>
      </c>
      <c r="AB72" s="187">
        <f t="shared" si="90"/>
        <v>386.05263157894836</v>
      </c>
      <c r="AC72" s="184">
        <f t="shared" si="98"/>
        <v>2</v>
      </c>
      <c r="AD72" s="537"/>
      <c r="AE72" s="190">
        <v>6</v>
      </c>
      <c r="AF72" s="190">
        <v>2316.2523900573638</v>
      </c>
      <c r="AG72" s="187">
        <f t="shared" si="99"/>
        <v>386.04206500956064</v>
      </c>
      <c r="AH72" s="184" t="e">
        <f t="shared" si="100"/>
        <v>#N/A</v>
      </c>
      <c r="AI72" s="537"/>
      <c r="AJ72" s="190">
        <v>6</v>
      </c>
      <c r="AK72" s="190">
        <v>2316.8316831683214</v>
      </c>
      <c r="AL72" s="187">
        <f t="shared" si="91"/>
        <v>386.13861386138689</v>
      </c>
      <c r="AM72" s="184">
        <f t="shared" si="101"/>
        <v>2</v>
      </c>
      <c r="AN72" s="537"/>
      <c r="AO72" s="190">
        <v>6</v>
      </c>
      <c r="AP72" s="190">
        <v>2316.0326086956552</v>
      </c>
      <c r="AQ72" s="187">
        <f t="shared" si="92"/>
        <v>386.0054347826092</v>
      </c>
      <c r="AR72" s="184">
        <f t="shared" si="102"/>
        <v>2</v>
      </c>
      <c r="AS72" s="537"/>
      <c r="AT72" s="190">
        <v>6</v>
      </c>
      <c r="AU72" s="190">
        <v>2317.2119487908922</v>
      </c>
      <c r="AV72" s="187">
        <f t="shared" si="93"/>
        <v>386.20199146514869</v>
      </c>
      <c r="AW72" s="184">
        <f t="shared" si="103"/>
        <v>1</v>
      </c>
      <c r="AX72" s="537"/>
    </row>
    <row r="73" spans="2:50" ht="14.25" customHeight="1">
      <c r="B73" s="501"/>
      <c r="C73" s="182">
        <v>7</v>
      </c>
      <c r="D73" s="185" t="s">
        <v>577</v>
      </c>
      <c r="E73" s="182">
        <v>12</v>
      </c>
      <c r="F73" s="182">
        <v>1750</v>
      </c>
      <c r="G73" s="187">
        <f t="shared" si="88"/>
        <v>145.83333333333334</v>
      </c>
      <c r="H73" s="537"/>
      <c r="I73" s="188">
        <f t="shared" si="94"/>
        <v>12</v>
      </c>
      <c r="J73" s="188">
        <f t="shared" si="94"/>
        <v>1532.3076923076978</v>
      </c>
      <c r="K73" s="189">
        <f t="shared" si="94"/>
        <v>127.69230769230815</v>
      </c>
      <c r="L73" s="538"/>
      <c r="M73" s="188">
        <f>RANK(K73, K$67:$K$81)</f>
        <v>10</v>
      </c>
      <c r="N73" s="501"/>
      <c r="O73" s="501"/>
      <c r="P73" s="190">
        <v>12</v>
      </c>
      <c r="Q73" s="190">
        <v>1532.3076923076978</v>
      </c>
      <c r="R73" s="187">
        <f t="shared" si="95"/>
        <v>127.69230769230815</v>
      </c>
      <c r="S73" s="184">
        <f t="shared" si="96"/>
        <v>10</v>
      </c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01"/>
      <c r="C74" s="182">
        <v>8</v>
      </c>
      <c r="D74" s="185" t="s">
        <v>360</v>
      </c>
      <c r="E74" s="182">
        <v>12</v>
      </c>
      <c r="F74" s="182">
        <v>3600</v>
      </c>
      <c r="G74" s="187">
        <f t="shared" si="88"/>
        <v>300</v>
      </c>
      <c r="H74" s="537"/>
      <c r="I74" s="188">
        <f t="shared" si="94"/>
        <v>12</v>
      </c>
      <c r="J74" s="188">
        <f t="shared" si="94"/>
        <v>3124.3596290560122</v>
      </c>
      <c r="K74" s="189">
        <f t="shared" si="94"/>
        <v>260.36330242133442</v>
      </c>
      <c r="L74" s="538"/>
      <c r="M74" s="188">
        <f>RANK(K74, K$67:$K$81)</f>
        <v>9</v>
      </c>
      <c r="N74" s="501"/>
      <c r="O74" s="501"/>
      <c r="P74" s="190">
        <v>12</v>
      </c>
      <c r="Q74" s="190">
        <v>3120.6434316353825</v>
      </c>
      <c r="R74" s="187">
        <f t="shared" si="95"/>
        <v>260.05361930294856</v>
      </c>
      <c r="S74" s="184">
        <f t="shared" si="96"/>
        <v>9</v>
      </c>
      <c r="T74" s="537"/>
      <c r="U74" s="190">
        <v>12</v>
      </c>
      <c r="V74" s="190">
        <v>3121.268163804491</v>
      </c>
      <c r="W74" s="187">
        <f t="shared" si="89"/>
        <v>260.10568031704094</v>
      </c>
      <c r="X74" s="184">
        <f t="shared" si="97"/>
        <v>9</v>
      </c>
      <c r="Y74" s="537"/>
      <c r="Z74" s="190">
        <v>12</v>
      </c>
      <c r="AA74" s="190">
        <v>3121.3483146067447</v>
      </c>
      <c r="AB74" s="187">
        <f t="shared" si="90"/>
        <v>260.11235955056208</v>
      </c>
      <c r="AC74" s="184">
        <f t="shared" si="98"/>
        <v>9</v>
      </c>
      <c r="AD74" s="537"/>
      <c r="AE74" s="190">
        <v>12</v>
      </c>
      <c r="AF74" s="190">
        <v>3123.1651376146774</v>
      </c>
      <c r="AG74" s="187">
        <f t="shared" si="99"/>
        <v>260.26376146788976</v>
      </c>
      <c r="AH74" s="184" t="e">
        <f>RANK(AG74, AG$7:AG$21)</f>
        <v>#N/A</v>
      </c>
      <c r="AI74" s="537"/>
      <c r="AJ74" s="190">
        <v>12</v>
      </c>
      <c r="AK74" s="190">
        <v>3124.8513674197429</v>
      </c>
      <c r="AL74" s="187">
        <f t="shared" si="91"/>
        <v>260.40428061831193</v>
      </c>
      <c r="AM74" s="184">
        <f t="shared" si="101"/>
        <v>8</v>
      </c>
      <c r="AN74" s="537"/>
      <c r="AO74" s="190">
        <v>12</v>
      </c>
      <c r="AP74" s="190">
        <v>3125.5267025967678</v>
      </c>
      <c r="AQ74" s="187">
        <f t="shared" si="92"/>
        <v>260.46055854973065</v>
      </c>
      <c r="AR74" s="184">
        <f t="shared" si="102"/>
        <v>7</v>
      </c>
      <c r="AS74" s="537"/>
      <c r="AT74" s="190">
        <v>12</v>
      </c>
      <c r="AU74" s="190">
        <v>3133.7142857142826</v>
      </c>
      <c r="AV74" s="187">
        <f t="shared" si="93"/>
        <v>261.14285714285688</v>
      </c>
      <c r="AW74" s="184">
        <f t="shared" si="103"/>
        <v>6</v>
      </c>
      <c r="AX74" s="537"/>
    </row>
    <row r="75" spans="2:50" ht="14.25" customHeight="1">
      <c r="B75" s="501"/>
      <c r="C75" s="182">
        <v>9</v>
      </c>
      <c r="D75" s="185" t="s">
        <v>361</v>
      </c>
      <c r="E75" s="182">
        <v>12</v>
      </c>
      <c r="F75" s="182">
        <v>3600</v>
      </c>
      <c r="G75" s="187">
        <f t="shared" si="88"/>
        <v>300</v>
      </c>
      <c r="H75" s="537"/>
      <c r="I75" s="188">
        <f t="shared" si="94"/>
        <v>12</v>
      </c>
      <c r="J75" s="188">
        <f t="shared" si="94"/>
        <v>3124.8267294514148</v>
      </c>
      <c r="K75" s="189">
        <f t="shared" si="94"/>
        <v>260.40222745428457</v>
      </c>
      <c r="L75" s="538"/>
      <c r="M75" s="188">
        <f>RANK(K75, K$67:$K$81)</f>
        <v>7</v>
      </c>
      <c r="N75" s="501"/>
      <c r="O75" s="501"/>
      <c r="P75" s="190">
        <v>12</v>
      </c>
      <c r="Q75" s="190">
        <v>3121.4351425942996</v>
      </c>
      <c r="R75" s="187">
        <f t="shared" si="95"/>
        <v>260.11959521619161</v>
      </c>
      <c r="S75" s="184">
        <f t="shared" si="96"/>
        <v>8</v>
      </c>
      <c r="T75" s="537"/>
      <c r="U75" s="190">
        <v>12</v>
      </c>
      <c r="V75" s="190">
        <v>3122.3989095865486</v>
      </c>
      <c r="W75" s="187">
        <f t="shared" si="89"/>
        <v>260.19990913221238</v>
      </c>
      <c r="X75" s="184">
        <f t="shared" si="97"/>
        <v>8</v>
      </c>
      <c r="Y75" s="537"/>
      <c r="Z75" s="190">
        <v>12</v>
      </c>
      <c r="AA75" s="190">
        <v>3122.2168206125443</v>
      </c>
      <c r="AB75" s="187">
        <f t="shared" si="90"/>
        <v>260.18473505104538</v>
      </c>
      <c r="AC75" s="184">
        <f t="shared" si="98"/>
        <v>8</v>
      </c>
      <c r="AD75" s="537"/>
      <c r="AE75" s="190">
        <v>12</v>
      </c>
      <c r="AF75" s="190">
        <v>3124.6517262265193</v>
      </c>
      <c r="AG75" s="187">
        <f t="shared" si="99"/>
        <v>260.38764385220992</v>
      </c>
      <c r="AH75" s="184" t="e">
        <f t="shared" si="100"/>
        <v>#N/A</v>
      </c>
      <c r="AI75" s="537"/>
      <c r="AJ75" s="190">
        <v>12</v>
      </c>
      <c r="AK75" s="190">
        <v>3125.1165889407034</v>
      </c>
      <c r="AL75" s="187">
        <f t="shared" si="91"/>
        <v>260.42638241172529</v>
      </c>
      <c r="AM75" s="184">
        <f t="shared" si="101"/>
        <v>7</v>
      </c>
      <c r="AN75" s="537"/>
      <c r="AO75" s="190">
        <v>12</v>
      </c>
      <c r="AP75" s="190">
        <v>3124.7034553893723</v>
      </c>
      <c r="AQ75" s="187">
        <f t="shared" si="92"/>
        <v>260.391954615781</v>
      </c>
      <c r="AR75" s="184">
        <f t="shared" si="102"/>
        <v>8</v>
      </c>
      <c r="AS75" s="537"/>
      <c r="AT75" s="190">
        <v>12</v>
      </c>
      <c r="AU75" s="190">
        <v>3133.2644628099142</v>
      </c>
      <c r="AV75" s="187">
        <f t="shared" si="93"/>
        <v>261.10537190082619</v>
      </c>
      <c r="AW75" s="184">
        <f t="shared" si="103"/>
        <v>7</v>
      </c>
      <c r="AX75" s="537"/>
    </row>
    <row r="76" spans="2:50" ht="14.25" customHeight="1">
      <c r="B76" s="501"/>
      <c r="C76" s="182">
        <v>10</v>
      </c>
      <c r="D76" s="185" t="s">
        <v>359</v>
      </c>
      <c r="E76" s="182">
        <v>11</v>
      </c>
      <c r="F76" s="182">
        <v>3600</v>
      </c>
      <c r="G76" s="187">
        <f t="shared" si="88"/>
        <v>327.27272727272725</v>
      </c>
      <c r="H76" s="537"/>
      <c r="I76" s="188">
        <f t="shared" si="94"/>
        <v>11</v>
      </c>
      <c r="J76" s="188">
        <f t="shared" si="94"/>
        <v>3158.937169015906</v>
      </c>
      <c r="K76" s="189">
        <f t="shared" si="94"/>
        <v>287.17610627417326</v>
      </c>
      <c r="L76" s="538"/>
      <c r="M76" s="188">
        <f>RANK(K76, K$67:$K$81)</f>
        <v>4</v>
      </c>
      <c r="N76" s="501"/>
      <c r="O76" s="501"/>
      <c r="P76" s="190">
        <v>11</v>
      </c>
      <c r="Q76" s="190">
        <v>3156.6502463054162</v>
      </c>
      <c r="R76" s="187">
        <f t="shared" si="95"/>
        <v>286.96820420958329</v>
      </c>
      <c r="S76" s="184">
        <f t="shared" si="96"/>
        <v>4</v>
      </c>
      <c r="T76" s="537"/>
      <c r="U76" s="190">
        <v>11</v>
      </c>
      <c r="V76" s="190">
        <v>3156.6704675028518</v>
      </c>
      <c r="W76" s="187">
        <f t="shared" si="89"/>
        <v>286.97004250025924</v>
      </c>
      <c r="X76" s="184">
        <f t="shared" si="97"/>
        <v>4</v>
      </c>
      <c r="Y76" s="537"/>
      <c r="Z76" s="190">
        <v>11</v>
      </c>
      <c r="AA76" s="190">
        <v>3159.005457853259</v>
      </c>
      <c r="AB76" s="187">
        <f t="shared" si="90"/>
        <v>287.18231435029628</v>
      </c>
      <c r="AC76" s="184">
        <f t="shared" si="98"/>
        <v>4</v>
      </c>
      <c r="AD76" s="537"/>
      <c r="AE76" s="190">
        <v>11</v>
      </c>
      <c r="AF76" s="190">
        <v>3160.4327666151526</v>
      </c>
      <c r="AG76" s="187">
        <f t="shared" si="99"/>
        <v>287.31206969228657</v>
      </c>
      <c r="AH76" s="184" t="e">
        <f t="shared" si="100"/>
        <v>#N/A</v>
      </c>
      <c r="AI76" s="537"/>
      <c r="AJ76" s="190">
        <v>11</v>
      </c>
      <c r="AK76" s="190">
        <v>3159.9022004889976</v>
      </c>
      <c r="AL76" s="187">
        <f t="shared" si="91"/>
        <v>287.2638364080907</v>
      </c>
      <c r="AM76" s="184">
        <f t="shared" si="101"/>
        <v>5</v>
      </c>
      <c r="AN76" s="537"/>
      <c r="AO76" s="190">
        <v>11</v>
      </c>
      <c r="AP76" s="190">
        <v>3160.2873938602297</v>
      </c>
      <c r="AQ76" s="187">
        <f t="shared" si="92"/>
        <v>287.29885398729363</v>
      </c>
      <c r="AR76" s="184">
        <f t="shared" si="102"/>
        <v>5</v>
      </c>
      <c r="AS76" s="537"/>
      <c r="AT76" s="190">
        <v>11</v>
      </c>
      <c r="AU76" s="190">
        <v>3159.6116504854335</v>
      </c>
      <c r="AV76" s="187">
        <f t="shared" si="93"/>
        <v>287.23742277140303</v>
      </c>
      <c r="AW76" s="184">
        <f t="shared" si="103"/>
        <v>5</v>
      </c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104">U82+1</f>
        <v>46051</v>
      </c>
      <c r="AA82" s="599"/>
      <c r="AB82" s="599"/>
      <c r="AC82" s="599"/>
      <c r="AD82" s="599"/>
      <c r="AE82" s="600">
        <f t="shared" ref="AE82" si="105">Z82+1</f>
        <v>46052</v>
      </c>
      <c r="AF82" s="601"/>
      <c r="AG82" s="601"/>
      <c r="AH82" s="601"/>
      <c r="AI82" s="601"/>
      <c r="AJ82" s="590">
        <f t="shared" ref="AJ82" si="106">AE82+1</f>
        <v>46053</v>
      </c>
      <c r="AK82" s="591"/>
      <c r="AL82" s="591"/>
      <c r="AM82" s="591"/>
      <c r="AN82" s="592"/>
      <c r="AO82" s="600">
        <f t="shared" ref="AO82" si="107">AJ82+1</f>
        <v>46054</v>
      </c>
      <c r="AP82" s="601"/>
      <c r="AQ82" s="601"/>
      <c r="AR82" s="601"/>
      <c r="AS82" s="601"/>
      <c r="AT82" s="590">
        <f t="shared" ref="AT82" si="108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109">Z82</f>
        <v>46051</v>
      </c>
      <c r="AA83" s="593"/>
      <c r="AB83" s="593"/>
      <c r="AC83" s="593"/>
      <c r="AD83" s="593"/>
      <c r="AE83" s="594">
        <f t="shared" ref="AE83" si="110">AE82</f>
        <v>46052</v>
      </c>
      <c r="AF83" s="594"/>
      <c r="AG83" s="594"/>
      <c r="AH83" s="594"/>
      <c r="AI83" s="594"/>
      <c r="AJ83" s="595">
        <f t="shared" ref="AJ83" si="111">AJ82</f>
        <v>46053</v>
      </c>
      <c r="AK83" s="596"/>
      <c r="AL83" s="596"/>
      <c r="AM83" s="596"/>
      <c r="AN83" s="597"/>
      <c r="AO83" s="594">
        <f t="shared" ref="AO83" si="112">AO82</f>
        <v>46054</v>
      </c>
      <c r="AP83" s="594"/>
      <c r="AQ83" s="594"/>
      <c r="AR83" s="594"/>
      <c r="AS83" s="594"/>
      <c r="AT83" s="595">
        <f t="shared" ref="AT83" si="113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606</v>
      </c>
      <c r="C87" s="182">
        <v>1</v>
      </c>
      <c r="D87" s="185"/>
      <c r="E87" s="182"/>
      <c r="F87" s="182"/>
      <c r="G87" s="187" t="e">
        <f t="shared" ref="G87:G101" si="114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5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116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17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18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19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20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21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4"/>
        <v>#DIV/0!</v>
      </c>
      <c r="H88" s="537"/>
      <c r="I88" s="188" t="e">
        <f t="shared" ref="I88:I101" si="122">AVERAGE(P88,U88,Z88,AE88,AJ88,AO88,AT88)</f>
        <v>#DIV/0!</v>
      </c>
      <c r="J88" s="188" t="e">
        <f t="shared" ref="J88:J101" si="123">AVERAGE(Q88,V88,AA88,AF88,AK88,AP88,AU88)</f>
        <v>#DIV/0!</v>
      </c>
      <c r="K88" s="189" t="e">
        <f t="shared" ref="K88:K101" si="124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115"/>
        <v>#DIV/0!</v>
      </c>
      <c r="S88" s="184" t="e">
        <f t="shared" ref="S88:S101" si="125">RANK(R88, R$47:R$61)</f>
        <v>#DIV/0!</v>
      </c>
      <c r="T88" s="537"/>
      <c r="U88" s="182"/>
      <c r="V88" s="182"/>
      <c r="W88" s="187" t="e">
        <f t="shared" si="116"/>
        <v>#DIV/0!</v>
      </c>
      <c r="X88" s="184" t="e">
        <f t="shared" ref="X88:X101" si="126">RANK(W88, W$47:W$61)</f>
        <v>#DIV/0!</v>
      </c>
      <c r="Y88" s="537"/>
      <c r="Z88" s="182"/>
      <c r="AA88" s="182"/>
      <c r="AB88" s="187" t="e">
        <f t="shared" si="117"/>
        <v>#DIV/0!</v>
      </c>
      <c r="AC88" s="184" t="e">
        <f t="shared" ref="AC88:AC101" si="127">RANK(AB88, AB$47:AB$61)</f>
        <v>#DIV/0!</v>
      </c>
      <c r="AD88" s="537"/>
      <c r="AE88" s="182"/>
      <c r="AF88" s="182"/>
      <c r="AG88" s="187" t="e">
        <f t="shared" si="118"/>
        <v>#DIV/0!</v>
      </c>
      <c r="AH88" s="184" t="e">
        <f t="shared" ref="AH88:AH101" si="128">RANK(AG88, AG$47:AG$61)</f>
        <v>#DIV/0!</v>
      </c>
      <c r="AI88" s="537"/>
      <c r="AJ88" s="182"/>
      <c r="AK88" s="182"/>
      <c r="AL88" s="187" t="e">
        <f t="shared" si="119"/>
        <v>#DIV/0!</v>
      </c>
      <c r="AM88" s="184" t="e">
        <f t="shared" ref="AM88:AM101" si="129">RANK(AL88, AL$47:AL$61)</f>
        <v>#DIV/0!</v>
      </c>
      <c r="AN88" s="537"/>
      <c r="AO88" s="182"/>
      <c r="AP88" s="182"/>
      <c r="AQ88" s="187" t="e">
        <f t="shared" si="120"/>
        <v>#DIV/0!</v>
      </c>
      <c r="AR88" s="184" t="e">
        <f t="shared" ref="AR88:AR101" si="130">RANK(AQ88, AQ$47:AQ$61)</f>
        <v>#DIV/0!</v>
      </c>
      <c r="AS88" s="537"/>
      <c r="AT88" s="182"/>
      <c r="AU88" s="182"/>
      <c r="AV88" s="187" t="e">
        <f t="shared" si="121"/>
        <v>#DIV/0!</v>
      </c>
      <c r="AW88" s="184" t="e">
        <f t="shared" ref="AW88:AW101" si="131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4"/>
        <v>#DIV/0!</v>
      </c>
      <c r="H89" s="537"/>
      <c r="I89" s="188" t="e">
        <f t="shared" si="122"/>
        <v>#DIV/0!</v>
      </c>
      <c r="J89" s="188" t="e">
        <f t="shared" si="123"/>
        <v>#DIV/0!</v>
      </c>
      <c r="K89" s="189" t="e">
        <f t="shared" si="124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115"/>
        <v>#DIV/0!</v>
      </c>
      <c r="S89" s="184" t="e">
        <f t="shared" si="125"/>
        <v>#DIV/0!</v>
      </c>
      <c r="T89" s="537"/>
      <c r="U89" s="182"/>
      <c r="V89" s="182"/>
      <c r="W89" s="187" t="e">
        <f t="shared" si="116"/>
        <v>#DIV/0!</v>
      </c>
      <c r="X89" s="184" t="e">
        <f t="shared" si="126"/>
        <v>#DIV/0!</v>
      </c>
      <c r="Y89" s="537"/>
      <c r="Z89" s="182"/>
      <c r="AA89" s="182"/>
      <c r="AB89" s="187" t="e">
        <f t="shared" si="117"/>
        <v>#DIV/0!</v>
      </c>
      <c r="AC89" s="184" t="e">
        <f t="shared" si="127"/>
        <v>#DIV/0!</v>
      </c>
      <c r="AD89" s="537"/>
      <c r="AE89" s="182"/>
      <c r="AF89" s="182"/>
      <c r="AG89" s="187" t="e">
        <f t="shared" si="118"/>
        <v>#DIV/0!</v>
      </c>
      <c r="AH89" s="184" t="e">
        <f t="shared" si="128"/>
        <v>#DIV/0!</v>
      </c>
      <c r="AI89" s="537"/>
      <c r="AJ89" s="182"/>
      <c r="AK89" s="182"/>
      <c r="AL89" s="187" t="e">
        <f t="shared" si="119"/>
        <v>#DIV/0!</v>
      </c>
      <c r="AM89" s="184" t="e">
        <f t="shared" si="129"/>
        <v>#DIV/0!</v>
      </c>
      <c r="AN89" s="537"/>
      <c r="AO89" s="182"/>
      <c r="AP89" s="182"/>
      <c r="AQ89" s="187" t="e">
        <f t="shared" si="120"/>
        <v>#DIV/0!</v>
      </c>
      <c r="AR89" s="184" t="e">
        <f t="shared" si="130"/>
        <v>#DIV/0!</v>
      </c>
      <c r="AS89" s="537"/>
      <c r="AT89" s="182"/>
      <c r="AU89" s="182"/>
      <c r="AV89" s="187" t="e">
        <f t="shared" si="121"/>
        <v>#DIV/0!</v>
      </c>
      <c r="AW89" s="184" t="e">
        <f t="shared" si="131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4"/>
        <v>#DIV/0!</v>
      </c>
      <c r="H90" s="537"/>
      <c r="I90" s="188" t="e">
        <f t="shared" si="122"/>
        <v>#DIV/0!</v>
      </c>
      <c r="J90" s="188" t="e">
        <f t="shared" si="123"/>
        <v>#DIV/0!</v>
      </c>
      <c r="K90" s="189" t="e">
        <f t="shared" si="124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115"/>
        <v>#DIV/0!</v>
      </c>
      <c r="S90" s="184" t="e">
        <f t="shared" si="125"/>
        <v>#DIV/0!</v>
      </c>
      <c r="T90" s="537"/>
      <c r="U90" s="182"/>
      <c r="V90" s="182"/>
      <c r="W90" s="187" t="e">
        <f t="shared" si="116"/>
        <v>#DIV/0!</v>
      </c>
      <c r="X90" s="184" t="e">
        <f t="shared" si="126"/>
        <v>#DIV/0!</v>
      </c>
      <c r="Y90" s="537"/>
      <c r="Z90" s="182"/>
      <c r="AA90" s="182"/>
      <c r="AB90" s="187" t="e">
        <f t="shared" si="117"/>
        <v>#DIV/0!</v>
      </c>
      <c r="AC90" s="184" t="e">
        <f t="shared" si="127"/>
        <v>#DIV/0!</v>
      </c>
      <c r="AD90" s="537"/>
      <c r="AE90" s="182"/>
      <c r="AF90" s="182"/>
      <c r="AG90" s="187" t="e">
        <f t="shared" si="118"/>
        <v>#DIV/0!</v>
      </c>
      <c r="AH90" s="184" t="e">
        <f t="shared" si="128"/>
        <v>#DIV/0!</v>
      </c>
      <c r="AI90" s="537"/>
      <c r="AJ90" s="182"/>
      <c r="AK90" s="182"/>
      <c r="AL90" s="187" t="e">
        <f t="shared" si="119"/>
        <v>#DIV/0!</v>
      </c>
      <c r="AM90" s="184" t="e">
        <f t="shared" si="129"/>
        <v>#DIV/0!</v>
      </c>
      <c r="AN90" s="537"/>
      <c r="AO90" s="182"/>
      <c r="AP90" s="182"/>
      <c r="AQ90" s="187" t="e">
        <f t="shared" si="120"/>
        <v>#DIV/0!</v>
      </c>
      <c r="AR90" s="184" t="e">
        <f t="shared" si="130"/>
        <v>#DIV/0!</v>
      </c>
      <c r="AS90" s="537"/>
      <c r="AT90" s="182"/>
      <c r="AU90" s="182"/>
      <c r="AV90" s="187" t="e">
        <f t="shared" si="121"/>
        <v>#DIV/0!</v>
      </c>
      <c r="AW90" s="184" t="e">
        <f t="shared" si="131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4"/>
        <v>#DIV/0!</v>
      </c>
      <c r="H91" s="537"/>
      <c r="I91" s="188" t="e">
        <f t="shared" si="122"/>
        <v>#DIV/0!</v>
      </c>
      <c r="J91" s="188" t="e">
        <f t="shared" si="123"/>
        <v>#DIV/0!</v>
      </c>
      <c r="K91" s="189" t="e">
        <f t="shared" si="124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115"/>
        <v>#DIV/0!</v>
      </c>
      <c r="S91" s="184" t="e">
        <f t="shared" si="125"/>
        <v>#DIV/0!</v>
      </c>
      <c r="T91" s="537"/>
      <c r="U91" s="182"/>
      <c r="V91" s="182"/>
      <c r="W91" s="187" t="e">
        <f t="shared" si="116"/>
        <v>#DIV/0!</v>
      </c>
      <c r="X91" s="184" t="e">
        <f t="shared" si="126"/>
        <v>#DIV/0!</v>
      </c>
      <c r="Y91" s="537"/>
      <c r="Z91" s="182"/>
      <c r="AA91" s="182"/>
      <c r="AB91" s="187" t="e">
        <f t="shared" si="117"/>
        <v>#DIV/0!</v>
      </c>
      <c r="AC91" s="184" t="e">
        <f t="shared" si="127"/>
        <v>#DIV/0!</v>
      </c>
      <c r="AD91" s="537"/>
      <c r="AE91" s="182"/>
      <c r="AF91" s="182"/>
      <c r="AG91" s="187" t="e">
        <f t="shared" si="118"/>
        <v>#DIV/0!</v>
      </c>
      <c r="AH91" s="184" t="e">
        <f t="shared" si="128"/>
        <v>#DIV/0!</v>
      </c>
      <c r="AI91" s="537"/>
      <c r="AJ91" s="182"/>
      <c r="AK91" s="182"/>
      <c r="AL91" s="187" t="e">
        <f t="shared" si="119"/>
        <v>#DIV/0!</v>
      </c>
      <c r="AM91" s="184" t="e">
        <f t="shared" si="129"/>
        <v>#DIV/0!</v>
      </c>
      <c r="AN91" s="537"/>
      <c r="AO91" s="182"/>
      <c r="AP91" s="182"/>
      <c r="AQ91" s="187" t="e">
        <f t="shared" si="120"/>
        <v>#DIV/0!</v>
      </c>
      <c r="AR91" s="184" t="e">
        <f t="shared" si="130"/>
        <v>#DIV/0!</v>
      </c>
      <c r="AS91" s="537"/>
      <c r="AT91" s="182"/>
      <c r="AU91" s="182"/>
      <c r="AV91" s="187" t="e">
        <f t="shared" si="121"/>
        <v>#DIV/0!</v>
      </c>
      <c r="AW91" s="184" t="e">
        <f t="shared" si="131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4"/>
        <v>#DIV/0!</v>
      </c>
      <c r="H92" s="537"/>
      <c r="I92" s="188" t="e">
        <f t="shared" si="122"/>
        <v>#DIV/0!</v>
      </c>
      <c r="J92" s="188" t="e">
        <f t="shared" si="123"/>
        <v>#DIV/0!</v>
      </c>
      <c r="K92" s="189" t="e">
        <f t="shared" si="124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115"/>
        <v>#DIV/0!</v>
      </c>
      <c r="S92" s="184" t="e">
        <f t="shared" si="125"/>
        <v>#DIV/0!</v>
      </c>
      <c r="T92" s="537"/>
      <c r="U92" s="182"/>
      <c r="V92" s="182"/>
      <c r="W92" s="187" t="e">
        <f t="shared" si="116"/>
        <v>#DIV/0!</v>
      </c>
      <c r="X92" s="184" t="e">
        <f t="shared" si="126"/>
        <v>#DIV/0!</v>
      </c>
      <c r="Y92" s="537"/>
      <c r="Z92" s="182"/>
      <c r="AA92" s="182"/>
      <c r="AB92" s="187" t="e">
        <f t="shared" si="117"/>
        <v>#DIV/0!</v>
      </c>
      <c r="AC92" s="184" t="e">
        <f t="shared" si="127"/>
        <v>#DIV/0!</v>
      </c>
      <c r="AD92" s="537"/>
      <c r="AE92" s="182"/>
      <c r="AF92" s="182"/>
      <c r="AG92" s="187" t="e">
        <f t="shared" si="118"/>
        <v>#DIV/0!</v>
      </c>
      <c r="AH92" s="184" t="e">
        <f t="shared" si="128"/>
        <v>#DIV/0!</v>
      </c>
      <c r="AI92" s="537"/>
      <c r="AJ92" s="182"/>
      <c r="AK92" s="182"/>
      <c r="AL92" s="187" t="e">
        <f t="shared" si="119"/>
        <v>#DIV/0!</v>
      </c>
      <c r="AM92" s="184" t="e">
        <f t="shared" si="129"/>
        <v>#DIV/0!</v>
      </c>
      <c r="AN92" s="537"/>
      <c r="AO92" s="182"/>
      <c r="AP92" s="182"/>
      <c r="AQ92" s="187" t="e">
        <f t="shared" si="120"/>
        <v>#DIV/0!</v>
      </c>
      <c r="AR92" s="184" t="e">
        <f t="shared" si="130"/>
        <v>#DIV/0!</v>
      </c>
      <c r="AS92" s="537"/>
      <c r="AT92" s="182"/>
      <c r="AU92" s="182"/>
      <c r="AV92" s="187" t="e">
        <f t="shared" si="121"/>
        <v>#DIV/0!</v>
      </c>
      <c r="AW92" s="184" t="e">
        <f t="shared" si="131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4"/>
        <v>#DIV/0!</v>
      </c>
      <c r="H93" s="537"/>
      <c r="I93" s="188" t="e">
        <f t="shared" si="122"/>
        <v>#DIV/0!</v>
      </c>
      <c r="J93" s="188" t="e">
        <f t="shared" si="123"/>
        <v>#DIV/0!</v>
      </c>
      <c r="K93" s="189" t="e">
        <f t="shared" si="124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115"/>
        <v>#DIV/0!</v>
      </c>
      <c r="S93" s="184" t="e">
        <f t="shared" si="125"/>
        <v>#DIV/0!</v>
      </c>
      <c r="T93" s="537"/>
      <c r="U93" s="182"/>
      <c r="V93" s="182"/>
      <c r="W93" s="187" t="e">
        <f t="shared" si="116"/>
        <v>#DIV/0!</v>
      </c>
      <c r="X93" s="184" t="e">
        <f t="shared" si="126"/>
        <v>#DIV/0!</v>
      </c>
      <c r="Y93" s="537"/>
      <c r="Z93" s="182"/>
      <c r="AA93" s="182"/>
      <c r="AB93" s="187" t="e">
        <f t="shared" si="117"/>
        <v>#DIV/0!</v>
      </c>
      <c r="AC93" s="184" t="e">
        <f t="shared" si="127"/>
        <v>#DIV/0!</v>
      </c>
      <c r="AD93" s="537"/>
      <c r="AE93" s="182"/>
      <c r="AF93" s="182"/>
      <c r="AG93" s="187" t="e">
        <f t="shared" si="118"/>
        <v>#DIV/0!</v>
      </c>
      <c r="AH93" s="184" t="e">
        <f t="shared" si="128"/>
        <v>#DIV/0!</v>
      </c>
      <c r="AI93" s="537"/>
      <c r="AJ93" s="182"/>
      <c r="AK93" s="182"/>
      <c r="AL93" s="187" t="e">
        <f t="shared" si="119"/>
        <v>#DIV/0!</v>
      </c>
      <c r="AM93" s="184" t="e">
        <f t="shared" si="129"/>
        <v>#DIV/0!</v>
      </c>
      <c r="AN93" s="537"/>
      <c r="AO93" s="182"/>
      <c r="AP93" s="182"/>
      <c r="AQ93" s="187" t="e">
        <f t="shared" si="120"/>
        <v>#DIV/0!</v>
      </c>
      <c r="AR93" s="184" t="e">
        <f t="shared" si="130"/>
        <v>#DIV/0!</v>
      </c>
      <c r="AS93" s="537"/>
      <c r="AT93" s="182"/>
      <c r="AU93" s="182"/>
      <c r="AV93" s="187" t="e">
        <f t="shared" si="121"/>
        <v>#DIV/0!</v>
      </c>
      <c r="AW93" s="184" t="e">
        <f t="shared" si="131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4"/>
        <v>#DIV/0!</v>
      </c>
      <c r="H94" s="537"/>
      <c r="I94" s="188" t="e">
        <f t="shared" si="122"/>
        <v>#DIV/0!</v>
      </c>
      <c r="J94" s="188" t="e">
        <f t="shared" si="123"/>
        <v>#DIV/0!</v>
      </c>
      <c r="K94" s="189" t="e">
        <f t="shared" si="124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115"/>
        <v>#DIV/0!</v>
      </c>
      <c r="S94" s="184" t="e">
        <f t="shared" si="125"/>
        <v>#DIV/0!</v>
      </c>
      <c r="T94" s="537"/>
      <c r="U94" s="182"/>
      <c r="V94" s="182"/>
      <c r="W94" s="187" t="e">
        <f t="shared" si="116"/>
        <v>#DIV/0!</v>
      </c>
      <c r="X94" s="184" t="e">
        <f t="shared" si="126"/>
        <v>#DIV/0!</v>
      </c>
      <c r="Y94" s="537"/>
      <c r="Z94" s="182"/>
      <c r="AA94" s="182"/>
      <c r="AB94" s="187" t="e">
        <f t="shared" si="117"/>
        <v>#DIV/0!</v>
      </c>
      <c r="AC94" s="184" t="e">
        <f t="shared" si="127"/>
        <v>#DIV/0!</v>
      </c>
      <c r="AD94" s="537"/>
      <c r="AE94" s="182"/>
      <c r="AF94" s="182"/>
      <c r="AG94" s="187" t="e">
        <f t="shared" si="118"/>
        <v>#DIV/0!</v>
      </c>
      <c r="AH94" s="184" t="e">
        <f t="shared" si="128"/>
        <v>#DIV/0!</v>
      </c>
      <c r="AI94" s="537"/>
      <c r="AJ94" s="182"/>
      <c r="AK94" s="182"/>
      <c r="AL94" s="187" t="e">
        <f t="shared" si="119"/>
        <v>#DIV/0!</v>
      </c>
      <c r="AM94" s="184" t="e">
        <f t="shared" si="129"/>
        <v>#DIV/0!</v>
      </c>
      <c r="AN94" s="537"/>
      <c r="AO94" s="182"/>
      <c r="AP94" s="182"/>
      <c r="AQ94" s="187" t="e">
        <f t="shared" si="120"/>
        <v>#DIV/0!</v>
      </c>
      <c r="AR94" s="184" t="e">
        <f t="shared" si="130"/>
        <v>#DIV/0!</v>
      </c>
      <c r="AS94" s="537"/>
      <c r="AT94" s="182"/>
      <c r="AU94" s="182"/>
      <c r="AV94" s="187" t="e">
        <f t="shared" si="121"/>
        <v>#DIV/0!</v>
      </c>
      <c r="AW94" s="184" t="e">
        <f t="shared" si="131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4"/>
        <v>#DIV/0!</v>
      </c>
      <c r="H95" s="537"/>
      <c r="I95" s="188" t="e">
        <f t="shared" si="122"/>
        <v>#DIV/0!</v>
      </c>
      <c r="J95" s="188" t="e">
        <f t="shared" si="123"/>
        <v>#DIV/0!</v>
      </c>
      <c r="K95" s="189" t="e">
        <f t="shared" si="124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115"/>
        <v>#DIV/0!</v>
      </c>
      <c r="S95" s="184" t="e">
        <f t="shared" si="125"/>
        <v>#DIV/0!</v>
      </c>
      <c r="T95" s="537"/>
      <c r="U95" s="182"/>
      <c r="V95" s="182"/>
      <c r="W95" s="187" t="e">
        <f t="shared" si="116"/>
        <v>#DIV/0!</v>
      </c>
      <c r="X95" s="184" t="e">
        <f t="shared" si="126"/>
        <v>#DIV/0!</v>
      </c>
      <c r="Y95" s="537"/>
      <c r="Z95" s="182"/>
      <c r="AA95" s="182"/>
      <c r="AB95" s="187" t="e">
        <f t="shared" si="117"/>
        <v>#DIV/0!</v>
      </c>
      <c r="AC95" s="184" t="e">
        <f t="shared" si="127"/>
        <v>#DIV/0!</v>
      </c>
      <c r="AD95" s="537"/>
      <c r="AE95" s="182"/>
      <c r="AF95" s="182"/>
      <c r="AG95" s="187" t="e">
        <f t="shared" si="118"/>
        <v>#DIV/0!</v>
      </c>
      <c r="AH95" s="184" t="e">
        <f t="shared" si="128"/>
        <v>#DIV/0!</v>
      </c>
      <c r="AI95" s="537"/>
      <c r="AJ95" s="182"/>
      <c r="AK95" s="182"/>
      <c r="AL95" s="187" t="e">
        <f t="shared" si="119"/>
        <v>#DIV/0!</v>
      </c>
      <c r="AM95" s="184" t="e">
        <f t="shared" si="129"/>
        <v>#DIV/0!</v>
      </c>
      <c r="AN95" s="537"/>
      <c r="AO95" s="182"/>
      <c r="AP95" s="182"/>
      <c r="AQ95" s="187" t="e">
        <f t="shared" si="120"/>
        <v>#DIV/0!</v>
      </c>
      <c r="AR95" s="184" t="e">
        <f t="shared" si="130"/>
        <v>#DIV/0!</v>
      </c>
      <c r="AS95" s="537"/>
      <c r="AT95" s="182"/>
      <c r="AU95" s="182"/>
      <c r="AV95" s="187" t="e">
        <f t="shared" si="121"/>
        <v>#DIV/0!</v>
      </c>
      <c r="AW95" s="184" t="e">
        <f t="shared" si="131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4"/>
        <v>#DIV/0!</v>
      </c>
      <c r="H96" s="537"/>
      <c r="I96" s="188" t="e">
        <f t="shared" si="122"/>
        <v>#DIV/0!</v>
      </c>
      <c r="J96" s="188" t="e">
        <f t="shared" si="123"/>
        <v>#DIV/0!</v>
      </c>
      <c r="K96" s="189" t="e">
        <f t="shared" si="124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115"/>
        <v>#DIV/0!</v>
      </c>
      <c r="S96" s="184" t="e">
        <f t="shared" si="125"/>
        <v>#DIV/0!</v>
      </c>
      <c r="T96" s="537"/>
      <c r="U96" s="182"/>
      <c r="V96" s="182"/>
      <c r="W96" s="187" t="e">
        <f t="shared" si="116"/>
        <v>#DIV/0!</v>
      </c>
      <c r="X96" s="184" t="e">
        <f t="shared" si="126"/>
        <v>#DIV/0!</v>
      </c>
      <c r="Y96" s="537"/>
      <c r="Z96" s="182"/>
      <c r="AA96" s="182"/>
      <c r="AB96" s="187" t="e">
        <f t="shared" si="117"/>
        <v>#DIV/0!</v>
      </c>
      <c r="AC96" s="184" t="e">
        <f t="shared" si="127"/>
        <v>#DIV/0!</v>
      </c>
      <c r="AD96" s="537"/>
      <c r="AE96" s="182"/>
      <c r="AF96" s="182"/>
      <c r="AG96" s="187" t="e">
        <f t="shared" si="118"/>
        <v>#DIV/0!</v>
      </c>
      <c r="AH96" s="184" t="e">
        <f t="shared" si="128"/>
        <v>#DIV/0!</v>
      </c>
      <c r="AI96" s="537"/>
      <c r="AJ96" s="182"/>
      <c r="AK96" s="182"/>
      <c r="AL96" s="187" t="e">
        <f t="shared" si="119"/>
        <v>#DIV/0!</v>
      </c>
      <c r="AM96" s="184" t="e">
        <f t="shared" si="129"/>
        <v>#DIV/0!</v>
      </c>
      <c r="AN96" s="537"/>
      <c r="AO96" s="182"/>
      <c r="AP96" s="182"/>
      <c r="AQ96" s="187" t="e">
        <f t="shared" si="120"/>
        <v>#DIV/0!</v>
      </c>
      <c r="AR96" s="184" t="e">
        <f t="shared" si="130"/>
        <v>#DIV/0!</v>
      </c>
      <c r="AS96" s="537"/>
      <c r="AT96" s="182"/>
      <c r="AU96" s="182"/>
      <c r="AV96" s="187" t="e">
        <f t="shared" si="121"/>
        <v>#DIV/0!</v>
      </c>
      <c r="AW96" s="184" t="e">
        <f t="shared" si="131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4"/>
        <v>#DIV/0!</v>
      </c>
      <c r="H97" s="537"/>
      <c r="I97" s="188" t="e">
        <f t="shared" si="122"/>
        <v>#DIV/0!</v>
      </c>
      <c r="J97" s="188" t="e">
        <f t="shared" si="123"/>
        <v>#DIV/0!</v>
      </c>
      <c r="K97" s="189" t="e">
        <f t="shared" si="124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115"/>
        <v>#DIV/0!</v>
      </c>
      <c r="S97" s="184" t="e">
        <f t="shared" si="125"/>
        <v>#DIV/0!</v>
      </c>
      <c r="T97" s="537"/>
      <c r="U97" s="182"/>
      <c r="V97" s="182"/>
      <c r="W97" s="187" t="e">
        <f t="shared" si="116"/>
        <v>#DIV/0!</v>
      </c>
      <c r="X97" s="184" t="e">
        <f t="shared" si="126"/>
        <v>#DIV/0!</v>
      </c>
      <c r="Y97" s="537"/>
      <c r="Z97" s="182"/>
      <c r="AA97" s="182"/>
      <c r="AB97" s="187" t="e">
        <f t="shared" si="117"/>
        <v>#DIV/0!</v>
      </c>
      <c r="AC97" s="184" t="e">
        <f t="shared" si="127"/>
        <v>#DIV/0!</v>
      </c>
      <c r="AD97" s="537"/>
      <c r="AE97" s="182"/>
      <c r="AF97" s="182"/>
      <c r="AG97" s="187" t="e">
        <f t="shared" si="118"/>
        <v>#DIV/0!</v>
      </c>
      <c r="AH97" s="184" t="e">
        <f t="shared" si="128"/>
        <v>#DIV/0!</v>
      </c>
      <c r="AI97" s="537"/>
      <c r="AJ97" s="182"/>
      <c r="AK97" s="182"/>
      <c r="AL97" s="187" t="e">
        <f t="shared" si="119"/>
        <v>#DIV/0!</v>
      </c>
      <c r="AM97" s="184" t="e">
        <f t="shared" si="129"/>
        <v>#DIV/0!</v>
      </c>
      <c r="AN97" s="537"/>
      <c r="AO97" s="182"/>
      <c r="AP97" s="182"/>
      <c r="AQ97" s="187" t="e">
        <f t="shared" si="120"/>
        <v>#DIV/0!</v>
      </c>
      <c r="AR97" s="184" t="e">
        <f t="shared" si="130"/>
        <v>#DIV/0!</v>
      </c>
      <c r="AS97" s="537"/>
      <c r="AT97" s="182"/>
      <c r="AU97" s="182"/>
      <c r="AV97" s="187" t="e">
        <f t="shared" si="121"/>
        <v>#DIV/0!</v>
      </c>
      <c r="AW97" s="184" t="e">
        <f t="shared" si="131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4"/>
        <v>#DIV/0!</v>
      </c>
      <c r="H98" s="537"/>
      <c r="I98" s="188" t="e">
        <f t="shared" si="122"/>
        <v>#DIV/0!</v>
      </c>
      <c r="J98" s="188" t="e">
        <f t="shared" si="123"/>
        <v>#DIV/0!</v>
      </c>
      <c r="K98" s="189" t="e">
        <f t="shared" si="124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115"/>
        <v>#DIV/0!</v>
      </c>
      <c r="S98" s="184" t="e">
        <f t="shared" si="125"/>
        <v>#DIV/0!</v>
      </c>
      <c r="T98" s="537"/>
      <c r="U98" s="182"/>
      <c r="V98" s="182"/>
      <c r="W98" s="187" t="e">
        <f t="shared" si="116"/>
        <v>#DIV/0!</v>
      </c>
      <c r="X98" s="184" t="e">
        <f t="shared" si="126"/>
        <v>#DIV/0!</v>
      </c>
      <c r="Y98" s="537"/>
      <c r="Z98" s="182"/>
      <c r="AA98" s="182"/>
      <c r="AB98" s="187" t="e">
        <f t="shared" si="117"/>
        <v>#DIV/0!</v>
      </c>
      <c r="AC98" s="184" t="e">
        <f t="shared" si="127"/>
        <v>#DIV/0!</v>
      </c>
      <c r="AD98" s="537"/>
      <c r="AE98" s="182"/>
      <c r="AF98" s="182"/>
      <c r="AG98" s="187" t="e">
        <f t="shared" si="118"/>
        <v>#DIV/0!</v>
      </c>
      <c r="AH98" s="184" t="e">
        <f t="shared" si="128"/>
        <v>#DIV/0!</v>
      </c>
      <c r="AI98" s="537"/>
      <c r="AJ98" s="182"/>
      <c r="AK98" s="182"/>
      <c r="AL98" s="187" t="e">
        <f t="shared" si="119"/>
        <v>#DIV/0!</v>
      </c>
      <c r="AM98" s="184" t="e">
        <f t="shared" si="129"/>
        <v>#DIV/0!</v>
      </c>
      <c r="AN98" s="537"/>
      <c r="AO98" s="182"/>
      <c r="AP98" s="182"/>
      <c r="AQ98" s="187" t="e">
        <f t="shared" si="120"/>
        <v>#DIV/0!</v>
      </c>
      <c r="AR98" s="184" t="e">
        <f t="shared" si="130"/>
        <v>#DIV/0!</v>
      </c>
      <c r="AS98" s="537"/>
      <c r="AT98" s="182"/>
      <c r="AU98" s="182"/>
      <c r="AV98" s="187" t="e">
        <f t="shared" si="121"/>
        <v>#DIV/0!</v>
      </c>
      <c r="AW98" s="184" t="e">
        <f t="shared" si="131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4"/>
        <v>#DIV/0!</v>
      </c>
      <c r="H99" s="537"/>
      <c r="I99" s="188" t="e">
        <f t="shared" si="122"/>
        <v>#DIV/0!</v>
      </c>
      <c r="J99" s="188" t="e">
        <f t="shared" si="123"/>
        <v>#DIV/0!</v>
      </c>
      <c r="K99" s="189" t="e">
        <f t="shared" si="124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115"/>
        <v>#DIV/0!</v>
      </c>
      <c r="S99" s="184" t="e">
        <f t="shared" si="125"/>
        <v>#DIV/0!</v>
      </c>
      <c r="T99" s="537"/>
      <c r="U99" s="182"/>
      <c r="V99" s="182"/>
      <c r="W99" s="187" t="e">
        <f t="shared" si="116"/>
        <v>#DIV/0!</v>
      </c>
      <c r="X99" s="184" t="e">
        <f t="shared" si="126"/>
        <v>#DIV/0!</v>
      </c>
      <c r="Y99" s="537"/>
      <c r="Z99" s="182"/>
      <c r="AA99" s="182"/>
      <c r="AB99" s="187" t="e">
        <f t="shared" si="117"/>
        <v>#DIV/0!</v>
      </c>
      <c r="AC99" s="184" t="e">
        <f t="shared" si="127"/>
        <v>#DIV/0!</v>
      </c>
      <c r="AD99" s="537"/>
      <c r="AE99" s="182"/>
      <c r="AF99" s="182"/>
      <c r="AG99" s="187" t="e">
        <f t="shared" si="118"/>
        <v>#DIV/0!</v>
      </c>
      <c r="AH99" s="184" t="e">
        <f t="shared" si="128"/>
        <v>#DIV/0!</v>
      </c>
      <c r="AI99" s="537"/>
      <c r="AJ99" s="182"/>
      <c r="AK99" s="182"/>
      <c r="AL99" s="187" t="e">
        <f t="shared" si="119"/>
        <v>#DIV/0!</v>
      </c>
      <c r="AM99" s="184" t="e">
        <f t="shared" si="129"/>
        <v>#DIV/0!</v>
      </c>
      <c r="AN99" s="537"/>
      <c r="AO99" s="182"/>
      <c r="AP99" s="182"/>
      <c r="AQ99" s="187" t="e">
        <f t="shared" si="120"/>
        <v>#DIV/0!</v>
      </c>
      <c r="AR99" s="184" t="e">
        <f t="shared" si="130"/>
        <v>#DIV/0!</v>
      </c>
      <c r="AS99" s="537"/>
      <c r="AT99" s="182"/>
      <c r="AU99" s="182"/>
      <c r="AV99" s="187" t="e">
        <f t="shared" si="121"/>
        <v>#DIV/0!</v>
      </c>
      <c r="AW99" s="184" t="e">
        <f t="shared" si="131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4"/>
        <v>#DIV/0!</v>
      </c>
      <c r="H100" s="537"/>
      <c r="I100" s="188" t="e">
        <f t="shared" si="122"/>
        <v>#DIV/0!</v>
      </c>
      <c r="J100" s="188" t="e">
        <f t="shared" si="123"/>
        <v>#DIV/0!</v>
      </c>
      <c r="K100" s="189" t="e">
        <f t="shared" si="124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5"/>
        <v>#DIV/0!</v>
      </c>
      <c r="S100" s="184" t="e">
        <f t="shared" si="125"/>
        <v>#DIV/0!</v>
      </c>
      <c r="T100" s="537"/>
      <c r="U100" s="182"/>
      <c r="V100" s="182"/>
      <c r="W100" s="187" t="e">
        <f t="shared" si="116"/>
        <v>#DIV/0!</v>
      </c>
      <c r="X100" s="184" t="e">
        <f t="shared" si="126"/>
        <v>#DIV/0!</v>
      </c>
      <c r="Y100" s="537"/>
      <c r="Z100" s="182"/>
      <c r="AA100" s="182"/>
      <c r="AB100" s="187" t="e">
        <f t="shared" si="117"/>
        <v>#DIV/0!</v>
      </c>
      <c r="AC100" s="184" t="e">
        <f t="shared" si="127"/>
        <v>#DIV/0!</v>
      </c>
      <c r="AD100" s="537"/>
      <c r="AE100" s="182"/>
      <c r="AF100" s="182"/>
      <c r="AG100" s="187" t="e">
        <f t="shared" si="118"/>
        <v>#DIV/0!</v>
      </c>
      <c r="AH100" s="184" t="e">
        <f t="shared" si="128"/>
        <v>#DIV/0!</v>
      </c>
      <c r="AI100" s="537"/>
      <c r="AJ100" s="182"/>
      <c r="AK100" s="182"/>
      <c r="AL100" s="187" t="e">
        <f t="shared" si="119"/>
        <v>#DIV/0!</v>
      </c>
      <c r="AM100" s="184" t="e">
        <f t="shared" si="129"/>
        <v>#DIV/0!</v>
      </c>
      <c r="AN100" s="537"/>
      <c r="AO100" s="182"/>
      <c r="AP100" s="182"/>
      <c r="AQ100" s="187" t="e">
        <f t="shared" si="120"/>
        <v>#DIV/0!</v>
      </c>
      <c r="AR100" s="184" t="e">
        <f t="shared" si="130"/>
        <v>#DIV/0!</v>
      </c>
      <c r="AS100" s="537"/>
      <c r="AT100" s="182"/>
      <c r="AU100" s="182"/>
      <c r="AV100" s="187" t="e">
        <f t="shared" si="121"/>
        <v>#DIV/0!</v>
      </c>
      <c r="AW100" s="184" t="e">
        <f t="shared" si="131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4"/>
        <v>#DIV/0!</v>
      </c>
      <c r="H101" s="537"/>
      <c r="I101" s="188" t="e">
        <f t="shared" si="122"/>
        <v>#DIV/0!</v>
      </c>
      <c r="J101" s="188" t="e">
        <f t="shared" si="123"/>
        <v>#DIV/0!</v>
      </c>
      <c r="K101" s="189" t="e">
        <f t="shared" si="124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5"/>
        <v>#DIV/0!</v>
      </c>
      <c r="T101" s="537"/>
      <c r="U101" s="182"/>
      <c r="V101" s="186"/>
      <c r="W101" s="187" t="e">
        <f>V101/U101</f>
        <v>#DIV/0!</v>
      </c>
      <c r="X101" s="184" t="e">
        <f t="shared" si="126"/>
        <v>#DIV/0!</v>
      </c>
      <c r="Y101" s="537"/>
      <c r="Z101" s="182"/>
      <c r="AA101" s="186"/>
      <c r="AB101" s="187" t="e">
        <f>AA101/Z101</f>
        <v>#DIV/0!</v>
      </c>
      <c r="AC101" s="184" t="e">
        <f t="shared" si="127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28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29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30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31"/>
        <v>#DIV/0!</v>
      </c>
      <c r="AX101" s="537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54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:AW69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599</v>
      </c>
      <c r="C1" s="177">
        <f>AVERAGE(L7,L27,L47,L67,L87)</f>
        <v>257.8855306457184</v>
      </c>
    </row>
    <row r="2" spans="1:50" ht="14.25" customHeight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608" t="s">
        <v>465</v>
      </c>
      <c r="C7" s="182">
        <v>1</v>
      </c>
      <c r="D7" s="185" t="s">
        <v>362</v>
      </c>
      <c r="E7" s="182">
        <v>20</v>
      </c>
      <c r="F7" s="182">
        <v>2600</v>
      </c>
      <c r="G7" s="187">
        <f t="shared" ref="G7:G9" si="10">F7/E7</f>
        <v>130</v>
      </c>
      <c r="H7" s="537">
        <f>AVERAGE(G7:G21)</f>
        <v>286.66666666666669</v>
      </c>
      <c r="I7" s="188">
        <f>AVERAGE(P7,U7,Z7,AE7,AJ7,AO7,AT7)</f>
        <v>20</v>
      </c>
      <c r="J7" s="188">
        <f>AVERAGE(Q7,V7,AA7,AF7,AK7,AP7,AU7)</f>
        <v>2307.8009063814379</v>
      </c>
      <c r="K7" s="189">
        <f>AVERAGE(R7,W7,AB7,AG7,AL7,AQ7,AV7)</f>
        <v>115.39004531907192</v>
      </c>
      <c r="L7" s="538">
        <f>IFERROR(AVERAGE(K7:K21),"-")</f>
        <v>257.93694597390885</v>
      </c>
      <c r="M7" s="188">
        <f>RANK(K7, K$7:$K$21)</f>
        <v>3</v>
      </c>
      <c r="N7" s="501"/>
      <c r="O7" s="501"/>
      <c r="P7" s="186">
        <v>20</v>
      </c>
      <c r="Q7" s="186">
        <v>2307.1311667056348</v>
      </c>
      <c r="R7" s="187">
        <f t="shared" ref="R7:R9" si="11">Q7/P7</f>
        <v>115.35655833528173</v>
      </c>
      <c r="S7" s="184">
        <f>RANK(R7, R$7:R$21)</f>
        <v>2</v>
      </c>
      <c r="T7" s="537">
        <f>AVERAGE(R7:R21)</f>
        <v>257.8227627194596</v>
      </c>
      <c r="U7" s="186">
        <v>20</v>
      </c>
      <c r="V7" s="186">
        <v>2307.3966220151437</v>
      </c>
      <c r="W7" s="187">
        <f t="shared" ref="W7:W9" si="12">V7/U7</f>
        <v>115.36983110075718</v>
      </c>
      <c r="X7" s="184">
        <f>RANK(W7, W$7:W$21)</f>
        <v>2</v>
      </c>
      <c r="Y7" s="537">
        <f>AVERAGE(W7:W21)</f>
        <v>257.94206200613854</v>
      </c>
      <c r="Z7" s="186">
        <v>20</v>
      </c>
      <c r="AA7" s="186">
        <v>2307.4870274277246</v>
      </c>
      <c r="AB7" s="187">
        <f t="shared" ref="AB7:AB9" si="13">AA7/Z7</f>
        <v>115.37435137138623</v>
      </c>
      <c r="AC7" s="184">
        <f>RANK(AB7, AB$7:AB$21)</f>
        <v>2</v>
      </c>
      <c r="AD7" s="537">
        <f>AVERAGE(AB7:AB21)</f>
        <v>257.87570164660224</v>
      </c>
      <c r="AE7" s="186">
        <v>20</v>
      </c>
      <c r="AF7" s="186">
        <v>2307.7213993066498</v>
      </c>
      <c r="AG7" s="187">
        <f t="shared" ref="AG7:AG9" si="14">AF7/AE7</f>
        <v>115.3860699653325</v>
      </c>
      <c r="AH7" s="184">
        <f>RANK(AG7, AG$7:AG$21)</f>
        <v>3</v>
      </c>
      <c r="AI7" s="537">
        <f>AVERAGE(AG7:AG21)</f>
        <v>258.03140946896684</v>
      </c>
      <c r="AJ7" s="186">
        <v>20</v>
      </c>
      <c r="AK7" s="186">
        <v>2308.1986143187046</v>
      </c>
      <c r="AL7" s="187">
        <f t="shared" ref="AL7:AL9" si="15">AK7/AJ7</f>
        <v>115.40993071593523</v>
      </c>
      <c r="AM7" s="184">
        <f>RANK(AL7, AL$7:AL$21)</f>
        <v>3</v>
      </c>
      <c r="AN7" s="537">
        <f>AVERAGE(AL7:AL21)</f>
        <v>257.97924641642368</v>
      </c>
      <c r="AO7" s="186">
        <v>20</v>
      </c>
      <c r="AP7" s="186">
        <v>2308.3129584352077</v>
      </c>
      <c r="AQ7" s="187">
        <f t="shared" ref="AQ7:AQ9" si="16">AP7/AO7</f>
        <v>115.41564792176038</v>
      </c>
      <c r="AR7" s="184">
        <f>RANK(AQ7, AQ$7:AQ$21)</f>
        <v>3</v>
      </c>
      <c r="AS7" s="537">
        <f>AVERAGE(AQ7:AQ21)</f>
        <v>257.95587639982688</v>
      </c>
      <c r="AT7" s="186">
        <v>20</v>
      </c>
      <c r="AU7" s="186">
        <v>2308.3585564610021</v>
      </c>
      <c r="AV7" s="187">
        <f t="shared" ref="AV7:AV9" si="17">AU7/AT7</f>
        <v>115.41792782305011</v>
      </c>
      <c r="AW7" s="184">
        <f>RANK(AV7, AV$7:AV$21)</f>
        <v>3</v>
      </c>
      <c r="AX7" s="537">
        <f>AVERAGE(AV7:AV21)</f>
        <v>257.95156315994376</v>
      </c>
    </row>
    <row r="8" spans="1:50" ht="14.25" customHeight="1">
      <c r="B8" s="501"/>
      <c r="C8" s="182">
        <v>2</v>
      </c>
      <c r="D8" s="185" t="s">
        <v>502</v>
      </c>
      <c r="E8" s="182">
        <v>20</v>
      </c>
      <c r="F8" s="182">
        <v>2600</v>
      </c>
      <c r="G8" s="187">
        <f t="shared" si="10"/>
        <v>130</v>
      </c>
      <c r="H8" s="537"/>
      <c r="I8" s="188">
        <f t="shared" ref="I8:K9" si="18">AVERAGE(P8,U8,Z8,AE8,AJ8,AO8,AT8)</f>
        <v>20</v>
      </c>
      <c r="J8" s="188">
        <f t="shared" si="18"/>
        <v>2307.9031183275561</v>
      </c>
      <c r="K8" s="189">
        <f t="shared" si="18"/>
        <v>115.3951559163778</v>
      </c>
      <c r="L8" s="538"/>
      <c r="M8" s="188">
        <f>RANK(K8, K$7:$K$21)</f>
        <v>2</v>
      </c>
      <c r="N8" s="501"/>
      <c r="O8" s="501"/>
      <c r="P8" s="186">
        <v>20</v>
      </c>
      <c r="Q8" s="186">
        <v>2307.0044709388967</v>
      </c>
      <c r="R8" s="187">
        <f t="shared" si="11"/>
        <v>115.35022354694483</v>
      </c>
      <c r="S8" s="184">
        <f t="shared" ref="S8:S9" si="19">RANK(R8, R$7:R$21)</f>
        <v>3</v>
      </c>
      <c r="T8" s="537"/>
      <c r="U8" s="186">
        <v>20</v>
      </c>
      <c r="V8" s="186">
        <v>2307.1823204419952</v>
      </c>
      <c r="W8" s="187">
        <f t="shared" si="12"/>
        <v>115.35911602209976</v>
      </c>
      <c r="X8" s="184">
        <f t="shared" ref="X8:X9" si="20">RANK(W8, W$7:W$21)</f>
        <v>3</v>
      </c>
      <c r="Y8" s="537"/>
      <c r="Z8" s="186">
        <v>20</v>
      </c>
      <c r="AA8" s="186">
        <v>2306.4692127825365</v>
      </c>
      <c r="AB8" s="187">
        <f t="shared" si="13"/>
        <v>115.32346063912682</v>
      </c>
      <c r="AC8" s="184">
        <f t="shared" ref="AC8:AC9" si="21">RANK(AB8, AB$7:AB$21)</f>
        <v>3</v>
      </c>
      <c r="AD8" s="537"/>
      <c r="AE8" s="186">
        <v>20</v>
      </c>
      <c r="AF8" s="186">
        <v>2308.6505190311514</v>
      </c>
      <c r="AG8" s="187">
        <f t="shared" si="14"/>
        <v>115.43252595155757</v>
      </c>
      <c r="AH8" s="184">
        <f t="shared" ref="AH8:AH9" si="22">RANK(AG8, AG$7:AG$21)</f>
        <v>2</v>
      </c>
      <c r="AI8" s="537"/>
      <c r="AJ8" s="186">
        <v>20</v>
      </c>
      <c r="AK8" s="186">
        <v>2308.7294727744129</v>
      </c>
      <c r="AL8" s="187">
        <f t="shared" si="15"/>
        <v>115.43647363872064</v>
      </c>
      <c r="AM8" s="184">
        <f t="shared" ref="AM8:AM9" si="23">RANK(AL8, AL$7:AL$21)</f>
        <v>2</v>
      </c>
      <c r="AN8" s="537"/>
      <c r="AO8" s="186">
        <v>20</v>
      </c>
      <c r="AP8" s="186">
        <v>2308.7656529516989</v>
      </c>
      <c r="AQ8" s="187">
        <f t="shared" si="16"/>
        <v>115.43828264758494</v>
      </c>
      <c r="AR8" s="184">
        <f t="shared" ref="AR8:AR9" si="24">RANK(AQ8, AQ$7:AQ$21)</f>
        <v>2</v>
      </c>
      <c r="AS8" s="537"/>
      <c r="AT8" s="186">
        <v>20</v>
      </c>
      <c r="AU8" s="186">
        <v>2308.5201793722003</v>
      </c>
      <c r="AV8" s="187">
        <f t="shared" si="17"/>
        <v>115.42600896861002</v>
      </c>
      <c r="AW8" s="184">
        <f t="shared" ref="AW8:AW9" si="25">RANK(AV8, AV$7:AV$21)</f>
        <v>2</v>
      </c>
      <c r="AX8" s="537"/>
    </row>
    <row r="9" spans="1:50" ht="14.25" customHeight="1">
      <c r="B9" s="501"/>
      <c r="C9" s="182">
        <v>3</v>
      </c>
      <c r="D9" s="185" t="s">
        <v>513</v>
      </c>
      <c r="E9" s="182">
        <v>6</v>
      </c>
      <c r="F9" s="182">
        <v>3600</v>
      </c>
      <c r="G9" s="187">
        <f t="shared" si="10"/>
        <v>600</v>
      </c>
      <c r="H9" s="537"/>
      <c r="I9" s="188">
        <f t="shared" si="18"/>
        <v>6</v>
      </c>
      <c r="J9" s="188">
        <f t="shared" si="18"/>
        <v>3258.1538201176595</v>
      </c>
      <c r="K9" s="189">
        <f t="shared" si="18"/>
        <v>543.0256366862767</v>
      </c>
      <c r="L9" s="538"/>
      <c r="M9" s="188">
        <f>RANK(K9, K$7:$K$21)</f>
        <v>1</v>
      </c>
      <c r="N9" s="501"/>
      <c r="O9" s="501"/>
      <c r="P9" s="186">
        <v>6</v>
      </c>
      <c r="Q9" s="186">
        <v>3256.5690376569132</v>
      </c>
      <c r="R9" s="187">
        <f t="shared" si="11"/>
        <v>542.7615062761522</v>
      </c>
      <c r="S9" s="184">
        <f t="shared" si="19"/>
        <v>1</v>
      </c>
      <c r="T9" s="537"/>
      <c r="U9" s="186">
        <v>6</v>
      </c>
      <c r="V9" s="186">
        <v>3258.5834333733528</v>
      </c>
      <c r="W9" s="187">
        <f t="shared" si="12"/>
        <v>543.0972388955588</v>
      </c>
      <c r="X9" s="184">
        <f t="shared" si="20"/>
        <v>1</v>
      </c>
      <c r="Y9" s="537"/>
      <c r="Z9" s="186">
        <v>6</v>
      </c>
      <c r="AA9" s="186">
        <v>3257.5757575757616</v>
      </c>
      <c r="AB9" s="187">
        <f t="shared" si="13"/>
        <v>542.92929292929364</v>
      </c>
      <c r="AC9" s="184">
        <f t="shared" si="21"/>
        <v>1</v>
      </c>
      <c r="AD9" s="537"/>
      <c r="AE9" s="186">
        <v>6</v>
      </c>
      <c r="AF9" s="186">
        <v>3259.6537949400631</v>
      </c>
      <c r="AG9" s="187">
        <f t="shared" si="14"/>
        <v>543.27563249001048</v>
      </c>
      <c r="AH9" s="184">
        <f t="shared" si="22"/>
        <v>1</v>
      </c>
      <c r="AI9" s="537"/>
      <c r="AJ9" s="186">
        <v>6</v>
      </c>
      <c r="AK9" s="186">
        <v>3258.5480093676906</v>
      </c>
      <c r="AL9" s="187">
        <f t="shared" si="15"/>
        <v>543.0913348946151</v>
      </c>
      <c r="AM9" s="184">
        <f t="shared" si="23"/>
        <v>1</v>
      </c>
      <c r="AN9" s="537"/>
      <c r="AO9" s="186">
        <v>6</v>
      </c>
      <c r="AP9" s="186">
        <v>3258.0821917808116</v>
      </c>
      <c r="AQ9" s="187">
        <f t="shared" si="16"/>
        <v>543.01369863013531</v>
      </c>
      <c r="AR9" s="184">
        <f t="shared" si="24"/>
        <v>1</v>
      </c>
      <c r="AS9" s="537"/>
      <c r="AT9" s="186">
        <v>6</v>
      </c>
      <c r="AU9" s="186">
        <v>3258.0645161290267</v>
      </c>
      <c r="AV9" s="187">
        <f t="shared" si="17"/>
        <v>543.01075268817112</v>
      </c>
      <c r="AW9" s="184">
        <f t="shared" si="25"/>
        <v>1</v>
      </c>
      <c r="AX9" s="537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01"/>
      <c r="O10" s="501"/>
      <c r="P10" s="186"/>
      <c r="Q10" s="186"/>
      <c r="R10" s="187"/>
      <c r="S10" s="184"/>
      <c r="T10" s="537"/>
      <c r="U10" s="186"/>
      <c r="V10" s="186"/>
      <c r="W10" s="187"/>
      <c r="X10" s="184"/>
      <c r="Y10" s="537"/>
      <c r="Z10" s="186"/>
      <c r="AA10" s="186"/>
      <c r="AB10" s="187"/>
      <c r="AC10" s="184"/>
      <c r="AD10" s="537"/>
      <c r="AE10" s="186"/>
      <c r="AF10" s="186"/>
      <c r="AG10" s="187"/>
      <c r="AH10" s="184"/>
      <c r="AI10" s="537"/>
      <c r="AJ10" s="186"/>
      <c r="AK10" s="186"/>
      <c r="AL10" s="187"/>
      <c r="AM10" s="184"/>
      <c r="AN10" s="537"/>
      <c r="AO10" s="186"/>
      <c r="AP10" s="186"/>
      <c r="AQ10" s="187"/>
      <c r="AR10" s="184"/>
      <c r="AS10" s="537"/>
      <c r="AT10" s="186"/>
      <c r="AU10" s="186"/>
      <c r="AV10" s="187"/>
      <c r="AW10" s="184"/>
      <c r="AX10" s="537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01"/>
      <c r="O11" s="501"/>
      <c r="P11" s="186"/>
      <c r="Q11" s="186"/>
      <c r="R11" s="187"/>
      <c r="S11" s="184"/>
      <c r="T11" s="537"/>
      <c r="U11" s="186"/>
      <c r="V11" s="186"/>
      <c r="W11" s="187"/>
      <c r="X11" s="184"/>
      <c r="Y11" s="537"/>
      <c r="Z11" s="186"/>
      <c r="AA11" s="186"/>
      <c r="AB11" s="187"/>
      <c r="AC11" s="184"/>
      <c r="AD11" s="537"/>
      <c r="AE11" s="186"/>
      <c r="AF11" s="186"/>
      <c r="AG11" s="187"/>
      <c r="AH11" s="184"/>
      <c r="AI11" s="537"/>
      <c r="AJ11" s="186"/>
      <c r="AK11" s="186"/>
      <c r="AL11" s="187"/>
      <c r="AM11" s="184"/>
      <c r="AN11" s="537"/>
      <c r="AO11" s="186"/>
      <c r="AP11" s="186"/>
      <c r="AQ11" s="187"/>
      <c r="AR11" s="184"/>
      <c r="AS11" s="537"/>
      <c r="AT11" s="186"/>
      <c r="AU11" s="186"/>
      <c r="AV11" s="187"/>
      <c r="AW11" s="184"/>
      <c r="AX11" s="537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01"/>
      <c r="O12" s="501"/>
      <c r="P12" s="186"/>
      <c r="Q12" s="186"/>
      <c r="R12" s="187"/>
      <c r="S12" s="184"/>
      <c r="T12" s="537"/>
      <c r="U12" s="186"/>
      <c r="V12" s="186"/>
      <c r="W12" s="187"/>
      <c r="X12" s="184"/>
      <c r="Y12" s="537"/>
      <c r="Z12" s="186"/>
      <c r="AA12" s="186"/>
      <c r="AB12" s="187"/>
      <c r="AC12" s="184"/>
      <c r="AD12" s="537"/>
      <c r="AE12" s="186"/>
      <c r="AF12" s="186"/>
      <c r="AG12" s="187"/>
      <c r="AH12" s="184"/>
      <c r="AI12" s="537"/>
      <c r="AJ12" s="186"/>
      <c r="AK12" s="186"/>
      <c r="AL12" s="187"/>
      <c r="AM12" s="184"/>
      <c r="AN12" s="537"/>
      <c r="AO12" s="186"/>
      <c r="AP12" s="186"/>
      <c r="AQ12" s="187"/>
      <c r="AR12" s="184"/>
      <c r="AS12" s="537"/>
      <c r="AT12" s="186"/>
      <c r="AU12" s="186"/>
      <c r="AV12" s="187"/>
      <c r="AW12" s="184"/>
      <c r="AX12" s="537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01"/>
      <c r="O13" s="501"/>
      <c r="P13" s="182"/>
      <c r="Q13" s="182"/>
      <c r="R13" s="187"/>
      <c r="S13" s="184"/>
      <c r="T13" s="537"/>
      <c r="U13" s="182"/>
      <c r="V13" s="182"/>
      <c r="W13" s="187"/>
      <c r="X13" s="184"/>
      <c r="Y13" s="537"/>
      <c r="Z13" s="182"/>
      <c r="AA13" s="182"/>
      <c r="AB13" s="187"/>
      <c r="AC13" s="184"/>
      <c r="AD13" s="537"/>
      <c r="AE13" s="182"/>
      <c r="AF13" s="182"/>
      <c r="AG13" s="187"/>
      <c r="AH13" s="184"/>
      <c r="AI13" s="537"/>
      <c r="AJ13" s="182"/>
      <c r="AK13" s="182"/>
      <c r="AL13" s="187"/>
      <c r="AM13" s="184"/>
      <c r="AN13" s="537"/>
      <c r="AO13" s="182"/>
      <c r="AP13" s="182"/>
      <c r="AQ13" s="187"/>
      <c r="AR13" s="184"/>
      <c r="AS13" s="537"/>
      <c r="AT13" s="182"/>
      <c r="AU13" s="182"/>
      <c r="AV13" s="187"/>
      <c r="AW13" s="184"/>
      <c r="AX13" s="537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01"/>
      <c r="O14" s="501"/>
      <c r="P14" s="182"/>
      <c r="Q14" s="182"/>
      <c r="R14" s="187"/>
      <c r="S14" s="184"/>
      <c r="T14" s="537"/>
      <c r="U14" s="182"/>
      <c r="V14" s="182"/>
      <c r="W14" s="187"/>
      <c r="X14" s="184"/>
      <c r="Y14" s="537"/>
      <c r="Z14" s="182"/>
      <c r="AA14" s="182"/>
      <c r="AB14" s="187"/>
      <c r="AC14" s="184"/>
      <c r="AD14" s="537"/>
      <c r="AE14" s="182"/>
      <c r="AF14" s="182"/>
      <c r="AG14" s="187"/>
      <c r="AH14" s="184"/>
      <c r="AI14" s="537"/>
      <c r="AJ14" s="182"/>
      <c r="AK14" s="182"/>
      <c r="AL14" s="187"/>
      <c r="AM14" s="184"/>
      <c r="AN14" s="537"/>
      <c r="AO14" s="182"/>
      <c r="AP14" s="182"/>
      <c r="AQ14" s="187"/>
      <c r="AR14" s="184"/>
      <c r="AS14" s="537"/>
      <c r="AT14" s="182"/>
      <c r="AU14" s="182"/>
      <c r="AV14" s="187"/>
      <c r="AW14" s="184"/>
      <c r="AX14" s="537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01"/>
      <c r="O15" s="501"/>
      <c r="P15" s="182"/>
      <c r="Q15" s="182"/>
      <c r="R15" s="187"/>
      <c r="S15" s="184"/>
      <c r="T15" s="537"/>
      <c r="U15" s="182"/>
      <c r="V15" s="182"/>
      <c r="W15" s="187"/>
      <c r="X15" s="184"/>
      <c r="Y15" s="537"/>
      <c r="Z15" s="182"/>
      <c r="AA15" s="182"/>
      <c r="AB15" s="187"/>
      <c r="AC15" s="184"/>
      <c r="AD15" s="537"/>
      <c r="AE15" s="182"/>
      <c r="AF15" s="182"/>
      <c r="AG15" s="187"/>
      <c r="AH15" s="184"/>
      <c r="AI15" s="537"/>
      <c r="AJ15" s="182"/>
      <c r="AK15" s="182"/>
      <c r="AL15" s="187"/>
      <c r="AM15" s="184"/>
      <c r="AN15" s="537"/>
      <c r="AO15" s="182"/>
      <c r="AP15" s="182"/>
      <c r="AQ15" s="187"/>
      <c r="AR15" s="184"/>
      <c r="AS15" s="537"/>
      <c r="AT15" s="182"/>
      <c r="AU15" s="182"/>
      <c r="AV15" s="187"/>
      <c r="AW15" s="184"/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2"/>
      <c r="Q16" s="182"/>
      <c r="R16" s="187"/>
      <c r="S16" s="184"/>
      <c r="T16" s="537"/>
      <c r="U16" s="182"/>
      <c r="V16" s="182"/>
      <c r="W16" s="187"/>
      <c r="X16" s="184"/>
      <c r="Y16" s="537"/>
      <c r="Z16" s="182"/>
      <c r="AA16" s="182"/>
      <c r="AB16" s="187"/>
      <c r="AC16" s="184"/>
      <c r="AD16" s="537"/>
      <c r="AE16" s="182"/>
      <c r="AF16" s="182"/>
      <c r="AG16" s="187"/>
      <c r="AH16" s="184"/>
      <c r="AI16" s="537"/>
      <c r="AJ16" s="182"/>
      <c r="AK16" s="182"/>
      <c r="AL16" s="187"/>
      <c r="AM16" s="184"/>
      <c r="AN16" s="537"/>
      <c r="AO16" s="182"/>
      <c r="AP16" s="182"/>
      <c r="AQ16" s="187"/>
      <c r="AR16" s="184"/>
      <c r="AS16" s="537"/>
      <c r="AT16" s="182"/>
      <c r="AU16" s="182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2"/>
      <c r="Q17" s="182"/>
      <c r="R17" s="187"/>
      <c r="S17" s="184"/>
      <c r="T17" s="537"/>
      <c r="U17" s="182"/>
      <c r="V17" s="182"/>
      <c r="W17" s="187"/>
      <c r="X17" s="184"/>
      <c r="Y17" s="537"/>
      <c r="Z17" s="182"/>
      <c r="AA17" s="182"/>
      <c r="AB17" s="187"/>
      <c r="AC17" s="184"/>
      <c r="AD17" s="537"/>
      <c r="AE17" s="182"/>
      <c r="AF17" s="182"/>
      <c r="AG17" s="187"/>
      <c r="AH17" s="184"/>
      <c r="AI17" s="537"/>
      <c r="AJ17" s="182"/>
      <c r="AK17" s="182"/>
      <c r="AL17" s="187"/>
      <c r="AM17" s="184"/>
      <c r="AN17" s="537"/>
      <c r="AO17" s="182"/>
      <c r="AP17" s="182"/>
      <c r="AQ17" s="187"/>
      <c r="AR17" s="184"/>
      <c r="AS17" s="537"/>
      <c r="AT17" s="182"/>
      <c r="AU17" s="182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608" t="s">
        <v>465</v>
      </c>
      <c r="C27" s="182">
        <v>1</v>
      </c>
      <c r="D27" s="185" t="s">
        <v>362</v>
      </c>
      <c r="E27" s="182">
        <v>20</v>
      </c>
      <c r="F27" s="182">
        <v>2600</v>
      </c>
      <c r="G27" s="187">
        <f t="shared" ref="G27:G29" si="36">F27/E27</f>
        <v>130</v>
      </c>
      <c r="H27" s="537">
        <f>AVERAGE(G27:G41)</f>
        <v>286.66666666666669</v>
      </c>
      <c r="I27" s="188">
        <f>AVERAGE(P27,U27,Z27,AE27,AJ27,AO27,AT27)</f>
        <v>20</v>
      </c>
      <c r="J27" s="188">
        <f>AVERAGE(Q27,V27,AA27,AF27,AK27,AP27,AU27)</f>
        <v>2308.8616925866477</v>
      </c>
      <c r="K27" s="189">
        <f>AVERAGE(R27,W27,AB27,AG27,AL27,AQ27,AV27)</f>
        <v>115.44308462933238</v>
      </c>
      <c r="L27" s="538">
        <f>IFERROR(AVERAGE(K27:K41),"-")</f>
        <v>257.95755125531952</v>
      </c>
      <c r="M27" s="188">
        <f>RANK(K27, K$27:$K$41)</f>
        <v>2</v>
      </c>
      <c r="N27" s="501"/>
      <c r="O27" s="501"/>
      <c r="P27" s="190">
        <v>20</v>
      </c>
      <c r="Q27" s="190">
        <v>2308.591674047831</v>
      </c>
      <c r="R27" s="187">
        <f>IFERROR(Q27/P27,"")</f>
        <v>115.42958370239155</v>
      </c>
      <c r="S27" s="184">
        <f>RANK(R27, R$27:R$41)</f>
        <v>2</v>
      </c>
      <c r="T27" s="537">
        <f>AVERAGE(R27:R41)</f>
        <v>257.86334459548834</v>
      </c>
      <c r="U27" s="190">
        <v>20</v>
      </c>
      <c r="V27" s="190">
        <v>2308.7530562347192</v>
      </c>
      <c r="W27" s="187">
        <f t="shared" ref="W27:W29" si="37">IFERROR(V27/U27,"")</f>
        <v>115.43765281173596</v>
      </c>
      <c r="X27" s="184">
        <f>RANK(W27, W$27:W$41)</f>
        <v>2</v>
      </c>
      <c r="Y27" s="537">
        <f>AVERAGE(W27:W41)</f>
        <v>257.94914214215498</v>
      </c>
      <c r="Z27" s="190">
        <v>20</v>
      </c>
      <c r="AA27" s="190">
        <v>2308.7803704594658</v>
      </c>
      <c r="AB27" s="187">
        <f t="shared" ref="AB27:AB29" si="38">IFERROR(AA27/Z27,"")</f>
        <v>115.43901852297329</v>
      </c>
      <c r="AC27" s="184">
        <f>RANK(AB27, AB$27:AB$41)</f>
        <v>2</v>
      </c>
      <c r="AD27" s="537">
        <f>AVERAGE(AB27:AB41)</f>
        <v>257.97708507519604</v>
      </c>
      <c r="AE27" s="190">
        <v>20</v>
      </c>
      <c r="AF27" s="190">
        <v>2308.9440276976329</v>
      </c>
      <c r="AG27" s="187">
        <f>IFERROR(AF27/AE27,"")</f>
        <v>115.44720138488165</v>
      </c>
      <c r="AH27" s="184">
        <f>RANK(AG27, AG$27:AG$41)</f>
        <v>2</v>
      </c>
      <c r="AI27" s="537">
        <f>AVERAGE(AG27:AG41)</f>
        <v>258.00425104673519</v>
      </c>
      <c r="AJ27" s="190">
        <v>20</v>
      </c>
      <c r="AK27" s="190">
        <v>2308.7069713624528</v>
      </c>
      <c r="AL27" s="187">
        <f t="shared" ref="AL27:AL29" si="39">IFERROR(AK27/AJ27,"")</f>
        <v>115.43534856812263</v>
      </c>
      <c r="AM27" s="184">
        <f>RANK(AL27, AL$27:AL$41)</f>
        <v>2</v>
      </c>
      <c r="AN27" s="537">
        <f>AVERAGE(AL27:AL41)</f>
        <v>257.9408045162516</v>
      </c>
      <c r="AO27" s="190">
        <v>20</v>
      </c>
      <c r="AP27" s="190">
        <v>2308.9351285189723</v>
      </c>
      <c r="AQ27" s="187">
        <f t="shared" ref="AQ27:AQ29" si="40">IFERROR(AP27/AO27,"")</f>
        <v>115.44675642594862</v>
      </c>
      <c r="AR27" s="184">
        <f>RANK(AQ27, AQ$27:AQ$41)</f>
        <v>2</v>
      </c>
      <c r="AS27" s="537">
        <f>AVERAGE(AQ27:AQ41)</f>
        <v>257.95306357797347</v>
      </c>
      <c r="AT27" s="190">
        <v>20</v>
      </c>
      <c r="AU27" s="190">
        <v>2309.3206197854588</v>
      </c>
      <c r="AV27" s="187">
        <f t="shared" ref="AV27:AV29" si="41">IFERROR(AU27/AT27,"")</f>
        <v>115.46603098927294</v>
      </c>
      <c r="AW27" s="184">
        <f>RANK(AV27, AV$27:AV$41)</f>
        <v>2</v>
      </c>
      <c r="AX27" s="537">
        <f>AVERAGE(AV27:AV41)</f>
        <v>258.01516783343709</v>
      </c>
    </row>
    <row r="28" spans="2:50" ht="14.25" customHeight="1">
      <c r="B28" s="501"/>
      <c r="C28" s="182">
        <v>2</v>
      </c>
      <c r="D28" s="185" t="s">
        <v>502</v>
      </c>
      <c r="E28" s="182">
        <v>20</v>
      </c>
      <c r="F28" s="182">
        <v>2600</v>
      </c>
      <c r="G28" s="187">
        <f t="shared" si="36"/>
        <v>130</v>
      </c>
      <c r="H28" s="537"/>
      <c r="I28" s="188">
        <f t="shared" ref="I28:K29" si="42">AVERAGE(P28,U28,Z28,AE28,AJ28,AO28,AT28)</f>
        <v>20</v>
      </c>
      <c r="J28" s="188">
        <f t="shared" si="42"/>
        <v>2308.1942374489122</v>
      </c>
      <c r="K28" s="189">
        <f t="shared" si="42"/>
        <v>115.40971187244563</v>
      </c>
      <c r="L28" s="538"/>
      <c r="M28" s="188">
        <f>RANK(K28, K$27:$K$41)</f>
        <v>3</v>
      </c>
      <c r="N28" s="501"/>
      <c r="O28" s="501"/>
      <c r="P28" s="190">
        <v>20</v>
      </c>
      <c r="Q28" s="190">
        <v>2307.8630897317348</v>
      </c>
      <c r="R28" s="187">
        <f t="shared" ref="R28:R29" si="43">IFERROR(Q28/P28,"")</f>
        <v>115.39315448658674</v>
      </c>
      <c r="S28" s="184">
        <f t="shared" ref="S28:S29" si="44">RANK(R28, R$27:R$41)</f>
        <v>3</v>
      </c>
      <c r="T28" s="537"/>
      <c r="U28" s="190">
        <v>20</v>
      </c>
      <c r="V28" s="190">
        <v>2308.0033698399293</v>
      </c>
      <c r="W28" s="187">
        <f t="shared" si="37"/>
        <v>115.40016849199647</v>
      </c>
      <c r="X28" s="184">
        <f t="shared" ref="X28:X29" si="45">RANK(W28, W$27:W$41)</f>
        <v>3</v>
      </c>
      <c r="Y28" s="537"/>
      <c r="Z28" s="190">
        <v>20</v>
      </c>
      <c r="AA28" s="190">
        <v>2307.7757685352553</v>
      </c>
      <c r="AB28" s="187">
        <f t="shared" si="38"/>
        <v>115.38878842676277</v>
      </c>
      <c r="AC28" s="184">
        <f t="shared" ref="AC28:AC29" si="46">RANK(AB28, AB$27:AB$41)</f>
        <v>3</v>
      </c>
      <c r="AD28" s="537"/>
      <c r="AE28" s="190">
        <v>20</v>
      </c>
      <c r="AF28" s="190">
        <v>2308.7517934002858</v>
      </c>
      <c r="AG28" s="187">
        <f t="shared" ref="AG28:AG29" si="47">IFERROR(AF28/AE28,"")</f>
        <v>115.43758967001429</v>
      </c>
      <c r="AH28" s="184">
        <f t="shared" ref="AH28:AH29" si="48">RANK(AG28, AG$27:AG$41)</f>
        <v>3</v>
      </c>
      <c r="AI28" s="537"/>
      <c r="AJ28" s="190">
        <v>20</v>
      </c>
      <c r="AK28" s="190">
        <v>2307.8838174273774</v>
      </c>
      <c r="AL28" s="187">
        <f t="shared" si="39"/>
        <v>115.39419087136886</v>
      </c>
      <c r="AM28" s="184">
        <f t="shared" ref="AM28:AM29" si="49">RANK(AL28, AL$27:AL$41)</f>
        <v>3</v>
      </c>
      <c r="AN28" s="537"/>
      <c r="AO28" s="190">
        <v>20</v>
      </c>
      <c r="AP28" s="190">
        <v>2308.5201793721922</v>
      </c>
      <c r="AQ28" s="187">
        <f t="shared" si="40"/>
        <v>115.42600896860961</v>
      </c>
      <c r="AR28" s="184">
        <f t="shared" ref="AR28:AR29" si="50">RANK(AQ28, AQ$27:AQ$41)</f>
        <v>3</v>
      </c>
      <c r="AS28" s="537"/>
      <c r="AT28" s="190">
        <v>20</v>
      </c>
      <c r="AU28" s="190">
        <v>2308.5616438356128</v>
      </c>
      <c r="AV28" s="187">
        <f t="shared" si="41"/>
        <v>115.42808219178065</v>
      </c>
      <c r="AW28" s="184">
        <f t="shared" ref="AW28:AW29" si="51">RANK(AV28, AV$27:AV$41)</f>
        <v>3</v>
      </c>
      <c r="AX28" s="537"/>
    </row>
    <row r="29" spans="2:50" ht="14.25" customHeight="1">
      <c r="B29" s="501"/>
      <c r="C29" s="182">
        <v>3</v>
      </c>
      <c r="D29" s="185" t="s">
        <v>513</v>
      </c>
      <c r="E29" s="182">
        <v>6</v>
      </c>
      <c r="F29" s="182">
        <v>3600</v>
      </c>
      <c r="G29" s="187">
        <f t="shared" si="36"/>
        <v>600</v>
      </c>
      <c r="H29" s="537"/>
      <c r="I29" s="188">
        <f t="shared" si="42"/>
        <v>6</v>
      </c>
      <c r="J29" s="188">
        <f t="shared" si="42"/>
        <v>3258.1191435850837</v>
      </c>
      <c r="K29" s="189">
        <f t="shared" si="42"/>
        <v>543.01985726418047</v>
      </c>
      <c r="L29" s="538"/>
      <c r="M29" s="188">
        <f>RANK(K29, K$27:$K$41)</f>
        <v>1</v>
      </c>
      <c r="N29" s="501"/>
      <c r="O29" s="501"/>
      <c r="P29" s="190">
        <v>6</v>
      </c>
      <c r="Q29" s="190">
        <v>3256.6037735849204</v>
      </c>
      <c r="R29" s="187">
        <f t="shared" si="43"/>
        <v>542.76729559748674</v>
      </c>
      <c r="S29" s="184">
        <f t="shared" si="44"/>
        <v>1</v>
      </c>
      <c r="T29" s="537"/>
      <c r="U29" s="190">
        <v>6</v>
      </c>
      <c r="V29" s="190">
        <v>3258.0576307363949</v>
      </c>
      <c r="W29" s="187">
        <f t="shared" si="37"/>
        <v>543.00960512273252</v>
      </c>
      <c r="X29" s="184">
        <f t="shared" si="45"/>
        <v>1</v>
      </c>
      <c r="Y29" s="537"/>
      <c r="Z29" s="190">
        <v>6</v>
      </c>
      <c r="AA29" s="190">
        <v>3258.6206896551121</v>
      </c>
      <c r="AB29" s="187">
        <f t="shared" si="38"/>
        <v>543.10344827585197</v>
      </c>
      <c r="AC29" s="184">
        <f t="shared" si="46"/>
        <v>1</v>
      </c>
      <c r="AD29" s="537"/>
      <c r="AE29" s="190">
        <v>6</v>
      </c>
      <c r="AF29" s="190">
        <v>3258.7677725118574</v>
      </c>
      <c r="AG29" s="187">
        <f t="shared" si="47"/>
        <v>543.1279620853096</v>
      </c>
      <c r="AH29" s="184">
        <f t="shared" si="48"/>
        <v>1</v>
      </c>
      <c r="AI29" s="537"/>
      <c r="AJ29" s="190">
        <v>6</v>
      </c>
      <c r="AK29" s="190">
        <v>3257.9572446555799</v>
      </c>
      <c r="AL29" s="187">
        <f t="shared" si="39"/>
        <v>542.99287410926331</v>
      </c>
      <c r="AM29" s="184">
        <f t="shared" si="49"/>
        <v>1</v>
      </c>
      <c r="AN29" s="537"/>
      <c r="AO29" s="190">
        <v>6</v>
      </c>
      <c r="AP29" s="190">
        <v>3257.918552036173</v>
      </c>
      <c r="AQ29" s="187">
        <f t="shared" si="40"/>
        <v>542.9864253393622</v>
      </c>
      <c r="AR29" s="184">
        <f t="shared" si="50"/>
        <v>1</v>
      </c>
      <c r="AS29" s="537"/>
      <c r="AT29" s="190">
        <v>6</v>
      </c>
      <c r="AU29" s="190">
        <v>3258.9083419155459</v>
      </c>
      <c r="AV29" s="187">
        <f t="shared" si="41"/>
        <v>543.15139031925764</v>
      </c>
      <c r="AW29" s="184">
        <f t="shared" si="51"/>
        <v>1</v>
      </c>
      <c r="AX29" s="537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01"/>
      <c r="O30" s="501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01"/>
      <c r="O31" s="501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01"/>
      <c r="O32" s="501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01"/>
      <c r="O33" s="501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01"/>
      <c r="O34" s="501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01"/>
      <c r="O35" s="501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7"/>
      <c r="N42" s="563" t="s">
        <v>383</v>
      </c>
      <c r="O42" s="563" t="s">
        <v>105</v>
      </c>
      <c r="P42" s="598">
        <f>AT22+1</f>
        <v>46035</v>
      </c>
      <c r="Q42" s="599"/>
      <c r="R42" s="599"/>
      <c r="S42" s="599"/>
      <c r="T42" s="599"/>
      <c r="U42" s="600">
        <f>P42+1</f>
        <v>46036</v>
      </c>
      <c r="V42" s="601"/>
      <c r="W42" s="601"/>
      <c r="X42" s="601"/>
      <c r="Y42" s="601"/>
      <c r="Z42" s="598">
        <f t="shared" ref="Z42" si="52">U42+1</f>
        <v>46037</v>
      </c>
      <c r="AA42" s="599"/>
      <c r="AB42" s="599"/>
      <c r="AC42" s="599"/>
      <c r="AD42" s="599"/>
      <c r="AE42" s="600">
        <f t="shared" ref="AE42" si="53">Z42+1</f>
        <v>46038</v>
      </c>
      <c r="AF42" s="601"/>
      <c r="AG42" s="601"/>
      <c r="AH42" s="601"/>
      <c r="AI42" s="601"/>
      <c r="AJ42" s="590">
        <f t="shared" ref="AJ42" si="54">AE42+1</f>
        <v>46039</v>
      </c>
      <c r="AK42" s="591"/>
      <c r="AL42" s="591"/>
      <c r="AM42" s="591"/>
      <c r="AN42" s="592"/>
      <c r="AO42" s="600">
        <f t="shared" ref="AO42" si="55">AJ42+1</f>
        <v>46040</v>
      </c>
      <c r="AP42" s="601"/>
      <c r="AQ42" s="601"/>
      <c r="AR42" s="601"/>
      <c r="AS42" s="601"/>
      <c r="AT42" s="590">
        <f t="shared" ref="AT42" si="56">AO42+1</f>
        <v>46041</v>
      </c>
      <c r="AU42" s="591"/>
      <c r="AV42" s="591"/>
      <c r="AW42" s="591"/>
      <c r="AX42" s="592"/>
    </row>
    <row r="43" spans="2:50" ht="14.25" customHeight="1">
      <c r="B43" s="548"/>
      <c r="C43" s="548"/>
      <c r="D43" s="548"/>
      <c r="E43" s="548"/>
      <c r="F43" s="548"/>
      <c r="G43" s="548"/>
      <c r="H43" s="548"/>
      <c r="I43" s="548"/>
      <c r="J43" s="548"/>
      <c r="K43" s="548"/>
      <c r="L43" s="548"/>
      <c r="M43" s="549"/>
      <c r="N43" s="565"/>
      <c r="O43" s="565"/>
      <c r="P43" s="593">
        <f>P42</f>
        <v>46035</v>
      </c>
      <c r="Q43" s="593"/>
      <c r="R43" s="593"/>
      <c r="S43" s="593"/>
      <c r="T43" s="593"/>
      <c r="U43" s="594">
        <f>U42</f>
        <v>46036</v>
      </c>
      <c r="V43" s="594"/>
      <c r="W43" s="594"/>
      <c r="X43" s="594"/>
      <c r="Y43" s="594"/>
      <c r="Z43" s="593">
        <f t="shared" ref="Z43" si="57">Z42</f>
        <v>46037</v>
      </c>
      <c r="AA43" s="593"/>
      <c r="AB43" s="593"/>
      <c r="AC43" s="593"/>
      <c r="AD43" s="593"/>
      <c r="AE43" s="594">
        <f t="shared" ref="AE43" si="58">AE42</f>
        <v>46038</v>
      </c>
      <c r="AF43" s="594"/>
      <c r="AG43" s="594"/>
      <c r="AH43" s="594"/>
      <c r="AI43" s="594"/>
      <c r="AJ43" s="595">
        <f t="shared" ref="AJ43" si="59">AJ42</f>
        <v>46039</v>
      </c>
      <c r="AK43" s="596"/>
      <c r="AL43" s="596"/>
      <c r="AM43" s="596"/>
      <c r="AN43" s="597"/>
      <c r="AO43" s="594">
        <f t="shared" ref="AO43" si="60">AO42</f>
        <v>46040</v>
      </c>
      <c r="AP43" s="594"/>
      <c r="AQ43" s="594"/>
      <c r="AR43" s="594"/>
      <c r="AS43" s="594"/>
      <c r="AT43" s="595">
        <f t="shared" ref="AT43" si="61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608" t="s">
        <v>465</v>
      </c>
      <c r="C47" s="182">
        <v>1</v>
      </c>
      <c r="D47" s="185" t="s">
        <v>362</v>
      </c>
      <c r="E47" s="182">
        <v>20</v>
      </c>
      <c r="F47" s="182">
        <v>2600</v>
      </c>
      <c r="G47" s="187">
        <f t="shared" ref="G47:G49" si="62">F47/E47</f>
        <v>130</v>
      </c>
      <c r="H47" s="537">
        <f>AVERAGE(G47:G61)</f>
        <v>286.66666666666669</v>
      </c>
      <c r="I47" s="188">
        <f>AVERAGE(P47,U47,Z47,AE47,AJ47,AO47,AT47)</f>
        <v>20</v>
      </c>
      <c r="J47" s="188">
        <f>AVERAGE(Q47,V47,AA47,AF47,AK47,AP47,AU47)</f>
        <v>2310.0435332276288</v>
      </c>
      <c r="K47" s="189">
        <f>AVERAGE(R47,W47,AB47,AG47,AL47,AQ47,AV47)</f>
        <v>115.50217666138144</v>
      </c>
      <c r="L47" s="538">
        <f>IFERROR(AVERAGE(K47:K61),"-")</f>
        <v>257.84824819555746</v>
      </c>
      <c r="M47" s="188">
        <f>RANK(K47, K$47:$K$61)</f>
        <v>2</v>
      </c>
      <c r="N47" s="501"/>
      <c r="O47" s="501"/>
      <c r="P47" s="190">
        <v>20</v>
      </c>
      <c r="Q47" s="190">
        <v>2309.6245144583522</v>
      </c>
      <c r="R47" s="187">
        <f>IFERROR(Q47/P47,"")</f>
        <v>115.48122572291761</v>
      </c>
      <c r="S47" s="184">
        <f>RANK(R47, R$47:R$61)</f>
        <v>2</v>
      </c>
      <c r="T47" s="537">
        <f>AVERAGE(R47:R61)</f>
        <v>258.0395532791768</v>
      </c>
      <c r="U47" s="190">
        <v>20</v>
      </c>
      <c r="V47" s="190">
        <v>2309.8825831702547</v>
      </c>
      <c r="W47" s="187">
        <f t="shared" ref="W47:W49" si="63">IFERROR(V47/U47,"")</f>
        <v>115.49412915851273</v>
      </c>
      <c r="X47" s="184">
        <f>RANK(W47, W$47:W$61)</f>
        <v>2</v>
      </c>
      <c r="Y47" s="537">
        <f>AVERAGE(W47:W61)</f>
        <v>258.06762760647757</v>
      </c>
      <c r="Z47" s="190">
        <v>20</v>
      </c>
      <c r="AA47" s="190">
        <v>2309.6678966789655</v>
      </c>
      <c r="AB47" s="187">
        <f t="shared" ref="AB47:AB49" si="64">IFERROR(AA47/Z47,"")</f>
        <v>115.48339483394827</v>
      </c>
      <c r="AC47" s="184">
        <f>RANK(AB47, AB$47:AB$61)</f>
        <v>2</v>
      </c>
      <c r="AD47" s="537">
        <f>AVERAGE(AB47:AB61)</f>
        <v>258.00572445699737</v>
      </c>
      <c r="AE47" s="190">
        <v>20</v>
      </c>
      <c r="AF47" s="190">
        <v>2309.929906542056</v>
      </c>
      <c r="AG47" s="187">
        <f>IFERROR(AF47/AE47,"")</f>
        <v>115.49649532710279</v>
      </c>
      <c r="AH47" s="184">
        <f>RANK(AG47, AG$47:AG$61)</f>
        <v>2</v>
      </c>
      <c r="AI47" s="537">
        <f>AVERAGE(AG47:AG61)</f>
        <v>257.82815647505294</v>
      </c>
      <c r="AJ47" s="190">
        <v>20</v>
      </c>
      <c r="AK47" s="190">
        <v>2310.204081632653</v>
      </c>
      <c r="AL47" s="187">
        <f t="shared" ref="AL47:AL49" si="65">IFERROR(AK47/AJ47,"")</f>
        <v>115.51020408163265</v>
      </c>
      <c r="AM47" s="184">
        <f>RANK(AL47, AL$47:AL$61)</f>
        <v>2</v>
      </c>
      <c r="AN47" s="537">
        <f>AVERAGE(AL47:AL61)</f>
        <v>257.706611936559</v>
      </c>
      <c r="AO47" s="190">
        <v>20</v>
      </c>
      <c r="AP47" s="190">
        <v>2310.4367438999393</v>
      </c>
      <c r="AQ47" s="187">
        <f t="shared" ref="AQ47:AQ49" si="66">IFERROR(AP47/AO47,"")</f>
        <v>115.52183719499696</v>
      </c>
      <c r="AR47" s="184">
        <f>RANK(AQ47, AQ$47:AQ$61)</f>
        <v>2</v>
      </c>
      <c r="AS47" s="537">
        <f>AVERAGE(AQ47:AQ61)</f>
        <v>257.67963673344082</v>
      </c>
      <c r="AT47" s="190">
        <v>20</v>
      </c>
      <c r="AU47" s="190">
        <v>2310.559006211181</v>
      </c>
      <c r="AV47" s="187">
        <f t="shared" ref="AV47:AV49" si="67">IFERROR(AU47/AT47,"")</f>
        <v>115.52795031055905</v>
      </c>
      <c r="AW47" s="184">
        <f>RANK(AV47, AV$47:AV$61)</f>
        <v>2</v>
      </c>
      <c r="AX47" s="537">
        <f>AVERAGE(AV47:AV61)</f>
        <v>257.61042688119761</v>
      </c>
    </row>
    <row r="48" spans="2:50" ht="14.25" customHeight="1">
      <c r="B48" s="501"/>
      <c r="C48" s="182">
        <v>2</v>
      </c>
      <c r="D48" s="185" t="s">
        <v>502</v>
      </c>
      <c r="E48" s="182">
        <v>20</v>
      </c>
      <c r="F48" s="182">
        <v>2600</v>
      </c>
      <c r="G48" s="187">
        <f t="shared" si="62"/>
        <v>130</v>
      </c>
      <c r="H48" s="537"/>
      <c r="I48" s="188">
        <f t="shared" ref="I48:K49" si="68">AVERAGE(P48,U48,Z48,AE48,AJ48,AO48,AT48)</f>
        <v>20</v>
      </c>
      <c r="J48" s="188">
        <f t="shared" si="68"/>
        <v>2308.8322800296887</v>
      </c>
      <c r="K48" s="189">
        <f t="shared" si="68"/>
        <v>115.44161400148444</v>
      </c>
      <c r="L48" s="538"/>
      <c r="M48" s="188">
        <f>RANK(K48, K$47:$K$61)</f>
        <v>3</v>
      </c>
      <c r="N48" s="501"/>
      <c r="O48" s="501"/>
      <c r="P48" s="190">
        <v>20</v>
      </c>
      <c r="Q48" s="190">
        <v>2307.8838174273883</v>
      </c>
      <c r="R48" s="187">
        <f t="shared" ref="R48:R49" si="69">IFERROR(Q48/P48,"")</f>
        <v>115.39419087136942</v>
      </c>
      <c r="S48" s="184">
        <f t="shared" ref="S48:S49" si="70">RANK(R48, R$47:R$61)</f>
        <v>3</v>
      </c>
      <c r="T48" s="537"/>
      <c r="U48" s="190">
        <v>20</v>
      </c>
      <c r="V48" s="190">
        <v>2308.5714285714312</v>
      </c>
      <c r="W48" s="187">
        <f t="shared" si="63"/>
        <v>115.42857142857156</v>
      </c>
      <c r="X48" s="184">
        <f t="shared" ref="X48:X49" si="71">RANK(W48, W$47:W$61)</f>
        <v>3</v>
      </c>
      <c r="Y48" s="537"/>
      <c r="Z48" s="190">
        <v>20</v>
      </c>
      <c r="AA48" s="190">
        <v>2309.36170212766</v>
      </c>
      <c r="AB48" s="187">
        <f t="shared" si="64"/>
        <v>115.468085106383</v>
      </c>
      <c r="AC48" s="184">
        <f t="shared" ref="AC48:AC49" si="72">RANK(AB48, AB$47:AB$61)</f>
        <v>3</v>
      </c>
      <c r="AD48" s="537"/>
      <c r="AE48" s="190">
        <v>20</v>
      </c>
      <c r="AF48" s="190">
        <v>2308.6956521739189</v>
      </c>
      <c r="AG48" s="187">
        <f t="shared" ref="AG48:AG49" si="73">IFERROR(AF48/AE48,"")</f>
        <v>115.43478260869594</v>
      </c>
      <c r="AH48" s="184">
        <f t="shared" ref="AH48:AH49" si="74">RANK(AG48, AG$47:AG$61)</f>
        <v>3</v>
      </c>
      <c r="AI48" s="537"/>
      <c r="AJ48" s="190">
        <v>20</v>
      </c>
      <c r="AK48" s="190">
        <v>2308.0000000000082</v>
      </c>
      <c r="AL48" s="187">
        <f t="shared" si="65"/>
        <v>115.4000000000004</v>
      </c>
      <c r="AM48" s="184">
        <f t="shared" ref="AM48:AM49" si="75">RANK(AL48, AL$47:AL$61)</f>
        <v>3</v>
      </c>
      <c r="AN48" s="537"/>
      <c r="AO48" s="190">
        <v>20</v>
      </c>
      <c r="AP48" s="190">
        <v>2309.6103896103787</v>
      </c>
      <c r="AQ48" s="187">
        <f t="shared" si="66"/>
        <v>115.48051948051894</v>
      </c>
      <c r="AR48" s="184">
        <f t="shared" ref="AR48:AR49" si="76">RANK(AQ48, AQ$47:AQ$61)</f>
        <v>3</v>
      </c>
      <c r="AS48" s="537"/>
      <c r="AT48" s="190">
        <v>20</v>
      </c>
      <c r="AU48" s="190">
        <v>2309.7029702970344</v>
      </c>
      <c r="AV48" s="187">
        <f t="shared" si="67"/>
        <v>115.48514851485172</v>
      </c>
      <c r="AW48" s="184">
        <f t="shared" ref="AW48:AW49" si="77">RANK(AV48, AV$47:AV$61)</f>
        <v>3</v>
      </c>
      <c r="AX48" s="537"/>
    </row>
    <row r="49" spans="2:50" ht="14.25" customHeight="1">
      <c r="B49" s="501"/>
      <c r="C49" s="182">
        <v>3</v>
      </c>
      <c r="D49" s="185" t="s">
        <v>513</v>
      </c>
      <c r="E49" s="182">
        <v>6</v>
      </c>
      <c r="F49" s="182">
        <v>3600</v>
      </c>
      <c r="G49" s="187">
        <f t="shared" si="62"/>
        <v>600</v>
      </c>
      <c r="H49" s="537"/>
      <c r="I49" s="188">
        <f t="shared" si="68"/>
        <v>6</v>
      </c>
      <c r="J49" s="188">
        <f t="shared" si="68"/>
        <v>3255.6057235428384</v>
      </c>
      <c r="K49" s="189">
        <f t="shared" si="68"/>
        <v>542.6009539238064</v>
      </c>
      <c r="L49" s="538"/>
      <c r="M49" s="188">
        <f>RANK(K49, K$47:$K$61)</f>
        <v>1</v>
      </c>
      <c r="N49" s="501"/>
      <c r="O49" s="501"/>
      <c r="P49" s="190">
        <v>6</v>
      </c>
      <c r="Q49" s="190">
        <v>3259.4594594594605</v>
      </c>
      <c r="R49" s="187">
        <f t="shared" si="69"/>
        <v>543.24324324324346</v>
      </c>
      <c r="S49" s="184">
        <f t="shared" si="70"/>
        <v>1</v>
      </c>
      <c r="T49" s="537"/>
      <c r="U49" s="190">
        <v>6</v>
      </c>
      <c r="V49" s="190">
        <v>3259.6810933940901</v>
      </c>
      <c r="W49" s="187">
        <f t="shared" si="63"/>
        <v>543.28018223234835</v>
      </c>
      <c r="X49" s="184">
        <f t="shared" si="71"/>
        <v>1</v>
      </c>
      <c r="Y49" s="537"/>
      <c r="Z49" s="190">
        <v>6</v>
      </c>
      <c r="AA49" s="190">
        <v>3258.3941605839645</v>
      </c>
      <c r="AB49" s="187">
        <f t="shared" si="64"/>
        <v>543.06569343066076</v>
      </c>
      <c r="AC49" s="184">
        <f t="shared" si="72"/>
        <v>1</v>
      </c>
      <c r="AD49" s="537"/>
      <c r="AE49" s="190">
        <v>6</v>
      </c>
      <c r="AF49" s="190">
        <v>3255.3191489361598</v>
      </c>
      <c r="AG49" s="187">
        <f t="shared" si="73"/>
        <v>542.55319148935996</v>
      </c>
      <c r="AH49" s="184">
        <f t="shared" si="74"/>
        <v>1</v>
      </c>
      <c r="AI49" s="537"/>
      <c r="AJ49" s="190">
        <v>6</v>
      </c>
      <c r="AK49" s="190">
        <v>3253.2577903682641</v>
      </c>
      <c r="AL49" s="187">
        <f t="shared" si="65"/>
        <v>542.20963172804397</v>
      </c>
      <c r="AM49" s="184">
        <f t="shared" si="75"/>
        <v>1</v>
      </c>
      <c r="AN49" s="537"/>
      <c r="AO49" s="190">
        <v>6</v>
      </c>
      <c r="AP49" s="190">
        <v>3252.2193211488393</v>
      </c>
      <c r="AQ49" s="187">
        <f t="shared" si="66"/>
        <v>542.03655352480655</v>
      </c>
      <c r="AR49" s="184">
        <f t="shared" si="76"/>
        <v>1</v>
      </c>
      <c r="AS49" s="537"/>
      <c r="AT49" s="190">
        <v>6</v>
      </c>
      <c r="AU49" s="190">
        <v>3250.9090909090928</v>
      </c>
      <c r="AV49" s="187">
        <f t="shared" si="67"/>
        <v>541.8181818181821</v>
      </c>
      <c r="AW49" s="184">
        <f t="shared" si="77"/>
        <v>1</v>
      </c>
      <c r="AX49" s="537"/>
    </row>
    <row r="50" spans="2:50" ht="14.25" customHeight="1">
      <c r="B50" s="501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01"/>
      <c r="O50" s="501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01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01"/>
      <c r="O51" s="501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01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01"/>
      <c r="O52" s="501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01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01"/>
      <c r="O53" s="501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01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01"/>
      <c r="O54" s="501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6"/>
      <c r="D62" s="546"/>
      <c r="E62" s="546"/>
      <c r="F62" s="546"/>
      <c r="G62" s="546"/>
      <c r="H62" s="546"/>
      <c r="I62" s="546"/>
      <c r="J62" s="546"/>
      <c r="K62" s="546"/>
      <c r="L62" s="546"/>
      <c r="M62" s="547"/>
      <c r="N62" s="563" t="s">
        <v>383</v>
      </c>
      <c r="O62" s="563" t="s">
        <v>105</v>
      </c>
      <c r="P62" s="598">
        <f>AT42+1</f>
        <v>46042</v>
      </c>
      <c r="Q62" s="599"/>
      <c r="R62" s="599"/>
      <c r="S62" s="599"/>
      <c r="T62" s="599"/>
      <c r="U62" s="600">
        <f>P62+1</f>
        <v>46043</v>
      </c>
      <c r="V62" s="601"/>
      <c r="W62" s="601"/>
      <c r="X62" s="601"/>
      <c r="Y62" s="601"/>
      <c r="Z62" s="598">
        <f t="shared" ref="Z62" si="78">U62+1</f>
        <v>46044</v>
      </c>
      <c r="AA62" s="599"/>
      <c r="AB62" s="599"/>
      <c r="AC62" s="599"/>
      <c r="AD62" s="599"/>
      <c r="AE62" s="600">
        <f t="shared" ref="AE62" si="79">Z62+1</f>
        <v>46045</v>
      </c>
      <c r="AF62" s="601"/>
      <c r="AG62" s="601"/>
      <c r="AH62" s="601"/>
      <c r="AI62" s="601"/>
      <c r="AJ62" s="590">
        <f t="shared" ref="AJ62" si="80">AE62+1</f>
        <v>46046</v>
      </c>
      <c r="AK62" s="591"/>
      <c r="AL62" s="591"/>
      <c r="AM62" s="591"/>
      <c r="AN62" s="592"/>
      <c r="AO62" s="600">
        <f t="shared" ref="AO62" si="81">AJ62+1</f>
        <v>46047</v>
      </c>
      <c r="AP62" s="601"/>
      <c r="AQ62" s="601"/>
      <c r="AR62" s="601"/>
      <c r="AS62" s="601"/>
      <c r="AT62" s="590">
        <f t="shared" ref="AT62" si="82">AO62+1</f>
        <v>46048</v>
      </c>
      <c r="AU62" s="591"/>
      <c r="AV62" s="591"/>
      <c r="AW62" s="591"/>
      <c r="AX62" s="592"/>
    </row>
    <row r="63" spans="2:50" ht="14.25" customHeight="1"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9"/>
      <c r="N63" s="565"/>
      <c r="O63" s="565"/>
      <c r="P63" s="593">
        <f>P62</f>
        <v>46042</v>
      </c>
      <c r="Q63" s="593"/>
      <c r="R63" s="593"/>
      <c r="S63" s="593"/>
      <c r="T63" s="593"/>
      <c r="U63" s="594">
        <f>U62</f>
        <v>46043</v>
      </c>
      <c r="V63" s="594"/>
      <c r="W63" s="594"/>
      <c r="X63" s="594"/>
      <c r="Y63" s="594"/>
      <c r="Z63" s="593">
        <f t="shared" ref="Z63" si="83">Z62</f>
        <v>46044</v>
      </c>
      <c r="AA63" s="593"/>
      <c r="AB63" s="593"/>
      <c r="AC63" s="593"/>
      <c r="AD63" s="593"/>
      <c r="AE63" s="594">
        <f t="shared" ref="AE63" si="84">AE62</f>
        <v>46045</v>
      </c>
      <c r="AF63" s="594"/>
      <c r="AG63" s="594"/>
      <c r="AH63" s="594"/>
      <c r="AI63" s="594"/>
      <c r="AJ63" s="595">
        <f t="shared" ref="AJ63" si="85">AJ62</f>
        <v>46046</v>
      </c>
      <c r="AK63" s="596"/>
      <c r="AL63" s="596"/>
      <c r="AM63" s="596"/>
      <c r="AN63" s="597"/>
      <c r="AO63" s="594">
        <f t="shared" ref="AO63" si="86">AO62</f>
        <v>46047</v>
      </c>
      <c r="AP63" s="594"/>
      <c r="AQ63" s="594"/>
      <c r="AR63" s="594"/>
      <c r="AS63" s="594"/>
      <c r="AT63" s="595">
        <f t="shared" ref="AT63" si="87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608" t="s">
        <v>465</v>
      </c>
      <c r="C67" s="182">
        <v>1</v>
      </c>
      <c r="D67" s="185" t="s">
        <v>362</v>
      </c>
      <c r="E67" s="182">
        <v>20</v>
      </c>
      <c r="F67" s="182">
        <v>2600</v>
      </c>
      <c r="G67" s="187">
        <f t="shared" ref="G67:G69" si="88">F67/E67</f>
        <v>130</v>
      </c>
      <c r="H67" s="537">
        <f>AVERAGE(G67:G81)</f>
        <v>286.66666666666669</v>
      </c>
      <c r="I67" s="188">
        <f>AVERAGE(P67,U67,Z67,AE67,AJ67,AO67,AT67)</f>
        <v>20</v>
      </c>
      <c r="J67" s="188">
        <f>AVERAGE(Q67,V67,AA67,AF67,AK67,AP67,AU67)</f>
        <v>2312.6013515417758</v>
      </c>
      <c r="K67" s="189">
        <f>AVERAGE(R67,W67,AB67,AG67,AL67,AQ67,AV67)</f>
        <v>115.63006757708879</v>
      </c>
      <c r="L67" s="538">
        <f>IFERROR(AVERAGE(K67:K81),"-")</f>
        <v>257.79937715808774</v>
      </c>
      <c r="M67" s="188">
        <f>RANK(K67, K$67:$K$81)</f>
        <v>3</v>
      </c>
      <c r="N67" s="501"/>
      <c r="O67" s="501"/>
      <c r="P67" s="190">
        <v>20</v>
      </c>
      <c r="Q67" s="190">
        <v>2310.9311740890689</v>
      </c>
      <c r="R67" s="187">
        <f>IFERROR(Q67/P67,"")</f>
        <v>115.54655870445345</v>
      </c>
      <c r="S67" s="184">
        <f>RANK(R67, R$67:R$81)</f>
        <v>2</v>
      </c>
      <c r="T67" s="537">
        <f>AVERAGE(R67:R81)</f>
        <v>257.65779912762122</v>
      </c>
      <c r="U67" s="190">
        <v>20</v>
      </c>
      <c r="V67" s="190">
        <v>2311.2999150382325</v>
      </c>
      <c r="W67" s="187">
        <f t="shared" ref="W67:W69" si="89">IFERROR(V67/U67,"")</f>
        <v>115.56499575191162</v>
      </c>
      <c r="X67" s="184">
        <f>RANK(W67, W$67:W$81)</f>
        <v>3</v>
      </c>
      <c r="Y67" s="537">
        <f>AVERAGE(W67:W81)</f>
        <v>257.66647187388821</v>
      </c>
      <c r="Z67" s="190">
        <v>20</v>
      </c>
      <c r="AA67" s="190">
        <v>2311.7742810634841</v>
      </c>
      <c r="AB67" s="187">
        <f t="shared" ref="AB67:AB69" si="90">IFERROR(AA67/Z67,"")</f>
        <v>115.5887140531742</v>
      </c>
      <c r="AC67" s="184">
        <f>RANK(AB67, AB$67:AB$81)</f>
        <v>3</v>
      </c>
      <c r="AD67" s="537">
        <f>AVERAGE(AB67:AB81)</f>
        <v>257.7187939440629</v>
      </c>
      <c r="AE67" s="190">
        <v>20</v>
      </c>
      <c r="AF67" s="190">
        <v>2313.04347826087</v>
      </c>
      <c r="AG67" s="187">
        <f>IFERROR(AF67/AE67,"")</f>
        <v>115.6521739130435</v>
      </c>
      <c r="AH67" s="184">
        <f>RANK(AG67, AG$67:AG$81)</f>
        <v>3</v>
      </c>
      <c r="AI67" s="537">
        <f>AVERAGE(AG67:AG81)</f>
        <v>257.87332691803027</v>
      </c>
      <c r="AJ67" s="190">
        <v>20</v>
      </c>
      <c r="AK67" s="190">
        <v>2313.0131004366813</v>
      </c>
      <c r="AL67" s="187">
        <f t="shared" ref="AL67:AL69" si="91">IFERROR(AK67/AJ67,"")</f>
        <v>115.65065502183407</v>
      </c>
      <c r="AM67" s="184">
        <f>RANK(AL67, AL$67:AL$81)</f>
        <v>3</v>
      </c>
      <c r="AN67" s="537">
        <f>AVERAGE(AL67:AL81)</f>
        <v>257.8530983096868</v>
      </c>
      <c r="AO67" s="190">
        <v>20</v>
      </c>
      <c r="AP67" s="190">
        <v>2313.1979695431469</v>
      </c>
      <c r="AQ67" s="187">
        <f t="shared" ref="AQ67:AQ69" si="92">IFERROR(AP67/AO67,"")</f>
        <v>115.65989847715734</v>
      </c>
      <c r="AR67" s="184">
        <f>RANK(AQ67, AQ$67:AQ$81)</f>
        <v>2</v>
      </c>
      <c r="AS67" s="537">
        <f>AVERAGE(AQ67:AQ81)</f>
        <v>257.83867080022907</v>
      </c>
      <c r="AT67" s="190">
        <v>20</v>
      </c>
      <c r="AU67" s="190">
        <v>2314.9495423609474</v>
      </c>
      <c r="AV67" s="187">
        <f t="shared" ref="AV67:AV69" si="93">IFERROR(AU67/AT67,"")</f>
        <v>115.74747711804737</v>
      </c>
      <c r="AW67" s="184">
        <f>RANK(AV67, AV$67:AV$81)</f>
        <v>3</v>
      </c>
      <c r="AX67" s="537">
        <f>AVERAGE(AV67:AV81)</f>
        <v>257.98747913309552</v>
      </c>
    </row>
    <row r="68" spans="2:50" ht="14.25" customHeight="1">
      <c r="B68" s="501"/>
      <c r="C68" s="182">
        <v>2</v>
      </c>
      <c r="D68" s="185" t="s">
        <v>502</v>
      </c>
      <c r="E68" s="182">
        <v>20</v>
      </c>
      <c r="F68" s="182">
        <v>2600</v>
      </c>
      <c r="G68" s="187">
        <f t="shared" si="88"/>
        <v>130</v>
      </c>
      <c r="H68" s="537"/>
      <c r="I68" s="188">
        <f t="shared" ref="I68:K69" si="94">AVERAGE(P68,U68,Z68,AE68,AJ68,AO68,AT68)</f>
        <v>20</v>
      </c>
      <c r="J68" s="188">
        <f t="shared" si="94"/>
        <v>2313.0103875765258</v>
      </c>
      <c r="K68" s="189">
        <f t="shared" si="94"/>
        <v>115.65051937882627</v>
      </c>
      <c r="L68" s="538"/>
      <c r="M68" s="188">
        <f>RANK(K68, K$67:$K$81)</f>
        <v>2</v>
      </c>
      <c r="N68" s="501"/>
      <c r="O68" s="501"/>
      <c r="P68" s="190">
        <v>20</v>
      </c>
      <c r="Q68" s="190">
        <v>2310.8404384896412</v>
      </c>
      <c r="R68" s="187">
        <f t="shared" ref="R68:R69" si="95">IFERROR(Q68/P68,"")</f>
        <v>115.54202192448206</v>
      </c>
      <c r="S68" s="184">
        <f t="shared" ref="S68:S69" si="96">RANK(R68, R$67:R$81)</f>
        <v>3</v>
      </c>
      <c r="T68" s="537"/>
      <c r="U68" s="190">
        <v>20</v>
      </c>
      <c r="V68" s="190">
        <v>2312.0350109409137</v>
      </c>
      <c r="W68" s="187">
        <f t="shared" si="89"/>
        <v>115.60175054704568</v>
      </c>
      <c r="X68" s="184">
        <f t="shared" ref="X68:X69" si="97">RANK(W68, W$67:W$81)</f>
        <v>2</v>
      </c>
      <c r="Y68" s="537"/>
      <c r="Z68" s="190">
        <v>20</v>
      </c>
      <c r="AA68" s="190">
        <v>2312.6436781609264</v>
      </c>
      <c r="AB68" s="187">
        <f t="shared" si="90"/>
        <v>115.63218390804631</v>
      </c>
      <c r="AC68" s="184">
        <f t="shared" ref="AC68:AC69" si="98">RANK(AB68, AB$67:AB$81)</f>
        <v>2</v>
      </c>
      <c r="AD68" s="537"/>
      <c r="AE68" s="190">
        <v>20</v>
      </c>
      <c r="AF68" s="190">
        <v>2314.2857142857238</v>
      </c>
      <c r="AG68" s="187">
        <f t="shared" ref="AG68:AG69" si="99">IFERROR(AF68/AE68,"")</f>
        <v>115.71428571428619</v>
      </c>
      <c r="AH68" s="184">
        <f t="shared" ref="AH68:AH69" si="100">RANK(AG68, AG$67:AG$81)</f>
        <v>2</v>
      </c>
      <c r="AI68" s="537"/>
      <c r="AJ68" s="190">
        <v>20</v>
      </c>
      <c r="AK68" s="190">
        <v>2313.2530120482024</v>
      </c>
      <c r="AL68" s="187">
        <f t="shared" si="91"/>
        <v>115.66265060241012</v>
      </c>
      <c r="AM68" s="184">
        <f t="shared" ref="AM68:AM69" si="101">RANK(AL68, AL$67:AL$81)</f>
        <v>2</v>
      </c>
      <c r="AN68" s="537"/>
      <c r="AO68" s="190">
        <v>20</v>
      </c>
      <c r="AP68" s="190">
        <v>2312.820512820515</v>
      </c>
      <c r="AQ68" s="187">
        <f t="shared" si="92"/>
        <v>115.64102564102575</v>
      </c>
      <c r="AR68" s="184">
        <f t="shared" ref="AR68:AR69" si="102">RANK(AQ68, AQ$67:AQ$81)</f>
        <v>3</v>
      </c>
      <c r="AS68" s="537"/>
      <c r="AT68" s="190">
        <v>20</v>
      </c>
      <c r="AU68" s="190">
        <v>2315.194346289757</v>
      </c>
      <c r="AV68" s="187">
        <f t="shared" si="93"/>
        <v>115.75971731448786</v>
      </c>
      <c r="AW68" s="184">
        <f t="shared" ref="AW68:AW69" si="103">RANK(AV68, AV$67:AV$81)</f>
        <v>2</v>
      </c>
      <c r="AX68" s="537"/>
    </row>
    <row r="69" spans="2:50" ht="14.25" customHeight="1">
      <c r="B69" s="501"/>
      <c r="C69" s="182">
        <v>3</v>
      </c>
      <c r="D69" s="185" t="s">
        <v>513</v>
      </c>
      <c r="E69" s="182">
        <v>6</v>
      </c>
      <c r="F69" s="182">
        <v>3600</v>
      </c>
      <c r="G69" s="187">
        <f t="shared" si="88"/>
        <v>600</v>
      </c>
      <c r="H69" s="537"/>
      <c r="I69" s="188">
        <f t="shared" si="94"/>
        <v>6</v>
      </c>
      <c r="J69" s="188">
        <f t="shared" si="94"/>
        <v>3252.7052671100892</v>
      </c>
      <c r="K69" s="189">
        <f t="shared" si="94"/>
        <v>542.11754451834815</v>
      </c>
      <c r="L69" s="538"/>
      <c r="M69" s="188">
        <f>RANK(K69, K$67:$K$81)</f>
        <v>1</v>
      </c>
      <c r="N69" s="501"/>
      <c r="O69" s="501"/>
      <c r="P69" s="190">
        <v>6</v>
      </c>
      <c r="Q69" s="190">
        <v>3251.3089005235688</v>
      </c>
      <c r="R69" s="187">
        <f t="shared" si="95"/>
        <v>541.88481675392813</v>
      </c>
      <c r="S69" s="184">
        <f t="shared" si="96"/>
        <v>1</v>
      </c>
      <c r="T69" s="537"/>
      <c r="U69" s="190">
        <v>6</v>
      </c>
      <c r="V69" s="190">
        <v>3250.9960159362436</v>
      </c>
      <c r="W69" s="187">
        <f t="shared" si="89"/>
        <v>541.83266932270726</v>
      </c>
      <c r="X69" s="184">
        <f t="shared" si="97"/>
        <v>1</v>
      </c>
      <c r="Y69" s="537"/>
      <c r="Z69" s="190">
        <v>6</v>
      </c>
      <c r="AA69" s="190">
        <v>3251.6129032258086</v>
      </c>
      <c r="AB69" s="187">
        <f t="shared" si="90"/>
        <v>541.93548387096814</v>
      </c>
      <c r="AC69" s="184">
        <f t="shared" si="98"/>
        <v>1</v>
      </c>
      <c r="AD69" s="537"/>
      <c r="AE69" s="190">
        <v>6</v>
      </c>
      <c r="AF69" s="190">
        <v>3253.5211267605678</v>
      </c>
      <c r="AG69" s="187">
        <f t="shared" si="99"/>
        <v>542.25352112676126</v>
      </c>
      <c r="AH69" s="184">
        <f t="shared" si="100"/>
        <v>1</v>
      </c>
      <c r="AI69" s="537"/>
      <c r="AJ69" s="190">
        <v>6</v>
      </c>
      <c r="AK69" s="190">
        <v>3253.4759358288966</v>
      </c>
      <c r="AL69" s="187">
        <f t="shared" si="91"/>
        <v>542.24598930481613</v>
      </c>
      <c r="AM69" s="184">
        <f t="shared" si="101"/>
        <v>1</v>
      </c>
      <c r="AN69" s="537"/>
      <c r="AO69" s="190">
        <v>6</v>
      </c>
      <c r="AP69" s="190">
        <v>3253.2905296950248</v>
      </c>
      <c r="AQ69" s="187">
        <f t="shared" si="92"/>
        <v>542.2150882825041</v>
      </c>
      <c r="AR69" s="184">
        <f t="shared" si="102"/>
        <v>1</v>
      </c>
      <c r="AS69" s="537"/>
      <c r="AT69" s="190">
        <v>6</v>
      </c>
      <c r="AU69" s="190">
        <v>3254.7314578005085</v>
      </c>
      <c r="AV69" s="187">
        <f t="shared" si="93"/>
        <v>542.45524296675137</v>
      </c>
      <c r="AW69" s="184">
        <f t="shared" si="103"/>
        <v>1</v>
      </c>
      <c r="AX69" s="537"/>
    </row>
    <row r="70" spans="2:50" ht="14.25" customHeight="1">
      <c r="B70" s="501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01"/>
      <c r="O70" s="501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01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01"/>
      <c r="O71" s="501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01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01"/>
      <c r="O72" s="501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01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01"/>
      <c r="O73" s="501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01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01"/>
      <c r="O74" s="501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01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01"/>
      <c r="O75" s="501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104">U82+1</f>
        <v>46051</v>
      </c>
      <c r="AA82" s="599"/>
      <c r="AB82" s="599"/>
      <c r="AC82" s="599"/>
      <c r="AD82" s="599"/>
      <c r="AE82" s="600">
        <f t="shared" ref="AE82" si="105">Z82+1</f>
        <v>46052</v>
      </c>
      <c r="AF82" s="601"/>
      <c r="AG82" s="601"/>
      <c r="AH82" s="601"/>
      <c r="AI82" s="601"/>
      <c r="AJ82" s="590">
        <f t="shared" ref="AJ82" si="106">AE82+1</f>
        <v>46053</v>
      </c>
      <c r="AK82" s="591"/>
      <c r="AL82" s="591"/>
      <c r="AM82" s="591"/>
      <c r="AN82" s="592"/>
      <c r="AO82" s="600">
        <f t="shared" ref="AO82" si="107">AJ82+1</f>
        <v>46054</v>
      </c>
      <c r="AP82" s="601"/>
      <c r="AQ82" s="601"/>
      <c r="AR82" s="601"/>
      <c r="AS82" s="601"/>
      <c r="AT82" s="590">
        <f t="shared" ref="AT82" si="108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109">Z82</f>
        <v>46051</v>
      </c>
      <c r="AA83" s="593"/>
      <c r="AB83" s="593"/>
      <c r="AC83" s="593"/>
      <c r="AD83" s="593"/>
      <c r="AE83" s="594">
        <f t="shared" ref="AE83" si="110">AE82</f>
        <v>46052</v>
      </c>
      <c r="AF83" s="594"/>
      <c r="AG83" s="594"/>
      <c r="AH83" s="594"/>
      <c r="AI83" s="594"/>
      <c r="AJ83" s="595">
        <f t="shared" ref="AJ83" si="111">AJ82</f>
        <v>46053</v>
      </c>
      <c r="AK83" s="596"/>
      <c r="AL83" s="596"/>
      <c r="AM83" s="596"/>
      <c r="AN83" s="597"/>
      <c r="AO83" s="594">
        <f t="shared" ref="AO83" si="112">AO82</f>
        <v>46054</v>
      </c>
      <c r="AP83" s="594"/>
      <c r="AQ83" s="594"/>
      <c r="AR83" s="594"/>
      <c r="AS83" s="594"/>
      <c r="AT83" s="595">
        <f t="shared" ref="AT83" si="113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608" t="s">
        <v>607</v>
      </c>
      <c r="C87" s="182">
        <v>1</v>
      </c>
      <c r="D87" s="185"/>
      <c r="E87" s="182"/>
      <c r="F87" s="182"/>
      <c r="G87" s="187" t="e">
        <f t="shared" ref="G87:G101" si="114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5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116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17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18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19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20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21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4"/>
        <v>#DIV/0!</v>
      </c>
      <c r="H88" s="537"/>
      <c r="I88" s="188" t="e">
        <f t="shared" ref="I88:I101" si="122">AVERAGE(P88,U88,Z88,AE88,AJ88,AO88,AT88)</f>
        <v>#DIV/0!</v>
      </c>
      <c r="J88" s="188" t="e">
        <f t="shared" ref="J88:J101" si="123">AVERAGE(Q88,V88,AA88,AF88,AK88,AP88,AU88)</f>
        <v>#DIV/0!</v>
      </c>
      <c r="K88" s="189" t="e">
        <f t="shared" ref="K88:K101" si="124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115"/>
        <v>#DIV/0!</v>
      </c>
      <c r="S88" s="184" t="e">
        <f t="shared" ref="S88:S101" si="125">RANK(R88, R$47:R$61)</f>
        <v>#DIV/0!</v>
      </c>
      <c r="T88" s="537"/>
      <c r="U88" s="182"/>
      <c r="V88" s="182"/>
      <c r="W88" s="187" t="e">
        <f t="shared" si="116"/>
        <v>#DIV/0!</v>
      </c>
      <c r="X88" s="184" t="e">
        <f t="shared" ref="X88:X101" si="126">RANK(W88, W$47:W$61)</f>
        <v>#DIV/0!</v>
      </c>
      <c r="Y88" s="537"/>
      <c r="Z88" s="182"/>
      <c r="AA88" s="182"/>
      <c r="AB88" s="187" t="e">
        <f t="shared" si="117"/>
        <v>#DIV/0!</v>
      </c>
      <c r="AC88" s="184" t="e">
        <f t="shared" ref="AC88:AC101" si="127">RANK(AB88, AB$47:AB$61)</f>
        <v>#DIV/0!</v>
      </c>
      <c r="AD88" s="537"/>
      <c r="AE88" s="182"/>
      <c r="AF88" s="182"/>
      <c r="AG88" s="187" t="e">
        <f t="shared" si="118"/>
        <v>#DIV/0!</v>
      </c>
      <c r="AH88" s="184" t="e">
        <f t="shared" ref="AH88:AH101" si="128">RANK(AG88, AG$47:AG$61)</f>
        <v>#DIV/0!</v>
      </c>
      <c r="AI88" s="537"/>
      <c r="AJ88" s="182"/>
      <c r="AK88" s="182"/>
      <c r="AL88" s="187" t="e">
        <f t="shared" si="119"/>
        <v>#DIV/0!</v>
      </c>
      <c r="AM88" s="184" t="e">
        <f t="shared" ref="AM88:AM101" si="129">RANK(AL88, AL$47:AL$61)</f>
        <v>#DIV/0!</v>
      </c>
      <c r="AN88" s="537"/>
      <c r="AO88" s="182"/>
      <c r="AP88" s="182"/>
      <c r="AQ88" s="187" t="e">
        <f t="shared" si="120"/>
        <v>#DIV/0!</v>
      </c>
      <c r="AR88" s="184" t="e">
        <f t="shared" ref="AR88:AR101" si="130">RANK(AQ88, AQ$47:AQ$61)</f>
        <v>#DIV/0!</v>
      </c>
      <c r="AS88" s="537"/>
      <c r="AT88" s="182"/>
      <c r="AU88" s="182"/>
      <c r="AV88" s="187" t="e">
        <f t="shared" si="121"/>
        <v>#DIV/0!</v>
      </c>
      <c r="AW88" s="184" t="e">
        <f t="shared" ref="AW88:AW101" si="131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4"/>
        <v>#DIV/0!</v>
      </c>
      <c r="H89" s="537"/>
      <c r="I89" s="188" t="e">
        <f t="shared" si="122"/>
        <v>#DIV/0!</v>
      </c>
      <c r="J89" s="188" t="e">
        <f t="shared" si="123"/>
        <v>#DIV/0!</v>
      </c>
      <c r="K89" s="189" t="e">
        <f t="shared" si="124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115"/>
        <v>#DIV/0!</v>
      </c>
      <c r="S89" s="184" t="e">
        <f t="shared" si="125"/>
        <v>#DIV/0!</v>
      </c>
      <c r="T89" s="537"/>
      <c r="U89" s="182"/>
      <c r="V89" s="182"/>
      <c r="W89" s="187" t="e">
        <f t="shared" si="116"/>
        <v>#DIV/0!</v>
      </c>
      <c r="X89" s="184" t="e">
        <f t="shared" si="126"/>
        <v>#DIV/0!</v>
      </c>
      <c r="Y89" s="537"/>
      <c r="Z89" s="182"/>
      <c r="AA89" s="182"/>
      <c r="AB89" s="187" t="e">
        <f t="shared" si="117"/>
        <v>#DIV/0!</v>
      </c>
      <c r="AC89" s="184" t="e">
        <f t="shared" si="127"/>
        <v>#DIV/0!</v>
      </c>
      <c r="AD89" s="537"/>
      <c r="AE89" s="182"/>
      <c r="AF89" s="182"/>
      <c r="AG89" s="187" t="e">
        <f t="shared" si="118"/>
        <v>#DIV/0!</v>
      </c>
      <c r="AH89" s="184" t="e">
        <f t="shared" si="128"/>
        <v>#DIV/0!</v>
      </c>
      <c r="AI89" s="537"/>
      <c r="AJ89" s="182"/>
      <c r="AK89" s="182"/>
      <c r="AL89" s="187" t="e">
        <f t="shared" si="119"/>
        <v>#DIV/0!</v>
      </c>
      <c r="AM89" s="184" t="e">
        <f t="shared" si="129"/>
        <v>#DIV/0!</v>
      </c>
      <c r="AN89" s="537"/>
      <c r="AO89" s="182"/>
      <c r="AP89" s="182"/>
      <c r="AQ89" s="187" t="e">
        <f t="shared" si="120"/>
        <v>#DIV/0!</v>
      </c>
      <c r="AR89" s="184" t="e">
        <f t="shared" si="130"/>
        <v>#DIV/0!</v>
      </c>
      <c r="AS89" s="537"/>
      <c r="AT89" s="182"/>
      <c r="AU89" s="182"/>
      <c r="AV89" s="187" t="e">
        <f t="shared" si="121"/>
        <v>#DIV/0!</v>
      </c>
      <c r="AW89" s="184" t="e">
        <f t="shared" si="131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4"/>
        <v>#DIV/0!</v>
      </c>
      <c r="H90" s="537"/>
      <c r="I90" s="188" t="e">
        <f t="shared" si="122"/>
        <v>#DIV/0!</v>
      </c>
      <c r="J90" s="188" t="e">
        <f t="shared" si="123"/>
        <v>#DIV/0!</v>
      </c>
      <c r="K90" s="189" t="e">
        <f t="shared" si="124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115"/>
        <v>#DIV/0!</v>
      </c>
      <c r="S90" s="184" t="e">
        <f t="shared" si="125"/>
        <v>#DIV/0!</v>
      </c>
      <c r="T90" s="537"/>
      <c r="U90" s="182"/>
      <c r="V90" s="182"/>
      <c r="W90" s="187" t="e">
        <f t="shared" si="116"/>
        <v>#DIV/0!</v>
      </c>
      <c r="X90" s="184" t="e">
        <f t="shared" si="126"/>
        <v>#DIV/0!</v>
      </c>
      <c r="Y90" s="537"/>
      <c r="Z90" s="182"/>
      <c r="AA90" s="182"/>
      <c r="AB90" s="187" t="e">
        <f t="shared" si="117"/>
        <v>#DIV/0!</v>
      </c>
      <c r="AC90" s="184" t="e">
        <f t="shared" si="127"/>
        <v>#DIV/0!</v>
      </c>
      <c r="AD90" s="537"/>
      <c r="AE90" s="182"/>
      <c r="AF90" s="182"/>
      <c r="AG90" s="187" t="e">
        <f t="shared" si="118"/>
        <v>#DIV/0!</v>
      </c>
      <c r="AH90" s="184" t="e">
        <f t="shared" si="128"/>
        <v>#DIV/0!</v>
      </c>
      <c r="AI90" s="537"/>
      <c r="AJ90" s="182"/>
      <c r="AK90" s="182"/>
      <c r="AL90" s="187" t="e">
        <f t="shared" si="119"/>
        <v>#DIV/0!</v>
      </c>
      <c r="AM90" s="184" t="e">
        <f t="shared" si="129"/>
        <v>#DIV/0!</v>
      </c>
      <c r="AN90" s="537"/>
      <c r="AO90" s="182"/>
      <c r="AP90" s="182"/>
      <c r="AQ90" s="187" t="e">
        <f t="shared" si="120"/>
        <v>#DIV/0!</v>
      </c>
      <c r="AR90" s="184" t="e">
        <f t="shared" si="130"/>
        <v>#DIV/0!</v>
      </c>
      <c r="AS90" s="537"/>
      <c r="AT90" s="182"/>
      <c r="AU90" s="182"/>
      <c r="AV90" s="187" t="e">
        <f t="shared" si="121"/>
        <v>#DIV/0!</v>
      </c>
      <c r="AW90" s="184" t="e">
        <f t="shared" si="131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4"/>
        <v>#DIV/0!</v>
      </c>
      <c r="H91" s="537"/>
      <c r="I91" s="188" t="e">
        <f t="shared" si="122"/>
        <v>#DIV/0!</v>
      </c>
      <c r="J91" s="188" t="e">
        <f t="shared" si="123"/>
        <v>#DIV/0!</v>
      </c>
      <c r="K91" s="189" t="e">
        <f t="shared" si="124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115"/>
        <v>#DIV/0!</v>
      </c>
      <c r="S91" s="184" t="e">
        <f t="shared" si="125"/>
        <v>#DIV/0!</v>
      </c>
      <c r="T91" s="537"/>
      <c r="U91" s="182"/>
      <c r="V91" s="182"/>
      <c r="W91" s="187" t="e">
        <f t="shared" si="116"/>
        <v>#DIV/0!</v>
      </c>
      <c r="X91" s="184" t="e">
        <f t="shared" si="126"/>
        <v>#DIV/0!</v>
      </c>
      <c r="Y91" s="537"/>
      <c r="Z91" s="182"/>
      <c r="AA91" s="182"/>
      <c r="AB91" s="187" t="e">
        <f t="shared" si="117"/>
        <v>#DIV/0!</v>
      </c>
      <c r="AC91" s="184" t="e">
        <f t="shared" si="127"/>
        <v>#DIV/0!</v>
      </c>
      <c r="AD91" s="537"/>
      <c r="AE91" s="182"/>
      <c r="AF91" s="182"/>
      <c r="AG91" s="187" t="e">
        <f t="shared" si="118"/>
        <v>#DIV/0!</v>
      </c>
      <c r="AH91" s="184" t="e">
        <f t="shared" si="128"/>
        <v>#DIV/0!</v>
      </c>
      <c r="AI91" s="537"/>
      <c r="AJ91" s="182"/>
      <c r="AK91" s="182"/>
      <c r="AL91" s="187" t="e">
        <f t="shared" si="119"/>
        <v>#DIV/0!</v>
      </c>
      <c r="AM91" s="184" t="e">
        <f t="shared" si="129"/>
        <v>#DIV/0!</v>
      </c>
      <c r="AN91" s="537"/>
      <c r="AO91" s="182"/>
      <c r="AP91" s="182"/>
      <c r="AQ91" s="187" t="e">
        <f t="shared" si="120"/>
        <v>#DIV/0!</v>
      </c>
      <c r="AR91" s="184" t="e">
        <f t="shared" si="130"/>
        <v>#DIV/0!</v>
      </c>
      <c r="AS91" s="537"/>
      <c r="AT91" s="182"/>
      <c r="AU91" s="182"/>
      <c r="AV91" s="187" t="e">
        <f t="shared" si="121"/>
        <v>#DIV/0!</v>
      </c>
      <c r="AW91" s="184" t="e">
        <f t="shared" si="131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4"/>
        <v>#DIV/0!</v>
      </c>
      <c r="H92" s="537"/>
      <c r="I92" s="188" t="e">
        <f t="shared" si="122"/>
        <v>#DIV/0!</v>
      </c>
      <c r="J92" s="188" t="e">
        <f t="shared" si="123"/>
        <v>#DIV/0!</v>
      </c>
      <c r="K92" s="189" t="e">
        <f t="shared" si="124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115"/>
        <v>#DIV/0!</v>
      </c>
      <c r="S92" s="184" t="e">
        <f t="shared" si="125"/>
        <v>#DIV/0!</v>
      </c>
      <c r="T92" s="537"/>
      <c r="U92" s="182"/>
      <c r="V92" s="182"/>
      <c r="W92" s="187" t="e">
        <f t="shared" si="116"/>
        <v>#DIV/0!</v>
      </c>
      <c r="X92" s="184" t="e">
        <f t="shared" si="126"/>
        <v>#DIV/0!</v>
      </c>
      <c r="Y92" s="537"/>
      <c r="Z92" s="182"/>
      <c r="AA92" s="182"/>
      <c r="AB92" s="187" t="e">
        <f t="shared" si="117"/>
        <v>#DIV/0!</v>
      </c>
      <c r="AC92" s="184" t="e">
        <f t="shared" si="127"/>
        <v>#DIV/0!</v>
      </c>
      <c r="AD92" s="537"/>
      <c r="AE92" s="182"/>
      <c r="AF92" s="182"/>
      <c r="AG92" s="187" t="e">
        <f t="shared" si="118"/>
        <v>#DIV/0!</v>
      </c>
      <c r="AH92" s="184" t="e">
        <f t="shared" si="128"/>
        <v>#DIV/0!</v>
      </c>
      <c r="AI92" s="537"/>
      <c r="AJ92" s="182"/>
      <c r="AK92" s="182"/>
      <c r="AL92" s="187" t="e">
        <f t="shared" si="119"/>
        <v>#DIV/0!</v>
      </c>
      <c r="AM92" s="184" t="e">
        <f t="shared" si="129"/>
        <v>#DIV/0!</v>
      </c>
      <c r="AN92" s="537"/>
      <c r="AO92" s="182"/>
      <c r="AP92" s="182"/>
      <c r="AQ92" s="187" t="e">
        <f t="shared" si="120"/>
        <v>#DIV/0!</v>
      </c>
      <c r="AR92" s="184" t="e">
        <f t="shared" si="130"/>
        <v>#DIV/0!</v>
      </c>
      <c r="AS92" s="537"/>
      <c r="AT92" s="182"/>
      <c r="AU92" s="182"/>
      <c r="AV92" s="187" t="e">
        <f t="shared" si="121"/>
        <v>#DIV/0!</v>
      </c>
      <c r="AW92" s="184" t="e">
        <f t="shared" si="131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4"/>
        <v>#DIV/0!</v>
      </c>
      <c r="H93" s="537"/>
      <c r="I93" s="188" t="e">
        <f t="shared" si="122"/>
        <v>#DIV/0!</v>
      </c>
      <c r="J93" s="188" t="e">
        <f t="shared" si="123"/>
        <v>#DIV/0!</v>
      </c>
      <c r="K93" s="189" t="e">
        <f t="shared" si="124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115"/>
        <v>#DIV/0!</v>
      </c>
      <c r="S93" s="184" t="e">
        <f t="shared" si="125"/>
        <v>#DIV/0!</v>
      </c>
      <c r="T93" s="537"/>
      <c r="U93" s="182"/>
      <c r="V93" s="182"/>
      <c r="W93" s="187" t="e">
        <f t="shared" si="116"/>
        <v>#DIV/0!</v>
      </c>
      <c r="X93" s="184" t="e">
        <f t="shared" si="126"/>
        <v>#DIV/0!</v>
      </c>
      <c r="Y93" s="537"/>
      <c r="Z93" s="182"/>
      <c r="AA93" s="182"/>
      <c r="AB93" s="187" t="e">
        <f t="shared" si="117"/>
        <v>#DIV/0!</v>
      </c>
      <c r="AC93" s="184" t="e">
        <f t="shared" si="127"/>
        <v>#DIV/0!</v>
      </c>
      <c r="AD93" s="537"/>
      <c r="AE93" s="182"/>
      <c r="AF93" s="182"/>
      <c r="AG93" s="187" t="e">
        <f t="shared" si="118"/>
        <v>#DIV/0!</v>
      </c>
      <c r="AH93" s="184" t="e">
        <f t="shared" si="128"/>
        <v>#DIV/0!</v>
      </c>
      <c r="AI93" s="537"/>
      <c r="AJ93" s="182"/>
      <c r="AK93" s="182"/>
      <c r="AL93" s="187" t="e">
        <f t="shared" si="119"/>
        <v>#DIV/0!</v>
      </c>
      <c r="AM93" s="184" t="e">
        <f t="shared" si="129"/>
        <v>#DIV/0!</v>
      </c>
      <c r="AN93" s="537"/>
      <c r="AO93" s="182"/>
      <c r="AP93" s="182"/>
      <c r="AQ93" s="187" t="e">
        <f t="shared" si="120"/>
        <v>#DIV/0!</v>
      </c>
      <c r="AR93" s="184" t="e">
        <f t="shared" si="130"/>
        <v>#DIV/0!</v>
      </c>
      <c r="AS93" s="537"/>
      <c r="AT93" s="182"/>
      <c r="AU93" s="182"/>
      <c r="AV93" s="187" t="e">
        <f t="shared" si="121"/>
        <v>#DIV/0!</v>
      </c>
      <c r="AW93" s="184" t="e">
        <f t="shared" si="131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4"/>
        <v>#DIV/0!</v>
      </c>
      <c r="H94" s="537"/>
      <c r="I94" s="188" t="e">
        <f t="shared" si="122"/>
        <v>#DIV/0!</v>
      </c>
      <c r="J94" s="188" t="e">
        <f t="shared" si="123"/>
        <v>#DIV/0!</v>
      </c>
      <c r="K94" s="189" t="e">
        <f t="shared" si="124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115"/>
        <v>#DIV/0!</v>
      </c>
      <c r="S94" s="184" t="e">
        <f t="shared" si="125"/>
        <v>#DIV/0!</v>
      </c>
      <c r="T94" s="537"/>
      <c r="U94" s="182"/>
      <c r="V94" s="182"/>
      <c r="W94" s="187" t="e">
        <f t="shared" si="116"/>
        <v>#DIV/0!</v>
      </c>
      <c r="X94" s="184" t="e">
        <f t="shared" si="126"/>
        <v>#DIV/0!</v>
      </c>
      <c r="Y94" s="537"/>
      <c r="Z94" s="182"/>
      <c r="AA94" s="182"/>
      <c r="AB94" s="187" t="e">
        <f t="shared" si="117"/>
        <v>#DIV/0!</v>
      </c>
      <c r="AC94" s="184" t="e">
        <f t="shared" si="127"/>
        <v>#DIV/0!</v>
      </c>
      <c r="AD94" s="537"/>
      <c r="AE94" s="182"/>
      <c r="AF94" s="182"/>
      <c r="AG94" s="187" t="e">
        <f t="shared" si="118"/>
        <v>#DIV/0!</v>
      </c>
      <c r="AH94" s="184" t="e">
        <f t="shared" si="128"/>
        <v>#DIV/0!</v>
      </c>
      <c r="AI94" s="537"/>
      <c r="AJ94" s="182"/>
      <c r="AK94" s="182"/>
      <c r="AL94" s="187" t="e">
        <f t="shared" si="119"/>
        <v>#DIV/0!</v>
      </c>
      <c r="AM94" s="184" t="e">
        <f t="shared" si="129"/>
        <v>#DIV/0!</v>
      </c>
      <c r="AN94" s="537"/>
      <c r="AO94" s="182"/>
      <c r="AP94" s="182"/>
      <c r="AQ94" s="187" t="e">
        <f t="shared" si="120"/>
        <v>#DIV/0!</v>
      </c>
      <c r="AR94" s="184" t="e">
        <f t="shared" si="130"/>
        <v>#DIV/0!</v>
      </c>
      <c r="AS94" s="537"/>
      <c r="AT94" s="182"/>
      <c r="AU94" s="182"/>
      <c r="AV94" s="187" t="e">
        <f t="shared" si="121"/>
        <v>#DIV/0!</v>
      </c>
      <c r="AW94" s="184" t="e">
        <f t="shared" si="131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4"/>
        <v>#DIV/0!</v>
      </c>
      <c r="H95" s="537"/>
      <c r="I95" s="188" t="e">
        <f t="shared" si="122"/>
        <v>#DIV/0!</v>
      </c>
      <c r="J95" s="188" t="e">
        <f t="shared" si="123"/>
        <v>#DIV/0!</v>
      </c>
      <c r="K95" s="189" t="e">
        <f t="shared" si="124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115"/>
        <v>#DIV/0!</v>
      </c>
      <c r="S95" s="184" t="e">
        <f t="shared" si="125"/>
        <v>#DIV/0!</v>
      </c>
      <c r="T95" s="537"/>
      <c r="U95" s="182"/>
      <c r="V95" s="182"/>
      <c r="W95" s="187" t="e">
        <f t="shared" si="116"/>
        <v>#DIV/0!</v>
      </c>
      <c r="X95" s="184" t="e">
        <f t="shared" si="126"/>
        <v>#DIV/0!</v>
      </c>
      <c r="Y95" s="537"/>
      <c r="Z95" s="182"/>
      <c r="AA95" s="182"/>
      <c r="AB95" s="187" t="e">
        <f t="shared" si="117"/>
        <v>#DIV/0!</v>
      </c>
      <c r="AC95" s="184" t="e">
        <f t="shared" si="127"/>
        <v>#DIV/0!</v>
      </c>
      <c r="AD95" s="537"/>
      <c r="AE95" s="182"/>
      <c r="AF95" s="182"/>
      <c r="AG95" s="187" t="e">
        <f t="shared" si="118"/>
        <v>#DIV/0!</v>
      </c>
      <c r="AH95" s="184" t="e">
        <f t="shared" si="128"/>
        <v>#DIV/0!</v>
      </c>
      <c r="AI95" s="537"/>
      <c r="AJ95" s="182"/>
      <c r="AK95" s="182"/>
      <c r="AL95" s="187" t="e">
        <f t="shared" si="119"/>
        <v>#DIV/0!</v>
      </c>
      <c r="AM95" s="184" t="e">
        <f t="shared" si="129"/>
        <v>#DIV/0!</v>
      </c>
      <c r="AN95" s="537"/>
      <c r="AO95" s="182"/>
      <c r="AP95" s="182"/>
      <c r="AQ95" s="187" t="e">
        <f t="shared" si="120"/>
        <v>#DIV/0!</v>
      </c>
      <c r="AR95" s="184" t="e">
        <f t="shared" si="130"/>
        <v>#DIV/0!</v>
      </c>
      <c r="AS95" s="537"/>
      <c r="AT95" s="182"/>
      <c r="AU95" s="182"/>
      <c r="AV95" s="187" t="e">
        <f t="shared" si="121"/>
        <v>#DIV/0!</v>
      </c>
      <c r="AW95" s="184" t="e">
        <f t="shared" si="131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4"/>
        <v>#DIV/0!</v>
      </c>
      <c r="H96" s="537"/>
      <c r="I96" s="188" t="e">
        <f t="shared" si="122"/>
        <v>#DIV/0!</v>
      </c>
      <c r="J96" s="188" t="e">
        <f t="shared" si="123"/>
        <v>#DIV/0!</v>
      </c>
      <c r="K96" s="189" t="e">
        <f t="shared" si="124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115"/>
        <v>#DIV/0!</v>
      </c>
      <c r="S96" s="184" t="e">
        <f t="shared" si="125"/>
        <v>#DIV/0!</v>
      </c>
      <c r="T96" s="537"/>
      <c r="U96" s="182"/>
      <c r="V96" s="182"/>
      <c r="W96" s="187" t="e">
        <f t="shared" si="116"/>
        <v>#DIV/0!</v>
      </c>
      <c r="X96" s="184" t="e">
        <f t="shared" si="126"/>
        <v>#DIV/0!</v>
      </c>
      <c r="Y96" s="537"/>
      <c r="Z96" s="182"/>
      <c r="AA96" s="182"/>
      <c r="AB96" s="187" t="e">
        <f t="shared" si="117"/>
        <v>#DIV/0!</v>
      </c>
      <c r="AC96" s="184" t="e">
        <f t="shared" si="127"/>
        <v>#DIV/0!</v>
      </c>
      <c r="AD96" s="537"/>
      <c r="AE96" s="182"/>
      <c r="AF96" s="182"/>
      <c r="AG96" s="187" t="e">
        <f t="shared" si="118"/>
        <v>#DIV/0!</v>
      </c>
      <c r="AH96" s="184" t="e">
        <f t="shared" si="128"/>
        <v>#DIV/0!</v>
      </c>
      <c r="AI96" s="537"/>
      <c r="AJ96" s="182"/>
      <c r="AK96" s="182"/>
      <c r="AL96" s="187" t="e">
        <f t="shared" si="119"/>
        <v>#DIV/0!</v>
      </c>
      <c r="AM96" s="184" t="e">
        <f t="shared" si="129"/>
        <v>#DIV/0!</v>
      </c>
      <c r="AN96" s="537"/>
      <c r="AO96" s="182"/>
      <c r="AP96" s="182"/>
      <c r="AQ96" s="187" t="e">
        <f t="shared" si="120"/>
        <v>#DIV/0!</v>
      </c>
      <c r="AR96" s="184" t="e">
        <f t="shared" si="130"/>
        <v>#DIV/0!</v>
      </c>
      <c r="AS96" s="537"/>
      <c r="AT96" s="182"/>
      <c r="AU96" s="182"/>
      <c r="AV96" s="187" t="e">
        <f t="shared" si="121"/>
        <v>#DIV/0!</v>
      </c>
      <c r="AW96" s="184" t="e">
        <f t="shared" si="131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4"/>
        <v>#DIV/0!</v>
      </c>
      <c r="H97" s="537"/>
      <c r="I97" s="188" t="e">
        <f t="shared" si="122"/>
        <v>#DIV/0!</v>
      </c>
      <c r="J97" s="188" t="e">
        <f t="shared" si="123"/>
        <v>#DIV/0!</v>
      </c>
      <c r="K97" s="189" t="e">
        <f t="shared" si="124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115"/>
        <v>#DIV/0!</v>
      </c>
      <c r="S97" s="184" t="e">
        <f t="shared" si="125"/>
        <v>#DIV/0!</v>
      </c>
      <c r="T97" s="537"/>
      <c r="U97" s="182"/>
      <c r="V97" s="182"/>
      <c r="W97" s="187" t="e">
        <f t="shared" si="116"/>
        <v>#DIV/0!</v>
      </c>
      <c r="X97" s="184" t="e">
        <f t="shared" si="126"/>
        <v>#DIV/0!</v>
      </c>
      <c r="Y97" s="537"/>
      <c r="Z97" s="182"/>
      <c r="AA97" s="182"/>
      <c r="AB97" s="187" t="e">
        <f t="shared" si="117"/>
        <v>#DIV/0!</v>
      </c>
      <c r="AC97" s="184" t="e">
        <f t="shared" si="127"/>
        <v>#DIV/0!</v>
      </c>
      <c r="AD97" s="537"/>
      <c r="AE97" s="182"/>
      <c r="AF97" s="182"/>
      <c r="AG97" s="187" t="e">
        <f t="shared" si="118"/>
        <v>#DIV/0!</v>
      </c>
      <c r="AH97" s="184" t="e">
        <f t="shared" si="128"/>
        <v>#DIV/0!</v>
      </c>
      <c r="AI97" s="537"/>
      <c r="AJ97" s="182"/>
      <c r="AK97" s="182"/>
      <c r="AL97" s="187" t="e">
        <f t="shared" si="119"/>
        <v>#DIV/0!</v>
      </c>
      <c r="AM97" s="184" t="e">
        <f t="shared" si="129"/>
        <v>#DIV/0!</v>
      </c>
      <c r="AN97" s="537"/>
      <c r="AO97" s="182"/>
      <c r="AP97" s="182"/>
      <c r="AQ97" s="187" t="e">
        <f t="shared" si="120"/>
        <v>#DIV/0!</v>
      </c>
      <c r="AR97" s="184" t="e">
        <f t="shared" si="130"/>
        <v>#DIV/0!</v>
      </c>
      <c r="AS97" s="537"/>
      <c r="AT97" s="182"/>
      <c r="AU97" s="182"/>
      <c r="AV97" s="187" t="e">
        <f t="shared" si="121"/>
        <v>#DIV/0!</v>
      </c>
      <c r="AW97" s="184" t="e">
        <f t="shared" si="131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4"/>
        <v>#DIV/0!</v>
      </c>
      <c r="H98" s="537"/>
      <c r="I98" s="188" t="e">
        <f t="shared" si="122"/>
        <v>#DIV/0!</v>
      </c>
      <c r="J98" s="188" t="e">
        <f t="shared" si="123"/>
        <v>#DIV/0!</v>
      </c>
      <c r="K98" s="189" t="e">
        <f t="shared" si="124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115"/>
        <v>#DIV/0!</v>
      </c>
      <c r="S98" s="184" t="e">
        <f t="shared" si="125"/>
        <v>#DIV/0!</v>
      </c>
      <c r="T98" s="537"/>
      <c r="U98" s="182"/>
      <c r="V98" s="182"/>
      <c r="W98" s="187" t="e">
        <f t="shared" si="116"/>
        <v>#DIV/0!</v>
      </c>
      <c r="X98" s="184" t="e">
        <f t="shared" si="126"/>
        <v>#DIV/0!</v>
      </c>
      <c r="Y98" s="537"/>
      <c r="Z98" s="182"/>
      <c r="AA98" s="182"/>
      <c r="AB98" s="187" t="e">
        <f t="shared" si="117"/>
        <v>#DIV/0!</v>
      </c>
      <c r="AC98" s="184" t="e">
        <f t="shared" si="127"/>
        <v>#DIV/0!</v>
      </c>
      <c r="AD98" s="537"/>
      <c r="AE98" s="182"/>
      <c r="AF98" s="182"/>
      <c r="AG98" s="187" t="e">
        <f t="shared" si="118"/>
        <v>#DIV/0!</v>
      </c>
      <c r="AH98" s="184" t="e">
        <f t="shared" si="128"/>
        <v>#DIV/0!</v>
      </c>
      <c r="AI98" s="537"/>
      <c r="AJ98" s="182"/>
      <c r="AK98" s="182"/>
      <c r="AL98" s="187" t="e">
        <f t="shared" si="119"/>
        <v>#DIV/0!</v>
      </c>
      <c r="AM98" s="184" t="e">
        <f t="shared" si="129"/>
        <v>#DIV/0!</v>
      </c>
      <c r="AN98" s="537"/>
      <c r="AO98" s="182"/>
      <c r="AP98" s="182"/>
      <c r="AQ98" s="187" t="e">
        <f t="shared" si="120"/>
        <v>#DIV/0!</v>
      </c>
      <c r="AR98" s="184" t="e">
        <f t="shared" si="130"/>
        <v>#DIV/0!</v>
      </c>
      <c r="AS98" s="537"/>
      <c r="AT98" s="182"/>
      <c r="AU98" s="182"/>
      <c r="AV98" s="187" t="e">
        <f t="shared" si="121"/>
        <v>#DIV/0!</v>
      </c>
      <c r="AW98" s="184" t="e">
        <f t="shared" si="131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4"/>
        <v>#DIV/0!</v>
      </c>
      <c r="H99" s="537"/>
      <c r="I99" s="188" t="e">
        <f t="shared" si="122"/>
        <v>#DIV/0!</v>
      </c>
      <c r="J99" s="188" t="e">
        <f t="shared" si="123"/>
        <v>#DIV/0!</v>
      </c>
      <c r="K99" s="189" t="e">
        <f t="shared" si="124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115"/>
        <v>#DIV/0!</v>
      </c>
      <c r="S99" s="184" t="e">
        <f t="shared" si="125"/>
        <v>#DIV/0!</v>
      </c>
      <c r="T99" s="537"/>
      <c r="U99" s="182"/>
      <c r="V99" s="182"/>
      <c r="W99" s="187" t="e">
        <f t="shared" si="116"/>
        <v>#DIV/0!</v>
      </c>
      <c r="X99" s="184" t="e">
        <f t="shared" si="126"/>
        <v>#DIV/0!</v>
      </c>
      <c r="Y99" s="537"/>
      <c r="Z99" s="182"/>
      <c r="AA99" s="182"/>
      <c r="AB99" s="187" t="e">
        <f t="shared" si="117"/>
        <v>#DIV/0!</v>
      </c>
      <c r="AC99" s="184" t="e">
        <f t="shared" si="127"/>
        <v>#DIV/0!</v>
      </c>
      <c r="AD99" s="537"/>
      <c r="AE99" s="182"/>
      <c r="AF99" s="182"/>
      <c r="AG99" s="187" t="e">
        <f t="shared" si="118"/>
        <v>#DIV/0!</v>
      </c>
      <c r="AH99" s="184" t="e">
        <f t="shared" si="128"/>
        <v>#DIV/0!</v>
      </c>
      <c r="AI99" s="537"/>
      <c r="AJ99" s="182"/>
      <c r="AK99" s="182"/>
      <c r="AL99" s="187" t="e">
        <f t="shared" si="119"/>
        <v>#DIV/0!</v>
      </c>
      <c r="AM99" s="184" t="e">
        <f t="shared" si="129"/>
        <v>#DIV/0!</v>
      </c>
      <c r="AN99" s="537"/>
      <c r="AO99" s="182"/>
      <c r="AP99" s="182"/>
      <c r="AQ99" s="187" t="e">
        <f t="shared" si="120"/>
        <v>#DIV/0!</v>
      </c>
      <c r="AR99" s="184" t="e">
        <f t="shared" si="130"/>
        <v>#DIV/0!</v>
      </c>
      <c r="AS99" s="537"/>
      <c r="AT99" s="182"/>
      <c r="AU99" s="182"/>
      <c r="AV99" s="187" t="e">
        <f t="shared" si="121"/>
        <v>#DIV/0!</v>
      </c>
      <c r="AW99" s="184" t="e">
        <f t="shared" si="131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4"/>
        <v>#DIV/0!</v>
      </c>
      <c r="H100" s="537"/>
      <c r="I100" s="188" t="e">
        <f t="shared" si="122"/>
        <v>#DIV/0!</v>
      </c>
      <c r="J100" s="188" t="e">
        <f t="shared" si="123"/>
        <v>#DIV/0!</v>
      </c>
      <c r="K100" s="189" t="e">
        <f t="shared" si="124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5"/>
        <v>#DIV/0!</v>
      </c>
      <c r="S100" s="184" t="e">
        <f t="shared" si="125"/>
        <v>#DIV/0!</v>
      </c>
      <c r="T100" s="537"/>
      <c r="U100" s="182"/>
      <c r="V100" s="182"/>
      <c r="W100" s="187" t="e">
        <f t="shared" si="116"/>
        <v>#DIV/0!</v>
      </c>
      <c r="X100" s="184" t="e">
        <f t="shared" si="126"/>
        <v>#DIV/0!</v>
      </c>
      <c r="Y100" s="537"/>
      <c r="Z100" s="182"/>
      <c r="AA100" s="182"/>
      <c r="AB100" s="187" t="e">
        <f t="shared" si="117"/>
        <v>#DIV/0!</v>
      </c>
      <c r="AC100" s="184" t="e">
        <f t="shared" si="127"/>
        <v>#DIV/0!</v>
      </c>
      <c r="AD100" s="537"/>
      <c r="AE100" s="182"/>
      <c r="AF100" s="182"/>
      <c r="AG100" s="187" t="e">
        <f t="shared" si="118"/>
        <v>#DIV/0!</v>
      </c>
      <c r="AH100" s="184" t="e">
        <f t="shared" si="128"/>
        <v>#DIV/0!</v>
      </c>
      <c r="AI100" s="537"/>
      <c r="AJ100" s="182"/>
      <c r="AK100" s="182"/>
      <c r="AL100" s="187" t="e">
        <f t="shared" si="119"/>
        <v>#DIV/0!</v>
      </c>
      <c r="AM100" s="184" t="e">
        <f t="shared" si="129"/>
        <v>#DIV/0!</v>
      </c>
      <c r="AN100" s="537"/>
      <c r="AO100" s="182"/>
      <c r="AP100" s="182"/>
      <c r="AQ100" s="187" t="e">
        <f t="shared" si="120"/>
        <v>#DIV/0!</v>
      </c>
      <c r="AR100" s="184" t="e">
        <f t="shared" si="130"/>
        <v>#DIV/0!</v>
      </c>
      <c r="AS100" s="537"/>
      <c r="AT100" s="182"/>
      <c r="AU100" s="182"/>
      <c r="AV100" s="187" t="e">
        <f t="shared" si="121"/>
        <v>#DIV/0!</v>
      </c>
      <c r="AW100" s="184" t="e">
        <f t="shared" si="131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4"/>
        <v>#DIV/0!</v>
      </c>
      <c r="H101" s="537"/>
      <c r="I101" s="188" t="e">
        <f t="shared" si="122"/>
        <v>#DIV/0!</v>
      </c>
      <c r="J101" s="188" t="e">
        <f t="shared" si="123"/>
        <v>#DIV/0!</v>
      </c>
      <c r="K101" s="189" t="e">
        <f t="shared" si="124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5"/>
        <v>#DIV/0!</v>
      </c>
      <c r="T101" s="537"/>
      <c r="U101" s="182"/>
      <c r="V101" s="186"/>
      <c r="W101" s="187" t="e">
        <f>V101/U101</f>
        <v>#DIV/0!</v>
      </c>
      <c r="X101" s="184" t="e">
        <f t="shared" si="126"/>
        <v>#DIV/0!</v>
      </c>
      <c r="Y101" s="537"/>
      <c r="Z101" s="182"/>
      <c r="AA101" s="186"/>
      <c r="AB101" s="187" t="e">
        <f>AA101/Z101</f>
        <v>#DIV/0!</v>
      </c>
      <c r="AC101" s="184" t="e">
        <f t="shared" si="127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28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29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30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31"/>
        <v>#DIV/0!</v>
      </c>
      <c r="AX101" s="537"/>
    </row>
  </sheetData>
  <mergeCells count="295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conditionalFormatting sqref="A4:A21">
    <cfRule type="expression" dxfId="18" priority="1">
      <formula>A4&lt;0</formula>
    </cfRule>
    <cfRule type="expression" dxfId="1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50" activePane="bottomRight" state="frozen"/>
      <selection activeCell="L95" sqref="L95"/>
      <selection pane="topRight" activeCell="L95" sqref="L95"/>
      <selection pane="bottomLeft" activeCell="L95" sqref="L95"/>
      <selection pane="bottomRight" activeCell="AM68" sqref="AM6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599</v>
      </c>
      <c r="C1" s="177">
        <f>AVERAGE(L7,L27,L47,L67,L87)</f>
        <v>484.08871486085974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390</v>
      </c>
      <c r="C7" s="182">
        <v>1</v>
      </c>
      <c r="D7" s="185"/>
      <c r="E7" s="182"/>
      <c r="F7" s="182"/>
      <c r="G7" s="187"/>
      <c r="H7" s="537"/>
      <c r="I7" s="188"/>
      <c r="J7" s="188"/>
      <c r="K7" s="189"/>
      <c r="L7" s="538"/>
      <c r="M7" s="188"/>
      <c r="N7" s="501"/>
      <c r="O7" s="501"/>
      <c r="P7" s="182"/>
      <c r="Q7" s="182"/>
      <c r="R7" s="187"/>
      <c r="S7" s="184"/>
      <c r="T7" s="537"/>
      <c r="U7" s="182"/>
      <c r="V7" s="182"/>
      <c r="W7" s="187"/>
      <c r="X7" s="184"/>
      <c r="Y7" s="537"/>
      <c r="Z7" s="182"/>
      <c r="AA7" s="182"/>
      <c r="AB7" s="187"/>
      <c r="AC7" s="184"/>
      <c r="AD7" s="537"/>
      <c r="AE7" s="182"/>
      <c r="AF7" s="182"/>
      <c r="AG7" s="187"/>
      <c r="AH7" s="184"/>
      <c r="AI7" s="537"/>
      <c r="AJ7" s="182"/>
      <c r="AK7" s="182"/>
      <c r="AL7" s="187"/>
      <c r="AM7" s="184"/>
      <c r="AN7" s="537"/>
      <c r="AO7" s="182"/>
      <c r="AP7" s="182"/>
      <c r="AQ7" s="187"/>
      <c r="AR7" s="184"/>
      <c r="AS7" s="537"/>
      <c r="AT7" s="182"/>
      <c r="AU7" s="182"/>
      <c r="AV7" s="187"/>
      <c r="AW7" s="184"/>
      <c r="AX7" s="537"/>
    </row>
    <row r="8" spans="1:50" ht="14.25" customHeight="1">
      <c r="B8" s="501"/>
      <c r="C8" s="182">
        <v>2</v>
      </c>
      <c r="D8" s="185"/>
      <c r="E8" s="182"/>
      <c r="F8" s="182"/>
      <c r="G8" s="187"/>
      <c r="H8" s="537"/>
      <c r="I8" s="188"/>
      <c r="J8" s="188"/>
      <c r="K8" s="189"/>
      <c r="L8" s="538"/>
      <c r="M8" s="188"/>
      <c r="N8" s="501"/>
      <c r="O8" s="501"/>
      <c r="P8" s="182"/>
      <c r="Q8" s="182"/>
      <c r="R8" s="187"/>
      <c r="S8" s="184"/>
      <c r="T8" s="537"/>
      <c r="U8" s="182"/>
      <c r="V8" s="182"/>
      <c r="W8" s="187"/>
      <c r="X8" s="184"/>
      <c r="Y8" s="537"/>
      <c r="Z8" s="182"/>
      <c r="AA8" s="182"/>
      <c r="AB8" s="187"/>
      <c r="AC8" s="184"/>
      <c r="AD8" s="537"/>
      <c r="AE8" s="182"/>
      <c r="AF8" s="182"/>
      <c r="AG8" s="187"/>
      <c r="AH8" s="184"/>
      <c r="AI8" s="537"/>
      <c r="AJ8" s="182"/>
      <c r="AK8" s="182"/>
      <c r="AL8" s="187"/>
      <c r="AM8" s="184"/>
      <c r="AN8" s="537"/>
      <c r="AO8" s="182"/>
      <c r="AP8" s="182"/>
      <c r="AQ8" s="187"/>
      <c r="AR8" s="184"/>
      <c r="AS8" s="537"/>
      <c r="AT8" s="182"/>
      <c r="AU8" s="182"/>
      <c r="AV8" s="187"/>
      <c r="AW8" s="184"/>
      <c r="AX8" s="537"/>
    </row>
    <row r="9" spans="1:50" ht="14.25" customHeight="1">
      <c r="B9" s="501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01"/>
      <c r="O9" s="501"/>
      <c r="P9" s="182"/>
      <c r="Q9" s="182"/>
      <c r="R9" s="187"/>
      <c r="S9" s="184"/>
      <c r="T9" s="537"/>
      <c r="U9" s="182"/>
      <c r="V9" s="182"/>
      <c r="W9" s="187"/>
      <c r="X9" s="184"/>
      <c r="Y9" s="537"/>
      <c r="Z9" s="182"/>
      <c r="AA9" s="182"/>
      <c r="AB9" s="187"/>
      <c r="AC9" s="184"/>
      <c r="AD9" s="537"/>
      <c r="AE9" s="182"/>
      <c r="AF9" s="182"/>
      <c r="AG9" s="187"/>
      <c r="AH9" s="184"/>
      <c r="AI9" s="537"/>
      <c r="AJ9" s="182"/>
      <c r="AK9" s="182"/>
      <c r="AL9" s="187"/>
      <c r="AM9" s="184"/>
      <c r="AN9" s="537"/>
      <c r="AO9" s="182"/>
      <c r="AP9" s="182"/>
      <c r="AQ9" s="187"/>
      <c r="AR9" s="184"/>
      <c r="AS9" s="537"/>
      <c r="AT9" s="182"/>
      <c r="AU9" s="182"/>
      <c r="AV9" s="187"/>
      <c r="AW9" s="184"/>
      <c r="AX9" s="537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01"/>
      <c r="O10" s="501"/>
      <c r="P10" s="182"/>
      <c r="Q10" s="182"/>
      <c r="R10" s="187"/>
      <c r="S10" s="184"/>
      <c r="T10" s="537"/>
      <c r="U10" s="182"/>
      <c r="V10" s="182"/>
      <c r="W10" s="187"/>
      <c r="X10" s="184"/>
      <c r="Y10" s="537"/>
      <c r="Z10" s="182"/>
      <c r="AA10" s="182"/>
      <c r="AB10" s="187"/>
      <c r="AC10" s="184"/>
      <c r="AD10" s="537"/>
      <c r="AE10" s="182"/>
      <c r="AF10" s="182"/>
      <c r="AG10" s="187"/>
      <c r="AH10" s="184"/>
      <c r="AI10" s="537"/>
      <c r="AJ10" s="182"/>
      <c r="AK10" s="182"/>
      <c r="AL10" s="187"/>
      <c r="AM10" s="184"/>
      <c r="AN10" s="537"/>
      <c r="AO10" s="182"/>
      <c r="AP10" s="182"/>
      <c r="AQ10" s="187"/>
      <c r="AR10" s="184"/>
      <c r="AS10" s="537"/>
      <c r="AT10" s="182"/>
      <c r="AU10" s="182"/>
      <c r="AV10" s="187"/>
      <c r="AW10" s="184"/>
      <c r="AX10" s="537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01"/>
      <c r="O11" s="501"/>
      <c r="P11" s="182"/>
      <c r="Q11" s="182"/>
      <c r="R11" s="187"/>
      <c r="S11" s="184"/>
      <c r="T11" s="537"/>
      <c r="U11" s="182"/>
      <c r="V11" s="182"/>
      <c r="W11" s="187"/>
      <c r="X11" s="184"/>
      <c r="Y11" s="537"/>
      <c r="Z11" s="182"/>
      <c r="AA11" s="182"/>
      <c r="AB11" s="187"/>
      <c r="AC11" s="184"/>
      <c r="AD11" s="537"/>
      <c r="AE11" s="182"/>
      <c r="AF11" s="182"/>
      <c r="AG11" s="187"/>
      <c r="AH11" s="184"/>
      <c r="AI11" s="537"/>
      <c r="AJ11" s="182"/>
      <c r="AK11" s="182"/>
      <c r="AL11" s="187"/>
      <c r="AM11" s="184"/>
      <c r="AN11" s="537"/>
      <c r="AO11" s="182"/>
      <c r="AP11" s="182"/>
      <c r="AQ11" s="187"/>
      <c r="AR11" s="184"/>
      <c r="AS11" s="537"/>
      <c r="AT11" s="182"/>
      <c r="AU11" s="182"/>
      <c r="AV11" s="187"/>
      <c r="AW11" s="184"/>
      <c r="AX11" s="537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01"/>
      <c r="O12" s="501"/>
      <c r="P12" s="182"/>
      <c r="Q12" s="182"/>
      <c r="R12" s="187"/>
      <c r="S12" s="184"/>
      <c r="T12" s="537"/>
      <c r="U12" s="182"/>
      <c r="V12" s="182"/>
      <c r="W12" s="187"/>
      <c r="X12" s="184"/>
      <c r="Y12" s="537"/>
      <c r="Z12" s="182"/>
      <c r="AA12" s="182"/>
      <c r="AB12" s="187"/>
      <c r="AC12" s="184"/>
      <c r="AD12" s="537"/>
      <c r="AE12" s="182"/>
      <c r="AF12" s="182"/>
      <c r="AG12" s="187"/>
      <c r="AH12" s="184"/>
      <c r="AI12" s="537"/>
      <c r="AJ12" s="182"/>
      <c r="AK12" s="182"/>
      <c r="AL12" s="187"/>
      <c r="AM12" s="184"/>
      <c r="AN12" s="537"/>
      <c r="AO12" s="182"/>
      <c r="AP12" s="182"/>
      <c r="AQ12" s="187"/>
      <c r="AR12" s="184"/>
      <c r="AS12" s="537"/>
      <c r="AT12" s="182"/>
      <c r="AU12" s="182"/>
      <c r="AV12" s="187"/>
      <c r="AW12" s="184"/>
      <c r="AX12" s="537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01"/>
      <c r="O13" s="501"/>
      <c r="P13" s="182"/>
      <c r="Q13" s="182"/>
      <c r="R13" s="187"/>
      <c r="S13" s="184"/>
      <c r="T13" s="537"/>
      <c r="U13" s="182"/>
      <c r="V13" s="182"/>
      <c r="W13" s="187"/>
      <c r="X13" s="184"/>
      <c r="Y13" s="537"/>
      <c r="Z13" s="182"/>
      <c r="AA13" s="182"/>
      <c r="AB13" s="187"/>
      <c r="AC13" s="184"/>
      <c r="AD13" s="537"/>
      <c r="AE13" s="182"/>
      <c r="AF13" s="182"/>
      <c r="AG13" s="187"/>
      <c r="AH13" s="184"/>
      <c r="AI13" s="537"/>
      <c r="AJ13" s="182"/>
      <c r="AK13" s="182"/>
      <c r="AL13" s="187"/>
      <c r="AM13" s="184"/>
      <c r="AN13" s="537"/>
      <c r="AO13" s="182"/>
      <c r="AP13" s="182"/>
      <c r="AQ13" s="187"/>
      <c r="AR13" s="184"/>
      <c r="AS13" s="537"/>
      <c r="AT13" s="182"/>
      <c r="AU13" s="182"/>
      <c r="AV13" s="187"/>
      <c r="AW13" s="184"/>
      <c r="AX13" s="537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01"/>
      <c r="O14" s="501"/>
      <c r="P14" s="182"/>
      <c r="Q14" s="182"/>
      <c r="R14" s="187"/>
      <c r="S14" s="184"/>
      <c r="T14" s="537"/>
      <c r="U14" s="182"/>
      <c r="V14" s="182"/>
      <c r="W14" s="187"/>
      <c r="X14" s="184"/>
      <c r="Y14" s="537"/>
      <c r="Z14" s="182"/>
      <c r="AA14" s="182"/>
      <c r="AB14" s="187"/>
      <c r="AC14" s="184"/>
      <c r="AD14" s="537"/>
      <c r="AE14" s="182"/>
      <c r="AF14" s="182"/>
      <c r="AG14" s="187"/>
      <c r="AH14" s="184"/>
      <c r="AI14" s="537"/>
      <c r="AJ14" s="182"/>
      <c r="AK14" s="182"/>
      <c r="AL14" s="187"/>
      <c r="AM14" s="184"/>
      <c r="AN14" s="537"/>
      <c r="AO14" s="182"/>
      <c r="AP14" s="182"/>
      <c r="AQ14" s="187"/>
      <c r="AR14" s="184"/>
      <c r="AS14" s="537"/>
      <c r="AT14" s="182"/>
      <c r="AU14" s="182"/>
      <c r="AV14" s="187"/>
      <c r="AW14" s="184"/>
      <c r="AX14" s="537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01"/>
      <c r="O15" s="501"/>
      <c r="P15" s="182"/>
      <c r="Q15" s="182"/>
      <c r="R15" s="187"/>
      <c r="S15" s="184"/>
      <c r="T15" s="537"/>
      <c r="U15" s="182"/>
      <c r="V15" s="182"/>
      <c r="W15" s="187"/>
      <c r="X15" s="184"/>
      <c r="Y15" s="537"/>
      <c r="Z15" s="182"/>
      <c r="AA15" s="182"/>
      <c r="AB15" s="187"/>
      <c r="AC15" s="184"/>
      <c r="AD15" s="537"/>
      <c r="AE15" s="182"/>
      <c r="AF15" s="182"/>
      <c r="AG15" s="187"/>
      <c r="AH15" s="184"/>
      <c r="AI15" s="537"/>
      <c r="AJ15" s="182"/>
      <c r="AK15" s="182"/>
      <c r="AL15" s="187"/>
      <c r="AM15" s="184"/>
      <c r="AN15" s="537"/>
      <c r="AO15" s="182"/>
      <c r="AP15" s="182"/>
      <c r="AQ15" s="187"/>
      <c r="AR15" s="184"/>
      <c r="AS15" s="537"/>
      <c r="AT15" s="182"/>
      <c r="AU15" s="182"/>
      <c r="AV15" s="187"/>
      <c r="AW15" s="184"/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2"/>
      <c r="Q16" s="182"/>
      <c r="R16" s="187"/>
      <c r="S16" s="184"/>
      <c r="T16" s="537"/>
      <c r="U16" s="182"/>
      <c r="V16" s="182"/>
      <c r="W16" s="187"/>
      <c r="X16" s="184"/>
      <c r="Y16" s="537"/>
      <c r="Z16" s="182"/>
      <c r="AA16" s="182"/>
      <c r="AB16" s="187"/>
      <c r="AC16" s="184"/>
      <c r="AD16" s="537"/>
      <c r="AE16" s="182"/>
      <c r="AF16" s="182"/>
      <c r="AG16" s="187"/>
      <c r="AH16" s="184"/>
      <c r="AI16" s="537"/>
      <c r="AJ16" s="182"/>
      <c r="AK16" s="182"/>
      <c r="AL16" s="187"/>
      <c r="AM16" s="184"/>
      <c r="AN16" s="537"/>
      <c r="AO16" s="182"/>
      <c r="AP16" s="182"/>
      <c r="AQ16" s="187"/>
      <c r="AR16" s="184"/>
      <c r="AS16" s="537"/>
      <c r="AT16" s="182"/>
      <c r="AU16" s="182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2"/>
      <c r="Q17" s="182"/>
      <c r="R17" s="187"/>
      <c r="S17" s="184"/>
      <c r="T17" s="537"/>
      <c r="U17" s="182"/>
      <c r="V17" s="182"/>
      <c r="W17" s="187"/>
      <c r="X17" s="184"/>
      <c r="Y17" s="537"/>
      <c r="Z17" s="182"/>
      <c r="AA17" s="182"/>
      <c r="AB17" s="187"/>
      <c r="AC17" s="184"/>
      <c r="AD17" s="537"/>
      <c r="AE17" s="182"/>
      <c r="AF17" s="182"/>
      <c r="AG17" s="187"/>
      <c r="AH17" s="184"/>
      <c r="AI17" s="537"/>
      <c r="AJ17" s="182"/>
      <c r="AK17" s="182"/>
      <c r="AL17" s="187"/>
      <c r="AM17" s="184"/>
      <c r="AN17" s="537"/>
      <c r="AO17" s="182"/>
      <c r="AP17" s="182"/>
      <c r="AQ17" s="187"/>
      <c r="AR17" s="184"/>
      <c r="AS17" s="537"/>
      <c r="AT17" s="182"/>
      <c r="AU17" s="182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10">U22+1</f>
        <v>46030</v>
      </c>
      <c r="AA22" s="599"/>
      <c r="AB22" s="599"/>
      <c r="AC22" s="599"/>
      <c r="AD22" s="599"/>
      <c r="AE22" s="600">
        <f t="shared" ref="AE22" si="11">Z22+1</f>
        <v>46031</v>
      </c>
      <c r="AF22" s="601"/>
      <c r="AG22" s="601"/>
      <c r="AH22" s="601"/>
      <c r="AI22" s="601"/>
      <c r="AJ22" s="590">
        <f t="shared" ref="AJ22" si="12">AE22+1</f>
        <v>46032</v>
      </c>
      <c r="AK22" s="591"/>
      <c r="AL22" s="591"/>
      <c r="AM22" s="591"/>
      <c r="AN22" s="592"/>
      <c r="AO22" s="600">
        <f t="shared" ref="AO22" si="13">AJ22+1</f>
        <v>46033</v>
      </c>
      <c r="AP22" s="601"/>
      <c r="AQ22" s="601"/>
      <c r="AR22" s="601"/>
      <c r="AS22" s="601"/>
      <c r="AT22" s="590">
        <f t="shared" ref="AT22" si="14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15">Z22</f>
        <v>46030</v>
      </c>
      <c r="AA23" s="593"/>
      <c r="AB23" s="593"/>
      <c r="AC23" s="593"/>
      <c r="AD23" s="593"/>
      <c r="AE23" s="594">
        <f t="shared" ref="AE23" si="16">AE22</f>
        <v>46031</v>
      </c>
      <c r="AF23" s="594"/>
      <c r="AG23" s="594"/>
      <c r="AH23" s="594"/>
      <c r="AI23" s="594"/>
      <c r="AJ23" s="595">
        <f t="shared" ref="AJ23" si="17">AJ22</f>
        <v>46032</v>
      </c>
      <c r="AK23" s="596"/>
      <c r="AL23" s="596"/>
      <c r="AM23" s="596"/>
      <c r="AN23" s="597"/>
      <c r="AO23" s="594">
        <f t="shared" ref="AO23" si="18">AO22</f>
        <v>46033</v>
      </c>
      <c r="AP23" s="594"/>
      <c r="AQ23" s="594"/>
      <c r="AR23" s="594"/>
      <c r="AS23" s="594"/>
      <c r="AT23" s="595">
        <f t="shared" ref="AT23" si="19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390</v>
      </c>
      <c r="C27" s="182">
        <v>1</v>
      </c>
      <c r="D27" s="185" t="s">
        <v>662</v>
      </c>
      <c r="E27" s="182">
        <v>6</v>
      </c>
      <c r="F27" s="182">
        <v>3273</v>
      </c>
      <c r="G27" s="187">
        <f t="shared" ref="G27" si="20">F27/E27</f>
        <v>545.5</v>
      </c>
      <c r="H27" s="537">
        <f>AVERAGE(G27:G41)</f>
        <v>545.5</v>
      </c>
      <c r="I27" s="188">
        <f>AVERAGE(P27,U27,Z27,AE27,AJ27,AO27,AT27)</f>
        <v>6</v>
      </c>
      <c r="J27" s="188">
        <f>AVERAGE(Q27,V27,AA27,AF27,AK27,AP27,AU27)</f>
        <v>2820.6744508653906</v>
      </c>
      <c r="K27" s="189">
        <f>AVERAGE(R27,W27,AB27,AG27,AL27,AQ27,AV27)</f>
        <v>470.11240847756511</v>
      </c>
      <c r="L27" s="538">
        <f>IFERROR(AVERAGE(K27:K41),"-")</f>
        <v>470.11240847756511</v>
      </c>
      <c r="M27" s="188">
        <f>RANK(K27, K$27:$K$41)</f>
        <v>1</v>
      </c>
      <c r="N27" s="501"/>
      <c r="O27" s="501"/>
      <c r="P27" s="190">
        <v>6</v>
      </c>
      <c r="Q27" s="190">
        <v>2676.9230769230735</v>
      </c>
      <c r="R27" s="187">
        <f>IFERROR(Q27/P27,"")</f>
        <v>446.15384615384556</v>
      </c>
      <c r="S27" s="184">
        <f>RANK(R27, R$27:R$41)</f>
        <v>1</v>
      </c>
      <c r="T27" s="537">
        <f>AVERAGE(R27:R41)</f>
        <v>446.15384615384556</v>
      </c>
      <c r="U27" s="190">
        <v>6</v>
      </c>
      <c r="V27" s="190">
        <v>2718.1041609258718</v>
      </c>
      <c r="W27" s="187">
        <f t="shared" ref="W27" si="21">IFERROR(V27/U27,"")</f>
        <v>453.01736015431197</v>
      </c>
      <c r="X27" s="184">
        <f>RANK(W27, W$27:W$41)</f>
        <v>1</v>
      </c>
      <c r="Y27" s="537">
        <f>AVERAGE(W27:W41)</f>
        <v>453.01736015431197</v>
      </c>
      <c r="Z27" s="190">
        <v>6</v>
      </c>
      <c r="AA27" s="190">
        <v>2782.4427480916097</v>
      </c>
      <c r="AB27" s="187">
        <f t="shared" ref="AB27" si="22">IFERROR(AA27/Z27,"")</f>
        <v>463.7404580152683</v>
      </c>
      <c r="AC27" s="184" t="e">
        <f>RANK(AB27, AB$7:AB$21)</f>
        <v>#N/A</v>
      </c>
      <c r="AD27" s="537">
        <f>AVERAGE(AB27:AB41)</f>
        <v>463.7404580152683</v>
      </c>
      <c r="AE27" s="190">
        <v>6</v>
      </c>
      <c r="AF27" s="190">
        <v>2832.7868852458992</v>
      </c>
      <c r="AG27" s="187">
        <f>IFERROR(AF27/AE27,"")</f>
        <v>472.13114754098319</v>
      </c>
      <c r="AH27" s="184">
        <f>RANK(AG27, AG$27:AG$41)</f>
        <v>1</v>
      </c>
      <c r="AI27" s="537">
        <f>AVERAGE(AG27:AG41)</f>
        <v>472.13114754098319</v>
      </c>
      <c r="AJ27" s="190">
        <v>6</v>
      </c>
      <c r="AK27" s="190">
        <v>2874.3726861373889</v>
      </c>
      <c r="AL27" s="187">
        <f t="shared" ref="AL27" si="23">IFERROR(AK27/AJ27,"")</f>
        <v>479.06211435623146</v>
      </c>
      <c r="AM27" s="184">
        <f>RANK(AL27, AL$27:AL$41)</f>
        <v>1</v>
      </c>
      <c r="AN27" s="537">
        <f>AVERAGE(AL27:AL41)</f>
        <v>479.06211435623146</v>
      </c>
      <c r="AO27" s="190">
        <v>6</v>
      </c>
      <c r="AP27" s="190">
        <v>2913.4020618556742</v>
      </c>
      <c r="AQ27" s="187">
        <f t="shared" ref="AQ27" si="24">IFERROR(AP27/AO27,"")</f>
        <v>485.56701030927906</v>
      </c>
      <c r="AR27" s="184">
        <f>RANK(AQ27, AQ$27:AQ$41)</f>
        <v>1</v>
      </c>
      <c r="AS27" s="537">
        <f>AVERAGE(AQ27:AQ41)</f>
        <v>485.56701030927906</v>
      </c>
      <c r="AT27" s="190">
        <v>6</v>
      </c>
      <c r="AU27" s="190">
        <v>2946.6895368782175</v>
      </c>
      <c r="AV27" s="187">
        <f t="shared" ref="AV27" si="25">IFERROR(AU27/AT27,"")</f>
        <v>491.11492281303623</v>
      </c>
      <c r="AW27" s="184">
        <f>RANK(AV27, AV$27:AV$41)</f>
        <v>1</v>
      </c>
      <c r="AX27" s="537">
        <f>AVERAGE(AV27:AV41)</f>
        <v>491.11492281303623</v>
      </c>
    </row>
    <row r="28" spans="2:50" ht="14.25" customHeight="1">
      <c r="B28" s="501"/>
      <c r="C28" s="182">
        <v>2</v>
      </c>
      <c r="D28" s="185"/>
      <c r="E28" s="182"/>
      <c r="F28" s="182"/>
      <c r="G28" s="187"/>
      <c r="H28" s="537"/>
      <c r="I28" s="188"/>
      <c r="J28" s="188"/>
      <c r="K28" s="189"/>
      <c r="L28" s="538"/>
      <c r="M28" s="188"/>
      <c r="N28" s="501"/>
      <c r="O28" s="501"/>
      <c r="P28" s="190"/>
      <c r="Q28" s="190"/>
      <c r="R28" s="187"/>
      <c r="S28" s="184"/>
      <c r="T28" s="537"/>
      <c r="U28" s="190"/>
      <c r="V28" s="190"/>
      <c r="W28" s="187"/>
      <c r="X28" s="184"/>
      <c r="Y28" s="537"/>
      <c r="Z28" s="190"/>
      <c r="AA28" s="190"/>
      <c r="AB28" s="187"/>
      <c r="AC28" s="184"/>
      <c r="AD28" s="537"/>
      <c r="AE28" s="190"/>
      <c r="AF28" s="190"/>
      <c r="AG28" s="187"/>
      <c r="AH28" s="184"/>
      <c r="AI28" s="537"/>
      <c r="AJ28" s="190"/>
      <c r="AK28" s="190"/>
      <c r="AL28" s="187"/>
      <c r="AM28" s="184"/>
      <c r="AN28" s="537"/>
      <c r="AO28" s="190"/>
      <c r="AP28" s="190"/>
      <c r="AQ28" s="187"/>
      <c r="AR28" s="184"/>
      <c r="AS28" s="537"/>
      <c r="AT28" s="190"/>
      <c r="AU28" s="190"/>
      <c r="AV28" s="187"/>
      <c r="AW28" s="184"/>
      <c r="AX28" s="537"/>
    </row>
    <row r="29" spans="2:50" ht="14.25" customHeight="1">
      <c r="B29" s="501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01"/>
      <c r="O29" s="501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/>
      <c r="AF29" s="190"/>
      <c r="AG29" s="187"/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01"/>
      <c r="O30" s="501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01"/>
      <c r="O31" s="501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01"/>
      <c r="O32" s="501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01"/>
      <c r="O33" s="501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01"/>
      <c r="O34" s="501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01"/>
      <c r="O35" s="501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57"/>
      <c r="N42" s="563" t="s">
        <v>383</v>
      </c>
      <c r="O42" s="563" t="s">
        <v>105</v>
      </c>
      <c r="P42" s="590">
        <f>AT22+1</f>
        <v>46035</v>
      </c>
      <c r="Q42" s="591"/>
      <c r="R42" s="591"/>
      <c r="S42" s="591"/>
      <c r="T42" s="592"/>
      <c r="U42" s="602">
        <f>P42+1</f>
        <v>46036</v>
      </c>
      <c r="V42" s="603"/>
      <c r="W42" s="603"/>
      <c r="X42" s="603"/>
      <c r="Y42" s="604"/>
      <c r="Z42" s="590">
        <f t="shared" ref="Z42" si="26">U42+1</f>
        <v>46037</v>
      </c>
      <c r="AA42" s="591"/>
      <c r="AB42" s="591"/>
      <c r="AC42" s="591"/>
      <c r="AD42" s="592"/>
      <c r="AE42" s="602">
        <f t="shared" ref="AE42" si="27">Z42+1</f>
        <v>46038</v>
      </c>
      <c r="AF42" s="603"/>
      <c r="AG42" s="603"/>
      <c r="AH42" s="603"/>
      <c r="AI42" s="604"/>
      <c r="AJ42" s="590">
        <f t="shared" ref="AJ42" si="28">AE42+1</f>
        <v>46039</v>
      </c>
      <c r="AK42" s="591"/>
      <c r="AL42" s="591"/>
      <c r="AM42" s="591"/>
      <c r="AN42" s="592"/>
      <c r="AO42" s="602">
        <f t="shared" ref="AO42" si="29">AJ42+1</f>
        <v>46040</v>
      </c>
      <c r="AP42" s="603"/>
      <c r="AQ42" s="603"/>
      <c r="AR42" s="603"/>
      <c r="AS42" s="604"/>
      <c r="AT42" s="590">
        <f t="shared" ref="AT42" si="30">AO42+1</f>
        <v>46041</v>
      </c>
      <c r="AU42" s="591"/>
      <c r="AV42" s="591"/>
      <c r="AW42" s="591"/>
      <c r="AX42" s="592"/>
    </row>
    <row r="43" spans="2:50" ht="14.25" customHeight="1"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9"/>
      <c r="N43" s="565"/>
      <c r="O43" s="565"/>
      <c r="P43" s="595">
        <f>P42</f>
        <v>46035</v>
      </c>
      <c r="Q43" s="596"/>
      <c r="R43" s="596"/>
      <c r="S43" s="596"/>
      <c r="T43" s="597"/>
      <c r="U43" s="605">
        <f>U42</f>
        <v>46036</v>
      </c>
      <c r="V43" s="606"/>
      <c r="W43" s="606"/>
      <c r="X43" s="606"/>
      <c r="Y43" s="607"/>
      <c r="Z43" s="595">
        <f t="shared" ref="Z43" si="31">Z42</f>
        <v>46037</v>
      </c>
      <c r="AA43" s="596"/>
      <c r="AB43" s="596"/>
      <c r="AC43" s="596"/>
      <c r="AD43" s="597"/>
      <c r="AE43" s="605">
        <f t="shared" ref="AE43" si="32">AE42</f>
        <v>46038</v>
      </c>
      <c r="AF43" s="606"/>
      <c r="AG43" s="606"/>
      <c r="AH43" s="606"/>
      <c r="AI43" s="607"/>
      <c r="AJ43" s="595">
        <f t="shared" ref="AJ43" si="33">AJ42</f>
        <v>46039</v>
      </c>
      <c r="AK43" s="596"/>
      <c r="AL43" s="596"/>
      <c r="AM43" s="596"/>
      <c r="AN43" s="597"/>
      <c r="AO43" s="605">
        <f t="shared" ref="AO43" si="34">AO42</f>
        <v>46040</v>
      </c>
      <c r="AP43" s="606"/>
      <c r="AQ43" s="606"/>
      <c r="AR43" s="606"/>
      <c r="AS43" s="607"/>
      <c r="AT43" s="595">
        <f t="shared" ref="AT43" si="35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390</v>
      </c>
      <c r="C47" s="182">
        <v>1</v>
      </c>
      <c r="D47" s="185" t="s">
        <v>662</v>
      </c>
      <c r="E47" s="182">
        <v>6</v>
      </c>
      <c r="F47" s="182">
        <v>3273</v>
      </c>
      <c r="G47" s="187">
        <f t="shared" ref="G47" si="36">F47/E47</f>
        <v>545.5</v>
      </c>
      <c r="H47" s="537">
        <f>AVERAGE(G47:G61)</f>
        <v>545.5</v>
      </c>
      <c r="I47" s="188">
        <f>AVERAGE(P47,U47,Z47,AE47,AJ47,AO47,AT47)</f>
        <v>6</v>
      </c>
      <c r="J47" s="188">
        <f>AVERAGE(Q47,V47,AA47,AF47,AK47,AP47,AU47)</f>
        <v>2946.4445075409926</v>
      </c>
      <c r="K47" s="189">
        <f>AVERAGE(R47,W47,AB47,AG47,AL47,AQ47,AV47)</f>
        <v>491.07408459016546</v>
      </c>
      <c r="L47" s="538">
        <f>IFERROR(AVERAGE(K47:K61),"-")</f>
        <v>491.07408459016546</v>
      </c>
      <c r="M47" s="188">
        <f>RANK(K47, K$47:$K$61)</f>
        <v>1</v>
      </c>
      <c r="N47" s="501"/>
      <c r="O47" s="501"/>
      <c r="P47" s="190">
        <v>6</v>
      </c>
      <c r="Q47" s="190">
        <v>2946.1706783369727</v>
      </c>
      <c r="R47" s="187">
        <f>IFERROR(Q47/P47,"")</f>
        <v>491.02844638949546</v>
      </c>
      <c r="S47" s="184">
        <f>RANK(R47, R$47:R$61)</f>
        <v>1</v>
      </c>
      <c r="T47" s="537">
        <f>AVERAGE(R47:R61)</f>
        <v>491.02844638949546</v>
      </c>
      <c r="U47" s="190">
        <v>6</v>
      </c>
      <c r="V47" s="190">
        <v>2946.5988556897591</v>
      </c>
      <c r="W47" s="187">
        <f t="shared" ref="W47" si="37">IFERROR(V47/U47,"")</f>
        <v>491.09980928162651</v>
      </c>
      <c r="X47" s="184">
        <f>RANK(W47, W$47:W$61)</f>
        <v>1</v>
      </c>
      <c r="Y47" s="537">
        <f>AVERAGE(W47:W61)</f>
        <v>491.09980928162651</v>
      </c>
      <c r="Z47" s="190">
        <v>6</v>
      </c>
      <c r="AA47" s="190">
        <v>2946.0611677479169</v>
      </c>
      <c r="AB47" s="187">
        <f t="shared" ref="AB47" si="38">IFERROR(AA47/Z47,"")</f>
        <v>491.0101946246528</v>
      </c>
      <c r="AC47" s="184">
        <f>RANK(AB47, AB$47:AB$61)</f>
        <v>1</v>
      </c>
      <c r="AD47" s="537">
        <f>AVERAGE(AB47:AB61)</f>
        <v>491.0101946246528</v>
      </c>
      <c r="AE47" s="190">
        <v>6</v>
      </c>
      <c r="AF47" s="190">
        <v>2946.6135458167355</v>
      </c>
      <c r="AG47" s="187">
        <f>IFERROR(AF47/AE47,"")</f>
        <v>491.1022576361226</v>
      </c>
      <c r="AH47" s="184">
        <f>RANK(AG47, AG$47:AG$61)</f>
        <v>1</v>
      </c>
      <c r="AI47" s="537">
        <f>AVERAGE(AG47:AG61)</f>
        <v>491.1022576361226</v>
      </c>
      <c r="AJ47" s="190">
        <v>6</v>
      </c>
      <c r="AK47" s="190">
        <v>2946.1621621621703</v>
      </c>
      <c r="AL47" s="187">
        <f t="shared" ref="AL47" si="39">IFERROR(AK47/AJ47,"")</f>
        <v>491.0270270270284</v>
      </c>
      <c r="AM47" s="184">
        <f>RANK(AL47, AL$47:AL$61)</f>
        <v>1</v>
      </c>
      <c r="AN47" s="537">
        <f>AVERAGE(AL47:AL61)</f>
        <v>491.0270270270284</v>
      </c>
      <c r="AO47" s="190">
        <v>6</v>
      </c>
      <c r="AP47" s="190">
        <v>2946.8626747938247</v>
      </c>
      <c r="AQ47" s="187">
        <f t="shared" ref="AQ47" si="40">IFERROR(AP47/AO47,"")</f>
        <v>491.14377913230413</v>
      </c>
      <c r="AR47" s="184">
        <f>RANK(AQ47, AQ$47:AQ$61)</f>
        <v>1</v>
      </c>
      <c r="AS47" s="537">
        <f>AVERAGE(AQ47:AQ61)</f>
        <v>491.14377913230413</v>
      </c>
      <c r="AT47" s="190">
        <v>6</v>
      </c>
      <c r="AU47" s="190">
        <v>2946.6424682395686</v>
      </c>
      <c r="AV47" s="187">
        <f t="shared" ref="AV47" si="41">IFERROR(AU47/AT47,"")</f>
        <v>491.10707803992813</v>
      </c>
      <c r="AW47" s="184">
        <f>RANK(AV47, AV$47:AV$61)</f>
        <v>1</v>
      </c>
      <c r="AX47" s="537">
        <f>AVERAGE(AV47:AV61)</f>
        <v>491.10707803992813</v>
      </c>
    </row>
    <row r="48" spans="2:50" ht="14.25" customHeight="1">
      <c r="B48" s="501"/>
      <c r="C48" s="182">
        <v>2</v>
      </c>
      <c r="D48" s="185"/>
      <c r="E48" s="182"/>
      <c r="F48" s="182"/>
      <c r="G48" s="187"/>
      <c r="H48" s="537"/>
      <c r="I48" s="188"/>
      <c r="J48" s="188"/>
      <c r="K48" s="189"/>
      <c r="L48" s="538"/>
      <c r="M48" s="188"/>
      <c r="N48" s="501"/>
      <c r="O48" s="501"/>
      <c r="P48" s="190"/>
      <c r="Q48" s="190"/>
      <c r="R48" s="187"/>
      <c r="S48" s="184"/>
      <c r="T48" s="537"/>
      <c r="U48" s="190"/>
      <c r="V48" s="190"/>
      <c r="W48" s="187"/>
      <c r="X48" s="184"/>
      <c r="Y48" s="537"/>
      <c r="Z48" s="190"/>
      <c r="AA48" s="190"/>
      <c r="AB48" s="187"/>
      <c r="AC48" s="184"/>
      <c r="AD48" s="537"/>
      <c r="AE48" s="190"/>
      <c r="AF48" s="190"/>
      <c r="AG48" s="187"/>
      <c r="AH48" s="184"/>
      <c r="AI48" s="537"/>
      <c r="AJ48" s="190"/>
      <c r="AK48" s="190"/>
      <c r="AL48" s="187"/>
      <c r="AM48" s="184"/>
      <c r="AN48" s="537"/>
      <c r="AO48" s="190"/>
      <c r="AP48" s="190"/>
      <c r="AQ48" s="187"/>
      <c r="AR48" s="184"/>
      <c r="AS48" s="537"/>
      <c r="AT48" s="190"/>
      <c r="AU48" s="190"/>
      <c r="AV48" s="187"/>
      <c r="AW48" s="184"/>
      <c r="AX48" s="537"/>
    </row>
    <row r="49" spans="2:50" ht="14.25" customHeight="1">
      <c r="B49" s="501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01"/>
      <c r="O49" s="501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01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01"/>
      <c r="O50" s="501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01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01"/>
      <c r="O51" s="501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01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01"/>
      <c r="O52" s="501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01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01"/>
      <c r="O53" s="501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01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01"/>
      <c r="O54" s="501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6"/>
      <c r="D62" s="546"/>
      <c r="E62" s="546"/>
      <c r="F62" s="546"/>
      <c r="G62" s="546"/>
      <c r="H62" s="546"/>
      <c r="I62" s="546"/>
      <c r="J62" s="546"/>
      <c r="K62" s="546"/>
      <c r="L62" s="546"/>
      <c r="M62" s="547"/>
      <c r="N62" s="563" t="s">
        <v>383</v>
      </c>
      <c r="O62" s="563" t="s">
        <v>105</v>
      </c>
      <c r="P62" s="598">
        <f>AT42+1</f>
        <v>46042</v>
      </c>
      <c r="Q62" s="599"/>
      <c r="R62" s="599"/>
      <c r="S62" s="599"/>
      <c r="T62" s="599"/>
      <c r="U62" s="600">
        <f>P62+1</f>
        <v>46043</v>
      </c>
      <c r="V62" s="601"/>
      <c r="W62" s="601"/>
      <c r="X62" s="601"/>
      <c r="Y62" s="601"/>
      <c r="Z62" s="598">
        <f t="shared" ref="Z62" si="42">U62+1</f>
        <v>46044</v>
      </c>
      <c r="AA62" s="599"/>
      <c r="AB62" s="599"/>
      <c r="AC62" s="599"/>
      <c r="AD62" s="599"/>
      <c r="AE62" s="600">
        <f t="shared" ref="AE62" si="43">Z62+1</f>
        <v>46045</v>
      </c>
      <c r="AF62" s="601"/>
      <c r="AG62" s="601"/>
      <c r="AH62" s="601"/>
      <c r="AI62" s="601"/>
      <c r="AJ62" s="590">
        <f t="shared" ref="AJ62" si="44">AE62+1</f>
        <v>46046</v>
      </c>
      <c r="AK62" s="591"/>
      <c r="AL62" s="591"/>
      <c r="AM62" s="591"/>
      <c r="AN62" s="592"/>
      <c r="AO62" s="600">
        <f t="shared" ref="AO62" si="45">AJ62+1</f>
        <v>46047</v>
      </c>
      <c r="AP62" s="601"/>
      <c r="AQ62" s="601"/>
      <c r="AR62" s="601"/>
      <c r="AS62" s="601"/>
      <c r="AT62" s="590">
        <f t="shared" ref="AT62" si="46">AO62+1</f>
        <v>46048</v>
      </c>
      <c r="AU62" s="591"/>
      <c r="AV62" s="591"/>
      <c r="AW62" s="591"/>
      <c r="AX62" s="592"/>
    </row>
    <row r="63" spans="2:50" ht="14.25" customHeight="1"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9"/>
      <c r="N63" s="565"/>
      <c r="O63" s="565"/>
      <c r="P63" s="593">
        <f>P62</f>
        <v>46042</v>
      </c>
      <c r="Q63" s="593"/>
      <c r="R63" s="593"/>
      <c r="S63" s="593"/>
      <c r="T63" s="593"/>
      <c r="U63" s="594">
        <f>U62</f>
        <v>46043</v>
      </c>
      <c r="V63" s="594"/>
      <c r="W63" s="594"/>
      <c r="X63" s="594"/>
      <c r="Y63" s="594"/>
      <c r="Z63" s="593">
        <f t="shared" ref="Z63" si="47">Z62</f>
        <v>46044</v>
      </c>
      <c r="AA63" s="593"/>
      <c r="AB63" s="593"/>
      <c r="AC63" s="593"/>
      <c r="AD63" s="593"/>
      <c r="AE63" s="594">
        <f t="shared" ref="AE63" si="48">AE62</f>
        <v>46045</v>
      </c>
      <c r="AF63" s="594"/>
      <c r="AG63" s="594"/>
      <c r="AH63" s="594"/>
      <c r="AI63" s="594"/>
      <c r="AJ63" s="595">
        <f t="shared" ref="AJ63" si="49">AJ62</f>
        <v>46046</v>
      </c>
      <c r="AK63" s="596"/>
      <c r="AL63" s="596"/>
      <c r="AM63" s="596"/>
      <c r="AN63" s="597"/>
      <c r="AO63" s="594">
        <f t="shared" ref="AO63" si="50">AO62</f>
        <v>46047</v>
      </c>
      <c r="AP63" s="594"/>
      <c r="AQ63" s="594"/>
      <c r="AR63" s="594"/>
      <c r="AS63" s="594"/>
      <c r="AT63" s="595">
        <f t="shared" ref="AT63" si="51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390</v>
      </c>
      <c r="C67" s="182">
        <v>1</v>
      </c>
      <c r="D67" s="185" t="s">
        <v>662</v>
      </c>
      <c r="E67" s="182">
        <v>6</v>
      </c>
      <c r="F67" s="182">
        <v>3273</v>
      </c>
      <c r="G67" s="187">
        <f t="shared" ref="G67" si="52">F67/E67</f>
        <v>545.5</v>
      </c>
      <c r="H67" s="537">
        <f>AVERAGE(G67:G81)</f>
        <v>545.5</v>
      </c>
      <c r="I67" s="188">
        <f>AVERAGE(P67,U67,Z67,AE67,AJ67,AO67,AT67)</f>
        <v>6</v>
      </c>
      <c r="J67" s="188">
        <f>AVERAGE(Q67,V67,AA67,AF67,AK67,AP67,AU67)</f>
        <v>2946.477909089092</v>
      </c>
      <c r="K67" s="189">
        <f>AVERAGE(R67,W67,AB67,AG67,AL67,AQ67,AV67)</f>
        <v>491.07965151484871</v>
      </c>
      <c r="L67" s="538">
        <f>IFERROR(AVERAGE(K67:K81),"-")</f>
        <v>491.07965151484871</v>
      </c>
      <c r="M67" s="188">
        <f>RANK(K67, K$67:$K$81)</f>
        <v>1</v>
      </c>
      <c r="N67" s="501"/>
      <c r="O67" s="501"/>
      <c r="P67" s="190">
        <v>6</v>
      </c>
      <c r="Q67" s="190">
        <v>2946.575342465761</v>
      </c>
      <c r="R67" s="187">
        <f>IFERROR(Q67/P67,"")</f>
        <v>491.09589041096018</v>
      </c>
      <c r="S67" s="184">
        <f>RANK(R67, R$67:R$81)</f>
        <v>1</v>
      </c>
      <c r="T67" s="537">
        <f>AVERAGE(R67:R81)</f>
        <v>491.09589041096018</v>
      </c>
      <c r="U67" s="190">
        <v>6</v>
      </c>
      <c r="V67" s="190">
        <v>2946.7379679144415</v>
      </c>
      <c r="W67" s="187">
        <f t="shared" ref="W67" si="53">IFERROR(V67/U67,"")</f>
        <v>491.12299465240693</v>
      </c>
      <c r="X67" s="184">
        <f>RANK(W67, W$67:W$81)</f>
        <v>1</v>
      </c>
      <c r="Y67" s="537">
        <f>AVERAGE(W67:W81)</f>
        <v>491.12299465240693</v>
      </c>
      <c r="Z67" s="190">
        <v>6</v>
      </c>
      <c r="AA67" s="190">
        <v>2946.7965146078868</v>
      </c>
      <c r="AB67" s="187">
        <f t="shared" ref="AB67" si="54">IFERROR(AA67/Z67,"")</f>
        <v>491.13275243464778</v>
      </c>
      <c r="AC67" s="184">
        <f>RANK(AB67, AB$67:AB$81)</f>
        <v>1</v>
      </c>
      <c r="AD67" s="537">
        <f>AVERAGE(AB67:AB81)</f>
        <v>491.13275243464778</v>
      </c>
      <c r="AE67" s="190">
        <v>6</v>
      </c>
      <c r="AF67" s="190">
        <v>2946.77419354839</v>
      </c>
      <c r="AG67" s="187">
        <f>IFERROR(AF67/AE67,"")</f>
        <v>491.12903225806502</v>
      </c>
      <c r="AH67" s="184">
        <f>RANK(AG67, AG$67:AG$81)</f>
        <v>1</v>
      </c>
      <c r="AI67" s="537">
        <f>AVERAGE(AG67:AG81)</f>
        <v>491.12903225806502</v>
      </c>
      <c r="AJ67" s="190">
        <v>6</v>
      </c>
      <c r="AK67" s="190">
        <v>2945.7189014539581</v>
      </c>
      <c r="AL67" s="187">
        <f t="shared" ref="AL67" si="55">IFERROR(AK67/AJ67,"")</f>
        <v>490.95315024232633</v>
      </c>
      <c r="AM67" s="184">
        <f>RANK(AL67, AL$67:AL$81)</f>
        <v>1</v>
      </c>
      <c r="AN67" s="537">
        <f>AVERAGE(AL67:AL81)</f>
        <v>490.95315024232633</v>
      </c>
      <c r="AO67" s="190">
        <v>6</v>
      </c>
      <c r="AP67" s="190">
        <v>2945.7743038593057</v>
      </c>
      <c r="AQ67" s="187">
        <f t="shared" ref="AQ67" si="56">IFERROR(AP67/AO67,"")</f>
        <v>490.96238397655094</v>
      </c>
      <c r="AR67" s="184">
        <f>RANK(AQ67, AQ$67:AQ$81)</f>
        <v>1</v>
      </c>
      <c r="AS67" s="537">
        <f>AVERAGE(AQ67:AQ81)</f>
        <v>490.96238397655094</v>
      </c>
      <c r="AT67" s="190">
        <v>6</v>
      </c>
      <c r="AU67" s="190">
        <v>2946.9681397739018</v>
      </c>
      <c r="AV67" s="187">
        <f t="shared" ref="AV67" si="57">IFERROR(AU67/AT67,"")</f>
        <v>491.16135662898364</v>
      </c>
      <c r="AW67" s="184">
        <f>RANK(AV67, AV$67:AV$81)</f>
        <v>1</v>
      </c>
      <c r="AX67" s="537">
        <f>AVERAGE(AV67:AV81)</f>
        <v>491.16135662898364</v>
      </c>
    </row>
    <row r="68" spans="2:50" ht="14.25" customHeight="1">
      <c r="B68" s="501"/>
      <c r="C68" s="182">
        <v>2</v>
      </c>
      <c r="D68" s="185"/>
      <c r="E68" s="182"/>
      <c r="F68" s="182"/>
      <c r="G68" s="187"/>
      <c r="H68" s="537"/>
      <c r="I68" s="188"/>
      <c r="J68" s="188"/>
      <c r="K68" s="189"/>
      <c r="L68" s="538"/>
      <c r="M68" s="188"/>
      <c r="N68" s="501"/>
      <c r="O68" s="501"/>
      <c r="P68" s="190"/>
      <c r="Q68" s="190"/>
      <c r="R68" s="187"/>
      <c r="S68" s="184"/>
      <c r="T68" s="537"/>
      <c r="U68" s="190"/>
      <c r="V68" s="190"/>
      <c r="W68" s="187"/>
      <c r="X68" s="184"/>
      <c r="Y68" s="537"/>
      <c r="Z68" s="190"/>
      <c r="AA68" s="190"/>
      <c r="AB68" s="187"/>
      <c r="AC68" s="184"/>
      <c r="AD68" s="537"/>
      <c r="AE68" s="190"/>
      <c r="AF68" s="190"/>
      <c r="AG68" s="187"/>
      <c r="AH68" s="184"/>
      <c r="AI68" s="537"/>
      <c r="AJ68" s="190"/>
      <c r="AK68" s="190"/>
      <c r="AL68" s="187"/>
      <c r="AM68" s="184"/>
      <c r="AN68" s="537"/>
      <c r="AO68" s="190"/>
      <c r="AP68" s="190"/>
      <c r="AQ68" s="187"/>
      <c r="AR68" s="184"/>
      <c r="AS68" s="537"/>
      <c r="AT68" s="190"/>
      <c r="AU68" s="190"/>
      <c r="AV68" s="187"/>
      <c r="AW68" s="184"/>
      <c r="AX68" s="537"/>
    </row>
    <row r="69" spans="2:50" ht="14.25" customHeight="1">
      <c r="B69" s="501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01"/>
      <c r="O69" s="501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37"/>
      <c r="AT69" s="190"/>
      <c r="AU69" s="190"/>
      <c r="AV69" s="187"/>
      <c r="AW69" s="184"/>
      <c r="AX69" s="537"/>
    </row>
    <row r="70" spans="2:50" ht="14.25" customHeight="1">
      <c r="B70" s="501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01"/>
      <c r="O70" s="501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01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01"/>
      <c r="O71" s="501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01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01"/>
      <c r="O72" s="501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01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01"/>
      <c r="O73" s="501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01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01"/>
      <c r="O74" s="501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01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01"/>
      <c r="O75" s="501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58">U82+1</f>
        <v>46051</v>
      </c>
      <c r="AA82" s="599"/>
      <c r="AB82" s="599"/>
      <c r="AC82" s="599"/>
      <c r="AD82" s="599"/>
      <c r="AE82" s="600">
        <f t="shared" ref="AE82" si="59">Z82+1</f>
        <v>46052</v>
      </c>
      <c r="AF82" s="601"/>
      <c r="AG82" s="601"/>
      <c r="AH82" s="601"/>
      <c r="AI82" s="601"/>
      <c r="AJ82" s="590">
        <f t="shared" ref="AJ82" si="60">AE82+1</f>
        <v>46053</v>
      </c>
      <c r="AK82" s="591"/>
      <c r="AL82" s="591"/>
      <c r="AM82" s="591"/>
      <c r="AN82" s="592"/>
      <c r="AO82" s="600">
        <f t="shared" ref="AO82" si="61">AJ82+1</f>
        <v>46054</v>
      </c>
      <c r="AP82" s="601"/>
      <c r="AQ82" s="601"/>
      <c r="AR82" s="601"/>
      <c r="AS82" s="601"/>
      <c r="AT82" s="590">
        <f t="shared" ref="AT82" si="62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63">Z82</f>
        <v>46051</v>
      </c>
      <c r="AA83" s="593"/>
      <c r="AB83" s="593"/>
      <c r="AC83" s="593"/>
      <c r="AD83" s="593"/>
      <c r="AE83" s="594">
        <f t="shared" ref="AE83" si="64">AE82</f>
        <v>46052</v>
      </c>
      <c r="AF83" s="594"/>
      <c r="AG83" s="594"/>
      <c r="AH83" s="594"/>
      <c r="AI83" s="594"/>
      <c r="AJ83" s="595">
        <f t="shared" ref="AJ83" si="65">AJ82</f>
        <v>46053</v>
      </c>
      <c r="AK83" s="596"/>
      <c r="AL83" s="596"/>
      <c r="AM83" s="596"/>
      <c r="AN83" s="597"/>
      <c r="AO83" s="594">
        <f t="shared" ref="AO83" si="66">AO82</f>
        <v>46054</v>
      </c>
      <c r="AP83" s="594"/>
      <c r="AQ83" s="594"/>
      <c r="AR83" s="594"/>
      <c r="AS83" s="594"/>
      <c r="AT83" s="595">
        <f t="shared" ref="AT83" si="67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608</v>
      </c>
      <c r="C87" s="182">
        <v>31</v>
      </c>
      <c r="D87" s="185"/>
      <c r="E87" s="182"/>
      <c r="F87" s="182"/>
      <c r="G87" s="187" t="e">
        <f t="shared" ref="G87:G101" si="68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69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70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71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72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73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74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75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32</v>
      </c>
      <c r="D88" s="185"/>
      <c r="E88" s="182"/>
      <c r="F88" s="182"/>
      <c r="G88" s="187" t="e">
        <f t="shared" si="68"/>
        <v>#DIV/0!</v>
      </c>
      <c r="H88" s="537"/>
      <c r="I88" s="188" t="e">
        <f t="shared" ref="I88:I101" si="76">AVERAGE(P88,U88,Z88,AE88,AJ88,AO88,AT88)</f>
        <v>#DIV/0!</v>
      </c>
      <c r="J88" s="188" t="e">
        <f t="shared" ref="J88:J101" si="77">AVERAGE(Q88,V88,AA88,AF88,AK88,AP88,AU88)</f>
        <v>#DIV/0!</v>
      </c>
      <c r="K88" s="189" t="e">
        <f t="shared" ref="K88:K101" si="78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69"/>
        <v>#DIV/0!</v>
      </c>
      <c r="S88" s="184" t="e">
        <f t="shared" ref="S88:S101" si="79">RANK(R88, R$47:R$61)</f>
        <v>#DIV/0!</v>
      </c>
      <c r="T88" s="537"/>
      <c r="U88" s="182"/>
      <c r="V88" s="182"/>
      <c r="W88" s="187" t="e">
        <f t="shared" si="70"/>
        <v>#DIV/0!</v>
      </c>
      <c r="X88" s="184" t="e">
        <f t="shared" ref="X88:X101" si="80">RANK(W88, W$47:W$61)</f>
        <v>#DIV/0!</v>
      </c>
      <c r="Y88" s="537"/>
      <c r="Z88" s="182"/>
      <c r="AA88" s="182"/>
      <c r="AB88" s="187" t="e">
        <f t="shared" si="71"/>
        <v>#DIV/0!</v>
      </c>
      <c r="AC88" s="184" t="e">
        <f t="shared" ref="AC88:AC101" si="81">RANK(AB88, AB$47:AB$61)</f>
        <v>#DIV/0!</v>
      </c>
      <c r="AD88" s="537"/>
      <c r="AE88" s="182"/>
      <c r="AF88" s="182"/>
      <c r="AG88" s="187" t="e">
        <f t="shared" si="72"/>
        <v>#DIV/0!</v>
      </c>
      <c r="AH88" s="184" t="e">
        <f t="shared" ref="AH88:AH101" si="82">RANK(AG88, AG$47:AG$61)</f>
        <v>#DIV/0!</v>
      </c>
      <c r="AI88" s="537"/>
      <c r="AJ88" s="182"/>
      <c r="AK88" s="182"/>
      <c r="AL88" s="187" t="e">
        <f t="shared" si="73"/>
        <v>#DIV/0!</v>
      </c>
      <c r="AM88" s="184" t="e">
        <f t="shared" ref="AM88:AM101" si="83">RANK(AL88, AL$47:AL$61)</f>
        <v>#DIV/0!</v>
      </c>
      <c r="AN88" s="537"/>
      <c r="AO88" s="182"/>
      <c r="AP88" s="182"/>
      <c r="AQ88" s="187" t="e">
        <f t="shared" si="74"/>
        <v>#DIV/0!</v>
      </c>
      <c r="AR88" s="184" t="e">
        <f t="shared" ref="AR88:AR101" si="84">RANK(AQ88, AQ$47:AQ$61)</f>
        <v>#DIV/0!</v>
      </c>
      <c r="AS88" s="537"/>
      <c r="AT88" s="182"/>
      <c r="AU88" s="182"/>
      <c r="AV88" s="187" t="e">
        <f t="shared" si="75"/>
        <v>#DIV/0!</v>
      </c>
      <c r="AW88" s="184" t="e">
        <f t="shared" ref="AW88:AW101" si="85">RANK(AV88, AV$47:AV$61)</f>
        <v>#DIV/0!</v>
      </c>
      <c r="AX88" s="537"/>
    </row>
    <row r="89" spans="2:50" ht="14.25" customHeight="1">
      <c r="B89" s="501"/>
      <c r="C89" s="182">
        <v>33</v>
      </c>
      <c r="D89" s="185"/>
      <c r="E89" s="182"/>
      <c r="F89" s="182"/>
      <c r="G89" s="187" t="e">
        <f t="shared" si="68"/>
        <v>#DIV/0!</v>
      </c>
      <c r="H89" s="537"/>
      <c r="I89" s="188" t="e">
        <f t="shared" si="76"/>
        <v>#DIV/0!</v>
      </c>
      <c r="J89" s="188" t="e">
        <f t="shared" si="77"/>
        <v>#DIV/0!</v>
      </c>
      <c r="K89" s="189" t="e">
        <f t="shared" si="78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69"/>
        <v>#DIV/0!</v>
      </c>
      <c r="S89" s="184" t="e">
        <f t="shared" si="79"/>
        <v>#DIV/0!</v>
      </c>
      <c r="T89" s="537"/>
      <c r="U89" s="182"/>
      <c r="V89" s="182"/>
      <c r="W89" s="187" t="e">
        <f t="shared" si="70"/>
        <v>#DIV/0!</v>
      </c>
      <c r="X89" s="184" t="e">
        <f t="shared" si="80"/>
        <v>#DIV/0!</v>
      </c>
      <c r="Y89" s="537"/>
      <c r="Z89" s="182"/>
      <c r="AA89" s="182"/>
      <c r="AB89" s="187" t="e">
        <f t="shared" si="71"/>
        <v>#DIV/0!</v>
      </c>
      <c r="AC89" s="184" t="e">
        <f t="shared" si="81"/>
        <v>#DIV/0!</v>
      </c>
      <c r="AD89" s="537"/>
      <c r="AE89" s="182"/>
      <c r="AF89" s="182"/>
      <c r="AG89" s="187" t="e">
        <f t="shared" si="72"/>
        <v>#DIV/0!</v>
      </c>
      <c r="AH89" s="184" t="e">
        <f t="shared" si="82"/>
        <v>#DIV/0!</v>
      </c>
      <c r="AI89" s="537"/>
      <c r="AJ89" s="182"/>
      <c r="AK89" s="182"/>
      <c r="AL89" s="187" t="e">
        <f t="shared" si="73"/>
        <v>#DIV/0!</v>
      </c>
      <c r="AM89" s="184" t="e">
        <f t="shared" si="83"/>
        <v>#DIV/0!</v>
      </c>
      <c r="AN89" s="537"/>
      <c r="AO89" s="182"/>
      <c r="AP89" s="182"/>
      <c r="AQ89" s="187" t="e">
        <f t="shared" si="74"/>
        <v>#DIV/0!</v>
      </c>
      <c r="AR89" s="184" t="e">
        <f t="shared" si="84"/>
        <v>#DIV/0!</v>
      </c>
      <c r="AS89" s="537"/>
      <c r="AT89" s="182"/>
      <c r="AU89" s="182"/>
      <c r="AV89" s="187" t="e">
        <f t="shared" si="75"/>
        <v>#DIV/0!</v>
      </c>
      <c r="AW89" s="184" t="e">
        <f t="shared" si="85"/>
        <v>#DIV/0!</v>
      </c>
      <c r="AX89" s="537"/>
    </row>
    <row r="90" spans="2:50" ht="14.25" customHeight="1">
      <c r="B90" s="501"/>
      <c r="C90" s="182">
        <v>34</v>
      </c>
      <c r="D90" s="185"/>
      <c r="E90" s="182"/>
      <c r="F90" s="182"/>
      <c r="G90" s="187" t="e">
        <f t="shared" si="68"/>
        <v>#DIV/0!</v>
      </c>
      <c r="H90" s="537"/>
      <c r="I90" s="188" t="e">
        <f t="shared" si="76"/>
        <v>#DIV/0!</v>
      </c>
      <c r="J90" s="188" t="e">
        <f t="shared" si="77"/>
        <v>#DIV/0!</v>
      </c>
      <c r="K90" s="189" t="e">
        <f t="shared" si="78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69"/>
        <v>#DIV/0!</v>
      </c>
      <c r="S90" s="184" t="e">
        <f t="shared" si="79"/>
        <v>#DIV/0!</v>
      </c>
      <c r="T90" s="537"/>
      <c r="U90" s="182"/>
      <c r="V90" s="182"/>
      <c r="W90" s="187" t="e">
        <f t="shared" si="70"/>
        <v>#DIV/0!</v>
      </c>
      <c r="X90" s="184" t="e">
        <f t="shared" si="80"/>
        <v>#DIV/0!</v>
      </c>
      <c r="Y90" s="537"/>
      <c r="Z90" s="182"/>
      <c r="AA90" s="182"/>
      <c r="AB90" s="187" t="e">
        <f t="shared" si="71"/>
        <v>#DIV/0!</v>
      </c>
      <c r="AC90" s="184" t="e">
        <f t="shared" si="81"/>
        <v>#DIV/0!</v>
      </c>
      <c r="AD90" s="537"/>
      <c r="AE90" s="182"/>
      <c r="AF90" s="182"/>
      <c r="AG90" s="187" t="e">
        <f t="shared" si="72"/>
        <v>#DIV/0!</v>
      </c>
      <c r="AH90" s="184" t="e">
        <f t="shared" si="82"/>
        <v>#DIV/0!</v>
      </c>
      <c r="AI90" s="537"/>
      <c r="AJ90" s="182"/>
      <c r="AK90" s="182"/>
      <c r="AL90" s="187" t="e">
        <f t="shared" si="73"/>
        <v>#DIV/0!</v>
      </c>
      <c r="AM90" s="184" t="e">
        <f t="shared" si="83"/>
        <v>#DIV/0!</v>
      </c>
      <c r="AN90" s="537"/>
      <c r="AO90" s="182"/>
      <c r="AP90" s="182"/>
      <c r="AQ90" s="187" t="e">
        <f t="shared" si="74"/>
        <v>#DIV/0!</v>
      </c>
      <c r="AR90" s="184" t="e">
        <f t="shared" si="84"/>
        <v>#DIV/0!</v>
      </c>
      <c r="AS90" s="537"/>
      <c r="AT90" s="182"/>
      <c r="AU90" s="182"/>
      <c r="AV90" s="187" t="e">
        <f t="shared" si="75"/>
        <v>#DIV/0!</v>
      </c>
      <c r="AW90" s="184" t="e">
        <f t="shared" si="85"/>
        <v>#DIV/0!</v>
      </c>
      <c r="AX90" s="537"/>
    </row>
    <row r="91" spans="2:50" ht="14.25" customHeight="1">
      <c r="B91" s="501"/>
      <c r="C91" s="182">
        <v>35</v>
      </c>
      <c r="D91" s="185"/>
      <c r="E91" s="182"/>
      <c r="F91" s="182"/>
      <c r="G91" s="187" t="e">
        <f t="shared" si="68"/>
        <v>#DIV/0!</v>
      </c>
      <c r="H91" s="537"/>
      <c r="I91" s="188" t="e">
        <f t="shared" si="76"/>
        <v>#DIV/0!</v>
      </c>
      <c r="J91" s="188" t="e">
        <f t="shared" si="77"/>
        <v>#DIV/0!</v>
      </c>
      <c r="K91" s="189" t="e">
        <f t="shared" si="78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69"/>
        <v>#DIV/0!</v>
      </c>
      <c r="S91" s="184" t="e">
        <f t="shared" si="79"/>
        <v>#DIV/0!</v>
      </c>
      <c r="T91" s="537"/>
      <c r="U91" s="182"/>
      <c r="V91" s="182"/>
      <c r="W91" s="187" t="e">
        <f t="shared" si="70"/>
        <v>#DIV/0!</v>
      </c>
      <c r="X91" s="184" t="e">
        <f t="shared" si="80"/>
        <v>#DIV/0!</v>
      </c>
      <c r="Y91" s="537"/>
      <c r="Z91" s="182"/>
      <c r="AA91" s="182"/>
      <c r="AB91" s="187" t="e">
        <f t="shared" si="71"/>
        <v>#DIV/0!</v>
      </c>
      <c r="AC91" s="184" t="e">
        <f t="shared" si="81"/>
        <v>#DIV/0!</v>
      </c>
      <c r="AD91" s="537"/>
      <c r="AE91" s="182"/>
      <c r="AF91" s="182"/>
      <c r="AG91" s="187" t="e">
        <f t="shared" si="72"/>
        <v>#DIV/0!</v>
      </c>
      <c r="AH91" s="184" t="e">
        <f t="shared" si="82"/>
        <v>#DIV/0!</v>
      </c>
      <c r="AI91" s="537"/>
      <c r="AJ91" s="182"/>
      <c r="AK91" s="182"/>
      <c r="AL91" s="187" t="e">
        <f t="shared" si="73"/>
        <v>#DIV/0!</v>
      </c>
      <c r="AM91" s="184" t="e">
        <f t="shared" si="83"/>
        <v>#DIV/0!</v>
      </c>
      <c r="AN91" s="537"/>
      <c r="AO91" s="182"/>
      <c r="AP91" s="182"/>
      <c r="AQ91" s="187" t="e">
        <f t="shared" si="74"/>
        <v>#DIV/0!</v>
      </c>
      <c r="AR91" s="184" t="e">
        <f t="shared" si="84"/>
        <v>#DIV/0!</v>
      </c>
      <c r="AS91" s="537"/>
      <c r="AT91" s="182"/>
      <c r="AU91" s="182"/>
      <c r="AV91" s="187" t="e">
        <f t="shared" si="75"/>
        <v>#DIV/0!</v>
      </c>
      <c r="AW91" s="184" t="e">
        <f t="shared" si="85"/>
        <v>#DIV/0!</v>
      </c>
      <c r="AX91" s="537"/>
    </row>
    <row r="92" spans="2:50" ht="14.25" customHeight="1">
      <c r="B92" s="501"/>
      <c r="C92" s="182">
        <v>36</v>
      </c>
      <c r="D92" s="185"/>
      <c r="E92" s="182"/>
      <c r="F92" s="182"/>
      <c r="G92" s="187" t="e">
        <f t="shared" si="68"/>
        <v>#DIV/0!</v>
      </c>
      <c r="H92" s="537"/>
      <c r="I92" s="188" t="e">
        <f t="shared" si="76"/>
        <v>#DIV/0!</v>
      </c>
      <c r="J92" s="188" t="e">
        <f t="shared" si="77"/>
        <v>#DIV/0!</v>
      </c>
      <c r="K92" s="189" t="e">
        <f t="shared" si="78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69"/>
        <v>#DIV/0!</v>
      </c>
      <c r="S92" s="184" t="e">
        <f t="shared" si="79"/>
        <v>#DIV/0!</v>
      </c>
      <c r="T92" s="537"/>
      <c r="U92" s="182"/>
      <c r="V92" s="182"/>
      <c r="W92" s="187" t="e">
        <f t="shared" si="70"/>
        <v>#DIV/0!</v>
      </c>
      <c r="X92" s="184" t="e">
        <f t="shared" si="80"/>
        <v>#DIV/0!</v>
      </c>
      <c r="Y92" s="537"/>
      <c r="Z92" s="182"/>
      <c r="AA92" s="182"/>
      <c r="AB92" s="187" t="e">
        <f t="shared" si="71"/>
        <v>#DIV/0!</v>
      </c>
      <c r="AC92" s="184" t="e">
        <f t="shared" si="81"/>
        <v>#DIV/0!</v>
      </c>
      <c r="AD92" s="537"/>
      <c r="AE92" s="182"/>
      <c r="AF92" s="182"/>
      <c r="AG92" s="187" t="e">
        <f t="shared" si="72"/>
        <v>#DIV/0!</v>
      </c>
      <c r="AH92" s="184" t="e">
        <f t="shared" si="82"/>
        <v>#DIV/0!</v>
      </c>
      <c r="AI92" s="537"/>
      <c r="AJ92" s="182"/>
      <c r="AK92" s="182"/>
      <c r="AL92" s="187" t="e">
        <f t="shared" si="73"/>
        <v>#DIV/0!</v>
      </c>
      <c r="AM92" s="184" t="e">
        <f t="shared" si="83"/>
        <v>#DIV/0!</v>
      </c>
      <c r="AN92" s="537"/>
      <c r="AO92" s="182"/>
      <c r="AP92" s="182"/>
      <c r="AQ92" s="187" t="e">
        <f t="shared" si="74"/>
        <v>#DIV/0!</v>
      </c>
      <c r="AR92" s="184" t="e">
        <f t="shared" si="84"/>
        <v>#DIV/0!</v>
      </c>
      <c r="AS92" s="537"/>
      <c r="AT92" s="182"/>
      <c r="AU92" s="182"/>
      <c r="AV92" s="187" t="e">
        <f t="shared" si="75"/>
        <v>#DIV/0!</v>
      </c>
      <c r="AW92" s="184" t="e">
        <f t="shared" si="85"/>
        <v>#DIV/0!</v>
      </c>
      <c r="AX92" s="537"/>
    </row>
    <row r="93" spans="2:50" ht="14.25" customHeight="1">
      <c r="B93" s="501"/>
      <c r="C93" s="182">
        <v>37</v>
      </c>
      <c r="D93" s="185"/>
      <c r="E93" s="182"/>
      <c r="F93" s="182"/>
      <c r="G93" s="187" t="e">
        <f t="shared" si="68"/>
        <v>#DIV/0!</v>
      </c>
      <c r="H93" s="537"/>
      <c r="I93" s="188" t="e">
        <f t="shared" si="76"/>
        <v>#DIV/0!</v>
      </c>
      <c r="J93" s="188" t="e">
        <f t="shared" si="77"/>
        <v>#DIV/0!</v>
      </c>
      <c r="K93" s="189" t="e">
        <f t="shared" si="78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69"/>
        <v>#DIV/0!</v>
      </c>
      <c r="S93" s="184" t="e">
        <f t="shared" si="79"/>
        <v>#DIV/0!</v>
      </c>
      <c r="T93" s="537"/>
      <c r="U93" s="182"/>
      <c r="V93" s="182"/>
      <c r="W93" s="187" t="e">
        <f t="shared" si="70"/>
        <v>#DIV/0!</v>
      </c>
      <c r="X93" s="184" t="e">
        <f t="shared" si="80"/>
        <v>#DIV/0!</v>
      </c>
      <c r="Y93" s="537"/>
      <c r="Z93" s="182"/>
      <c r="AA93" s="182"/>
      <c r="AB93" s="187" t="e">
        <f t="shared" si="71"/>
        <v>#DIV/0!</v>
      </c>
      <c r="AC93" s="184" t="e">
        <f t="shared" si="81"/>
        <v>#DIV/0!</v>
      </c>
      <c r="AD93" s="537"/>
      <c r="AE93" s="182"/>
      <c r="AF93" s="182"/>
      <c r="AG93" s="187" t="e">
        <f t="shared" si="72"/>
        <v>#DIV/0!</v>
      </c>
      <c r="AH93" s="184" t="e">
        <f t="shared" si="82"/>
        <v>#DIV/0!</v>
      </c>
      <c r="AI93" s="537"/>
      <c r="AJ93" s="182"/>
      <c r="AK93" s="182"/>
      <c r="AL93" s="187" t="e">
        <f t="shared" si="73"/>
        <v>#DIV/0!</v>
      </c>
      <c r="AM93" s="184" t="e">
        <f t="shared" si="83"/>
        <v>#DIV/0!</v>
      </c>
      <c r="AN93" s="537"/>
      <c r="AO93" s="182"/>
      <c r="AP93" s="182"/>
      <c r="AQ93" s="187" t="e">
        <f t="shared" si="74"/>
        <v>#DIV/0!</v>
      </c>
      <c r="AR93" s="184" t="e">
        <f t="shared" si="84"/>
        <v>#DIV/0!</v>
      </c>
      <c r="AS93" s="537"/>
      <c r="AT93" s="182"/>
      <c r="AU93" s="182"/>
      <c r="AV93" s="187" t="e">
        <f t="shared" si="75"/>
        <v>#DIV/0!</v>
      </c>
      <c r="AW93" s="184" t="e">
        <f t="shared" si="85"/>
        <v>#DIV/0!</v>
      </c>
      <c r="AX93" s="537"/>
    </row>
    <row r="94" spans="2:50" ht="14.25" customHeight="1">
      <c r="B94" s="501"/>
      <c r="C94" s="182">
        <v>38</v>
      </c>
      <c r="D94" s="185"/>
      <c r="E94" s="182"/>
      <c r="F94" s="182"/>
      <c r="G94" s="187" t="e">
        <f t="shared" si="68"/>
        <v>#DIV/0!</v>
      </c>
      <c r="H94" s="537"/>
      <c r="I94" s="188" t="e">
        <f t="shared" si="76"/>
        <v>#DIV/0!</v>
      </c>
      <c r="J94" s="188" t="e">
        <f t="shared" si="77"/>
        <v>#DIV/0!</v>
      </c>
      <c r="K94" s="189" t="e">
        <f t="shared" si="78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69"/>
        <v>#DIV/0!</v>
      </c>
      <c r="S94" s="184" t="e">
        <f t="shared" si="79"/>
        <v>#DIV/0!</v>
      </c>
      <c r="T94" s="537"/>
      <c r="U94" s="182"/>
      <c r="V94" s="182"/>
      <c r="W94" s="187" t="e">
        <f t="shared" si="70"/>
        <v>#DIV/0!</v>
      </c>
      <c r="X94" s="184" t="e">
        <f t="shared" si="80"/>
        <v>#DIV/0!</v>
      </c>
      <c r="Y94" s="537"/>
      <c r="Z94" s="182"/>
      <c r="AA94" s="182"/>
      <c r="AB94" s="187" t="e">
        <f t="shared" si="71"/>
        <v>#DIV/0!</v>
      </c>
      <c r="AC94" s="184" t="e">
        <f t="shared" si="81"/>
        <v>#DIV/0!</v>
      </c>
      <c r="AD94" s="537"/>
      <c r="AE94" s="182"/>
      <c r="AF94" s="182"/>
      <c r="AG94" s="187" t="e">
        <f t="shared" si="72"/>
        <v>#DIV/0!</v>
      </c>
      <c r="AH94" s="184" t="e">
        <f t="shared" si="82"/>
        <v>#DIV/0!</v>
      </c>
      <c r="AI94" s="537"/>
      <c r="AJ94" s="182"/>
      <c r="AK94" s="182"/>
      <c r="AL94" s="187" t="e">
        <f t="shared" si="73"/>
        <v>#DIV/0!</v>
      </c>
      <c r="AM94" s="184" t="e">
        <f t="shared" si="83"/>
        <v>#DIV/0!</v>
      </c>
      <c r="AN94" s="537"/>
      <c r="AO94" s="182"/>
      <c r="AP94" s="182"/>
      <c r="AQ94" s="187" t="e">
        <f t="shared" si="74"/>
        <v>#DIV/0!</v>
      </c>
      <c r="AR94" s="184" t="e">
        <f t="shared" si="84"/>
        <v>#DIV/0!</v>
      </c>
      <c r="AS94" s="537"/>
      <c r="AT94" s="182"/>
      <c r="AU94" s="182"/>
      <c r="AV94" s="187" t="e">
        <f t="shared" si="75"/>
        <v>#DIV/0!</v>
      </c>
      <c r="AW94" s="184" t="e">
        <f t="shared" si="85"/>
        <v>#DIV/0!</v>
      </c>
      <c r="AX94" s="537"/>
    </row>
    <row r="95" spans="2:50" ht="14.25" customHeight="1">
      <c r="B95" s="501"/>
      <c r="C95" s="182">
        <v>39</v>
      </c>
      <c r="D95" s="185"/>
      <c r="E95" s="182"/>
      <c r="F95" s="182"/>
      <c r="G95" s="187" t="e">
        <f t="shared" si="68"/>
        <v>#DIV/0!</v>
      </c>
      <c r="H95" s="537"/>
      <c r="I95" s="188" t="e">
        <f t="shared" si="76"/>
        <v>#DIV/0!</v>
      </c>
      <c r="J95" s="188" t="e">
        <f t="shared" si="77"/>
        <v>#DIV/0!</v>
      </c>
      <c r="K95" s="189" t="e">
        <f t="shared" si="78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69"/>
        <v>#DIV/0!</v>
      </c>
      <c r="S95" s="184" t="e">
        <f t="shared" si="79"/>
        <v>#DIV/0!</v>
      </c>
      <c r="T95" s="537"/>
      <c r="U95" s="182"/>
      <c r="V95" s="182"/>
      <c r="W95" s="187" t="e">
        <f t="shared" si="70"/>
        <v>#DIV/0!</v>
      </c>
      <c r="X95" s="184" t="e">
        <f t="shared" si="80"/>
        <v>#DIV/0!</v>
      </c>
      <c r="Y95" s="537"/>
      <c r="Z95" s="182"/>
      <c r="AA95" s="182"/>
      <c r="AB95" s="187" t="e">
        <f t="shared" si="71"/>
        <v>#DIV/0!</v>
      </c>
      <c r="AC95" s="184" t="e">
        <f t="shared" si="81"/>
        <v>#DIV/0!</v>
      </c>
      <c r="AD95" s="537"/>
      <c r="AE95" s="182"/>
      <c r="AF95" s="182"/>
      <c r="AG95" s="187" t="e">
        <f t="shared" si="72"/>
        <v>#DIV/0!</v>
      </c>
      <c r="AH95" s="184" t="e">
        <f t="shared" si="82"/>
        <v>#DIV/0!</v>
      </c>
      <c r="AI95" s="537"/>
      <c r="AJ95" s="182"/>
      <c r="AK95" s="182"/>
      <c r="AL95" s="187" t="e">
        <f t="shared" si="73"/>
        <v>#DIV/0!</v>
      </c>
      <c r="AM95" s="184" t="e">
        <f t="shared" si="83"/>
        <v>#DIV/0!</v>
      </c>
      <c r="AN95" s="537"/>
      <c r="AO95" s="182"/>
      <c r="AP95" s="182"/>
      <c r="AQ95" s="187" t="e">
        <f t="shared" si="74"/>
        <v>#DIV/0!</v>
      </c>
      <c r="AR95" s="184" t="e">
        <f t="shared" si="84"/>
        <v>#DIV/0!</v>
      </c>
      <c r="AS95" s="537"/>
      <c r="AT95" s="182"/>
      <c r="AU95" s="182"/>
      <c r="AV95" s="187" t="e">
        <f t="shared" si="75"/>
        <v>#DIV/0!</v>
      </c>
      <c r="AW95" s="184" t="e">
        <f t="shared" si="85"/>
        <v>#DIV/0!</v>
      </c>
      <c r="AX95" s="537"/>
    </row>
    <row r="96" spans="2:50" ht="14.25" customHeight="1">
      <c r="B96" s="501"/>
      <c r="C96" s="182">
        <v>40</v>
      </c>
      <c r="D96" s="185"/>
      <c r="E96" s="182"/>
      <c r="F96" s="182"/>
      <c r="G96" s="187" t="e">
        <f t="shared" si="68"/>
        <v>#DIV/0!</v>
      </c>
      <c r="H96" s="537"/>
      <c r="I96" s="188" t="e">
        <f t="shared" si="76"/>
        <v>#DIV/0!</v>
      </c>
      <c r="J96" s="188" t="e">
        <f t="shared" si="77"/>
        <v>#DIV/0!</v>
      </c>
      <c r="K96" s="189" t="e">
        <f t="shared" si="78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69"/>
        <v>#DIV/0!</v>
      </c>
      <c r="S96" s="184" t="e">
        <f t="shared" si="79"/>
        <v>#DIV/0!</v>
      </c>
      <c r="T96" s="537"/>
      <c r="U96" s="182"/>
      <c r="V96" s="182"/>
      <c r="W96" s="187" t="e">
        <f t="shared" si="70"/>
        <v>#DIV/0!</v>
      </c>
      <c r="X96" s="184" t="e">
        <f t="shared" si="80"/>
        <v>#DIV/0!</v>
      </c>
      <c r="Y96" s="537"/>
      <c r="Z96" s="182"/>
      <c r="AA96" s="182"/>
      <c r="AB96" s="187" t="e">
        <f t="shared" si="71"/>
        <v>#DIV/0!</v>
      </c>
      <c r="AC96" s="184" t="e">
        <f t="shared" si="81"/>
        <v>#DIV/0!</v>
      </c>
      <c r="AD96" s="537"/>
      <c r="AE96" s="182"/>
      <c r="AF96" s="182"/>
      <c r="AG96" s="187" t="e">
        <f t="shared" si="72"/>
        <v>#DIV/0!</v>
      </c>
      <c r="AH96" s="184" t="e">
        <f t="shared" si="82"/>
        <v>#DIV/0!</v>
      </c>
      <c r="AI96" s="537"/>
      <c r="AJ96" s="182"/>
      <c r="AK96" s="182"/>
      <c r="AL96" s="187" t="e">
        <f t="shared" si="73"/>
        <v>#DIV/0!</v>
      </c>
      <c r="AM96" s="184" t="e">
        <f t="shared" si="83"/>
        <v>#DIV/0!</v>
      </c>
      <c r="AN96" s="537"/>
      <c r="AO96" s="182"/>
      <c r="AP96" s="182"/>
      <c r="AQ96" s="187" t="e">
        <f t="shared" si="74"/>
        <v>#DIV/0!</v>
      </c>
      <c r="AR96" s="184" t="e">
        <f t="shared" si="84"/>
        <v>#DIV/0!</v>
      </c>
      <c r="AS96" s="537"/>
      <c r="AT96" s="182"/>
      <c r="AU96" s="182"/>
      <c r="AV96" s="187" t="e">
        <f t="shared" si="75"/>
        <v>#DIV/0!</v>
      </c>
      <c r="AW96" s="184" t="e">
        <f t="shared" si="85"/>
        <v>#DIV/0!</v>
      </c>
      <c r="AX96" s="537"/>
    </row>
    <row r="97" spans="2:50" ht="14.25" customHeight="1">
      <c r="B97" s="501"/>
      <c r="C97" s="182">
        <v>41</v>
      </c>
      <c r="D97" s="185"/>
      <c r="E97" s="182"/>
      <c r="F97" s="182"/>
      <c r="G97" s="187" t="e">
        <f t="shared" si="68"/>
        <v>#DIV/0!</v>
      </c>
      <c r="H97" s="537"/>
      <c r="I97" s="188" t="e">
        <f t="shared" si="76"/>
        <v>#DIV/0!</v>
      </c>
      <c r="J97" s="188" t="e">
        <f t="shared" si="77"/>
        <v>#DIV/0!</v>
      </c>
      <c r="K97" s="189" t="e">
        <f t="shared" si="78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69"/>
        <v>#DIV/0!</v>
      </c>
      <c r="S97" s="184" t="e">
        <f t="shared" si="79"/>
        <v>#DIV/0!</v>
      </c>
      <c r="T97" s="537"/>
      <c r="U97" s="182"/>
      <c r="V97" s="182"/>
      <c r="W97" s="187" t="e">
        <f t="shared" si="70"/>
        <v>#DIV/0!</v>
      </c>
      <c r="X97" s="184" t="e">
        <f t="shared" si="80"/>
        <v>#DIV/0!</v>
      </c>
      <c r="Y97" s="537"/>
      <c r="Z97" s="182"/>
      <c r="AA97" s="182"/>
      <c r="AB97" s="187" t="e">
        <f t="shared" si="71"/>
        <v>#DIV/0!</v>
      </c>
      <c r="AC97" s="184" t="e">
        <f t="shared" si="81"/>
        <v>#DIV/0!</v>
      </c>
      <c r="AD97" s="537"/>
      <c r="AE97" s="182"/>
      <c r="AF97" s="182"/>
      <c r="AG97" s="187" t="e">
        <f t="shared" si="72"/>
        <v>#DIV/0!</v>
      </c>
      <c r="AH97" s="184" t="e">
        <f t="shared" si="82"/>
        <v>#DIV/0!</v>
      </c>
      <c r="AI97" s="537"/>
      <c r="AJ97" s="182"/>
      <c r="AK97" s="182"/>
      <c r="AL97" s="187" t="e">
        <f t="shared" si="73"/>
        <v>#DIV/0!</v>
      </c>
      <c r="AM97" s="184" t="e">
        <f t="shared" si="83"/>
        <v>#DIV/0!</v>
      </c>
      <c r="AN97" s="537"/>
      <c r="AO97" s="182"/>
      <c r="AP97" s="182"/>
      <c r="AQ97" s="187" t="e">
        <f t="shared" si="74"/>
        <v>#DIV/0!</v>
      </c>
      <c r="AR97" s="184" t="e">
        <f t="shared" si="84"/>
        <v>#DIV/0!</v>
      </c>
      <c r="AS97" s="537"/>
      <c r="AT97" s="182"/>
      <c r="AU97" s="182"/>
      <c r="AV97" s="187" t="e">
        <f t="shared" si="75"/>
        <v>#DIV/0!</v>
      </c>
      <c r="AW97" s="184" t="e">
        <f t="shared" si="85"/>
        <v>#DIV/0!</v>
      </c>
      <c r="AX97" s="537"/>
    </row>
    <row r="98" spans="2:50" ht="14.25" customHeight="1">
      <c r="B98" s="501"/>
      <c r="C98" s="182">
        <v>42</v>
      </c>
      <c r="D98" s="185"/>
      <c r="E98" s="182"/>
      <c r="F98" s="182"/>
      <c r="G98" s="187" t="e">
        <f t="shared" si="68"/>
        <v>#DIV/0!</v>
      </c>
      <c r="H98" s="537"/>
      <c r="I98" s="188" t="e">
        <f t="shared" si="76"/>
        <v>#DIV/0!</v>
      </c>
      <c r="J98" s="188" t="e">
        <f t="shared" si="77"/>
        <v>#DIV/0!</v>
      </c>
      <c r="K98" s="189" t="e">
        <f t="shared" si="78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69"/>
        <v>#DIV/0!</v>
      </c>
      <c r="S98" s="184" t="e">
        <f t="shared" si="79"/>
        <v>#DIV/0!</v>
      </c>
      <c r="T98" s="537"/>
      <c r="U98" s="182"/>
      <c r="V98" s="182"/>
      <c r="W98" s="187" t="e">
        <f t="shared" si="70"/>
        <v>#DIV/0!</v>
      </c>
      <c r="X98" s="184" t="e">
        <f t="shared" si="80"/>
        <v>#DIV/0!</v>
      </c>
      <c r="Y98" s="537"/>
      <c r="Z98" s="182"/>
      <c r="AA98" s="182"/>
      <c r="AB98" s="187" t="e">
        <f t="shared" si="71"/>
        <v>#DIV/0!</v>
      </c>
      <c r="AC98" s="184" t="e">
        <f t="shared" si="81"/>
        <v>#DIV/0!</v>
      </c>
      <c r="AD98" s="537"/>
      <c r="AE98" s="182"/>
      <c r="AF98" s="182"/>
      <c r="AG98" s="187" t="e">
        <f t="shared" si="72"/>
        <v>#DIV/0!</v>
      </c>
      <c r="AH98" s="184" t="e">
        <f t="shared" si="82"/>
        <v>#DIV/0!</v>
      </c>
      <c r="AI98" s="537"/>
      <c r="AJ98" s="182"/>
      <c r="AK98" s="182"/>
      <c r="AL98" s="187" t="e">
        <f t="shared" si="73"/>
        <v>#DIV/0!</v>
      </c>
      <c r="AM98" s="184" t="e">
        <f t="shared" si="83"/>
        <v>#DIV/0!</v>
      </c>
      <c r="AN98" s="537"/>
      <c r="AO98" s="182"/>
      <c r="AP98" s="182"/>
      <c r="AQ98" s="187" t="e">
        <f t="shared" si="74"/>
        <v>#DIV/0!</v>
      </c>
      <c r="AR98" s="184" t="e">
        <f t="shared" si="84"/>
        <v>#DIV/0!</v>
      </c>
      <c r="AS98" s="537"/>
      <c r="AT98" s="182"/>
      <c r="AU98" s="182"/>
      <c r="AV98" s="187" t="e">
        <f t="shared" si="75"/>
        <v>#DIV/0!</v>
      </c>
      <c r="AW98" s="184" t="e">
        <f t="shared" si="85"/>
        <v>#DIV/0!</v>
      </c>
      <c r="AX98" s="537"/>
    </row>
    <row r="99" spans="2:50" ht="14.25" customHeight="1">
      <c r="B99" s="501"/>
      <c r="C99" s="182">
        <v>43</v>
      </c>
      <c r="D99" s="185"/>
      <c r="E99" s="182"/>
      <c r="F99" s="182"/>
      <c r="G99" s="187" t="e">
        <f t="shared" si="68"/>
        <v>#DIV/0!</v>
      </c>
      <c r="H99" s="537"/>
      <c r="I99" s="188" t="e">
        <f t="shared" si="76"/>
        <v>#DIV/0!</v>
      </c>
      <c r="J99" s="188" t="e">
        <f t="shared" si="77"/>
        <v>#DIV/0!</v>
      </c>
      <c r="K99" s="189" t="e">
        <f t="shared" si="78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69"/>
        <v>#DIV/0!</v>
      </c>
      <c r="S99" s="184" t="e">
        <f t="shared" si="79"/>
        <v>#DIV/0!</v>
      </c>
      <c r="T99" s="537"/>
      <c r="U99" s="182"/>
      <c r="V99" s="182"/>
      <c r="W99" s="187" t="e">
        <f t="shared" si="70"/>
        <v>#DIV/0!</v>
      </c>
      <c r="X99" s="184" t="e">
        <f t="shared" si="80"/>
        <v>#DIV/0!</v>
      </c>
      <c r="Y99" s="537"/>
      <c r="Z99" s="182"/>
      <c r="AA99" s="182"/>
      <c r="AB99" s="187" t="e">
        <f t="shared" si="71"/>
        <v>#DIV/0!</v>
      </c>
      <c r="AC99" s="184" t="e">
        <f t="shared" si="81"/>
        <v>#DIV/0!</v>
      </c>
      <c r="AD99" s="537"/>
      <c r="AE99" s="182"/>
      <c r="AF99" s="182"/>
      <c r="AG99" s="187" t="e">
        <f t="shared" si="72"/>
        <v>#DIV/0!</v>
      </c>
      <c r="AH99" s="184" t="e">
        <f t="shared" si="82"/>
        <v>#DIV/0!</v>
      </c>
      <c r="AI99" s="537"/>
      <c r="AJ99" s="182"/>
      <c r="AK99" s="182"/>
      <c r="AL99" s="187" t="e">
        <f t="shared" si="73"/>
        <v>#DIV/0!</v>
      </c>
      <c r="AM99" s="184" t="e">
        <f t="shared" si="83"/>
        <v>#DIV/0!</v>
      </c>
      <c r="AN99" s="537"/>
      <c r="AO99" s="182"/>
      <c r="AP99" s="182"/>
      <c r="AQ99" s="187" t="e">
        <f t="shared" si="74"/>
        <v>#DIV/0!</v>
      </c>
      <c r="AR99" s="184" t="e">
        <f t="shared" si="84"/>
        <v>#DIV/0!</v>
      </c>
      <c r="AS99" s="537"/>
      <c r="AT99" s="182"/>
      <c r="AU99" s="182"/>
      <c r="AV99" s="187" t="e">
        <f t="shared" si="75"/>
        <v>#DIV/0!</v>
      </c>
      <c r="AW99" s="184" t="e">
        <f t="shared" si="85"/>
        <v>#DIV/0!</v>
      </c>
      <c r="AX99" s="537"/>
    </row>
    <row r="100" spans="2:50" ht="14.25" customHeight="1">
      <c r="B100" s="501"/>
      <c r="C100" s="182">
        <v>44</v>
      </c>
      <c r="D100" s="185"/>
      <c r="E100" s="182"/>
      <c r="F100" s="182"/>
      <c r="G100" s="187" t="e">
        <f t="shared" si="68"/>
        <v>#DIV/0!</v>
      </c>
      <c r="H100" s="537"/>
      <c r="I100" s="188" t="e">
        <f t="shared" si="76"/>
        <v>#DIV/0!</v>
      </c>
      <c r="J100" s="188" t="e">
        <f t="shared" si="77"/>
        <v>#DIV/0!</v>
      </c>
      <c r="K100" s="189" t="e">
        <f t="shared" si="78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69"/>
        <v>#DIV/0!</v>
      </c>
      <c r="S100" s="184" t="e">
        <f t="shared" si="79"/>
        <v>#DIV/0!</v>
      </c>
      <c r="T100" s="537"/>
      <c r="U100" s="182"/>
      <c r="V100" s="182"/>
      <c r="W100" s="187" t="e">
        <f t="shared" si="70"/>
        <v>#DIV/0!</v>
      </c>
      <c r="X100" s="184" t="e">
        <f t="shared" si="80"/>
        <v>#DIV/0!</v>
      </c>
      <c r="Y100" s="537"/>
      <c r="Z100" s="182"/>
      <c r="AA100" s="182"/>
      <c r="AB100" s="187" t="e">
        <f t="shared" si="71"/>
        <v>#DIV/0!</v>
      </c>
      <c r="AC100" s="184" t="e">
        <f t="shared" si="81"/>
        <v>#DIV/0!</v>
      </c>
      <c r="AD100" s="537"/>
      <c r="AE100" s="182"/>
      <c r="AF100" s="182"/>
      <c r="AG100" s="187" t="e">
        <f t="shared" si="72"/>
        <v>#DIV/0!</v>
      </c>
      <c r="AH100" s="184" t="e">
        <f t="shared" si="82"/>
        <v>#DIV/0!</v>
      </c>
      <c r="AI100" s="537"/>
      <c r="AJ100" s="182"/>
      <c r="AK100" s="182"/>
      <c r="AL100" s="187" t="e">
        <f t="shared" si="73"/>
        <v>#DIV/0!</v>
      </c>
      <c r="AM100" s="184" t="e">
        <f t="shared" si="83"/>
        <v>#DIV/0!</v>
      </c>
      <c r="AN100" s="537"/>
      <c r="AO100" s="182"/>
      <c r="AP100" s="182"/>
      <c r="AQ100" s="187" t="e">
        <f t="shared" si="74"/>
        <v>#DIV/0!</v>
      </c>
      <c r="AR100" s="184" t="e">
        <f t="shared" si="84"/>
        <v>#DIV/0!</v>
      </c>
      <c r="AS100" s="537"/>
      <c r="AT100" s="182"/>
      <c r="AU100" s="182"/>
      <c r="AV100" s="187" t="e">
        <f t="shared" si="75"/>
        <v>#DIV/0!</v>
      </c>
      <c r="AW100" s="184" t="e">
        <f t="shared" si="85"/>
        <v>#DIV/0!</v>
      </c>
      <c r="AX100" s="537"/>
    </row>
    <row r="101" spans="2:50" ht="14.25" customHeight="1">
      <c r="B101" s="501"/>
      <c r="C101" s="182">
        <v>45</v>
      </c>
      <c r="D101" s="185"/>
      <c r="E101" s="182"/>
      <c r="F101" s="182"/>
      <c r="G101" s="187" t="e">
        <f t="shared" si="68"/>
        <v>#DIV/0!</v>
      </c>
      <c r="H101" s="537"/>
      <c r="I101" s="188" t="e">
        <f t="shared" si="76"/>
        <v>#DIV/0!</v>
      </c>
      <c r="J101" s="188" t="e">
        <f t="shared" si="77"/>
        <v>#DIV/0!</v>
      </c>
      <c r="K101" s="189" t="e">
        <f t="shared" si="78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79"/>
        <v>#DIV/0!</v>
      </c>
      <c r="T101" s="537"/>
      <c r="U101" s="182"/>
      <c r="V101" s="186"/>
      <c r="W101" s="187" t="e">
        <f>V101/U101</f>
        <v>#DIV/0!</v>
      </c>
      <c r="X101" s="184" t="e">
        <f t="shared" si="80"/>
        <v>#DIV/0!</v>
      </c>
      <c r="Y101" s="537"/>
      <c r="Z101" s="182"/>
      <c r="AA101" s="186"/>
      <c r="AB101" s="187" t="e">
        <f>AA101/Z101</f>
        <v>#DIV/0!</v>
      </c>
      <c r="AC101" s="184" t="e">
        <f t="shared" si="81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82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83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84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85"/>
        <v>#DIV/0!</v>
      </c>
      <c r="AX101" s="537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53" activePane="bottomRight" state="frozen"/>
      <selection activeCell="L95" sqref="L95"/>
      <selection pane="topRight" activeCell="L95" sqref="L95"/>
      <selection pane="bottomLeft" activeCell="L95" sqref="L95"/>
      <selection pane="bottomRight" activeCell="AW68" sqref="AW6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599</v>
      </c>
      <c r="C1" s="177">
        <f>AVERAGE(L7,L27,L47,L67,L87,)</f>
        <v>66.304811994917372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363</v>
      </c>
      <c r="C7" s="182">
        <v>1</v>
      </c>
      <c r="D7" s="185" t="s">
        <v>351</v>
      </c>
      <c r="E7" s="182">
        <v>25</v>
      </c>
      <c r="F7" s="182">
        <v>2000</v>
      </c>
      <c r="G7" s="187">
        <f t="shared" ref="G7:G15" si="10">F7/E7</f>
        <v>80</v>
      </c>
      <c r="H7" s="537">
        <f>AVERAGE(G7:G21)</f>
        <v>94.861635475446221</v>
      </c>
      <c r="I7" s="188">
        <f>AVERAGE(P7,U7,Z7,AE7,AJ7,AO7,AT7)</f>
        <v>25</v>
      </c>
      <c r="J7" s="188">
        <f>AVERAGE(Q7,V7,AA7,AF7,AK7,AP7,AU7)</f>
        <v>1776.5938891853893</v>
      </c>
      <c r="K7" s="189">
        <f>AVERAGE(R7,W7,AB7,AG7,AL7,AQ7,AV7)</f>
        <v>71.063755567415569</v>
      </c>
      <c r="L7" s="538">
        <f>IFERROR(AVERAGE(K7:K21),"-")</f>
        <v>84.060158221937641</v>
      </c>
      <c r="M7" s="188">
        <f>RANK(K7, K$7:$K$21)</f>
        <v>9</v>
      </c>
      <c r="N7" s="501"/>
      <c r="O7" s="501"/>
      <c r="P7" s="186">
        <v>25</v>
      </c>
      <c r="Q7" s="186">
        <v>1776.4538272244524</v>
      </c>
      <c r="R7" s="187">
        <f t="shared" ref="R7:R15" si="11">Q7/P7</f>
        <v>71.058153088978102</v>
      </c>
      <c r="S7" s="184">
        <f>RANK(R7, R$7:R$21)</f>
        <v>9</v>
      </c>
      <c r="T7" s="537">
        <f>AVERAGE(R7:R21)</f>
        <v>84.034903532196779</v>
      </c>
      <c r="U7" s="186">
        <v>25</v>
      </c>
      <c r="V7" s="186">
        <v>1776.5809379727689</v>
      </c>
      <c r="W7" s="187">
        <f t="shared" ref="W7:W15" si="12">V7/U7</f>
        <v>71.063237518910753</v>
      </c>
      <c r="X7" s="184">
        <f>RANK(W7, W$7:W$21)</f>
        <v>9</v>
      </c>
      <c r="Y7" s="537">
        <f>AVERAGE(W7:W21)</f>
        <v>84.037375290416733</v>
      </c>
      <c r="Z7" s="186">
        <v>25</v>
      </c>
      <c r="AA7" s="186">
        <v>1776.6563292923599</v>
      </c>
      <c r="AB7" s="187">
        <f t="shared" ref="AB7:AB15" si="13">AA7/Z7</f>
        <v>71.066253171694399</v>
      </c>
      <c r="AC7" s="184">
        <f>RANK(AB7, AB$7:AB$21)</f>
        <v>9</v>
      </c>
      <c r="AD7" s="537">
        <f>AVERAGE(AB7:AB21)</f>
        <v>84.047846600494765</v>
      </c>
      <c r="AE7" s="186">
        <v>25</v>
      </c>
      <c r="AF7" s="186">
        <v>1776.5589091466213</v>
      </c>
      <c r="AG7" s="187">
        <f t="shared" ref="AG7:AG15" si="14">AF7/AE7</f>
        <v>71.062356365864858</v>
      </c>
      <c r="AH7" s="184">
        <f>RANK(AG7, AG$7:AG$21)</f>
        <v>9</v>
      </c>
      <c r="AI7" s="537">
        <f>AVERAGE(AG7:AG21)</f>
        <v>84.061974444772758</v>
      </c>
      <c r="AJ7" s="186">
        <v>25</v>
      </c>
      <c r="AK7" s="186">
        <v>1776.7006334343164</v>
      </c>
      <c r="AL7" s="187">
        <f t="shared" ref="AL7:AL15" si="15">AK7/AJ7</f>
        <v>71.06802533737266</v>
      </c>
      <c r="AM7" s="184">
        <f>RANK(AL7, AL$7:AL$21)</f>
        <v>9</v>
      </c>
      <c r="AN7" s="537">
        <f>AVERAGE(AL7:AL21)</f>
        <v>84.066338923996852</v>
      </c>
      <c r="AO7" s="186">
        <v>25</v>
      </c>
      <c r="AP7" s="186">
        <v>1776.623376623377</v>
      </c>
      <c r="AQ7" s="187">
        <f t="shared" ref="AQ7:AQ15" si="16">AP7/AO7</f>
        <v>71.064935064935085</v>
      </c>
      <c r="AR7" s="184">
        <f>RANK(AQ7, AQ$7:AQ$21)</f>
        <v>9</v>
      </c>
      <c r="AS7" s="537">
        <f>AVERAGE(AQ7:AQ21)</f>
        <v>84.072340667770121</v>
      </c>
      <c r="AT7" s="186">
        <v>25</v>
      </c>
      <c r="AU7" s="186">
        <v>1776.5832106038285</v>
      </c>
      <c r="AV7" s="187">
        <f t="shared" ref="AV7:AV15" si="17">AU7/AT7</f>
        <v>71.063328424153141</v>
      </c>
      <c r="AW7" s="184">
        <f>RANK(AV7, AV$7:AV$21)</f>
        <v>9</v>
      </c>
      <c r="AX7" s="537">
        <f>AVERAGE(AV7:AV21)</f>
        <v>84.100328093915437</v>
      </c>
    </row>
    <row r="8" spans="1:50" ht="14.25" customHeight="1">
      <c r="B8" s="501"/>
      <c r="C8" s="182">
        <v>2</v>
      </c>
      <c r="D8" s="185" t="s">
        <v>350</v>
      </c>
      <c r="E8" s="182">
        <v>23</v>
      </c>
      <c r="F8" s="182">
        <v>2000</v>
      </c>
      <c r="G8" s="187">
        <f t="shared" si="10"/>
        <v>86.956521739130437</v>
      </c>
      <c r="H8" s="537"/>
      <c r="I8" s="188">
        <f t="shared" ref="I8:K15" si="18">AVERAGE(P8,U8,Z8,AE8,AJ8,AO8,AT8)</f>
        <v>23</v>
      </c>
      <c r="J8" s="188">
        <f t="shared" si="18"/>
        <v>1771.6663771936237</v>
      </c>
      <c r="K8" s="189">
        <f t="shared" si="18"/>
        <v>77.028972921461886</v>
      </c>
      <c r="L8" s="538"/>
      <c r="M8" s="188">
        <f>RANK(K8, K$7:$K$21)</f>
        <v>7</v>
      </c>
      <c r="N8" s="501"/>
      <c r="O8" s="501"/>
      <c r="P8" s="186">
        <v>23</v>
      </c>
      <c r="Q8" s="186">
        <v>1771.0932674490402</v>
      </c>
      <c r="R8" s="187">
        <f t="shared" si="11"/>
        <v>77.00405510648001</v>
      </c>
      <c r="S8" s="184">
        <f t="shared" ref="S8:S15" si="19">RANK(R8, R$7:R$21)</f>
        <v>7</v>
      </c>
      <c r="T8" s="537"/>
      <c r="U8" s="186">
        <v>23</v>
      </c>
      <c r="V8" s="186">
        <v>1771.3717693837025</v>
      </c>
      <c r="W8" s="187">
        <f t="shared" si="12"/>
        <v>77.016163886247938</v>
      </c>
      <c r="X8" s="184">
        <f t="shared" ref="X8:X15" si="20">RANK(W8, W$7:W$21)</f>
        <v>7</v>
      </c>
      <c r="Y8" s="537"/>
      <c r="Z8" s="186">
        <v>23</v>
      </c>
      <c r="AA8" s="186">
        <v>1771.3147410358561</v>
      </c>
      <c r="AB8" s="187">
        <f t="shared" si="13"/>
        <v>77.013684392863311</v>
      </c>
      <c r="AC8" s="184">
        <f t="shared" ref="AC8:AC15" si="21">RANK(AB8, AB$7:AB$21)</f>
        <v>7</v>
      </c>
      <c r="AD8" s="537"/>
      <c r="AE8" s="186">
        <v>23</v>
      </c>
      <c r="AF8" s="186">
        <v>1771.9180177424307</v>
      </c>
      <c r="AG8" s="187">
        <f t="shared" si="14"/>
        <v>77.039913814888294</v>
      </c>
      <c r="AH8" s="184">
        <f t="shared" ref="AH8:AH15" si="22">RANK(AG8, AG$7:AG$21)</f>
        <v>7</v>
      </c>
      <c r="AI8" s="537"/>
      <c r="AJ8" s="186">
        <v>23</v>
      </c>
      <c r="AK8" s="186">
        <v>1771.9220055710316</v>
      </c>
      <c r="AL8" s="187">
        <f t="shared" si="15"/>
        <v>77.040087198740508</v>
      </c>
      <c r="AM8" s="184">
        <f t="shared" ref="AM8:AM15" si="23">RANK(AL8, AL$7:AL$21)</f>
        <v>7</v>
      </c>
      <c r="AN8" s="537"/>
      <c r="AO8" s="186">
        <v>23</v>
      </c>
      <c r="AP8" s="186">
        <v>1771.9714964370557</v>
      </c>
      <c r="AQ8" s="187">
        <f t="shared" si="16"/>
        <v>77.042238975524157</v>
      </c>
      <c r="AR8" s="184">
        <f t="shared" ref="AR8:AR15" si="24">RANK(AQ8, AQ$7:AQ$21)</f>
        <v>7</v>
      </c>
      <c r="AS8" s="537"/>
      <c r="AT8" s="186">
        <v>23</v>
      </c>
      <c r="AU8" s="186">
        <v>1772.0733427362477</v>
      </c>
      <c r="AV8" s="187">
        <f t="shared" si="17"/>
        <v>77.046667075489026</v>
      </c>
      <c r="AW8" s="184">
        <f t="shared" ref="AW8:AW15" si="25">RANK(AV8, AV$7:AV$21)</f>
        <v>7</v>
      </c>
      <c r="AX8" s="537"/>
    </row>
    <row r="9" spans="1:50" ht="14.25" customHeight="1">
      <c r="B9" s="501"/>
      <c r="C9" s="182">
        <v>3</v>
      </c>
      <c r="D9" s="185" t="s">
        <v>364</v>
      </c>
      <c r="E9" s="182">
        <v>23</v>
      </c>
      <c r="F9" s="182">
        <v>2000</v>
      </c>
      <c r="G9" s="187">
        <f t="shared" si="10"/>
        <v>86.956521739130437</v>
      </c>
      <c r="H9" s="537"/>
      <c r="I9" s="188">
        <f t="shared" si="18"/>
        <v>23</v>
      </c>
      <c r="J9" s="188">
        <f t="shared" si="18"/>
        <v>1772.5618171350704</v>
      </c>
      <c r="K9" s="189">
        <f t="shared" si="18"/>
        <v>77.06790509282915</v>
      </c>
      <c r="L9" s="538"/>
      <c r="M9" s="188">
        <f>RANK(K9, K$7:$K$21)</f>
        <v>6</v>
      </c>
      <c r="N9" s="501"/>
      <c r="O9" s="501"/>
      <c r="P9" s="186">
        <v>23</v>
      </c>
      <c r="Q9" s="186">
        <v>1772.610222395627</v>
      </c>
      <c r="R9" s="187">
        <f t="shared" si="11"/>
        <v>77.070009669375082</v>
      </c>
      <c r="S9" s="184">
        <f t="shared" si="19"/>
        <v>6</v>
      </c>
      <c r="T9" s="537"/>
      <c r="U9" s="186">
        <v>23</v>
      </c>
      <c r="V9" s="186">
        <v>1772.8241563055058</v>
      </c>
      <c r="W9" s="187">
        <f t="shared" si="12"/>
        <v>77.079311143717646</v>
      </c>
      <c r="X9" s="184">
        <f t="shared" si="20"/>
        <v>6</v>
      </c>
      <c r="Y9" s="537"/>
      <c r="Z9" s="186">
        <v>23</v>
      </c>
      <c r="AA9" s="186">
        <v>1772.3342939481274</v>
      </c>
      <c r="AB9" s="187">
        <f t="shared" si="13"/>
        <v>77.058012780353366</v>
      </c>
      <c r="AC9" s="184">
        <f t="shared" si="21"/>
        <v>6</v>
      </c>
      <c r="AD9" s="537"/>
      <c r="AE9" s="186">
        <v>23</v>
      </c>
      <c r="AF9" s="186">
        <v>1772.7042965459118</v>
      </c>
      <c r="AG9" s="187">
        <f t="shared" si="14"/>
        <v>77.074099849822247</v>
      </c>
      <c r="AH9" s="184">
        <f t="shared" si="22"/>
        <v>6</v>
      </c>
      <c r="AI9" s="537"/>
      <c r="AJ9" s="186">
        <v>23</v>
      </c>
      <c r="AK9" s="186">
        <v>1772.4813798510372</v>
      </c>
      <c r="AL9" s="187">
        <f t="shared" si="15"/>
        <v>77.06440781961031</v>
      </c>
      <c r="AM9" s="184">
        <f t="shared" si="23"/>
        <v>6</v>
      </c>
      <c r="AN9" s="537"/>
      <c r="AO9" s="186">
        <v>23</v>
      </c>
      <c r="AP9" s="186">
        <v>1772.5434551259295</v>
      </c>
      <c r="AQ9" s="187">
        <f t="shared" si="16"/>
        <v>77.067106744605638</v>
      </c>
      <c r="AR9" s="184">
        <f t="shared" si="24"/>
        <v>6</v>
      </c>
      <c r="AS9" s="537"/>
      <c r="AT9" s="186">
        <v>23</v>
      </c>
      <c r="AU9" s="186">
        <v>1772.4349157733543</v>
      </c>
      <c r="AV9" s="187">
        <f t="shared" si="17"/>
        <v>77.062387642319749</v>
      </c>
      <c r="AW9" s="184">
        <f t="shared" si="25"/>
        <v>6</v>
      </c>
      <c r="AX9" s="537"/>
    </row>
    <row r="10" spans="1:50" ht="14.25" customHeight="1">
      <c r="B10" s="501"/>
      <c r="C10" s="182">
        <v>4</v>
      </c>
      <c r="D10" s="185" t="s">
        <v>352</v>
      </c>
      <c r="E10" s="182">
        <v>23</v>
      </c>
      <c r="F10" s="182">
        <v>2000</v>
      </c>
      <c r="G10" s="187">
        <f t="shared" si="10"/>
        <v>86.956521739130437</v>
      </c>
      <c r="H10" s="537"/>
      <c r="I10" s="188">
        <f t="shared" si="18"/>
        <v>23</v>
      </c>
      <c r="J10" s="188">
        <f t="shared" si="18"/>
        <v>1768.8804961190392</v>
      </c>
      <c r="K10" s="189">
        <f t="shared" si="18"/>
        <v>76.907847657349521</v>
      </c>
      <c r="L10" s="538"/>
      <c r="M10" s="188">
        <f>RANK(K10, K$7:$K$21)</f>
        <v>8</v>
      </c>
      <c r="N10" s="501"/>
      <c r="O10" s="501"/>
      <c r="P10" s="186">
        <v>23</v>
      </c>
      <c r="Q10" s="186">
        <v>1768.4411858463477</v>
      </c>
      <c r="R10" s="187">
        <f t="shared" si="11"/>
        <v>76.888747210710775</v>
      </c>
      <c r="S10" s="184">
        <f t="shared" si="19"/>
        <v>8</v>
      </c>
      <c r="T10" s="537"/>
      <c r="U10" s="186">
        <v>23</v>
      </c>
      <c r="V10" s="186">
        <v>1768.0027884280212</v>
      </c>
      <c r="W10" s="187">
        <f t="shared" si="12"/>
        <v>76.86968645339222</v>
      </c>
      <c r="X10" s="184">
        <f t="shared" si="20"/>
        <v>8</v>
      </c>
      <c r="Y10" s="537"/>
      <c r="Z10" s="186">
        <v>23</v>
      </c>
      <c r="AA10" s="186">
        <v>1768.2162162162149</v>
      </c>
      <c r="AB10" s="187">
        <f t="shared" si="13"/>
        <v>76.878965922444124</v>
      </c>
      <c r="AC10" s="184">
        <f t="shared" si="21"/>
        <v>8</v>
      </c>
      <c r="AD10" s="537"/>
      <c r="AE10" s="186">
        <v>23</v>
      </c>
      <c r="AF10" s="186">
        <v>1768.5754189944134</v>
      </c>
      <c r="AG10" s="187">
        <f t="shared" si="14"/>
        <v>76.894583434539712</v>
      </c>
      <c r="AH10" s="184">
        <f t="shared" si="22"/>
        <v>8</v>
      </c>
      <c r="AI10" s="537"/>
      <c r="AJ10" s="186">
        <v>23</v>
      </c>
      <c r="AK10" s="186">
        <v>1768.6567164179135</v>
      </c>
      <c r="AL10" s="187">
        <f t="shared" si="15"/>
        <v>76.89811810512667</v>
      </c>
      <c r="AM10" s="184">
        <f t="shared" si="23"/>
        <v>8</v>
      </c>
      <c r="AN10" s="537"/>
      <c r="AO10" s="186">
        <v>23</v>
      </c>
      <c r="AP10" s="186">
        <v>1768.8940092165888</v>
      </c>
      <c r="AQ10" s="187">
        <f t="shared" si="16"/>
        <v>76.908435183329942</v>
      </c>
      <c r="AR10" s="184">
        <f t="shared" si="24"/>
        <v>8</v>
      </c>
      <c r="AS10" s="537"/>
      <c r="AT10" s="186">
        <v>23</v>
      </c>
      <c r="AU10" s="186">
        <v>1771.3771377137748</v>
      </c>
      <c r="AV10" s="187">
        <f t="shared" si="17"/>
        <v>77.016397291903246</v>
      </c>
      <c r="AW10" s="184">
        <f t="shared" si="25"/>
        <v>8</v>
      </c>
      <c r="AX10" s="537"/>
    </row>
    <row r="11" spans="1:50" ht="14.25" customHeight="1">
      <c r="B11" s="501"/>
      <c r="C11" s="182">
        <v>5</v>
      </c>
      <c r="D11" s="185" t="s">
        <v>353</v>
      </c>
      <c r="E11" s="182">
        <v>17</v>
      </c>
      <c r="F11" s="182">
        <v>2000</v>
      </c>
      <c r="G11" s="187">
        <f t="shared" si="10"/>
        <v>117.64705882352941</v>
      </c>
      <c r="H11" s="537"/>
      <c r="I11" s="188">
        <f t="shared" si="18"/>
        <v>17</v>
      </c>
      <c r="J11" s="188">
        <f t="shared" si="18"/>
        <v>1774.1232713177374</v>
      </c>
      <c r="K11" s="189">
        <f t="shared" si="18"/>
        <v>104.36019243045511</v>
      </c>
      <c r="L11" s="538"/>
      <c r="M11" s="188">
        <f>RANK(K11, K$7:$K$21)</f>
        <v>1</v>
      </c>
      <c r="N11" s="501"/>
      <c r="O11" s="501"/>
      <c r="P11" s="186">
        <v>17</v>
      </c>
      <c r="Q11" s="186">
        <v>1773.4513274336273</v>
      </c>
      <c r="R11" s="187">
        <f t="shared" si="11"/>
        <v>104.32066631962513</v>
      </c>
      <c r="S11" s="184">
        <f t="shared" si="19"/>
        <v>1</v>
      </c>
      <c r="T11" s="537"/>
      <c r="U11" s="186">
        <v>17</v>
      </c>
      <c r="V11" s="186">
        <v>1773.134328358215</v>
      </c>
      <c r="W11" s="187">
        <f t="shared" si="12"/>
        <v>104.30201931518911</v>
      </c>
      <c r="X11" s="184">
        <f t="shared" si="20"/>
        <v>1</v>
      </c>
      <c r="Y11" s="537"/>
      <c r="Z11" s="186">
        <v>17</v>
      </c>
      <c r="AA11" s="186">
        <v>1774.2038216560536</v>
      </c>
      <c r="AB11" s="187">
        <f t="shared" si="13"/>
        <v>104.36493068565021</v>
      </c>
      <c r="AC11" s="184">
        <f t="shared" si="21"/>
        <v>1</v>
      </c>
      <c r="AD11" s="537"/>
      <c r="AE11" s="186">
        <v>17</v>
      </c>
      <c r="AF11" s="186">
        <v>1774.6854182087382</v>
      </c>
      <c r="AG11" s="187">
        <f t="shared" si="14"/>
        <v>104.39325989463165</v>
      </c>
      <c r="AH11" s="184">
        <f t="shared" si="22"/>
        <v>1</v>
      </c>
      <c r="AI11" s="537"/>
      <c r="AJ11" s="186">
        <v>17</v>
      </c>
      <c r="AK11" s="186">
        <v>1774.1105223315774</v>
      </c>
      <c r="AL11" s="187">
        <f t="shared" si="15"/>
        <v>104.35944249009279</v>
      </c>
      <c r="AM11" s="184">
        <f t="shared" si="23"/>
        <v>1</v>
      </c>
      <c r="AN11" s="537"/>
      <c r="AO11" s="186">
        <v>17</v>
      </c>
      <c r="AP11" s="186">
        <v>1774.7663551401947</v>
      </c>
      <c r="AQ11" s="187">
        <f t="shared" si="16"/>
        <v>104.3980208905997</v>
      </c>
      <c r="AR11" s="184">
        <f t="shared" si="24"/>
        <v>1</v>
      </c>
      <c r="AS11" s="537"/>
      <c r="AT11" s="186">
        <v>17</v>
      </c>
      <c r="AU11" s="186">
        <v>1774.5111260957538</v>
      </c>
      <c r="AV11" s="187">
        <f t="shared" si="17"/>
        <v>104.38300741739728</v>
      </c>
      <c r="AW11" s="184">
        <f t="shared" si="25"/>
        <v>1</v>
      </c>
      <c r="AX11" s="537"/>
    </row>
    <row r="12" spans="1:50" ht="14.25" customHeight="1">
      <c r="B12" s="501"/>
      <c r="C12" s="182">
        <v>6</v>
      </c>
      <c r="D12" s="185" t="s">
        <v>462</v>
      </c>
      <c r="E12" s="182">
        <v>20</v>
      </c>
      <c r="F12" s="182">
        <v>2000</v>
      </c>
      <c r="G12" s="187">
        <f t="shared" si="10"/>
        <v>100</v>
      </c>
      <c r="H12" s="537"/>
      <c r="I12" s="188">
        <f t="shared" si="18"/>
        <v>20</v>
      </c>
      <c r="J12" s="188">
        <f t="shared" si="18"/>
        <v>1769.6165508598058</v>
      </c>
      <c r="K12" s="189">
        <f t="shared" si="18"/>
        <v>88.480827542990284</v>
      </c>
      <c r="L12" s="538"/>
      <c r="M12" s="188">
        <f>RANK(K12, K$7:$K$21)</f>
        <v>3</v>
      </c>
      <c r="N12" s="501"/>
      <c r="O12" s="501"/>
      <c r="P12" s="186">
        <v>20</v>
      </c>
      <c r="Q12" s="186">
        <v>1767.5941080196319</v>
      </c>
      <c r="R12" s="187">
        <f t="shared" si="11"/>
        <v>88.379705400981592</v>
      </c>
      <c r="S12" s="184">
        <f t="shared" si="19"/>
        <v>3</v>
      </c>
      <c r="T12" s="537"/>
      <c r="U12" s="186">
        <v>20</v>
      </c>
      <c r="V12" s="186">
        <v>1768.2692307692398</v>
      </c>
      <c r="W12" s="187">
        <f t="shared" si="12"/>
        <v>88.413461538461988</v>
      </c>
      <c r="X12" s="184">
        <f t="shared" si="20"/>
        <v>3</v>
      </c>
      <c r="Y12" s="537"/>
      <c r="Z12" s="186">
        <v>20</v>
      </c>
      <c r="AA12" s="186">
        <v>1768.8581314878963</v>
      </c>
      <c r="AB12" s="187">
        <f t="shared" si="13"/>
        <v>88.442906574394812</v>
      </c>
      <c r="AC12" s="184">
        <f t="shared" si="21"/>
        <v>3</v>
      </c>
      <c r="AD12" s="537"/>
      <c r="AE12" s="186">
        <v>20</v>
      </c>
      <c r="AF12" s="186">
        <v>1769.4915254237349</v>
      </c>
      <c r="AG12" s="187">
        <f t="shared" si="14"/>
        <v>88.474576271186748</v>
      </c>
      <c r="AH12" s="184">
        <f t="shared" si="22"/>
        <v>3</v>
      </c>
      <c r="AI12" s="537"/>
      <c r="AJ12" s="186">
        <v>20</v>
      </c>
      <c r="AK12" s="186">
        <v>1770.3775411422957</v>
      </c>
      <c r="AL12" s="187">
        <f t="shared" si="15"/>
        <v>88.518877057114793</v>
      </c>
      <c r="AM12" s="184">
        <f t="shared" si="23"/>
        <v>3</v>
      </c>
      <c r="AN12" s="537"/>
      <c r="AO12" s="186">
        <v>20</v>
      </c>
      <c r="AP12" s="186">
        <v>1770.3703703703732</v>
      </c>
      <c r="AQ12" s="187">
        <f t="shared" si="16"/>
        <v>88.518518518518661</v>
      </c>
      <c r="AR12" s="184">
        <f t="shared" si="24"/>
        <v>3</v>
      </c>
      <c r="AS12" s="537"/>
      <c r="AT12" s="186">
        <v>20</v>
      </c>
      <c r="AU12" s="186">
        <v>1772.3549488054689</v>
      </c>
      <c r="AV12" s="187">
        <f t="shared" si="17"/>
        <v>88.617747440273448</v>
      </c>
      <c r="AW12" s="184">
        <f t="shared" si="25"/>
        <v>3</v>
      </c>
      <c r="AX12" s="537"/>
    </row>
    <row r="13" spans="1:50" ht="14.25" customHeight="1">
      <c r="B13" s="501"/>
      <c r="C13" s="182">
        <v>7</v>
      </c>
      <c r="D13" s="185" t="s">
        <v>486</v>
      </c>
      <c r="E13" s="182">
        <v>21</v>
      </c>
      <c r="F13" s="182">
        <v>2000</v>
      </c>
      <c r="G13" s="187">
        <f t="shared" si="10"/>
        <v>95.238095238095241</v>
      </c>
      <c r="H13" s="537"/>
      <c r="I13" s="188">
        <f t="shared" si="18"/>
        <v>21</v>
      </c>
      <c r="J13" s="188">
        <f t="shared" si="18"/>
        <v>1770.0272035862183</v>
      </c>
      <c r="K13" s="189">
        <f t="shared" si="18"/>
        <v>84.287009694581826</v>
      </c>
      <c r="L13" s="538"/>
      <c r="M13" s="188">
        <f>RANK(K13, K$7:$K$21)</f>
        <v>4</v>
      </c>
      <c r="N13" s="501"/>
      <c r="O13" s="501"/>
      <c r="P13" s="186">
        <v>21</v>
      </c>
      <c r="Q13" s="186">
        <v>1769.5652173913045</v>
      </c>
      <c r="R13" s="187">
        <f t="shared" si="11"/>
        <v>84.265010351966879</v>
      </c>
      <c r="S13" s="184">
        <f t="shared" si="19"/>
        <v>4</v>
      </c>
      <c r="T13" s="537"/>
      <c r="U13" s="186">
        <v>21</v>
      </c>
      <c r="V13" s="186">
        <v>1769.5635076681035</v>
      </c>
      <c r="W13" s="187">
        <f t="shared" si="12"/>
        <v>84.264928936576354</v>
      </c>
      <c r="X13" s="184">
        <f t="shared" si="20"/>
        <v>4</v>
      </c>
      <c r="Y13" s="537"/>
      <c r="Z13" s="186">
        <v>21</v>
      </c>
      <c r="AA13" s="186">
        <v>1769.5505074915416</v>
      </c>
      <c r="AB13" s="187">
        <f t="shared" si="13"/>
        <v>84.264309880549604</v>
      </c>
      <c r="AC13" s="184">
        <f t="shared" si="21"/>
        <v>4</v>
      </c>
      <c r="AD13" s="537"/>
      <c r="AE13" s="186">
        <v>21</v>
      </c>
      <c r="AF13" s="186">
        <v>1769.7029702970333</v>
      </c>
      <c r="AG13" s="187">
        <f t="shared" si="14"/>
        <v>84.271570014144444</v>
      </c>
      <c r="AH13" s="184">
        <f t="shared" si="22"/>
        <v>4</v>
      </c>
      <c r="AI13" s="537"/>
      <c r="AJ13" s="186">
        <v>21</v>
      </c>
      <c r="AK13" s="186">
        <v>1770.1310043668047</v>
      </c>
      <c r="AL13" s="187">
        <f t="shared" si="15"/>
        <v>84.291952588895469</v>
      </c>
      <c r="AM13" s="184">
        <f t="shared" si="23"/>
        <v>4</v>
      </c>
      <c r="AN13" s="537"/>
      <c r="AO13" s="186">
        <v>21</v>
      </c>
      <c r="AP13" s="186">
        <v>1770.4312114989696</v>
      </c>
      <c r="AQ13" s="187">
        <f t="shared" si="16"/>
        <v>84.306248166617593</v>
      </c>
      <c r="AR13" s="184">
        <f t="shared" si="24"/>
        <v>4</v>
      </c>
      <c r="AS13" s="537"/>
      <c r="AT13" s="186">
        <v>21</v>
      </c>
      <c r="AU13" s="186">
        <v>1771.2460063897709</v>
      </c>
      <c r="AV13" s="187">
        <f t="shared" si="17"/>
        <v>84.345047923322426</v>
      </c>
      <c r="AW13" s="184">
        <f t="shared" si="25"/>
        <v>4</v>
      </c>
      <c r="AX13" s="537"/>
    </row>
    <row r="14" spans="1:50" ht="14.25" customHeight="1">
      <c r="B14" s="501"/>
      <c r="C14" s="182">
        <v>8</v>
      </c>
      <c r="D14" s="185" t="s">
        <v>563</v>
      </c>
      <c r="E14" s="182">
        <v>19</v>
      </c>
      <c r="F14" s="182">
        <v>1800</v>
      </c>
      <c r="G14" s="187">
        <f t="shared" si="10"/>
        <v>94.736842105263165</v>
      </c>
      <c r="H14" s="537"/>
      <c r="I14" s="188">
        <f t="shared" si="18"/>
        <v>19</v>
      </c>
      <c r="J14" s="188">
        <f t="shared" si="18"/>
        <v>1597.4563273957122</v>
      </c>
      <c r="K14" s="189">
        <f t="shared" si="18"/>
        <v>84.07664881030064</v>
      </c>
      <c r="L14" s="538"/>
      <c r="M14" s="188">
        <f>RANK(K14, K$7:$K$21)</f>
        <v>5</v>
      </c>
      <c r="N14" s="501"/>
      <c r="O14" s="501"/>
      <c r="P14" s="186">
        <v>19</v>
      </c>
      <c r="Q14" s="186">
        <v>1597.2628985903918</v>
      </c>
      <c r="R14" s="187">
        <f t="shared" si="11"/>
        <v>84.066468346862735</v>
      </c>
      <c r="S14" s="184">
        <f t="shared" si="19"/>
        <v>5</v>
      </c>
      <c r="T14" s="537"/>
      <c r="U14" s="186">
        <v>19</v>
      </c>
      <c r="V14" s="186">
        <v>1597.3244147157184</v>
      </c>
      <c r="W14" s="187">
        <f t="shared" si="12"/>
        <v>84.069706037669391</v>
      </c>
      <c r="X14" s="184">
        <f t="shared" si="20"/>
        <v>5</v>
      </c>
      <c r="Y14" s="537"/>
      <c r="Z14" s="186">
        <v>19</v>
      </c>
      <c r="AA14" s="186">
        <v>1597.3838209982787</v>
      </c>
      <c r="AB14" s="187">
        <f t="shared" si="13"/>
        <v>84.07283268411993</v>
      </c>
      <c r="AC14" s="184">
        <f t="shared" si="21"/>
        <v>5</v>
      </c>
      <c r="AD14" s="537"/>
      <c r="AE14" s="186">
        <v>19</v>
      </c>
      <c r="AF14" s="186">
        <v>1597.3937123309968</v>
      </c>
      <c r="AG14" s="187">
        <f t="shared" si="14"/>
        <v>84.073353280578772</v>
      </c>
      <c r="AH14" s="184">
        <f t="shared" si="22"/>
        <v>5</v>
      </c>
      <c r="AI14" s="537"/>
      <c r="AJ14" s="186">
        <v>19</v>
      </c>
      <c r="AK14" s="186">
        <v>1597.5346687211081</v>
      </c>
      <c r="AL14" s="187">
        <f t="shared" si="15"/>
        <v>84.080772037953054</v>
      </c>
      <c r="AM14" s="184">
        <f t="shared" si="23"/>
        <v>5</v>
      </c>
      <c r="AN14" s="537"/>
      <c r="AO14" s="186">
        <v>19</v>
      </c>
      <c r="AP14" s="186">
        <v>1597.5449614616048</v>
      </c>
      <c r="AQ14" s="187">
        <f t="shared" si="16"/>
        <v>84.081313761137096</v>
      </c>
      <c r="AR14" s="184">
        <f t="shared" si="24"/>
        <v>5</v>
      </c>
      <c r="AS14" s="537"/>
      <c r="AT14" s="186">
        <v>19</v>
      </c>
      <c r="AU14" s="186">
        <v>1597.7498149518867</v>
      </c>
      <c r="AV14" s="187">
        <f t="shared" si="17"/>
        <v>84.092095523783513</v>
      </c>
      <c r="AW14" s="184">
        <f t="shared" si="25"/>
        <v>5</v>
      </c>
      <c r="AX14" s="537"/>
    </row>
    <row r="15" spans="1:50" ht="14.25" customHeight="1">
      <c r="B15" s="501"/>
      <c r="C15" s="182">
        <v>9</v>
      </c>
      <c r="D15" s="185" t="s">
        <v>524</v>
      </c>
      <c r="E15" s="182">
        <v>19</v>
      </c>
      <c r="F15" s="182">
        <v>2000</v>
      </c>
      <c r="G15" s="187">
        <f t="shared" si="10"/>
        <v>105.26315789473684</v>
      </c>
      <c r="H15" s="537"/>
      <c r="I15" s="188">
        <f t="shared" si="18"/>
        <v>19</v>
      </c>
      <c r="J15" s="188">
        <f t="shared" si="18"/>
        <v>1772.0970213210396</v>
      </c>
      <c r="K15" s="189">
        <f t="shared" si="18"/>
        <v>93.268264280054709</v>
      </c>
      <c r="L15" s="538"/>
      <c r="M15" s="188">
        <f>RANK(K15, K$7:$K$21)</f>
        <v>2</v>
      </c>
      <c r="N15" s="501"/>
      <c r="O15" s="501"/>
      <c r="P15" s="186">
        <v>19</v>
      </c>
      <c r="Q15" s="186">
        <v>1771.9650096010239</v>
      </c>
      <c r="R15" s="187">
        <f t="shared" si="11"/>
        <v>93.261316294790731</v>
      </c>
      <c r="S15" s="184">
        <f t="shared" si="19"/>
        <v>2</v>
      </c>
      <c r="T15" s="537"/>
      <c r="U15" s="186">
        <v>19</v>
      </c>
      <c r="V15" s="186">
        <v>1771.8993928881184</v>
      </c>
      <c r="W15" s="187">
        <f t="shared" si="12"/>
        <v>93.257862783585182</v>
      </c>
      <c r="X15" s="184">
        <f t="shared" si="20"/>
        <v>2</v>
      </c>
      <c r="Y15" s="537"/>
      <c r="Z15" s="186">
        <v>19</v>
      </c>
      <c r="AA15" s="186">
        <v>1772.1057429352784</v>
      </c>
      <c r="AB15" s="187">
        <f t="shared" si="13"/>
        <v>93.268723312383074</v>
      </c>
      <c r="AC15" s="184">
        <f t="shared" si="21"/>
        <v>2</v>
      </c>
      <c r="AD15" s="537"/>
      <c r="AE15" s="186">
        <v>19</v>
      </c>
      <c r="AF15" s="186">
        <v>1772.2070844686659</v>
      </c>
      <c r="AG15" s="187">
        <f t="shared" si="14"/>
        <v>93.27405707729821</v>
      </c>
      <c r="AH15" s="184">
        <f t="shared" si="22"/>
        <v>2</v>
      </c>
      <c r="AI15" s="537"/>
      <c r="AJ15" s="186">
        <v>19</v>
      </c>
      <c r="AK15" s="186">
        <v>1772.2319859402444</v>
      </c>
      <c r="AL15" s="187">
        <f t="shared" si="15"/>
        <v>93.275367681065489</v>
      </c>
      <c r="AM15" s="184">
        <f t="shared" si="23"/>
        <v>2</v>
      </c>
      <c r="AN15" s="537"/>
      <c r="AO15" s="186">
        <v>19</v>
      </c>
      <c r="AP15" s="186">
        <v>1772.0207253886012</v>
      </c>
      <c r="AQ15" s="187">
        <f t="shared" si="16"/>
        <v>93.264248704663217</v>
      </c>
      <c r="AR15" s="184">
        <f t="shared" si="24"/>
        <v>2</v>
      </c>
      <c r="AS15" s="537"/>
      <c r="AT15" s="186">
        <v>19</v>
      </c>
      <c r="AU15" s="186">
        <v>1772.2492080253437</v>
      </c>
      <c r="AV15" s="187">
        <f t="shared" si="17"/>
        <v>93.276274106597043</v>
      </c>
      <c r="AW15" s="184">
        <f t="shared" si="25"/>
        <v>2</v>
      </c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6"/>
      <c r="Q16" s="186"/>
      <c r="R16" s="187"/>
      <c r="S16" s="184"/>
      <c r="T16" s="537"/>
      <c r="U16" s="186"/>
      <c r="V16" s="186"/>
      <c r="W16" s="187"/>
      <c r="X16" s="184"/>
      <c r="Y16" s="537"/>
      <c r="Z16" s="186"/>
      <c r="AA16" s="186"/>
      <c r="AB16" s="187"/>
      <c r="AC16" s="184"/>
      <c r="AD16" s="537"/>
      <c r="AE16" s="186"/>
      <c r="AF16" s="186"/>
      <c r="AG16" s="187"/>
      <c r="AH16" s="184"/>
      <c r="AI16" s="537"/>
      <c r="AJ16" s="186"/>
      <c r="AK16" s="186"/>
      <c r="AL16" s="187"/>
      <c r="AM16" s="184"/>
      <c r="AN16" s="537"/>
      <c r="AO16" s="186"/>
      <c r="AP16" s="186"/>
      <c r="AQ16" s="187"/>
      <c r="AR16" s="184"/>
      <c r="AS16" s="537"/>
      <c r="AT16" s="186"/>
      <c r="AU16" s="186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6"/>
      <c r="Q17" s="186"/>
      <c r="R17" s="187"/>
      <c r="S17" s="184"/>
      <c r="T17" s="537"/>
      <c r="U17" s="186"/>
      <c r="V17" s="186"/>
      <c r="W17" s="187"/>
      <c r="X17" s="184"/>
      <c r="Y17" s="537"/>
      <c r="Z17" s="186"/>
      <c r="AA17" s="186"/>
      <c r="AB17" s="187"/>
      <c r="AC17" s="184"/>
      <c r="AD17" s="537"/>
      <c r="AE17" s="186"/>
      <c r="AF17" s="186"/>
      <c r="AG17" s="187"/>
      <c r="AH17" s="184"/>
      <c r="AI17" s="537"/>
      <c r="AJ17" s="186"/>
      <c r="AK17" s="186"/>
      <c r="AL17" s="187"/>
      <c r="AM17" s="184"/>
      <c r="AN17" s="537"/>
      <c r="AO17" s="186"/>
      <c r="AP17" s="186"/>
      <c r="AQ17" s="187"/>
      <c r="AR17" s="184"/>
      <c r="AS17" s="537"/>
      <c r="AT17" s="186"/>
      <c r="AU17" s="186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6"/>
      <c r="Q18" s="186"/>
      <c r="R18" s="187"/>
      <c r="S18" s="184"/>
      <c r="T18" s="537"/>
      <c r="U18" s="186"/>
      <c r="V18" s="186"/>
      <c r="W18" s="187"/>
      <c r="X18" s="184"/>
      <c r="Y18" s="537"/>
      <c r="Z18" s="186"/>
      <c r="AA18" s="186"/>
      <c r="AB18" s="187"/>
      <c r="AC18" s="184"/>
      <c r="AD18" s="537"/>
      <c r="AE18" s="186"/>
      <c r="AF18" s="186"/>
      <c r="AG18" s="187"/>
      <c r="AH18" s="184"/>
      <c r="AI18" s="537"/>
      <c r="AJ18" s="186"/>
      <c r="AK18" s="186"/>
      <c r="AL18" s="187"/>
      <c r="AM18" s="184"/>
      <c r="AN18" s="537"/>
      <c r="AO18" s="186"/>
      <c r="AP18" s="186"/>
      <c r="AQ18" s="187"/>
      <c r="AR18" s="184"/>
      <c r="AS18" s="537"/>
      <c r="AT18" s="186"/>
      <c r="AU18" s="186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6"/>
      <c r="Q19" s="186"/>
      <c r="R19" s="187"/>
      <c r="S19" s="184"/>
      <c r="T19" s="537"/>
      <c r="U19" s="186"/>
      <c r="V19" s="186"/>
      <c r="W19" s="187"/>
      <c r="X19" s="184"/>
      <c r="Y19" s="537"/>
      <c r="Z19" s="186"/>
      <c r="AA19" s="186"/>
      <c r="AB19" s="187"/>
      <c r="AC19" s="184"/>
      <c r="AD19" s="537"/>
      <c r="AE19" s="186"/>
      <c r="AF19" s="186"/>
      <c r="AG19" s="187"/>
      <c r="AH19" s="184"/>
      <c r="AI19" s="537"/>
      <c r="AJ19" s="186"/>
      <c r="AK19" s="186"/>
      <c r="AL19" s="187"/>
      <c r="AM19" s="184"/>
      <c r="AN19" s="537"/>
      <c r="AO19" s="186"/>
      <c r="AP19" s="186"/>
      <c r="AQ19" s="187"/>
      <c r="AR19" s="184"/>
      <c r="AS19" s="537"/>
      <c r="AT19" s="186"/>
      <c r="AU19" s="186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363</v>
      </c>
      <c r="C27" s="182">
        <v>1</v>
      </c>
      <c r="D27" s="185" t="s">
        <v>351</v>
      </c>
      <c r="E27" s="182">
        <v>25</v>
      </c>
      <c r="F27" s="182">
        <v>2000</v>
      </c>
      <c r="G27" s="187">
        <f t="shared" ref="G27:G35" si="36">F27/E27</f>
        <v>80</v>
      </c>
      <c r="H27" s="537">
        <f>AVERAGE(G27:G41)</f>
        <v>94.861635475446221</v>
      </c>
      <c r="I27" s="188">
        <f>AVERAGE(P27,U27,Z27,AE27,AJ27,AO27,AT27)</f>
        <v>25</v>
      </c>
      <c r="J27" s="188">
        <f>AVERAGE(Q27,V27,AA27,AF27,AK27,AP27,AU27)</f>
        <v>1776.5431132553729</v>
      </c>
      <c r="K27" s="189">
        <f>AVERAGE(R27,W27,AB27,AG27,AL27,AQ27,AV27)</f>
        <v>71.061724530214903</v>
      </c>
      <c r="L27" s="538">
        <f>IFERROR(AVERAGE(K27:K41),"-")</f>
        <v>84.132341587743639</v>
      </c>
      <c r="M27" s="188">
        <f>RANK(K27, K$27:$K$41)</f>
        <v>9</v>
      </c>
      <c r="N27" s="501"/>
      <c r="O27" s="501"/>
      <c r="P27" s="190">
        <v>25</v>
      </c>
      <c r="Q27" s="190">
        <v>1776.5013054830285</v>
      </c>
      <c r="R27" s="187">
        <f>IFERROR(Q27/P27,"")</f>
        <v>71.060052219321136</v>
      </c>
      <c r="S27" s="184">
        <f>RANK(R27, R$27:R$41)</f>
        <v>9</v>
      </c>
      <c r="T27" s="537">
        <f>AVERAGE(R27:R41)</f>
        <v>84.114881896691031</v>
      </c>
      <c r="U27" s="190">
        <v>25</v>
      </c>
      <c r="V27" s="190">
        <v>1776.6233766233772</v>
      </c>
      <c r="W27" s="187">
        <f t="shared" ref="W27:W35" si="37">IFERROR(V27/U27,"")</f>
        <v>71.064935064935085</v>
      </c>
      <c r="X27" s="184">
        <f>RANK(W27, W$27:W$41)</f>
        <v>9</v>
      </c>
      <c r="Y27" s="537">
        <f>AVERAGE(W27:W41)</f>
        <v>84.118461252086718</v>
      </c>
      <c r="Z27" s="190">
        <v>25</v>
      </c>
      <c r="AA27" s="190">
        <v>1776.5563948945041</v>
      </c>
      <c r="AB27" s="187">
        <f t="shared" ref="AB27:AB35" si="38">IFERROR(AA27/Z27,"")</f>
        <v>71.06225579578016</v>
      </c>
      <c r="AC27" s="184">
        <f>RANK(AB27, AB$27:AB$41)</f>
        <v>9</v>
      </c>
      <c r="AD27" s="537">
        <f>AVERAGE(AB27:AB41)</f>
        <v>84.131820861600943</v>
      </c>
      <c r="AE27" s="190">
        <v>25</v>
      </c>
      <c r="AF27" s="190">
        <v>1776.5057398962103</v>
      </c>
      <c r="AG27" s="187">
        <f>IFERROR(AF27/AE27,"")</f>
        <v>71.060229595848412</v>
      </c>
      <c r="AH27" s="184">
        <f>RANK(AG27, AG$27:AG$41)</f>
        <v>8</v>
      </c>
      <c r="AI27" s="537">
        <f>AVERAGE(AG27:AG41)</f>
        <v>81.58512286983057</v>
      </c>
      <c r="AJ27" s="190">
        <v>25</v>
      </c>
      <c r="AK27" s="190">
        <v>1776.5799256505575</v>
      </c>
      <c r="AL27" s="187">
        <f t="shared" ref="AL27:AL35" si="39">IFERROR(AK27/AJ27,"")</f>
        <v>71.063197026022294</v>
      </c>
      <c r="AM27" s="184">
        <f>RANK(AL27, AL$27:AL$41)</f>
        <v>8</v>
      </c>
      <c r="AN27" s="537">
        <f>AVERAGE(AL27:AL41)</f>
        <v>81.58428957535024</v>
      </c>
      <c r="AO27" s="190">
        <v>25</v>
      </c>
      <c r="AP27" s="190">
        <v>1776.5846736045407</v>
      </c>
      <c r="AQ27" s="187">
        <f t="shared" ref="AQ27:AQ35" si="40">IFERROR(AP27/AO27,"")</f>
        <v>71.06338694418163</v>
      </c>
      <c r="AR27" s="184">
        <f>RANK(AQ27, AQ$27:AQ$41)</f>
        <v>8</v>
      </c>
      <c r="AS27" s="537">
        <f>AVERAGE(AQ27:AQ41)</f>
        <v>81.622214138305793</v>
      </c>
      <c r="AT27" s="190">
        <v>25</v>
      </c>
      <c r="AU27" s="190">
        <v>1776.4503766353907</v>
      </c>
      <c r="AV27" s="187">
        <f t="shared" ref="AV27:AV35" si="41">IFERROR(AU27/AT27,"")</f>
        <v>71.058015065415631</v>
      </c>
      <c r="AW27" s="184">
        <f>RANK(AV27, AV$27:AV$41)</f>
        <v>8</v>
      </c>
      <c r="AX27" s="537">
        <f>AVERAGE(AV27:AV41)</f>
        <v>81.62499956551693</v>
      </c>
    </row>
    <row r="28" spans="2:50" ht="14.25" customHeight="1">
      <c r="B28" s="501"/>
      <c r="C28" s="182">
        <v>2</v>
      </c>
      <c r="D28" s="185" t="s">
        <v>350</v>
      </c>
      <c r="E28" s="182">
        <v>23</v>
      </c>
      <c r="F28" s="182">
        <v>2000</v>
      </c>
      <c r="G28" s="187">
        <f t="shared" si="36"/>
        <v>86.956521739130437</v>
      </c>
      <c r="H28" s="537"/>
      <c r="I28" s="188">
        <f t="shared" ref="I28:K35" si="42">AVERAGE(P28,U28,Z28,AE28,AJ28,AO28,AT28)</f>
        <v>23</v>
      </c>
      <c r="J28" s="188">
        <f t="shared" si="42"/>
        <v>1772.7769094678813</v>
      </c>
      <c r="K28" s="189">
        <f t="shared" si="42"/>
        <v>77.077256933386167</v>
      </c>
      <c r="L28" s="538"/>
      <c r="M28" s="188">
        <f>RANK(K28, K$27:$K$41)</f>
        <v>7</v>
      </c>
      <c r="N28" s="501"/>
      <c r="O28" s="501"/>
      <c r="P28" s="190">
        <v>23</v>
      </c>
      <c r="Q28" s="190">
        <v>1772.3863636363635</v>
      </c>
      <c r="R28" s="187">
        <f t="shared" ref="R28:R35" si="43">IFERROR(Q28/P28,"")</f>
        <v>77.060276679841891</v>
      </c>
      <c r="S28" s="184">
        <f t="shared" ref="S28:S35" si="44">RANK(R28, R$27:R$41)</f>
        <v>7</v>
      </c>
      <c r="T28" s="537"/>
      <c r="U28" s="190">
        <v>23</v>
      </c>
      <c r="V28" s="190">
        <v>1772.6775956284171</v>
      </c>
      <c r="W28" s="187">
        <f t="shared" si="37"/>
        <v>77.072938940365958</v>
      </c>
      <c r="X28" s="184">
        <f t="shared" ref="X28:X35" si="45">RANK(W28, W$27:W$41)</f>
        <v>7</v>
      </c>
      <c r="Y28" s="537"/>
      <c r="Z28" s="190">
        <v>23</v>
      </c>
      <c r="AA28" s="190">
        <v>1772.5702675245525</v>
      </c>
      <c r="AB28" s="187">
        <f t="shared" si="38"/>
        <v>77.068272501067497</v>
      </c>
      <c r="AC28" s="184">
        <f t="shared" ref="AC28:AC35" si="46">RANK(AB28, AB$27:AB$41)</f>
        <v>8</v>
      </c>
      <c r="AD28" s="537"/>
      <c r="AE28" s="190">
        <v>23</v>
      </c>
      <c r="AF28" s="190">
        <v>1772.6655896607388</v>
      </c>
      <c r="AG28" s="187">
        <f t="shared" ref="AG28:AG35" si="47">IFERROR(AF28/AE28,"")</f>
        <v>77.072416941771252</v>
      </c>
      <c r="AH28" s="184">
        <f t="shared" ref="AH28:AH35" si="48">RANK(AG28, AG$27:AG$41)</f>
        <v>7</v>
      </c>
      <c r="AI28" s="537"/>
      <c r="AJ28" s="190">
        <v>23</v>
      </c>
      <c r="AK28" s="190">
        <v>1772.6110772976251</v>
      </c>
      <c r="AL28" s="187">
        <f t="shared" si="39"/>
        <v>77.070046839027185</v>
      </c>
      <c r="AM28" s="184">
        <f t="shared" ref="AM28:AM35" si="49">RANK(AL28, AL$27:AL$41)</f>
        <v>6</v>
      </c>
      <c r="AN28" s="537"/>
      <c r="AO28" s="190">
        <v>23</v>
      </c>
      <c r="AP28" s="190">
        <v>1773.2307692307713</v>
      </c>
      <c r="AQ28" s="187">
        <f t="shared" si="40"/>
        <v>77.09698996655527</v>
      </c>
      <c r="AR28" s="184">
        <f t="shared" ref="AR28:AR30" si="50">RANK(AQ28, AQ$27:AQ$41)</f>
        <v>7</v>
      </c>
      <c r="AS28" s="537"/>
      <c r="AT28" s="190">
        <v>23</v>
      </c>
      <c r="AU28" s="190">
        <v>1773.2967032967033</v>
      </c>
      <c r="AV28" s="187">
        <f t="shared" si="41"/>
        <v>77.099856665074057</v>
      </c>
      <c r="AW28" s="184">
        <f t="shared" ref="AW28:AW30" si="51">RANK(AV28, AV$27:AV$41)</f>
        <v>6</v>
      </c>
      <c r="AX28" s="537"/>
    </row>
    <row r="29" spans="2:50" ht="14.25" customHeight="1">
      <c r="B29" s="501"/>
      <c r="C29" s="182">
        <v>3</v>
      </c>
      <c r="D29" s="185" t="s">
        <v>364</v>
      </c>
      <c r="E29" s="182">
        <v>23</v>
      </c>
      <c r="F29" s="182">
        <v>2000</v>
      </c>
      <c r="G29" s="187">
        <f t="shared" si="36"/>
        <v>86.956521739130437</v>
      </c>
      <c r="H29" s="537"/>
      <c r="I29" s="188">
        <f t="shared" si="42"/>
        <v>23</v>
      </c>
      <c r="J29" s="188">
        <f t="shared" si="42"/>
        <v>1773.1072178298969</v>
      </c>
      <c r="K29" s="189">
        <f t="shared" si="42"/>
        <v>77.091618166517264</v>
      </c>
      <c r="L29" s="538"/>
      <c r="M29" s="188">
        <f>RANK(K29, K$27:$K$41)</f>
        <v>6</v>
      </c>
      <c r="N29" s="501"/>
      <c r="O29" s="501"/>
      <c r="P29" s="190">
        <v>23</v>
      </c>
      <c r="Q29" s="190">
        <v>1772.5244618395304</v>
      </c>
      <c r="R29" s="187">
        <f t="shared" si="43"/>
        <v>77.066280949544804</v>
      </c>
      <c r="S29" s="184">
        <f t="shared" si="44"/>
        <v>6</v>
      </c>
      <c r="T29" s="537"/>
      <c r="U29" s="190">
        <v>23</v>
      </c>
      <c r="V29" s="190">
        <v>1772.9896113889956</v>
      </c>
      <c r="W29" s="187">
        <f t="shared" si="37"/>
        <v>77.086504842999815</v>
      </c>
      <c r="X29" s="184">
        <f t="shared" si="45"/>
        <v>6</v>
      </c>
      <c r="Y29" s="537"/>
      <c r="Z29" s="190">
        <v>23</v>
      </c>
      <c r="AA29" s="190">
        <v>1773.3217088055817</v>
      </c>
      <c r="AB29" s="187">
        <f t="shared" si="38"/>
        <v>77.100943861112242</v>
      </c>
      <c r="AC29" s="184">
        <f t="shared" si="46"/>
        <v>6</v>
      </c>
      <c r="AD29" s="537"/>
      <c r="AE29" s="190">
        <v>23</v>
      </c>
      <c r="AF29" s="190">
        <v>1773.1343283582139</v>
      </c>
      <c r="AG29" s="187">
        <f t="shared" si="47"/>
        <v>77.092796885139734</v>
      </c>
      <c r="AH29" s="184">
        <f t="shared" si="48"/>
        <v>5</v>
      </c>
      <c r="AI29" s="537"/>
      <c r="AJ29" s="190">
        <v>23</v>
      </c>
      <c r="AK29" s="190">
        <v>1773.344947735191</v>
      </c>
      <c r="AL29" s="187">
        <f t="shared" si="39"/>
        <v>77.101954249356126</v>
      </c>
      <c r="AM29" s="184">
        <f t="shared" si="49"/>
        <v>5</v>
      </c>
      <c r="AN29" s="537"/>
      <c r="AO29" s="190">
        <v>23</v>
      </c>
      <c r="AP29" s="190">
        <v>1773.3011383235544</v>
      </c>
      <c r="AQ29" s="187">
        <f t="shared" si="40"/>
        <v>77.100049492328452</v>
      </c>
      <c r="AR29" s="184">
        <f t="shared" si="50"/>
        <v>6</v>
      </c>
      <c r="AS29" s="537"/>
      <c r="AT29" s="190">
        <v>23</v>
      </c>
      <c r="AU29" s="190">
        <v>1773.1343283582098</v>
      </c>
      <c r="AV29" s="187">
        <f t="shared" si="41"/>
        <v>77.092796885139563</v>
      </c>
      <c r="AW29" s="184">
        <f t="shared" si="51"/>
        <v>7</v>
      </c>
      <c r="AX29" s="537"/>
    </row>
    <row r="30" spans="2:50" ht="14.25" customHeight="1">
      <c r="B30" s="501"/>
      <c r="C30" s="182">
        <v>4</v>
      </c>
      <c r="D30" s="185" t="s">
        <v>352</v>
      </c>
      <c r="E30" s="182">
        <v>23</v>
      </c>
      <c r="F30" s="182">
        <v>2000</v>
      </c>
      <c r="G30" s="187">
        <f t="shared" si="36"/>
        <v>86.956521739130437</v>
      </c>
      <c r="H30" s="537"/>
      <c r="I30" s="188">
        <f t="shared" si="42"/>
        <v>23</v>
      </c>
      <c r="J30" s="188">
        <f t="shared" si="42"/>
        <v>1772.6846587809935</v>
      </c>
      <c r="K30" s="189">
        <f t="shared" si="42"/>
        <v>77.073246033956238</v>
      </c>
      <c r="L30" s="538"/>
      <c r="M30" s="188">
        <f>RANK(K30, K$27:$K$41)</f>
        <v>8</v>
      </c>
      <c r="N30" s="501"/>
      <c r="O30" s="501"/>
      <c r="P30" s="190">
        <v>23</v>
      </c>
      <c r="Q30" s="190">
        <v>1771.6267339218193</v>
      </c>
      <c r="R30" s="187">
        <f t="shared" si="43"/>
        <v>77.027249300948668</v>
      </c>
      <c r="S30" s="184">
        <f t="shared" si="44"/>
        <v>8</v>
      </c>
      <c r="T30" s="537"/>
      <c r="U30" s="190">
        <v>23</v>
      </c>
      <c r="V30" s="190">
        <v>1772.1961047683017</v>
      </c>
      <c r="W30" s="187">
        <f t="shared" si="37"/>
        <v>77.052004555143554</v>
      </c>
      <c r="X30" s="184">
        <f t="shared" si="45"/>
        <v>8</v>
      </c>
      <c r="Y30" s="537"/>
      <c r="Z30" s="190">
        <v>23</v>
      </c>
      <c r="AA30" s="190">
        <v>1772.5888324873058</v>
      </c>
      <c r="AB30" s="187">
        <f t="shared" si="38"/>
        <v>77.069079673361117</v>
      </c>
      <c r="AC30" s="184">
        <f t="shared" si="46"/>
        <v>7</v>
      </c>
      <c r="AD30" s="537"/>
      <c r="AE30" s="190">
        <v>23</v>
      </c>
      <c r="AF30" s="190">
        <v>1772.7176594994739</v>
      </c>
      <c r="AG30" s="187">
        <f t="shared" si="47"/>
        <v>77.074680847803208</v>
      </c>
      <c r="AH30" s="184">
        <f t="shared" si="48"/>
        <v>6</v>
      </c>
      <c r="AI30" s="537"/>
      <c r="AJ30" s="190">
        <v>23</v>
      </c>
      <c r="AK30" s="190">
        <v>1772.3849372384955</v>
      </c>
      <c r="AL30" s="187">
        <f t="shared" si="39"/>
        <v>77.060214662543288</v>
      </c>
      <c r="AM30" s="184">
        <f t="shared" si="49"/>
        <v>7</v>
      </c>
      <c r="AN30" s="537"/>
      <c r="AO30" s="190">
        <v>23</v>
      </c>
      <c r="AP30" s="190">
        <v>1773.4298118668614</v>
      </c>
      <c r="AQ30" s="187">
        <f t="shared" si="40"/>
        <v>77.105643994211363</v>
      </c>
      <c r="AR30" s="184">
        <f t="shared" si="50"/>
        <v>5</v>
      </c>
      <c r="AS30" s="537"/>
      <c r="AT30" s="190">
        <v>23</v>
      </c>
      <c r="AU30" s="190">
        <v>1773.8485316846966</v>
      </c>
      <c r="AV30" s="187">
        <f t="shared" si="41"/>
        <v>77.123849203682454</v>
      </c>
      <c r="AW30" s="184">
        <f t="shared" si="51"/>
        <v>5</v>
      </c>
      <c r="AX30" s="537"/>
    </row>
    <row r="31" spans="2:50" ht="14.25" customHeight="1">
      <c r="B31" s="501"/>
      <c r="C31" s="182">
        <v>5</v>
      </c>
      <c r="D31" s="185" t="s">
        <v>353</v>
      </c>
      <c r="E31" s="182">
        <v>17</v>
      </c>
      <c r="F31" s="182">
        <v>2000</v>
      </c>
      <c r="G31" s="187">
        <f t="shared" si="36"/>
        <v>117.64705882352941</v>
      </c>
      <c r="H31" s="537"/>
      <c r="I31" s="188">
        <f t="shared" si="42"/>
        <v>17</v>
      </c>
      <c r="J31" s="188">
        <f t="shared" si="42"/>
        <v>1775.301647655253</v>
      </c>
      <c r="K31" s="189">
        <f t="shared" si="42"/>
        <v>104.42950868560312</v>
      </c>
      <c r="L31" s="538"/>
      <c r="M31" s="188">
        <f>RANK(K31, K$27:$K$41)</f>
        <v>1</v>
      </c>
      <c r="N31" s="501"/>
      <c r="O31" s="501"/>
      <c r="P31" s="190">
        <v>17</v>
      </c>
      <c r="Q31" s="190">
        <v>1774.9999999999943</v>
      </c>
      <c r="R31" s="187">
        <f t="shared" si="43"/>
        <v>104.41176470588202</v>
      </c>
      <c r="S31" s="184">
        <f t="shared" si="44"/>
        <v>1</v>
      </c>
      <c r="T31" s="537"/>
      <c r="U31" s="190">
        <v>17</v>
      </c>
      <c r="V31" s="190">
        <v>1774.9049429657825</v>
      </c>
      <c r="W31" s="187">
        <f t="shared" si="37"/>
        <v>104.40617311563426</v>
      </c>
      <c r="X31" s="184">
        <f t="shared" si="45"/>
        <v>1</v>
      </c>
      <c r="Y31" s="537"/>
      <c r="Z31" s="190">
        <v>17</v>
      </c>
      <c r="AA31" s="190">
        <v>1775.999999999982</v>
      </c>
      <c r="AB31" s="187">
        <f t="shared" si="38"/>
        <v>104.47058823529306</v>
      </c>
      <c r="AC31" s="184">
        <f t="shared" si="46"/>
        <v>1</v>
      </c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01"/>
      <c r="C32" s="182">
        <v>6</v>
      </c>
      <c r="D32" s="185" t="s">
        <v>462</v>
      </c>
      <c r="E32" s="182">
        <v>20</v>
      </c>
      <c r="F32" s="182">
        <v>2000</v>
      </c>
      <c r="G32" s="187">
        <f t="shared" si="36"/>
        <v>100</v>
      </c>
      <c r="H32" s="537"/>
      <c r="I32" s="188">
        <f t="shared" si="42"/>
        <v>20</v>
      </c>
      <c r="J32" s="188">
        <f t="shared" si="42"/>
        <v>1773.5488484628863</v>
      </c>
      <c r="K32" s="189">
        <f t="shared" si="42"/>
        <v>88.677442423144313</v>
      </c>
      <c r="L32" s="538"/>
      <c r="M32" s="188">
        <f>RANK(K32, K$27:$K$41)</f>
        <v>3</v>
      </c>
      <c r="N32" s="501"/>
      <c r="O32" s="501"/>
      <c r="P32" s="190">
        <v>20</v>
      </c>
      <c r="Q32" s="190">
        <v>1773.1743666169828</v>
      </c>
      <c r="R32" s="187">
        <f t="shared" si="43"/>
        <v>88.65871833084914</v>
      </c>
      <c r="S32" s="184">
        <f t="shared" si="44"/>
        <v>3</v>
      </c>
      <c r="T32" s="537"/>
      <c r="U32" s="190">
        <v>20</v>
      </c>
      <c r="V32" s="190">
        <v>1772.9032258064549</v>
      </c>
      <c r="W32" s="187">
        <f t="shared" si="37"/>
        <v>88.645161290322747</v>
      </c>
      <c r="X32" s="184">
        <f t="shared" si="45"/>
        <v>3</v>
      </c>
      <c r="Y32" s="537"/>
      <c r="Z32" s="190">
        <v>20</v>
      </c>
      <c r="AA32" s="190">
        <v>1773.3826247689469</v>
      </c>
      <c r="AB32" s="187">
        <f t="shared" si="38"/>
        <v>88.669131238447349</v>
      </c>
      <c r="AC32" s="184">
        <f t="shared" si="46"/>
        <v>3</v>
      </c>
      <c r="AD32" s="537"/>
      <c r="AE32" s="190">
        <v>20</v>
      </c>
      <c r="AF32" s="190">
        <v>1773.3826247689469</v>
      </c>
      <c r="AG32" s="187">
        <f t="shared" si="47"/>
        <v>88.669131238447349</v>
      </c>
      <c r="AH32" s="184">
        <f t="shared" si="48"/>
        <v>2</v>
      </c>
      <c r="AI32" s="537"/>
      <c r="AJ32" s="190">
        <v>20</v>
      </c>
      <c r="AK32" s="190">
        <v>1773.4736842105297</v>
      </c>
      <c r="AL32" s="187">
        <f t="shared" si="39"/>
        <v>88.673684210526488</v>
      </c>
      <c r="AM32" s="184">
        <f t="shared" si="49"/>
        <v>2</v>
      </c>
      <c r="AN32" s="537"/>
      <c r="AO32" s="190">
        <v>20</v>
      </c>
      <c r="AP32" s="190">
        <v>1774.1750358680051</v>
      </c>
      <c r="AQ32" s="187">
        <f t="shared" si="40"/>
        <v>88.708751793400253</v>
      </c>
      <c r="AR32" s="184">
        <f>RANK(AQ32, AQ$27:AQ$41)</f>
        <v>2</v>
      </c>
      <c r="AS32" s="537"/>
      <c r="AT32" s="190">
        <v>20</v>
      </c>
      <c r="AU32" s="190">
        <v>1774.3503772003385</v>
      </c>
      <c r="AV32" s="187">
        <f t="shared" si="41"/>
        <v>88.717518860016924</v>
      </c>
      <c r="AW32" s="184">
        <f>RANK(AV32, AV$27:AV$41)</f>
        <v>2</v>
      </c>
      <c r="AX32" s="537"/>
    </row>
    <row r="33" spans="2:50" ht="14.25" customHeight="1">
      <c r="B33" s="501"/>
      <c r="C33" s="182">
        <v>7</v>
      </c>
      <c r="D33" s="185" t="s">
        <v>486</v>
      </c>
      <c r="E33" s="182">
        <v>21</v>
      </c>
      <c r="F33" s="182">
        <v>2000</v>
      </c>
      <c r="G33" s="187">
        <f t="shared" si="36"/>
        <v>95.238095238095241</v>
      </c>
      <c r="H33" s="537"/>
      <c r="I33" s="188">
        <f t="shared" si="42"/>
        <v>21</v>
      </c>
      <c r="J33" s="188">
        <f t="shared" si="42"/>
        <v>1772.3675178544411</v>
      </c>
      <c r="K33" s="189">
        <f t="shared" si="42"/>
        <v>84.39845323116387</v>
      </c>
      <c r="L33" s="538"/>
      <c r="M33" s="188">
        <f>RANK(K33, K$27:$K$41)</f>
        <v>4</v>
      </c>
      <c r="N33" s="501"/>
      <c r="O33" s="501"/>
      <c r="P33" s="190">
        <v>21</v>
      </c>
      <c r="Q33" s="190">
        <v>1771.7340461075837</v>
      </c>
      <c r="R33" s="187">
        <f t="shared" si="43"/>
        <v>84.368287909884941</v>
      </c>
      <c r="S33" s="184">
        <f t="shared" si="44"/>
        <v>4</v>
      </c>
      <c r="T33" s="537"/>
      <c r="U33" s="190">
        <v>21</v>
      </c>
      <c r="V33" s="190">
        <v>1771.6684155299022</v>
      </c>
      <c r="W33" s="187">
        <f t="shared" si="37"/>
        <v>84.365162644281057</v>
      </c>
      <c r="X33" s="184">
        <f t="shared" si="45"/>
        <v>4</v>
      </c>
      <c r="Y33" s="537"/>
      <c r="Z33" s="190">
        <v>21</v>
      </c>
      <c r="AA33" s="190">
        <v>1771.8349928876296</v>
      </c>
      <c r="AB33" s="187">
        <f t="shared" si="38"/>
        <v>84.37309489941093</v>
      </c>
      <c r="AC33" s="184">
        <f t="shared" si="46"/>
        <v>4</v>
      </c>
      <c r="AD33" s="537"/>
      <c r="AE33" s="190">
        <v>21</v>
      </c>
      <c r="AF33" s="190">
        <v>1771.8608169440299</v>
      </c>
      <c r="AG33" s="187">
        <f t="shared" si="47"/>
        <v>84.374324616382381</v>
      </c>
      <c r="AH33" s="184">
        <f t="shared" si="48"/>
        <v>3</v>
      </c>
      <c r="AI33" s="537"/>
      <c r="AJ33" s="190">
        <v>21</v>
      </c>
      <c r="AK33" s="190">
        <v>1771.5904492108486</v>
      </c>
      <c r="AL33" s="187">
        <f t="shared" si="39"/>
        <v>84.361449962421361</v>
      </c>
      <c r="AM33" s="184">
        <f t="shared" si="49"/>
        <v>3</v>
      </c>
      <c r="AN33" s="537"/>
      <c r="AO33" s="190">
        <v>21</v>
      </c>
      <c r="AP33" s="190">
        <v>1774.0634005763695</v>
      </c>
      <c r="AQ33" s="187">
        <f t="shared" si="40"/>
        <v>84.479209551255693</v>
      </c>
      <c r="AR33" s="184">
        <f t="shared" ref="AR33:AR35" si="52">RANK(AQ33, AQ$27:AQ$41)</f>
        <v>3</v>
      </c>
      <c r="AS33" s="537"/>
      <c r="AT33" s="190">
        <v>21</v>
      </c>
      <c r="AU33" s="190">
        <v>1773.8205037247233</v>
      </c>
      <c r="AV33" s="187">
        <f t="shared" si="41"/>
        <v>84.46764303451063</v>
      </c>
      <c r="AW33" s="184">
        <f t="shared" ref="AW33:AW35" si="53">RANK(AV33, AV$27:AV$41)</f>
        <v>3</v>
      </c>
      <c r="AX33" s="537"/>
    </row>
    <row r="34" spans="2:50" ht="14.25" customHeight="1">
      <c r="B34" s="501"/>
      <c r="C34" s="182">
        <v>8</v>
      </c>
      <c r="D34" s="185" t="s">
        <v>563</v>
      </c>
      <c r="E34" s="182">
        <v>19</v>
      </c>
      <c r="F34" s="182">
        <v>1800</v>
      </c>
      <c r="G34" s="187">
        <f t="shared" si="36"/>
        <v>94.736842105263165</v>
      </c>
      <c r="H34" s="537"/>
      <c r="I34" s="188">
        <f t="shared" si="42"/>
        <v>19</v>
      </c>
      <c r="J34" s="188">
        <f t="shared" si="42"/>
        <v>1597.8202143418202</v>
      </c>
      <c r="K34" s="189">
        <f t="shared" si="42"/>
        <v>84.095800754832652</v>
      </c>
      <c r="L34" s="538"/>
      <c r="M34" s="188">
        <f>RANK(K34, K$27:$K$41)</f>
        <v>5</v>
      </c>
      <c r="N34" s="501"/>
      <c r="O34" s="501"/>
      <c r="P34" s="190">
        <v>19</v>
      </c>
      <c r="Q34" s="190">
        <v>1597.9153094462542</v>
      </c>
      <c r="R34" s="187">
        <f t="shared" si="43"/>
        <v>84.100805760329166</v>
      </c>
      <c r="S34" s="184">
        <f t="shared" si="44"/>
        <v>5</v>
      </c>
      <c r="T34" s="537"/>
      <c r="U34" s="190">
        <v>19</v>
      </c>
      <c r="V34" s="190">
        <v>1597.7313009571094</v>
      </c>
      <c r="W34" s="187">
        <f t="shared" si="37"/>
        <v>84.091121103005761</v>
      </c>
      <c r="X34" s="184">
        <f t="shared" si="45"/>
        <v>5</v>
      </c>
      <c r="Y34" s="537"/>
      <c r="Z34" s="190">
        <v>19</v>
      </c>
      <c r="AA34" s="190">
        <v>1597.7364591754235</v>
      </c>
      <c r="AB34" s="187">
        <f t="shared" si="38"/>
        <v>84.091392588180184</v>
      </c>
      <c r="AC34" s="184">
        <f t="shared" si="46"/>
        <v>5</v>
      </c>
      <c r="AD34" s="537"/>
      <c r="AE34" s="190">
        <v>19</v>
      </c>
      <c r="AF34" s="190">
        <v>1597.778727039728</v>
      </c>
      <c r="AG34" s="187">
        <f t="shared" si="47"/>
        <v>84.093617212617261</v>
      </c>
      <c r="AH34" s="184">
        <f t="shared" si="48"/>
        <v>4</v>
      </c>
      <c r="AI34" s="537"/>
      <c r="AJ34" s="190">
        <v>19</v>
      </c>
      <c r="AK34" s="190">
        <v>1597.7268560953237</v>
      </c>
      <c r="AL34" s="187">
        <f t="shared" si="39"/>
        <v>84.09088716291177</v>
      </c>
      <c r="AM34" s="184">
        <f t="shared" si="49"/>
        <v>4</v>
      </c>
      <c r="AN34" s="537"/>
      <c r="AO34" s="190">
        <v>19</v>
      </c>
      <c r="AP34" s="190">
        <v>1597.8936640054342</v>
      </c>
      <c r="AQ34" s="187">
        <f t="shared" si="40"/>
        <v>84.099666526601794</v>
      </c>
      <c r="AR34" s="184">
        <f t="shared" si="52"/>
        <v>4</v>
      </c>
      <c r="AS34" s="537"/>
      <c r="AT34" s="190">
        <v>19</v>
      </c>
      <c r="AU34" s="190">
        <v>1597.9591836734692</v>
      </c>
      <c r="AV34" s="187">
        <f t="shared" si="41"/>
        <v>84.103114930182585</v>
      </c>
      <c r="AW34" s="184">
        <f t="shared" si="53"/>
        <v>4</v>
      </c>
      <c r="AX34" s="537"/>
    </row>
    <row r="35" spans="2:50" ht="14.25" customHeight="1">
      <c r="B35" s="501"/>
      <c r="C35" s="182">
        <v>9</v>
      </c>
      <c r="D35" s="185" t="s">
        <v>524</v>
      </c>
      <c r="E35" s="182">
        <v>19</v>
      </c>
      <c r="F35" s="182">
        <v>2000</v>
      </c>
      <c r="G35" s="187">
        <f t="shared" si="36"/>
        <v>105.26315789473684</v>
      </c>
      <c r="H35" s="537"/>
      <c r="I35" s="188">
        <f t="shared" si="42"/>
        <v>19</v>
      </c>
      <c r="J35" s="188">
        <f t="shared" si="42"/>
        <v>1772.4344470866108</v>
      </c>
      <c r="K35" s="189">
        <f t="shared" si="42"/>
        <v>93.286023530874246</v>
      </c>
      <c r="L35" s="538"/>
      <c r="M35" s="188">
        <f>RANK(K35, K$27:$K$41)</f>
        <v>2</v>
      </c>
      <c r="N35" s="501"/>
      <c r="O35" s="501"/>
      <c r="P35" s="190">
        <v>19</v>
      </c>
      <c r="Q35" s="190">
        <v>1772.329523058733</v>
      </c>
      <c r="R35" s="187">
        <f t="shared" si="43"/>
        <v>93.280501213617526</v>
      </c>
      <c r="S35" s="184">
        <f t="shared" si="44"/>
        <v>2</v>
      </c>
      <c r="T35" s="537"/>
      <c r="U35" s="190">
        <v>19</v>
      </c>
      <c r="V35" s="190">
        <v>1772.3608445297523</v>
      </c>
      <c r="W35" s="187">
        <f t="shared" si="37"/>
        <v>93.28214971209222</v>
      </c>
      <c r="X35" s="184">
        <f t="shared" si="45"/>
        <v>2</v>
      </c>
      <c r="Y35" s="537"/>
      <c r="Z35" s="190">
        <v>19</v>
      </c>
      <c r="AA35" s="190">
        <v>1772.350950273365</v>
      </c>
      <c r="AB35" s="187">
        <f t="shared" si="38"/>
        <v>93.281628961756056</v>
      </c>
      <c r="AC35" s="184">
        <f t="shared" si="46"/>
        <v>2</v>
      </c>
      <c r="AD35" s="537"/>
      <c r="AE35" s="190">
        <v>19</v>
      </c>
      <c r="AF35" s="190">
        <v>1771.6319267920658</v>
      </c>
      <c r="AG35" s="187">
        <f t="shared" si="47"/>
        <v>93.243785620635038</v>
      </c>
      <c r="AH35" s="184">
        <f t="shared" si="48"/>
        <v>1</v>
      </c>
      <c r="AI35" s="537"/>
      <c r="AJ35" s="190">
        <v>19</v>
      </c>
      <c r="AK35" s="190">
        <v>1771.8047673098731</v>
      </c>
      <c r="AL35" s="187">
        <f t="shared" si="39"/>
        <v>93.252882489993326</v>
      </c>
      <c r="AM35" s="184">
        <f t="shared" si="49"/>
        <v>1</v>
      </c>
      <c r="AN35" s="537"/>
      <c r="AO35" s="190">
        <v>19</v>
      </c>
      <c r="AP35" s="190">
        <v>1773.1562819203268</v>
      </c>
      <c r="AQ35" s="187">
        <f t="shared" si="40"/>
        <v>93.324014837911932</v>
      </c>
      <c r="AR35" s="184">
        <f t="shared" si="52"/>
        <v>1</v>
      </c>
      <c r="AS35" s="537"/>
      <c r="AT35" s="190">
        <v>19</v>
      </c>
      <c r="AU35" s="190">
        <v>1773.4068357221602</v>
      </c>
      <c r="AV35" s="187">
        <f t="shared" si="41"/>
        <v>93.337201880113696</v>
      </c>
      <c r="AW35" s="184">
        <f t="shared" si="53"/>
        <v>1</v>
      </c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7"/>
      <c r="N42" s="563" t="s">
        <v>383</v>
      </c>
      <c r="O42" s="563" t="s">
        <v>105</v>
      </c>
      <c r="P42" s="598">
        <f>AT22+1</f>
        <v>46035</v>
      </c>
      <c r="Q42" s="599"/>
      <c r="R42" s="599"/>
      <c r="S42" s="599"/>
      <c r="T42" s="599"/>
      <c r="U42" s="600">
        <f>P42+1</f>
        <v>46036</v>
      </c>
      <c r="V42" s="601"/>
      <c r="W42" s="601"/>
      <c r="X42" s="601"/>
      <c r="Y42" s="601"/>
      <c r="Z42" s="598">
        <f t="shared" ref="Z42" si="54">U42+1</f>
        <v>46037</v>
      </c>
      <c r="AA42" s="599"/>
      <c r="AB42" s="599"/>
      <c r="AC42" s="599"/>
      <c r="AD42" s="599"/>
      <c r="AE42" s="600">
        <f t="shared" ref="AE42" si="55">Z42+1</f>
        <v>46038</v>
      </c>
      <c r="AF42" s="601"/>
      <c r="AG42" s="601"/>
      <c r="AH42" s="601"/>
      <c r="AI42" s="601"/>
      <c r="AJ42" s="590">
        <f t="shared" ref="AJ42" si="56">AE42+1</f>
        <v>46039</v>
      </c>
      <c r="AK42" s="591"/>
      <c r="AL42" s="591"/>
      <c r="AM42" s="591"/>
      <c r="AN42" s="592"/>
      <c r="AO42" s="600">
        <f t="shared" ref="AO42" si="57">AJ42+1</f>
        <v>46040</v>
      </c>
      <c r="AP42" s="601"/>
      <c r="AQ42" s="601"/>
      <c r="AR42" s="601"/>
      <c r="AS42" s="601"/>
      <c r="AT42" s="590">
        <f t="shared" ref="AT42" si="58">AO42+1</f>
        <v>46041</v>
      </c>
      <c r="AU42" s="591"/>
      <c r="AV42" s="591"/>
      <c r="AW42" s="591"/>
      <c r="AX42" s="592"/>
    </row>
    <row r="43" spans="2:50" ht="14.25" customHeight="1">
      <c r="B43" s="548"/>
      <c r="C43" s="548"/>
      <c r="D43" s="548"/>
      <c r="E43" s="548"/>
      <c r="F43" s="548"/>
      <c r="G43" s="548"/>
      <c r="H43" s="548"/>
      <c r="I43" s="548"/>
      <c r="J43" s="548"/>
      <c r="K43" s="548"/>
      <c r="L43" s="548"/>
      <c r="M43" s="549"/>
      <c r="N43" s="565"/>
      <c r="O43" s="565"/>
      <c r="P43" s="593">
        <f>P42</f>
        <v>46035</v>
      </c>
      <c r="Q43" s="593"/>
      <c r="R43" s="593"/>
      <c r="S43" s="593"/>
      <c r="T43" s="593"/>
      <c r="U43" s="594">
        <f>U42</f>
        <v>46036</v>
      </c>
      <c r="V43" s="594"/>
      <c r="W43" s="594"/>
      <c r="X43" s="594"/>
      <c r="Y43" s="594"/>
      <c r="Z43" s="593">
        <f t="shared" ref="Z43" si="59">Z42</f>
        <v>46037</v>
      </c>
      <c r="AA43" s="593"/>
      <c r="AB43" s="593"/>
      <c r="AC43" s="593"/>
      <c r="AD43" s="593"/>
      <c r="AE43" s="594">
        <f t="shared" ref="AE43" si="60">AE42</f>
        <v>46038</v>
      </c>
      <c r="AF43" s="594"/>
      <c r="AG43" s="594"/>
      <c r="AH43" s="594"/>
      <c r="AI43" s="594"/>
      <c r="AJ43" s="595">
        <f t="shared" ref="AJ43" si="61">AJ42</f>
        <v>46039</v>
      </c>
      <c r="AK43" s="596"/>
      <c r="AL43" s="596"/>
      <c r="AM43" s="596"/>
      <c r="AN43" s="597"/>
      <c r="AO43" s="594">
        <f t="shared" ref="AO43" si="62">AO42</f>
        <v>46040</v>
      </c>
      <c r="AP43" s="594"/>
      <c r="AQ43" s="594"/>
      <c r="AR43" s="594"/>
      <c r="AS43" s="594"/>
      <c r="AT43" s="595">
        <f t="shared" ref="AT43" si="63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363</v>
      </c>
      <c r="C47" s="182">
        <v>1</v>
      </c>
      <c r="D47" s="185" t="s">
        <v>351</v>
      </c>
      <c r="E47" s="182">
        <v>25</v>
      </c>
      <c r="F47" s="182">
        <v>2000</v>
      </c>
      <c r="G47" s="187">
        <f t="shared" ref="G47:G54" si="64">F47/E47</f>
        <v>80</v>
      </c>
      <c r="H47" s="537">
        <f>AVERAGE(G47:G61)</f>
        <v>92.013457556935819</v>
      </c>
      <c r="I47" s="188">
        <f>AVERAGE(P47,U47,Z47,AE47,AJ47,AO47,AT47)</f>
        <v>25</v>
      </c>
      <c r="J47" s="188">
        <f>AVERAGE(Q47,V47,AA47,AF47,AK47,AP47,AU47)</f>
        <v>1776.5307037497867</v>
      </c>
      <c r="K47" s="189">
        <f>AVERAGE(R47,W47,AB47,AG47,AL47,AQ47,AV47)</f>
        <v>71.061228149991479</v>
      </c>
      <c r="L47" s="538">
        <f>IFERROR(AVERAGE(K47:K61),"-")</f>
        <v>81.638929514053288</v>
      </c>
      <c r="M47" s="188">
        <f>RANK(K47, K$47:$K$61)</f>
        <v>8</v>
      </c>
      <c r="N47" s="501"/>
      <c r="O47" s="501"/>
      <c r="P47" s="190">
        <v>25</v>
      </c>
      <c r="Q47" s="190">
        <v>1776.4324933126845</v>
      </c>
      <c r="R47" s="187">
        <f>IFERROR(Q47/P47,"")</f>
        <v>71.057299732507374</v>
      </c>
      <c r="S47" s="184">
        <f>RANK(R47, R$47:R$61)</f>
        <v>8</v>
      </c>
      <c r="T47" s="537">
        <f>AVERAGE(R47:R61)</f>
        <v>81.624141884387726</v>
      </c>
      <c r="U47" s="190">
        <v>25</v>
      </c>
      <c r="V47" s="190">
        <v>1776.4355846474255</v>
      </c>
      <c r="W47" s="187">
        <f t="shared" ref="W47:W54" si="65">IFERROR(V47/U47,"")</f>
        <v>71.057423385897025</v>
      </c>
      <c r="X47" s="184">
        <f>RANK(W47, W$47:W$61)</f>
        <v>8</v>
      </c>
      <c r="Y47" s="537">
        <f>AVERAGE(W47:W61)</f>
        <v>81.629221722217196</v>
      </c>
      <c r="Z47" s="190">
        <v>25</v>
      </c>
      <c r="AA47" s="190">
        <v>1776.6021765417172</v>
      </c>
      <c r="AB47" s="187">
        <f t="shared" ref="AB47:AB54" si="66">IFERROR(AA47/Z47,"")</f>
        <v>71.064087061668687</v>
      </c>
      <c r="AC47" s="184">
        <f>RANK(AB47, AB$47:AB$61)</f>
        <v>8</v>
      </c>
      <c r="AD47" s="537">
        <f>AVERAGE(AB47:AB61)</f>
        <v>81.633682767378517</v>
      </c>
      <c r="AE47" s="190">
        <v>25</v>
      </c>
      <c r="AF47" s="190">
        <v>1776.588021778585</v>
      </c>
      <c r="AG47" s="187">
        <f>IFERROR(AF47/AE47,"")</f>
        <v>71.063520871143396</v>
      </c>
      <c r="AH47" s="184">
        <f>RANK(AG47, AG$47:AG$61)</f>
        <v>8</v>
      </c>
      <c r="AI47" s="537">
        <f>AVERAGE(AG47:AG61)</f>
        <v>81.637353261108998</v>
      </c>
      <c r="AJ47" s="190">
        <v>25</v>
      </c>
      <c r="AK47" s="190">
        <v>1776.5250315523763</v>
      </c>
      <c r="AL47" s="187">
        <f t="shared" ref="AL47:AL54" si="67">IFERROR(AK47/AJ47,"")</f>
        <v>71.061001262095047</v>
      </c>
      <c r="AM47" s="184">
        <f>RANK(AL47, AL$47:AL$61)</f>
        <v>8</v>
      </c>
      <c r="AN47" s="537">
        <f>AVERAGE(AL47:AL61)</f>
        <v>81.638644417757064</v>
      </c>
      <c r="AO47" s="190">
        <v>25</v>
      </c>
      <c r="AP47" s="190">
        <v>1776.6118054696201</v>
      </c>
      <c r="AQ47" s="187">
        <f t="shared" ref="AQ47:AQ54" si="68">IFERROR(AP47/AO47,"")</f>
        <v>71.0644722187848</v>
      </c>
      <c r="AR47" s="184">
        <f>RANK(AQ47, AQ$47:AQ$61)</f>
        <v>8</v>
      </c>
      <c r="AS47" s="537">
        <f>AVERAGE(AQ47:AQ61)</f>
        <v>81.645214896605395</v>
      </c>
      <c r="AT47" s="190">
        <v>25</v>
      </c>
      <c r="AU47" s="190">
        <v>1776.5198129460996</v>
      </c>
      <c r="AV47" s="187">
        <f t="shared" ref="AV47:AV54" si="69">IFERROR(AU47/AT47,"")</f>
        <v>71.060792517843979</v>
      </c>
      <c r="AW47" s="184">
        <f>RANK(AV47, AV$47:AV$61)</f>
        <v>8</v>
      </c>
      <c r="AX47" s="537">
        <f>AVERAGE(AV47:AV61)</f>
        <v>81.664247648918021</v>
      </c>
    </row>
    <row r="48" spans="2:50" ht="14.25" customHeight="1">
      <c r="B48" s="501"/>
      <c r="C48" s="182">
        <v>2</v>
      </c>
      <c r="D48" s="185" t="s">
        <v>350</v>
      </c>
      <c r="E48" s="182">
        <v>23</v>
      </c>
      <c r="F48" s="182">
        <v>2000</v>
      </c>
      <c r="G48" s="187">
        <f t="shared" si="64"/>
        <v>86.956521739130437</v>
      </c>
      <c r="H48" s="537"/>
      <c r="I48" s="188">
        <f t="shared" ref="I48:K54" si="70">AVERAGE(P48,U48,Z48,AE48,AJ48,AO48,AT48)</f>
        <v>23</v>
      </c>
      <c r="J48" s="188">
        <f t="shared" si="70"/>
        <v>1773.3740255385746</v>
      </c>
      <c r="K48" s="189">
        <f t="shared" si="70"/>
        <v>77.103218501677162</v>
      </c>
      <c r="L48" s="538"/>
      <c r="M48" s="188">
        <f>RANK(K48, K$47:$K$61)</f>
        <v>6</v>
      </c>
      <c r="N48" s="501"/>
      <c r="O48" s="501"/>
      <c r="P48" s="190">
        <v>23</v>
      </c>
      <c r="Q48" s="190">
        <v>1773.1491712707168</v>
      </c>
      <c r="R48" s="187">
        <f t="shared" ref="R48:R54" si="71">IFERROR(Q48/P48,"")</f>
        <v>77.093442229161596</v>
      </c>
      <c r="S48" s="184">
        <f t="shared" ref="S48:S54" si="72">RANK(R48, R$47:R$61)</f>
        <v>6</v>
      </c>
      <c r="T48" s="537"/>
      <c r="U48" s="190">
        <v>23</v>
      </c>
      <c r="V48" s="190">
        <v>1773.5214650255182</v>
      </c>
      <c r="W48" s="187">
        <f t="shared" si="65"/>
        <v>77.109628914152964</v>
      </c>
      <c r="X48" s="184">
        <f t="shared" ref="X48:X54" si="73">RANK(W48, W$47:W$61)</f>
        <v>6</v>
      </c>
      <c r="Y48" s="537"/>
      <c r="Z48" s="190">
        <v>23</v>
      </c>
      <c r="AA48" s="190">
        <v>1773.6401673640123</v>
      </c>
      <c r="AB48" s="187">
        <f t="shared" si="66"/>
        <v>77.114789885391843</v>
      </c>
      <c r="AC48" s="184">
        <f t="shared" ref="AC48:AC54" si="74">RANK(AB48, AB$47:AB$61)</f>
        <v>6</v>
      </c>
      <c r="AD48" s="537"/>
      <c r="AE48" s="190">
        <v>23</v>
      </c>
      <c r="AF48" s="190">
        <v>1773.3691997310011</v>
      </c>
      <c r="AG48" s="187">
        <f t="shared" ref="AG48:AG54" si="75">IFERROR(AF48/AE48,"")</f>
        <v>77.103008683956574</v>
      </c>
      <c r="AH48" s="184">
        <f t="shared" ref="AH48:AH54" si="76">RANK(AG48, AG$47:AG$61)</f>
        <v>6</v>
      </c>
      <c r="AI48" s="537"/>
      <c r="AJ48" s="190">
        <v>23</v>
      </c>
      <c r="AK48" s="190">
        <v>1773.2532405943714</v>
      </c>
      <c r="AL48" s="187">
        <f t="shared" si="67"/>
        <v>77.097966982363971</v>
      </c>
      <c r="AM48" s="184">
        <f t="shared" ref="AM48:AM54" si="77">RANK(AL48, AL$47:AL$61)</f>
        <v>6</v>
      </c>
      <c r="AN48" s="537"/>
      <c r="AO48" s="190">
        <v>23</v>
      </c>
      <c r="AP48" s="190">
        <v>1773.2070365358613</v>
      </c>
      <c r="AQ48" s="187">
        <f t="shared" si="68"/>
        <v>77.095958110254841</v>
      </c>
      <c r="AR48" s="184">
        <f t="shared" ref="AR48:AR54" si="78">RANK(AQ48, AQ$47:AQ$61)</f>
        <v>6</v>
      </c>
      <c r="AS48" s="537"/>
      <c r="AT48" s="190">
        <v>23</v>
      </c>
      <c r="AU48" s="190">
        <v>1773.4778982485423</v>
      </c>
      <c r="AV48" s="187">
        <f t="shared" si="69"/>
        <v>77.107734706458359</v>
      </c>
      <c r="AW48" s="184">
        <f t="shared" ref="AW48:AW54" si="79">RANK(AV48, AV$47:AV$61)</f>
        <v>6</v>
      </c>
      <c r="AX48" s="537"/>
    </row>
    <row r="49" spans="2:50" ht="14.25" customHeight="1">
      <c r="B49" s="501"/>
      <c r="C49" s="182">
        <v>3</v>
      </c>
      <c r="D49" s="185" t="s">
        <v>364</v>
      </c>
      <c r="E49" s="182">
        <v>23</v>
      </c>
      <c r="F49" s="182">
        <v>2000</v>
      </c>
      <c r="G49" s="187">
        <f t="shared" si="64"/>
        <v>86.956521739130437</v>
      </c>
      <c r="H49" s="537"/>
      <c r="I49" s="188">
        <f t="shared" si="70"/>
        <v>23</v>
      </c>
      <c r="J49" s="188">
        <f t="shared" si="70"/>
        <v>1773.150633953921</v>
      </c>
      <c r="K49" s="189">
        <f t="shared" si="70"/>
        <v>77.093505824083522</v>
      </c>
      <c r="L49" s="538"/>
      <c r="M49" s="188">
        <f>RANK(K49, K$47:$K$61)</f>
        <v>7</v>
      </c>
      <c r="N49" s="501"/>
      <c r="O49" s="501"/>
      <c r="P49" s="190">
        <v>23</v>
      </c>
      <c r="Q49" s="190">
        <v>1772.9479768786111</v>
      </c>
      <c r="R49" s="187">
        <f t="shared" si="71"/>
        <v>77.084694646896139</v>
      </c>
      <c r="S49" s="184">
        <f t="shared" si="72"/>
        <v>7</v>
      </c>
      <c r="T49" s="537"/>
      <c r="U49" s="190">
        <v>23</v>
      </c>
      <c r="V49" s="190">
        <v>1773.3493397358964</v>
      </c>
      <c r="W49" s="187">
        <f t="shared" si="65"/>
        <v>77.102145205908542</v>
      </c>
      <c r="X49" s="184">
        <f t="shared" si="73"/>
        <v>7</v>
      </c>
      <c r="Y49" s="537"/>
      <c r="Z49" s="190">
        <v>23</v>
      </c>
      <c r="AA49" s="190">
        <v>1773.2374100719426</v>
      </c>
      <c r="AB49" s="187">
        <f t="shared" si="66"/>
        <v>77.097278698780116</v>
      </c>
      <c r="AC49" s="184">
        <f t="shared" si="74"/>
        <v>7</v>
      </c>
      <c r="AD49" s="537"/>
      <c r="AE49" s="190">
        <v>23</v>
      </c>
      <c r="AF49" s="190">
        <v>1773.1343283582084</v>
      </c>
      <c r="AG49" s="187">
        <f t="shared" si="75"/>
        <v>77.092796885139492</v>
      </c>
      <c r="AH49" s="184">
        <f t="shared" si="76"/>
        <v>7</v>
      </c>
      <c r="AI49" s="537"/>
      <c r="AJ49" s="190">
        <v>23</v>
      </c>
      <c r="AK49" s="190">
        <v>1773.0633802816924</v>
      </c>
      <c r="AL49" s="187">
        <f t="shared" si="67"/>
        <v>77.08971218616054</v>
      </c>
      <c r="AM49" s="184">
        <f t="shared" si="77"/>
        <v>7</v>
      </c>
      <c r="AN49" s="537"/>
      <c r="AO49" s="190">
        <v>23</v>
      </c>
      <c r="AP49" s="190">
        <v>1773.0407523510926</v>
      </c>
      <c r="AQ49" s="187">
        <f t="shared" si="68"/>
        <v>77.088728363090979</v>
      </c>
      <c r="AR49" s="184">
        <f t="shared" si="78"/>
        <v>7</v>
      </c>
      <c r="AS49" s="537"/>
      <c r="AT49" s="190">
        <v>23</v>
      </c>
      <c r="AU49" s="190">
        <v>1773.2812500000039</v>
      </c>
      <c r="AV49" s="187">
        <f t="shared" si="69"/>
        <v>77.099184782608859</v>
      </c>
      <c r="AW49" s="184">
        <f t="shared" si="79"/>
        <v>7</v>
      </c>
      <c r="AX49" s="537"/>
    </row>
    <row r="50" spans="2:50" ht="14.25" customHeight="1">
      <c r="B50" s="501"/>
      <c r="C50" s="182">
        <v>4</v>
      </c>
      <c r="D50" s="185" t="s">
        <v>352</v>
      </c>
      <c r="E50" s="182">
        <v>23</v>
      </c>
      <c r="F50" s="182">
        <v>2000</v>
      </c>
      <c r="G50" s="187">
        <f t="shared" si="64"/>
        <v>86.956521739130437</v>
      </c>
      <c r="H50" s="537"/>
      <c r="I50" s="188">
        <f t="shared" si="70"/>
        <v>23</v>
      </c>
      <c r="J50" s="188">
        <f t="shared" si="70"/>
        <v>1774.3146091121805</v>
      </c>
      <c r="K50" s="189">
        <f t="shared" si="70"/>
        <v>77.144113439660018</v>
      </c>
      <c r="L50" s="538"/>
      <c r="M50" s="188">
        <f>RANK(K50, K$47:$K$61)</f>
        <v>5</v>
      </c>
      <c r="N50" s="501"/>
      <c r="O50" s="501"/>
      <c r="P50" s="190">
        <v>23</v>
      </c>
      <c r="Q50" s="190">
        <v>1774.1363497401408</v>
      </c>
      <c r="R50" s="187">
        <f t="shared" si="71"/>
        <v>77.136363032180029</v>
      </c>
      <c r="S50" s="184">
        <f t="shared" si="72"/>
        <v>5</v>
      </c>
      <c r="T50" s="537"/>
      <c r="U50" s="190">
        <v>23</v>
      </c>
      <c r="V50" s="190">
        <v>1774.1514360313283</v>
      </c>
      <c r="W50" s="187">
        <f t="shared" si="65"/>
        <v>77.137018957883839</v>
      </c>
      <c r="X50" s="184">
        <f t="shared" si="73"/>
        <v>5</v>
      </c>
      <c r="Y50" s="537"/>
      <c r="Z50" s="190">
        <v>23</v>
      </c>
      <c r="AA50" s="190">
        <v>1774.528301886796</v>
      </c>
      <c r="AB50" s="187">
        <f t="shared" si="66"/>
        <v>77.1534044298607</v>
      </c>
      <c r="AC50" s="184">
        <f t="shared" si="74"/>
        <v>5</v>
      </c>
      <c r="AD50" s="537"/>
      <c r="AE50" s="190">
        <v>23</v>
      </c>
      <c r="AF50" s="190">
        <v>1774.1559953434223</v>
      </c>
      <c r="AG50" s="187">
        <f t="shared" si="75"/>
        <v>77.137217188844446</v>
      </c>
      <c r="AH50" s="184">
        <f t="shared" si="76"/>
        <v>5</v>
      </c>
      <c r="AI50" s="537"/>
      <c r="AJ50" s="190">
        <v>23</v>
      </c>
      <c r="AK50" s="190">
        <v>1773.8941261783925</v>
      </c>
      <c r="AL50" s="187">
        <f t="shared" si="67"/>
        <v>77.125831572973581</v>
      </c>
      <c r="AM50" s="184">
        <f t="shared" si="77"/>
        <v>5</v>
      </c>
      <c r="AN50" s="537"/>
      <c r="AO50" s="190">
        <v>23</v>
      </c>
      <c r="AP50" s="190">
        <v>1774.1676234213573</v>
      </c>
      <c r="AQ50" s="187">
        <f t="shared" si="68"/>
        <v>77.137722757450319</v>
      </c>
      <c r="AR50" s="184">
        <f t="shared" si="78"/>
        <v>5</v>
      </c>
      <c r="AS50" s="537"/>
      <c r="AT50" s="190">
        <v>23</v>
      </c>
      <c r="AU50" s="190">
        <v>1775.1684311838262</v>
      </c>
      <c r="AV50" s="187">
        <f t="shared" si="69"/>
        <v>77.181236138427224</v>
      </c>
      <c r="AW50" s="184">
        <f t="shared" si="79"/>
        <v>5</v>
      </c>
      <c r="AX50" s="537"/>
    </row>
    <row r="51" spans="2:50" ht="14.25" customHeight="1">
      <c r="B51" s="501"/>
      <c r="C51" s="182">
        <v>5</v>
      </c>
      <c r="D51" s="185" t="s">
        <v>462</v>
      </c>
      <c r="E51" s="182">
        <v>20</v>
      </c>
      <c r="F51" s="182">
        <v>2000</v>
      </c>
      <c r="G51" s="187">
        <f t="shared" si="64"/>
        <v>100</v>
      </c>
      <c r="H51" s="537"/>
      <c r="I51" s="188">
        <f t="shared" si="70"/>
        <v>20</v>
      </c>
      <c r="J51" s="188">
        <f t="shared" si="70"/>
        <v>1774.6472246513545</v>
      </c>
      <c r="K51" s="189">
        <f t="shared" si="70"/>
        <v>88.73236123256774</v>
      </c>
      <c r="L51" s="538"/>
      <c r="M51" s="188">
        <f>RANK(K51, K$47:$K$61)</f>
        <v>2</v>
      </c>
      <c r="N51" s="501"/>
      <c r="O51" s="501"/>
      <c r="P51" s="190">
        <v>20</v>
      </c>
      <c r="Q51" s="190">
        <v>1774.3933054393285</v>
      </c>
      <c r="R51" s="187">
        <f t="shared" si="71"/>
        <v>88.71966527196642</v>
      </c>
      <c r="S51" s="184">
        <f t="shared" si="72"/>
        <v>2</v>
      </c>
      <c r="T51" s="537"/>
      <c r="U51" s="190">
        <v>20</v>
      </c>
      <c r="V51" s="190">
        <v>1773.6745886654453</v>
      </c>
      <c r="W51" s="187">
        <f t="shared" si="65"/>
        <v>88.683729433272262</v>
      </c>
      <c r="X51" s="184">
        <f t="shared" si="73"/>
        <v>2</v>
      </c>
      <c r="Y51" s="537"/>
      <c r="Z51" s="190">
        <v>20</v>
      </c>
      <c r="AA51" s="190">
        <v>1773.737373737383</v>
      </c>
      <c r="AB51" s="187">
        <f t="shared" si="66"/>
        <v>88.686868686869147</v>
      </c>
      <c r="AC51" s="184">
        <f t="shared" si="74"/>
        <v>2</v>
      </c>
      <c r="AD51" s="537"/>
      <c r="AE51" s="190">
        <v>20</v>
      </c>
      <c r="AF51" s="190">
        <v>1774.749498998003</v>
      </c>
      <c r="AG51" s="187">
        <f t="shared" si="75"/>
        <v>88.737474949900147</v>
      </c>
      <c r="AH51" s="184">
        <f t="shared" si="76"/>
        <v>2</v>
      </c>
      <c r="AI51" s="537"/>
      <c r="AJ51" s="190">
        <v>20</v>
      </c>
      <c r="AK51" s="190">
        <v>1774.9049429657825</v>
      </c>
      <c r="AL51" s="187">
        <f t="shared" si="67"/>
        <v>88.745247148289124</v>
      </c>
      <c r="AM51" s="184">
        <f t="shared" si="77"/>
        <v>2</v>
      </c>
      <c r="AN51" s="537"/>
      <c r="AO51" s="190">
        <v>20</v>
      </c>
      <c r="AP51" s="190">
        <v>1775.4611066559792</v>
      </c>
      <c r="AQ51" s="187">
        <f t="shared" si="68"/>
        <v>88.773055332798961</v>
      </c>
      <c r="AR51" s="184">
        <f t="shared" si="78"/>
        <v>2</v>
      </c>
      <c r="AS51" s="537"/>
      <c r="AT51" s="190">
        <v>20</v>
      </c>
      <c r="AU51" s="190">
        <v>1775.6097560975604</v>
      </c>
      <c r="AV51" s="187">
        <f t="shared" si="69"/>
        <v>88.780487804878021</v>
      </c>
      <c r="AW51" s="184">
        <f t="shared" si="79"/>
        <v>2</v>
      </c>
      <c r="AX51" s="537"/>
    </row>
    <row r="52" spans="2:50" ht="14.25" customHeight="1">
      <c r="B52" s="501"/>
      <c r="C52" s="182">
        <v>6</v>
      </c>
      <c r="D52" s="185" t="s">
        <v>486</v>
      </c>
      <c r="E52" s="182">
        <v>21</v>
      </c>
      <c r="F52" s="182">
        <v>2000</v>
      </c>
      <c r="G52" s="187">
        <f t="shared" si="64"/>
        <v>95.238095238095241</v>
      </c>
      <c r="H52" s="537"/>
      <c r="I52" s="188">
        <f t="shared" si="70"/>
        <v>21</v>
      </c>
      <c r="J52" s="188">
        <f t="shared" si="70"/>
        <v>1774.1362246199599</v>
      </c>
      <c r="K52" s="189">
        <f t="shared" si="70"/>
        <v>84.482677362855227</v>
      </c>
      <c r="L52" s="538"/>
      <c r="M52" s="188">
        <f>RANK(K52, K$47:$K$61)</f>
        <v>3</v>
      </c>
      <c r="N52" s="501"/>
      <c r="O52" s="501"/>
      <c r="P52" s="190">
        <v>21</v>
      </c>
      <c r="Q52" s="190">
        <v>1773.7948883856354</v>
      </c>
      <c r="R52" s="187">
        <f t="shared" si="71"/>
        <v>84.466423256458825</v>
      </c>
      <c r="S52" s="184">
        <f t="shared" si="72"/>
        <v>3</v>
      </c>
      <c r="T52" s="537"/>
      <c r="U52" s="190">
        <v>21</v>
      </c>
      <c r="V52" s="190">
        <v>1773.8372093023227</v>
      </c>
      <c r="W52" s="187">
        <f t="shared" si="65"/>
        <v>84.468438538205845</v>
      </c>
      <c r="X52" s="184">
        <f t="shared" si="73"/>
        <v>3</v>
      </c>
      <c r="Y52" s="537"/>
      <c r="Z52" s="190">
        <v>21</v>
      </c>
      <c r="AA52" s="190">
        <v>1773.6677115987532</v>
      </c>
      <c r="AB52" s="187">
        <f t="shared" si="66"/>
        <v>84.460367218988239</v>
      </c>
      <c r="AC52" s="184">
        <f t="shared" si="74"/>
        <v>3</v>
      </c>
      <c r="AD52" s="537"/>
      <c r="AE52" s="190">
        <v>21</v>
      </c>
      <c r="AF52" s="190">
        <v>1773.7499999999977</v>
      </c>
      <c r="AG52" s="187">
        <f t="shared" si="75"/>
        <v>84.464285714285609</v>
      </c>
      <c r="AH52" s="184">
        <f t="shared" si="76"/>
        <v>3</v>
      </c>
      <c r="AI52" s="537"/>
      <c r="AJ52" s="190">
        <v>21</v>
      </c>
      <c r="AK52" s="190">
        <v>1774.1832669322691</v>
      </c>
      <c r="AL52" s="187">
        <f t="shared" si="67"/>
        <v>84.484917472965193</v>
      </c>
      <c r="AM52" s="184">
        <f t="shared" si="77"/>
        <v>3</v>
      </c>
      <c r="AN52" s="537"/>
      <c r="AO52" s="190">
        <v>21</v>
      </c>
      <c r="AP52" s="190">
        <v>1774.29387496033</v>
      </c>
      <c r="AQ52" s="187">
        <f t="shared" si="68"/>
        <v>84.490184521920469</v>
      </c>
      <c r="AR52" s="184">
        <f t="shared" si="78"/>
        <v>3</v>
      </c>
      <c r="AS52" s="537"/>
      <c r="AT52" s="190">
        <v>21</v>
      </c>
      <c r="AU52" s="190">
        <v>1775.4266211604092</v>
      </c>
      <c r="AV52" s="187">
        <f t="shared" si="69"/>
        <v>84.544124817162341</v>
      </c>
      <c r="AW52" s="184">
        <f t="shared" si="79"/>
        <v>3</v>
      </c>
      <c r="AX52" s="537"/>
    </row>
    <row r="53" spans="2:50" ht="14.25" customHeight="1">
      <c r="B53" s="501"/>
      <c r="C53" s="182">
        <v>7</v>
      </c>
      <c r="D53" s="185" t="s">
        <v>563</v>
      </c>
      <c r="E53" s="182">
        <v>19</v>
      </c>
      <c r="F53" s="182">
        <v>1800</v>
      </c>
      <c r="G53" s="187">
        <f t="shared" si="64"/>
        <v>94.736842105263165</v>
      </c>
      <c r="H53" s="537"/>
      <c r="I53" s="188">
        <f t="shared" si="70"/>
        <v>19</v>
      </c>
      <c r="J53" s="188">
        <f t="shared" si="70"/>
        <v>1598.2035759635278</v>
      </c>
      <c r="K53" s="189">
        <f t="shared" si="70"/>
        <v>84.115977682290932</v>
      </c>
      <c r="L53" s="538"/>
      <c r="M53" s="188">
        <f>RANK(K53, K$47:$K$61)</f>
        <v>4</v>
      </c>
      <c r="N53" s="501"/>
      <c r="O53" s="501"/>
      <c r="P53" s="190">
        <v>19</v>
      </c>
      <c r="Q53" s="190">
        <v>1597.9452054794533</v>
      </c>
      <c r="R53" s="187">
        <f t="shared" si="71"/>
        <v>84.102379235760694</v>
      </c>
      <c r="S53" s="184">
        <f t="shared" si="72"/>
        <v>4</v>
      </c>
      <c r="T53" s="537"/>
      <c r="U53" s="190">
        <v>19</v>
      </c>
      <c r="V53" s="190">
        <v>1598.0234712785698</v>
      </c>
      <c r="W53" s="187">
        <f t="shared" si="65"/>
        <v>84.106498488345778</v>
      </c>
      <c r="X53" s="184">
        <f t="shared" si="73"/>
        <v>4</v>
      </c>
      <c r="Y53" s="537"/>
      <c r="Z53" s="190">
        <v>19</v>
      </c>
      <c r="AA53" s="190">
        <v>1598.1229469732493</v>
      </c>
      <c r="AB53" s="187">
        <f t="shared" si="66"/>
        <v>84.11173405122365</v>
      </c>
      <c r="AC53" s="184">
        <f t="shared" si="74"/>
        <v>4</v>
      </c>
      <c r="AD53" s="537"/>
      <c r="AE53" s="190">
        <v>19</v>
      </c>
      <c r="AF53" s="190">
        <v>1598.1655583581769</v>
      </c>
      <c r="AG53" s="187">
        <f t="shared" si="75"/>
        <v>84.113976755693514</v>
      </c>
      <c r="AH53" s="184">
        <f t="shared" si="76"/>
        <v>4</v>
      </c>
      <c r="AI53" s="537"/>
      <c r="AJ53" s="190">
        <v>19</v>
      </c>
      <c r="AK53" s="190">
        <v>1598.1135944227985</v>
      </c>
      <c r="AL53" s="187">
        <f t="shared" si="67"/>
        <v>84.111241811726245</v>
      </c>
      <c r="AM53" s="184">
        <f t="shared" si="77"/>
        <v>4</v>
      </c>
      <c r="AN53" s="537"/>
      <c r="AO53" s="190">
        <v>19</v>
      </c>
      <c r="AP53" s="190">
        <v>1598.2730706961695</v>
      </c>
      <c r="AQ53" s="187">
        <f t="shared" si="68"/>
        <v>84.119635299798389</v>
      </c>
      <c r="AR53" s="184">
        <f t="shared" si="78"/>
        <v>4</v>
      </c>
      <c r="AS53" s="537"/>
      <c r="AT53" s="190">
        <v>19</v>
      </c>
      <c r="AU53" s="190">
        <v>1598.781184536278</v>
      </c>
      <c r="AV53" s="187">
        <f t="shared" si="69"/>
        <v>84.146378133488312</v>
      </c>
      <c r="AW53" s="184">
        <f t="shared" si="79"/>
        <v>4</v>
      </c>
      <c r="AX53" s="537"/>
    </row>
    <row r="54" spans="2:50" ht="14.25" customHeight="1">
      <c r="B54" s="501"/>
      <c r="C54" s="182">
        <v>8</v>
      </c>
      <c r="D54" s="185" t="s">
        <v>524</v>
      </c>
      <c r="E54" s="182">
        <v>19</v>
      </c>
      <c r="F54" s="182">
        <v>2000</v>
      </c>
      <c r="G54" s="187">
        <f t="shared" si="64"/>
        <v>105.26315789473684</v>
      </c>
      <c r="H54" s="537"/>
      <c r="I54" s="188">
        <f t="shared" si="70"/>
        <v>19</v>
      </c>
      <c r="J54" s="188">
        <f t="shared" si="70"/>
        <v>1774.1887244667018</v>
      </c>
      <c r="K54" s="189">
        <f t="shared" si="70"/>
        <v>93.37835391930011</v>
      </c>
      <c r="L54" s="538"/>
      <c r="M54" s="188">
        <f>RANK(K54, K$47:$K$61)</f>
        <v>1</v>
      </c>
      <c r="N54" s="501"/>
      <c r="O54" s="501"/>
      <c r="P54" s="190">
        <v>19</v>
      </c>
      <c r="Q54" s="190">
        <v>1773.3244857332425</v>
      </c>
      <c r="R54" s="187">
        <f t="shared" si="71"/>
        <v>93.332867670170657</v>
      </c>
      <c r="S54" s="184">
        <f t="shared" si="72"/>
        <v>1</v>
      </c>
      <c r="T54" s="537"/>
      <c r="U54" s="190">
        <v>19</v>
      </c>
      <c r="V54" s="190">
        <v>1774.0089262273546</v>
      </c>
      <c r="W54" s="187">
        <f t="shared" si="65"/>
        <v>93.368890854071296</v>
      </c>
      <c r="X54" s="184">
        <f t="shared" si="73"/>
        <v>1</v>
      </c>
      <c r="Y54" s="537"/>
      <c r="Z54" s="190">
        <v>19</v>
      </c>
      <c r="AA54" s="190">
        <v>1774.2377100186679</v>
      </c>
      <c r="AB54" s="187">
        <f t="shared" si="66"/>
        <v>93.38093210624568</v>
      </c>
      <c r="AC54" s="184">
        <f t="shared" si="74"/>
        <v>1</v>
      </c>
      <c r="AD54" s="537"/>
      <c r="AE54" s="190">
        <v>19</v>
      </c>
      <c r="AF54" s="190">
        <v>1774.3443557582675</v>
      </c>
      <c r="AG54" s="187">
        <f t="shared" si="75"/>
        <v>93.38654503990881</v>
      </c>
      <c r="AH54" s="184">
        <f t="shared" si="76"/>
        <v>1</v>
      </c>
      <c r="AI54" s="537"/>
      <c r="AJ54" s="190">
        <v>19</v>
      </c>
      <c r="AK54" s="190">
        <v>1774.4715012041734</v>
      </c>
      <c r="AL54" s="187">
        <f t="shared" si="67"/>
        <v>93.393236905482809</v>
      </c>
      <c r="AM54" s="184">
        <f t="shared" si="77"/>
        <v>1</v>
      </c>
      <c r="AN54" s="537"/>
      <c r="AO54" s="190">
        <v>19</v>
      </c>
      <c r="AP54" s="190">
        <v>1774.447288806145</v>
      </c>
      <c r="AQ54" s="187">
        <f t="shared" si="68"/>
        <v>93.391962568744475</v>
      </c>
      <c r="AR54" s="184">
        <f t="shared" si="78"/>
        <v>1</v>
      </c>
      <c r="AS54" s="537"/>
      <c r="AT54" s="190">
        <v>19</v>
      </c>
      <c r="AU54" s="190">
        <v>1774.486803519063</v>
      </c>
      <c r="AV54" s="187">
        <f t="shared" si="69"/>
        <v>93.394042290477003</v>
      </c>
      <c r="AW54" s="184">
        <f t="shared" si="79"/>
        <v>1</v>
      </c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6"/>
      <c r="D62" s="546"/>
      <c r="E62" s="546"/>
      <c r="F62" s="546"/>
      <c r="G62" s="546"/>
      <c r="H62" s="546"/>
      <c r="I62" s="546"/>
      <c r="J62" s="546"/>
      <c r="K62" s="546"/>
      <c r="L62" s="546"/>
      <c r="M62" s="547"/>
      <c r="N62" s="563" t="s">
        <v>383</v>
      </c>
      <c r="O62" s="563" t="s">
        <v>105</v>
      </c>
      <c r="P62" s="598">
        <f>AT42+1</f>
        <v>46042</v>
      </c>
      <c r="Q62" s="599"/>
      <c r="R62" s="599"/>
      <c r="S62" s="599"/>
      <c r="T62" s="599"/>
      <c r="U62" s="600">
        <f>P62+1</f>
        <v>46043</v>
      </c>
      <c r="V62" s="601"/>
      <c r="W62" s="601"/>
      <c r="X62" s="601"/>
      <c r="Y62" s="601"/>
      <c r="Z62" s="598">
        <f t="shared" ref="Z62" si="80">U62+1</f>
        <v>46044</v>
      </c>
      <c r="AA62" s="599"/>
      <c r="AB62" s="599"/>
      <c r="AC62" s="599"/>
      <c r="AD62" s="599"/>
      <c r="AE62" s="600">
        <f t="shared" ref="AE62" si="81">Z62+1</f>
        <v>46045</v>
      </c>
      <c r="AF62" s="601"/>
      <c r="AG62" s="601"/>
      <c r="AH62" s="601"/>
      <c r="AI62" s="601"/>
      <c r="AJ62" s="590">
        <f t="shared" ref="AJ62" si="82">AE62+1</f>
        <v>46046</v>
      </c>
      <c r="AK62" s="591"/>
      <c r="AL62" s="591"/>
      <c r="AM62" s="591"/>
      <c r="AN62" s="592"/>
      <c r="AO62" s="600">
        <f t="shared" ref="AO62" si="83">AJ62+1</f>
        <v>46047</v>
      </c>
      <c r="AP62" s="601"/>
      <c r="AQ62" s="601"/>
      <c r="AR62" s="601"/>
      <c r="AS62" s="601"/>
      <c r="AT62" s="590">
        <f t="shared" ref="AT62" si="84">AO62+1</f>
        <v>46048</v>
      </c>
      <c r="AU62" s="591"/>
      <c r="AV62" s="591"/>
      <c r="AW62" s="591"/>
      <c r="AX62" s="592"/>
    </row>
    <row r="63" spans="2:50" ht="14.25" customHeight="1"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9"/>
      <c r="N63" s="565"/>
      <c r="O63" s="565"/>
      <c r="P63" s="593">
        <f>P62</f>
        <v>46042</v>
      </c>
      <c r="Q63" s="593"/>
      <c r="R63" s="593"/>
      <c r="S63" s="593"/>
      <c r="T63" s="593"/>
      <c r="U63" s="594">
        <f>U62</f>
        <v>46043</v>
      </c>
      <c r="V63" s="594"/>
      <c r="W63" s="594"/>
      <c r="X63" s="594"/>
      <c r="Y63" s="594"/>
      <c r="Z63" s="593">
        <f t="shared" ref="Z63" si="85">Z62</f>
        <v>46044</v>
      </c>
      <c r="AA63" s="593"/>
      <c r="AB63" s="593"/>
      <c r="AC63" s="593"/>
      <c r="AD63" s="593"/>
      <c r="AE63" s="594">
        <f t="shared" ref="AE63" si="86">AE62</f>
        <v>46045</v>
      </c>
      <c r="AF63" s="594"/>
      <c r="AG63" s="594"/>
      <c r="AH63" s="594"/>
      <c r="AI63" s="594"/>
      <c r="AJ63" s="595">
        <f t="shared" ref="AJ63" si="87">AJ62</f>
        <v>46046</v>
      </c>
      <c r="AK63" s="596"/>
      <c r="AL63" s="596"/>
      <c r="AM63" s="596"/>
      <c r="AN63" s="597"/>
      <c r="AO63" s="594">
        <f t="shared" ref="AO63" si="88">AO62</f>
        <v>46047</v>
      </c>
      <c r="AP63" s="594"/>
      <c r="AQ63" s="594"/>
      <c r="AR63" s="594"/>
      <c r="AS63" s="594"/>
      <c r="AT63" s="595">
        <f t="shared" ref="AT63" si="89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363</v>
      </c>
      <c r="C67" s="182">
        <v>1</v>
      </c>
      <c r="D67" s="185" t="s">
        <v>351</v>
      </c>
      <c r="E67" s="182">
        <v>25</v>
      </c>
      <c r="F67" s="182">
        <v>2000</v>
      </c>
      <c r="G67" s="187">
        <f t="shared" ref="G67:G74" si="90">F67/E67</f>
        <v>80</v>
      </c>
      <c r="H67" s="537">
        <f>AVERAGE(G67:G81)</f>
        <v>92.013457556935819</v>
      </c>
      <c r="I67" s="188">
        <f>AVERAGE(P67,U67,Z67,AE67,AJ67,AO67,AT67)</f>
        <v>25</v>
      </c>
      <c r="J67" s="188">
        <f>AVERAGE(Q67,V67,AA67,AF67,AK67,AP67,AU67)</f>
        <v>1776.8542655097008</v>
      </c>
      <c r="K67" s="189">
        <f>AVERAGE(R67,W67,AB67,AG67,AL67,AQ67,AV67)</f>
        <v>71.074170620388045</v>
      </c>
      <c r="L67" s="538">
        <f>IFERROR(AVERAGE(K67:K81),"-")</f>
        <v>81.69263065085228</v>
      </c>
      <c r="M67" s="188">
        <f>RANK(K67, K$67:$K$81)</f>
        <v>8</v>
      </c>
      <c r="N67" s="501"/>
      <c r="O67" s="501"/>
      <c r="P67" s="190">
        <v>25</v>
      </c>
      <c r="Q67" s="190">
        <v>1776.6552901023897</v>
      </c>
      <c r="R67" s="187">
        <f>IFERROR(Q67/P67,"")</f>
        <v>71.066211604095585</v>
      </c>
      <c r="S67" s="184">
        <f>RANK(R67, $R$67:R$81)</f>
        <v>8</v>
      </c>
      <c r="T67" s="537">
        <f>AVERAGE(R67:R81)</f>
        <v>81.670535441137304</v>
      </c>
      <c r="U67" s="190">
        <v>25</v>
      </c>
      <c r="V67" s="190">
        <v>1776.6705941760633</v>
      </c>
      <c r="W67" s="187">
        <f t="shared" ref="W67:W74" si="91">IFERROR(V67/U67,"")</f>
        <v>71.066823767042536</v>
      </c>
      <c r="X67" s="184">
        <f>RANK(W67, $W$67:W$81)</f>
        <v>8</v>
      </c>
      <c r="Y67" s="537">
        <f>AVERAGE(W67:W81)</f>
        <v>81.669762348095929</v>
      </c>
      <c r="Z67" s="190">
        <v>25</v>
      </c>
      <c r="AA67" s="190">
        <v>1776.7441860465126</v>
      </c>
      <c r="AB67" s="187">
        <f t="shared" ref="AB67:AB74" si="92">IFERROR(AA67/Z67,"")</f>
        <v>71.069767441860506</v>
      </c>
      <c r="AC67" s="184">
        <f>RANK(AB67, $AB$67:AB$81)</f>
        <v>8</v>
      </c>
      <c r="AD67" s="537">
        <f>AVERAGE(AB67:AB81)</f>
        <v>81.680374660977662</v>
      </c>
      <c r="AE67" s="190">
        <v>25</v>
      </c>
      <c r="AF67" s="190">
        <v>1776.881807836123</v>
      </c>
      <c r="AG67" s="187">
        <f>IFERROR(AF67/AE67,"")</f>
        <v>71.075272313444927</v>
      </c>
      <c r="AH67" s="184">
        <f>RANK(AG67, AG$67:AG$81)</f>
        <v>8</v>
      </c>
      <c r="AI67" s="537">
        <f>AVERAGE(AG67:AG81)</f>
        <v>81.682038493709769</v>
      </c>
      <c r="AJ67" s="190">
        <v>25</v>
      </c>
      <c r="AK67" s="190">
        <v>1776.9480018515667</v>
      </c>
      <c r="AL67" s="187">
        <f t="shared" ref="AL67:AL74" si="93">IFERROR(AK67/AJ67,"")</f>
        <v>71.077920074062661</v>
      </c>
      <c r="AM67" s="184">
        <f>RANK(AL67, AL$67:AL$81)</f>
        <v>8</v>
      </c>
      <c r="AN67" s="537">
        <f>AVERAGE(AL67:AL81)</f>
        <v>81.696162196166682</v>
      </c>
      <c r="AO67" s="190">
        <v>25</v>
      </c>
      <c r="AP67" s="190">
        <v>1776.9930162076689</v>
      </c>
      <c r="AQ67" s="187">
        <f t="shared" ref="AQ67:AQ74" si="94">IFERROR(AP67/AO67,"")</f>
        <v>71.079720648306761</v>
      </c>
      <c r="AR67" s="184">
        <f>RANK(AQ67, AQ$67:AQ$81)</f>
        <v>8</v>
      </c>
      <c r="AS67" s="537">
        <f>AVERAGE(AQ67:AQ81)</f>
        <v>81.698794230207312</v>
      </c>
      <c r="AT67" s="190">
        <v>25</v>
      </c>
      <c r="AU67" s="190">
        <v>1777.0869623475817</v>
      </c>
      <c r="AV67" s="187">
        <f t="shared" ref="AV67:AV74" si="95">IFERROR(AU67/AT67,"")</f>
        <v>71.083478493903272</v>
      </c>
      <c r="AW67" s="184">
        <f>RANK(AV67, AV$67:AV$81)</f>
        <v>8</v>
      </c>
      <c r="AX67" s="537">
        <f>AVERAGE(AV67:AV81)</f>
        <v>81.750747185671258</v>
      </c>
    </row>
    <row r="68" spans="2:50" ht="14.25" customHeight="1">
      <c r="B68" s="501"/>
      <c r="C68" s="182">
        <v>2</v>
      </c>
      <c r="D68" s="185" t="s">
        <v>350</v>
      </c>
      <c r="E68" s="182">
        <v>23</v>
      </c>
      <c r="F68" s="182">
        <v>2000</v>
      </c>
      <c r="G68" s="187">
        <f t="shared" si="90"/>
        <v>86.956521739130437</v>
      </c>
      <c r="H68" s="537"/>
      <c r="I68" s="188">
        <f t="shared" ref="I68:K74" si="96">AVERAGE(P68,U68,Z68,AE68,AJ68,AO68,AT68)</f>
        <v>23</v>
      </c>
      <c r="J68" s="188">
        <f t="shared" si="96"/>
        <v>1773.9768651088309</v>
      </c>
      <c r="K68" s="189">
        <f t="shared" si="96"/>
        <v>77.129428917775257</v>
      </c>
      <c r="L68" s="538"/>
      <c r="M68" s="188">
        <f>RANK(K68, K$67:$K$81)</f>
        <v>6</v>
      </c>
      <c r="N68" s="501"/>
      <c r="O68" s="501"/>
      <c r="P68" s="190">
        <v>23</v>
      </c>
      <c r="Q68" s="190">
        <v>1773.4860883797064</v>
      </c>
      <c r="R68" s="187">
        <f t="shared" ref="R68:R74" si="97">IFERROR(Q68/P68,"")</f>
        <v>77.108090799117676</v>
      </c>
      <c r="S68" s="184">
        <f>RANK(R68, $R$67:R$81)</f>
        <v>6</v>
      </c>
      <c r="T68" s="537"/>
      <c r="U68" s="190">
        <v>23</v>
      </c>
      <c r="V68" s="190">
        <v>1773.7674418604674</v>
      </c>
      <c r="W68" s="187">
        <f t="shared" si="91"/>
        <v>77.120323559150762</v>
      </c>
      <c r="X68" s="184">
        <f>RANK(W68, $W$67:W$81)</f>
        <v>6</v>
      </c>
      <c r="Y68" s="537"/>
      <c r="Z68" s="190">
        <v>23</v>
      </c>
      <c r="AA68" s="190">
        <v>1773.7177087233233</v>
      </c>
      <c r="AB68" s="187">
        <f t="shared" si="92"/>
        <v>77.118161248840138</v>
      </c>
      <c r="AC68" s="184">
        <f>RANK(AB68, $AB$67:AB$81)</f>
        <v>6</v>
      </c>
      <c r="AD68" s="537"/>
      <c r="AE68" s="190">
        <v>23</v>
      </c>
      <c r="AF68" s="190">
        <v>1773.780043699931</v>
      </c>
      <c r="AG68" s="187">
        <f t="shared" ref="AG68:AG74" si="98">IFERROR(AF68/AE68,"")</f>
        <v>77.120871465214393</v>
      </c>
      <c r="AH68" s="184">
        <f t="shared" ref="AH68:AH74" si="99">RANK(AG68, AG$67:AG$81)</f>
        <v>6</v>
      </c>
      <c r="AI68" s="537"/>
      <c r="AJ68" s="190">
        <v>23</v>
      </c>
      <c r="AK68" s="190">
        <v>1773.8625363020356</v>
      </c>
      <c r="AL68" s="187">
        <f t="shared" si="93"/>
        <v>77.124458100088503</v>
      </c>
      <c r="AM68" s="184">
        <f t="shared" ref="AM68:AM74" si="100">RANK(AL68, AL$67:AL$81)</f>
        <v>6</v>
      </c>
      <c r="AN68" s="537"/>
      <c r="AO68" s="190">
        <v>23</v>
      </c>
      <c r="AP68" s="190">
        <v>1774.1579237990031</v>
      </c>
      <c r="AQ68" s="187">
        <f t="shared" si="94"/>
        <v>77.137301034739266</v>
      </c>
      <c r="AR68" s="184">
        <f t="shared" ref="AR68:AR74" si="101">RANK(AQ68, AQ$67:AQ$81)</f>
        <v>6</v>
      </c>
      <c r="AS68" s="537"/>
      <c r="AT68" s="190">
        <v>23</v>
      </c>
      <c r="AU68" s="190">
        <v>1775.0663129973511</v>
      </c>
      <c r="AV68" s="187">
        <f t="shared" si="95"/>
        <v>77.176796217276134</v>
      </c>
      <c r="AW68" s="184">
        <f t="shared" ref="AW68:AW74" si="102">RANK(AV68, AV$67:AV$81)</f>
        <v>7</v>
      </c>
      <c r="AX68" s="537"/>
    </row>
    <row r="69" spans="2:50" ht="14.25" customHeight="1">
      <c r="B69" s="501"/>
      <c r="C69" s="182">
        <v>3</v>
      </c>
      <c r="D69" s="185" t="s">
        <v>364</v>
      </c>
      <c r="E69" s="182">
        <v>23</v>
      </c>
      <c r="F69" s="182">
        <v>2000</v>
      </c>
      <c r="G69" s="187">
        <f t="shared" si="90"/>
        <v>86.956521739130437</v>
      </c>
      <c r="H69" s="537"/>
      <c r="I69" s="188">
        <f t="shared" si="96"/>
        <v>23</v>
      </c>
      <c r="J69" s="188">
        <f t="shared" si="96"/>
        <v>1773.7118655113434</v>
      </c>
      <c r="K69" s="189">
        <f t="shared" si="96"/>
        <v>77.117907196145367</v>
      </c>
      <c r="L69" s="538"/>
      <c r="M69" s="188">
        <f>RANK(K69, K$67:$K$81)</f>
        <v>7</v>
      </c>
      <c r="N69" s="501"/>
      <c r="O69" s="501"/>
      <c r="P69" s="190">
        <v>23</v>
      </c>
      <c r="Q69" s="190">
        <v>1773.4708916728043</v>
      </c>
      <c r="R69" s="187">
        <f t="shared" si="97"/>
        <v>77.107430072730622</v>
      </c>
      <c r="S69" s="184">
        <f>RANK(R69, $R$67:R$81)</f>
        <v>7</v>
      </c>
      <c r="T69" s="537"/>
      <c r="U69" s="190">
        <v>23</v>
      </c>
      <c r="V69" s="190">
        <v>1773.2163296451733</v>
      </c>
      <c r="W69" s="187">
        <f t="shared" si="91"/>
        <v>77.096362158485803</v>
      </c>
      <c r="X69" s="184">
        <f>RANK(W69, $W$67:W$81)</f>
        <v>7</v>
      </c>
      <c r="Y69" s="537"/>
      <c r="Z69" s="190">
        <v>23</v>
      </c>
      <c r="AA69" s="190">
        <v>1773.2170343766024</v>
      </c>
      <c r="AB69" s="187">
        <f t="shared" si="92"/>
        <v>77.09639279898272</v>
      </c>
      <c r="AC69" s="184">
        <f>RANK(AB69, $AB$67:AB$81)</f>
        <v>7</v>
      </c>
      <c r="AD69" s="537"/>
      <c r="AE69" s="190">
        <v>23</v>
      </c>
      <c r="AF69" s="190">
        <v>1773.0612244897966</v>
      </c>
      <c r="AG69" s="187">
        <f t="shared" si="98"/>
        <v>77.089618456078114</v>
      </c>
      <c r="AH69" s="184">
        <f t="shared" si="99"/>
        <v>7</v>
      </c>
      <c r="AI69" s="537"/>
      <c r="AJ69" s="190">
        <v>23</v>
      </c>
      <c r="AK69" s="190">
        <v>1773.0367680435802</v>
      </c>
      <c r="AL69" s="187">
        <f t="shared" si="93"/>
        <v>77.088555132329574</v>
      </c>
      <c r="AM69" s="184">
        <f t="shared" si="100"/>
        <v>7</v>
      </c>
      <c r="AN69" s="537"/>
      <c r="AO69" s="190">
        <v>23</v>
      </c>
      <c r="AP69" s="190">
        <v>1773.0577334283653</v>
      </c>
      <c r="AQ69" s="187">
        <f t="shared" si="94"/>
        <v>77.089466670798487</v>
      </c>
      <c r="AR69" s="184">
        <f t="shared" si="101"/>
        <v>7</v>
      </c>
      <c r="AS69" s="537"/>
      <c r="AT69" s="190">
        <v>23</v>
      </c>
      <c r="AU69" s="190">
        <v>1776.9230769230819</v>
      </c>
      <c r="AV69" s="187">
        <f t="shared" si="95"/>
        <v>77.257525083612251</v>
      </c>
      <c r="AW69" s="184">
        <f t="shared" si="102"/>
        <v>5</v>
      </c>
      <c r="AX69" s="537"/>
    </row>
    <row r="70" spans="2:50" ht="14.25" customHeight="1">
      <c r="B70" s="501"/>
      <c r="C70" s="182">
        <v>4</v>
      </c>
      <c r="D70" s="185" t="s">
        <v>352</v>
      </c>
      <c r="E70" s="182">
        <v>23</v>
      </c>
      <c r="F70" s="182">
        <v>2000</v>
      </c>
      <c r="G70" s="187">
        <f t="shared" si="90"/>
        <v>86.956521739130437</v>
      </c>
      <c r="H70" s="537"/>
      <c r="I70" s="188">
        <f t="shared" si="96"/>
        <v>23</v>
      </c>
      <c r="J70" s="188">
        <f t="shared" si="96"/>
        <v>1775.1065492159519</v>
      </c>
      <c r="K70" s="189">
        <f t="shared" si="96"/>
        <v>77.178545618084854</v>
      </c>
      <c r="L70" s="538"/>
      <c r="M70" s="188">
        <f>RANK(K70, K$67:$K$81)</f>
        <v>5</v>
      </c>
      <c r="N70" s="501"/>
      <c r="O70" s="501"/>
      <c r="P70" s="190">
        <v>23</v>
      </c>
      <c r="Q70" s="190">
        <v>1774.9842072015147</v>
      </c>
      <c r="R70" s="187">
        <f t="shared" si="97"/>
        <v>77.173226400065857</v>
      </c>
      <c r="S70" s="184">
        <f>RANK(R70, $R$67:R$81)</f>
        <v>5</v>
      </c>
      <c r="T70" s="537"/>
      <c r="U70" s="190">
        <v>23</v>
      </c>
      <c r="V70" s="190">
        <v>1775.1932773109256</v>
      </c>
      <c r="W70" s="187">
        <f t="shared" si="91"/>
        <v>77.182316404822856</v>
      </c>
      <c r="X70" s="184">
        <f>RANK(W70, $W$67:W$81)</f>
        <v>5</v>
      </c>
      <c r="Y70" s="537"/>
      <c r="Z70" s="190">
        <v>23</v>
      </c>
      <c r="AA70" s="190">
        <v>1775.0611246943768</v>
      </c>
      <c r="AB70" s="187">
        <f t="shared" si="92"/>
        <v>77.176570638885948</v>
      </c>
      <c r="AC70" s="184">
        <f>RANK(AB70, $AB$67:AB$81)</f>
        <v>5</v>
      </c>
      <c r="AD70" s="537"/>
      <c r="AE70" s="190">
        <v>23</v>
      </c>
      <c r="AF70" s="190">
        <v>1774.8447204968925</v>
      </c>
      <c r="AG70" s="187">
        <f t="shared" si="98"/>
        <v>77.167161760734459</v>
      </c>
      <c r="AH70" s="184">
        <f t="shared" si="99"/>
        <v>5</v>
      </c>
      <c r="AI70" s="537"/>
      <c r="AJ70" s="190">
        <v>23</v>
      </c>
      <c r="AK70" s="190">
        <v>1774.8296880602318</v>
      </c>
      <c r="AL70" s="187">
        <f t="shared" si="93"/>
        <v>77.166508176531821</v>
      </c>
      <c r="AM70" s="184">
        <f t="shared" si="100"/>
        <v>5</v>
      </c>
      <c r="AN70" s="537"/>
      <c r="AO70" s="190">
        <v>23</v>
      </c>
      <c r="AP70" s="190">
        <v>1774.8328267477204</v>
      </c>
      <c r="AQ70" s="187">
        <f t="shared" si="94"/>
        <v>77.166644641205238</v>
      </c>
      <c r="AR70" s="184">
        <f t="shared" si="101"/>
        <v>5</v>
      </c>
      <c r="AS70" s="537"/>
      <c r="AT70" s="190">
        <v>23</v>
      </c>
      <c r="AU70" s="190">
        <v>1775.9999999999995</v>
      </c>
      <c r="AV70" s="187">
        <f t="shared" si="95"/>
        <v>77.2173913043478</v>
      </c>
      <c r="AW70" s="184">
        <f t="shared" si="102"/>
        <v>6</v>
      </c>
      <c r="AX70" s="537"/>
    </row>
    <row r="71" spans="2:50" ht="14.25" customHeight="1">
      <c r="B71" s="501"/>
      <c r="C71" s="182">
        <v>5</v>
      </c>
      <c r="D71" s="185" t="s">
        <v>462</v>
      </c>
      <c r="E71" s="182">
        <v>20</v>
      </c>
      <c r="F71" s="182">
        <v>2000</v>
      </c>
      <c r="G71" s="187">
        <f t="shared" si="90"/>
        <v>100</v>
      </c>
      <c r="H71" s="537"/>
      <c r="I71" s="188">
        <f t="shared" si="96"/>
        <v>20</v>
      </c>
      <c r="J71" s="188">
        <f t="shared" si="96"/>
        <v>1777.4892190976582</v>
      </c>
      <c r="K71" s="189">
        <f t="shared" si="96"/>
        <v>88.874460954882906</v>
      </c>
      <c r="L71" s="538"/>
      <c r="M71" s="188">
        <f>RANK(K71, K$67:$K$81)</f>
        <v>2</v>
      </c>
      <c r="N71" s="501"/>
      <c r="O71" s="501"/>
      <c r="P71" s="190">
        <v>20</v>
      </c>
      <c r="Q71" s="190">
        <v>1776.1589403973508</v>
      </c>
      <c r="R71" s="187">
        <f t="shared" si="97"/>
        <v>88.807947019867541</v>
      </c>
      <c r="S71" s="184">
        <f>RANK(R71, $R$67:R$81)</f>
        <v>2</v>
      </c>
      <c r="T71" s="537"/>
      <c r="U71" s="190">
        <v>20</v>
      </c>
      <c r="V71" s="190">
        <v>1775.8389261744953</v>
      </c>
      <c r="W71" s="187">
        <f t="shared" si="91"/>
        <v>88.791946308724761</v>
      </c>
      <c r="X71" s="184">
        <f>RANK(W71, $W$67:W$81)</f>
        <v>2</v>
      </c>
      <c r="Y71" s="537"/>
      <c r="Z71" s="190">
        <v>20</v>
      </c>
      <c r="AA71" s="190">
        <v>1777.2151898734276</v>
      </c>
      <c r="AB71" s="187">
        <f t="shared" si="92"/>
        <v>88.860759493671381</v>
      </c>
      <c r="AC71" s="184">
        <f>RANK(AB71, $AB$67:AB$81)</f>
        <v>2</v>
      </c>
      <c r="AD71" s="537"/>
      <c r="AE71" s="190">
        <v>20</v>
      </c>
      <c r="AF71" s="190">
        <v>1777.4744027303691</v>
      </c>
      <c r="AG71" s="187">
        <f t="shared" si="98"/>
        <v>88.873720136518457</v>
      </c>
      <c r="AH71" s="184">
        <f t="shared" si="99"/>
        <v>2</v>
      </c>
      <c r="AI71" s="537"/>
      <c r="AJ71" s="190">
        <v>20</v>
      </c>
      <c r="AK71" s="190">
        <v>1778.7680209698535</v>
      </c>
      <c r="AL71" s="187">
        <f t="shared" si="93"/>
        <v>88.938401048492679</v>
      </c>
      <c r="AM71" s="184">
        <f t="shared" si="100"/>
        <v>2</v>
      </c>
      <c r="AN71" s="537"/>
      <c r="AO71" s="190">
        <v>20</v>
      </c>
      <c r="AP71" s="190">
        <v>1778.4172661870587</v>
      </c>
      <c r="AQ71" s="187">
        <f t="shared" si="94"/>
        <v>88.920863309352939</v>
      </c>
      <c r="AR71" s="184">
        <f t="shared" si="101"/>
        <v>2</v>
      </c>
      <c r="AS71" s="537"/>
      <c r="AT71" s="190">
        <v>20</v>
      </c>
      <c r="AU71" s="190">
        <v>1778.5517873510523</v>
      </c>
      <c r="AV71" s="187">
        <f t="shared" si="95"/>
        <v>88.927589367552613</v>
      </c>
      <c r="AW71" s="184">
        <f t="shared" si="102"/>
        <v>2</v>
      </c>
      <c r="AX71" s="537"/>
    </row>
    <row r="72" spans="2:50" ht="14.25" customHeight="1">
      <c r="B72" s="501"/>
      <c r="C72" s="182">
        <v>6</v>
      </c>
      <c r="D72" s="185" t="s">
        <v>486</v>
      </c>
      <c r="E72" s="182">
        <v>21</v>
      </c>
      <c r="F72" s="182">
        <v>2000</v>
      </c>
      <c r="G72" s="187">
        <f t="shared" si="90"/>
        <v>95.238095238095241</v>
      </c>
      <c r="H72" s="537"/>
      <c r="I72" s="188">
        <f t="shared" si="96"/>
        <v>21</v>
      </c>
      <c r="J72" s="188">
        <f t="shared" si="96"/>
        <v>1775.9971001088736</v>
      </c>
      <c r="K72" s="189">
        <f t="shared" si="96"/>
        <v>84.571290481374945</v>
      </c>
      <c r="L72" s="538"/>
      <c r="M72" s="188">
        <f>RANK(K72, K$67:$K$81)</f>
        <v>3</v>
      </c>
      <c r="N72" s="501"/>
      <c r="O72" s="501"/>
      <c r="P72" s="190">
        <v>21</v>
      </c>
      <c r="Q72" s="190">
        <v>1775.7248819959561</v>
      </c>
      <c r="R72" s="187">
        <f t="shared" si="97"/>
        <v>84.558327714093153</v>
      </c>
      <c r="S72" s="184">
        <f>RANK(R72, $R$67:R$81)</f>
        <v>3</v>
      </c>
      <c r="T72" s="537"/>
      <c r="U72" s="190">
        <v>21</v>
      </c>
      <c r="V72" s="190">
        <v>1775.4545454545455</v>
      </c>
      <c r="W72" s="187">
        <f t="shared" si="91"/>
        <v>84.545454545454547</v>
      </c>
      <c r="X72" s="184">
        <f>RANK(W72, $W$67:W$81)</f>
        <v>3</v>
      </c>
      <c r="Y72" s="537"/>
      <c r="Z72" s="190">
        <v>21</v>
      </c>
      <c r="AA72" s="190">
        <v>1775.7512953367864</v>
      </c>
      <c r="AB72" s="187">
        <f t="shared" si="92"/>
        <v>84.559585492227924</v>
      </c>
      <c r="AC72" s="184">
        <f>RANK(AB72, $AB$67:AB$81)</f>
        <v>3</v>
      </c>
      <c r="AD72" s="537"/>
      <c r="AE72" s="190">
        <v>21</v>
      </c>
      <c r="AF72" s="190">
        <v>1775.7763975155326</v>
      </c>
      <c r="AG72" s="187">
        <f t="shared" si="98"/>
        <v>84.560780834072986</v>
      </c>
      <c r="AH72" s="184">
        <f t="shared" si="99"/>
        <v>3</v>
      </c>
      <c r="AI72" s="537"/>
      <c r="AJ72" s="190">
        <v>21</v>
      </c>
      <c r="AK72" s="190">
        <v>1776.1786600496321</v>
      </c>
      <c r="AL72" s="187">
        <f t="shared" si="93"/>
        <v>84.579936192839625</v>
      </c>
      <c r="AM72" s="184">
        <f t="shared" si="100"/>
        <v>3</v>
      </c>
      <c r="AN72" s="537"/>
      <c r="AO72" s="190">
        <v>21</v>
      </c>
      <c r="AP72" s="190">
        <v>1776.3237774030356</v>
      </c>
      <c r="AQ72" s="187">
        <f t="shared" si="94"/>
        <v>84.586846543001698</v>
      </c>
      <c r="AR72" s="184">
        <f t="shared" si="101"/>
        <v>3</v>
      </c>
      <c r="AS72" s="537"/>
      <c r="AT72" s="190">
        <v>21</v>
      </c>
      <c r="AU72" s="190">
        <v>1776.7701430066268</v>
      </c>
      <c r="AV72" s="187">
        <f t="shared" si="95"/>
        <v>84.608102047934608</v>
      </c>
      <c r="AW72" s="184">
        <f t="shared" si="102"/>
        <v>3</v>
      </c>
      <c r="AX72" s="537"/>
    </row>
    <row r="73" spans="2:50" ht="14.25" customHeight="1">
      <c r="B73" s="501"/>
      <c r="C73" s="182">
        <v>7</v>
      </c>
      <c r="D73" s="185" t="s">
        <v>563</v>
      </c>
      <c r="E73" s="182">
        <v>19</v>
      </c>
      <c r="F73" s="182">
        <v>1800</v>
      </c>
      <c r="G73" s="187">
        <f t="shared" si="90"/>
        <v>94.736842105263165</v>
      </c>
      <c r="H73" s="537"/>
      <c r="I73" s="188">
        <f t="shared" si="96"/>
        <v>19</v>
      </c>
      <c r="J73" s="188">
        <f t="shared" si="96"/>
        <v>1599.2744957696607</v>
      </c>
      <c r="K73" s="189">
        <f t="shared" si="96"/>
        <v>84.172341882613736</v>
      </c>
      <c r="L73" s="538"/>
      <c r="M73" s="188">
        <f>RANK(K73, K$67:$K$81)</f>
        <v>4</v>
      </c>
      <c r="N73" s="501"/>
      <c r="O73" s="501"/>
      <c r="P73" s="190">
        <v>19</v>
      </c>
      <c r="Q73" s="190">
        <v>1598.8976044095805</v>
      </c>
      <c r="R73" s="187">
        <f t="shared" si="97"/>
        <v>84.152505495241073</v>
      </c>
      <c r="S73" s="184">
        <f>RANK(R73, $R$67:R$81)</f>
        <v>4</v>
      </c>
      <c r="T73" s="537"/>
      <c r="U73" s="190">
        <v>19</v>
      </c>
      <c r="V73" s="190">
        <v>1598.9384800965022</v>
      </c>
      <c r="W73" s="187">
        <f t="shared" si="91"/>
        <v>84.154656847184327</v>
      </c>
      <c r="X73" s="184">
        <f>RANK(W73, $W$67:W$81)</f>
        <v>4</v>
      </c>
      <c r="Y73" s="537"/>
      <c r="Z73" s="190">
        <v>19</v>
      </c>
      <c r="AA73" s="190">
        <v>1598.9898989898986</v>
      </c>
      <c r="AB73" s="187">
        <f t="shared" si="92"/>
        <v>84.157363104731502</v>
      </c>
      <c r="AC73" s="184">
        <f>RANK(AB73, $AB$67:AB$81)</f>
        <v>4</v>
      </c>
      <c r="AD73" s="537"/>
      <c r="AE73" s="190">
        <v>19</v>
      </c>
      <c r="AF73" s="190">
        <v>1598.8852292880683</v>
      </c>
      <c r="AG73" s="187">
        <f t="shared" si="98"/>
        <v>84.151854173056222</v>
      </c>
      <c r="AH73" s="184">
        <f t="shared" si="99"/>
        <v>4</v>
      </c>
      <c r="AI73" s="537"/>
      <c r="AJ73" s="190">
        <v>19</v>
      </c>
      <c r="AK73" s="190">
        <v>1598.9197151976405</v>
      </c>
      <c r="AL73" s="187">
        <f t="shared" si="93"/>
        <v>84.15366922092845</v>
      </c>
      <c r="AM73" s="184">
        <f t="shared" si="100"/>
        <v>4</v>
      </c>
      <c r="AN73" s="537"/>
      <c r="AO73" s="190">
        <v>19</v>
      </c>
      <c r="AP73" s="190">
        <v>1599.1038696537698</v>
      </c>
      <c r="AQ73" s="187">
        <f t="shared" si="94"/>
        <v>84.163361560724724</v>
      </c>
      <c r="AR73" s="184">
        <f t="shared" si="101"/>
        <v>4</v>
      </c>
      <c r="AS73" s="537"/>
      <c r="AT73" s="190">
        <v>19</v>
      </c>
      <c r="AU73" s="190">
        <v>1601.1866727521654</v>
      </c>
      <c r="AV73" s="187">
        <f t="shared" si="95"/>
        <v>84.272982776429757</v>
      </c>
      <c r="AW73" s="184">
        <f t="shared" si="102"/>
        <v>4</v>
      </c>
      <c r="AX73" s="537"/>
    </row>
    <row r="74" spans="2:50" ht="14.25" customHeight="1">
      <c r="B74" s="501"/>
      <c r="C74" s="182">
        <v>8</v>
      </c>
      <c r="D74" s="185" t="s">
        <v>524</v>
      </c>
      <c r="E74" s="182">
        <v>19</v>
      </c>
      <c r="F74" s="182">
        <v>2000</v>
      </c>
      <c r="G74" s="187">
        <f t="shared" si="90"/>
        <v>105.26315789473684</v>
      </c>
      <c r="H74" s="537"/>
      <c r="I74" s="188">
        <f t="shared" si="96"/>
        <v>19</v>
      </c>
      <c r="J74" s="188">
        <f t="shared" si="96"/>
        <v>1775.0350911755086</v>
      </c>
      <c r="K74" s="189">
        <f t="shared" si="96"/>
        <v>93.4228995355531</v>
      </c>
      <c r="L74" s="538"/>
      <c r="M74" s="188">
        <f>RANK(K74, K$67:$K$81)</f>
        <v>1</v>
      </c>
      <c r="N74" s="501"/>
      <c r="O74" s="501"/>
      <c r="P74" s="190">
        <v>19</v>
      </c>
      <c r="Q74" s="190">
        <v>1774.4203440538506</v>
      </c>
      <c r="R74" s="187">
        <f t="shared" si="97"/>
        <v>93.39054442388688</v>
      </c>
      <c r="S74" s="184">
        <f>RANK(R74, $R$67:R$81)</f>
        <v>1</v>
      </c>
      <c r="T74" s="537"/>
      <c r="U74" s="190">
        <v>19</v>
      </c>
      <c r="V74" s="190">
        <v>1774.6040886841349</v>
      </c>
      <c r="W74" s="187">
        <f t="shared" si="91"/>
        <v>93.400215193901843</v>
      </c>
      <c r="X74" s="184">
        <f>RANK(W74, $W$67:W$81)</f>
        <v>1</v>
      </c>
      <c r="Y74" s="537"/>
      <c r="Z74" s="190">
        <v>19</v>
      </c>
      <c r="AA74" s="190">
        <v>1774.6835443038015</v>
      </c>
      <c r="AB74" s="187">
        <f t="shared" si="92"/>
        <v>93.404397068621122</v>
      </c>
      <c r="AC74" s="184">
        <f>RANK(AB74, $AB$67:AB$81)</f>
        <v>1</v>
      </c>
      <c r="AD74" s="537"/>
      <c r="AE74" s="190">
        <v>19</v>
      </c>
      <c r="AF74" s="190">
        <v>1774.9235474006118</v>
      </c>
      <c r="AG74" s="187">
        <f t="shared" si="98"/>
        <v>93.41702881055852</v>
      </c>
      <c r="AH74" s="184">
        <f t="shared" si="99"/>
        <v>1</v>
      </c>
      <c r="AI74" s="537"/>
      <c r="AJ74" s="190">
        <v>19</v>
      </c>
      <c r="AK74" s="190">
        <v>1775.3571428571443</v>
      </c>
      <c r="AL74" s="187">
        <f t="shared" si="93"/>
        <v>93.43984962406023</v>
      </c>
      <c r="AM74" s="184">
        <f t="shared" si="100"/>
        <v>1</v>
      </c>
      <c r="AN74" s="537"/>
      <c r="AO74" s="190">
        <v>19</v>
      </c>
      <c r="AP74" s="190">
        <v>1775.4768392370595</v>
      </c>
      <c r="AQ74" s="187">
        <f t="shared" si="94"/>
        <v>93.446149433529442</v>
      </c>
      <c r="AR74" s="184">
        <f t="shared" si="101"/>
        <v>1</v>
      </c>
      <c r="AS74" s="537"/>
      <c r="AT74" s="190">
        <v>19</v>
      </c>
      <c r="AU74" s="190">
        <v>1775.7801316919574</v>
      </c>
      <c r="AV74" s="187">
        <f t="shared" si="95"/>
        <v>93.462112194313548</v>
      </c>
      <c r="AW74" s="184">
        <f t="shared" si="102"/>
        <v>1</v>
      </c>
      <c r="AX74" s="537"/>
    </row>
    <row r="75" spans="2:50" ht="14.25" customHeight="1">
      <c r="B75" s="501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01"/>
      <c r="O75" s="501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103">U82+1</f>
        <v>46051</v>
      </c>
      <c r="AA82" s="599"/>
      <c r="AB82" s="599"/>
      <c r="AC82" s="599"/>
      <c r="AD82" s="599"/>
      <c r="AE82" s="600">
        <f t="shared" ref="AE82" si="104">Z82+1</f>
        <v>46052</v>
      </c>
      <c r="AF82" s="601"/>
      <c r="AG82" s="601"/>
      <c r="AH82" s="601"/>
      <c r="AI82" s="601"/>
      <c r="AJ82" s="590">
        <f t="shared" ref="AJ82" si="105">AE82+1</f>
        <v>46053</v>
      </c>
      <c r="AK82" s="591"/>
      <c r="AL82" s="591"/>
      <c r="AM82" s="591"/>
      <c r="AN82" s="592"/>
      <c r="AO82" s="600">
        <f t="shared" ref="AO82" si="106">AJ82+1</f>
        <v>46054</v>
      </c>
      <c r="AP82" s="601"/>
      <c r="AQ82" s="601"/>
      <c r="AR82" s="601"/>
      <c r="AS82" s="601"/>
      <c r="AT82" s="590">
        <f t="shared" ref="AT82" si="107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108">Z82</f>
        <v>46051</v>
      </c>
      <c r="AA83" s="593"/>
      <c r="AB83" s="593"/>
      <c r="AC83" s="593"/>
      <c r="AD83" s="593"/>
      <c r="AE83" s="594">
        <f t="shared" ref="AE83" si="109">AE82</f>
        <v>46052</v>
      </c>
      <c r="AF83" s="594"/>
      <c r="AG83" s="594"/>
      <c r="AH83" s="594"/>
      <c r="AI83" s="594"/>
      <c r="AJ83" s="595">
        <f t="shared" ref="AJ83" si="110">AJ82</f>
        <v>46053</v>
      </c>
      <c r="AK83" s="596"/>
      <c r="AL83" s="596"/>
      <c r="AM83" s="596"/>
      <c r="AN83" s="597"/>
      <c r="AO83" s="594">
        <f t="shared" ref="AO83" si="111">AO82</f>
        <v>46054</v>
      </c>
      <c r="AP83" s="594"/>
      <c r="AQ83" s="594"/>
      <c r="AR83" s="594"/>
      <c r="AS83" s="594"/>
      <c r="AT83" s="595">
        <f t="shared" ref="AT83" si="112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363</v>
      </c>
      <c r="C87" s="182">
        <v>1</v>
      </c>
      <c r="D87" s="185"/>
      <c r="E87" s="182"/>
      <c r="F87" s="182"/>
      <c r="G87" s="187" t="e">
        <f t="shared" ref="G87:G101" si="113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4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115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16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17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18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19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20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3"/>
        <v>#DIV/0!</v>
      </c>
      <c r="H88" s="537"/>
      <c r="I88" s="188" t="e">
        <f t="shared" ref="I88:I101" si="121">AVERAGE(P88,U88,Z88,AE88,AJ88,AO88,AT88)</f>
        <v>#DIV/0!</v>
      </c>
      <c r="J88" s="188" t="e">
        <f t="shared" ref="J88:J101" si="122">AVERAGE(Q88,V88,AA88,AF88,AK88,AP88,AU88)</f>
        <v>#DIV/0!</v>
      </c>
      <c r="K88" s="189" t="e">
        <f t="shared" ref="K88:K101" si="123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114"/>
        <v>#DIV/0!</v>
      </c>
      <c r="S88" s="184" t="e">
        <f t="shared" ref="S88:S101" si="124">RANK(R88, R$47:R$61)</f>
        <v>#DIV/0!</v>
      </c>
      <c r="T88" s="537"/>
      <c r="U88" s="182"/>
      <c r="V88" s="182"/>
      <c r="W88" s="187" t="e">
        <f t="shared" si="115"/>
        <v>#DIV/0!</v>
      </c>
      <c r="X88" s="184" t="e">
        <f t="shared" ref="X88:X101" si="125">RANK(W88, W$47:W$61)</f>
        <v>#DIV/0!</v>
      </c>
      <c r="Y88" s="537"/>
      <c r="Z88" s="182"/>
      <c r="AA88" s="182"/>
      <c r="AB88" s="187" t="e">
        <f t="shared" si="116"/>
        <v>#DIV/0!</v>
      </c>
      <c r="AC88" s="184" t="e">
        <f t="shared" ref="AC88:AC101" si="126">RANK(AB88, AB$47:AB$61)</f>
        <v>#DIV/0!</v>
      </c>
      <c r="AD88" s="537"/>
      <c r="AE88" s="182"/>
      <c r="AF88" s="182"/>
      <c r="AG88" s="187" t="e">
        <f t="shared" si="117"/>
        <v>#DIV/0!</v>
      </c>
      <c r="AH88" s="184" t="e">
        <f t="shared" ref="AH88:AH101" si="127">RANK(AG88, AG$47:AG$61)</f>
        <v>#DIV/0!</v>
      </c>
      <c r="AI88" s="537"/>
      <c r="AJ88" s="182"/>
      <c r="AK88" s="182"/>
      <c r="AL88" s="187" t="e">
        <f t="shared" si="118"/>
        <v>#DIV/0!</v>
      </c>
      <c r="AM88" s="184" t="e">
        <f t="shared" ref="AM88:AM101" si="128">RANK(AL88, AL$47:AL$61)</f>
        <v>#DIV/0!</v>
      </c>
      <c r="AN88" s="537"/>
      <c r="AO88" s="182"/>
      <c r="AP88" s="182"/>
      <c r="AQ88" s="187" t="e">
        <f t="shared" si="119"/>
        <v>#DIV/0!</v>
      </c>
      <c r="AR88" s="184" t="e">
        <f t="shared" ref="AR88:AR101" si="129">RANK(AQ88, AQ$47:AQ$61)</f>
        <v>#DIV/0!</v>
      </c>
      <c r="AS88" s="537"/>
      <c r="AT88" s="182"/>
      <c r="AU88" s="182"/>
      <c r="AV88" s="187" t="e">
        <f t="shared" si="120"/>
        <v>#DIV/0!</v>
      </c>
      <c r="AW88" s="184" t="e">
        <f t="shared" ref="AW88:AW101" si="130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3"/>
        <v>#DIV/0!</v>
      </c>
      <c r="H89" s="537"/>
      <c r="I89" s="188" t="e">
        <f t="shared" si="121"/>
        <v>#DIV/0!</v>
      </c>
      <c r="J89" s="188" t="e">
        <f t="shared" si="122"/>
        <v>#DIV/0!</v>
      </c>
      <c r="K89" s="189" t="e">
        <f t="shared" si="123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114"/>
        <v>#DIV/0!</v>
      </c>
      <c r="S89" s="184" t="e">
        <f t="shared" si="124"/>
        <v>#DIV/0!</v>
      </c>
      <c r="T89" s="537"/>
      <c r="U89" s="182"/>
      <c r="V89" s="182"/>
      <c r="W89" s="187" t="e">
        <f t="shared" si="115"/>
        <v>#DIV/0!</v>
      </c>
      <c r="X89" s="184" t="e">
        <f t="shared" si="125"/>
        <v>#DIV/0!</v>
      </c>
      <c r="Y89" s="537"/>
      <c r="Z89" s="182"/>
      <c r="AA89" s="182"/>
      <c r="AB89" s="187" t="e">
        <f t="shared" si="116"/>
        <v>#DIV/0!</v>
      </c>
      <c r="AC89" s="184" t="e">
        <f t="shared" si="126"/>
        <v>#DIV/0!</v>
      </c>
      <c r="AD89" s="537"/>
      <c r="AE89" s="182"/>
      <c r="AF89" s="182"/>
      <c r="AG89" s="187" t="e">
        <f t="shared" si="117"/>
        <v>#DIV/0!</v>
      </c>
      <c r="AH89" s="184" t="e">
        <f t="shared" si="127"/>
        <v>#DIV/0!</v>
      </c>
      <c r="AI89" s="537"/>
      <c r="AJ89" s="182"/>
      <c r="AK89" s="182"/>
      <c r="AL89" s="187" t="e">
        <f t="shared" si="118"/>
        <v>#DIV/0!</v>
      </c>
      <c r="AM89" s="184" t="e">
        <f t="shared" si="128"/>
        <v>#DIV/0!</v>
      </c>
      <c r="AN89" s="537"/>
      <c r="AO89" s="182"/>
      <c r="AP89" s="182"/>
      <c r="AQ89" s="187" t="e">
        <f t="shared" si="119"/>
        <v>#DIV/0!</v>
      </c>
      <c r="AR89" s="184" t="e">
        <f t="shared" si="129"/>
        <v>#DIV/0!</v>
      </c>
      <c r="AS89" s="537"/>
      <c r="AT89" s="182"/>
      <c r="AU89" s="182"/>
      <c r="AV89" s="187" t="e">
        <f t="shared" si="120"/>
        <v>#DIV/0!</v>
      </c>
      <c r="AW89" s="184" t="e">
        <f t="shared" si="130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3"/>
        <v>#DIV/0!</v>
      </c>
      <c r="H90" s="537"/>
      <c r="I90" s="188" t="e">
        <f t="shared" si="121"/>
        <v>#DIV/0!</v>
      </c>
      <c r="J90" s="188" t="e">
        <f t="shared" si="122"/>
        <v>#DIV/0!</v>
      </c>
      <c r="K90" s="189" t="e">
        <f t="shared" si="123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114"/>
        <v>#DIV/0!</v>
      </c>
      <c r="S90" s="184" t="e">
        <f t="shared" si="124"/>
        <v>#DIV/0!</v>
      </c>
      <c r="T90" s="537"/>
      <c r="U90" s="182"/>
      <c r="V90" s="182"/>
      <c r="W90" s="187" t="e">
        <f t="shared" si="115"/>
        <v>#DIV/0!</v>
      </c>
      <c r="X90" s="184" t="e">
        <f t="shared" si="125"/>
        <v>#DIV/0!</v>
      </c>
      <c r="Y90" s="537"/>
      <c r="Z90" s="182"/>
      <c r="AA90" s="182"/>
      <c r="AB90" s="187" t="e">
        <f t="shared" si="116"/>
        <v>#DIV/0!</v>
      </c>
      <c r="AC90" s="184" t="e">
        <f t="shared" si="126"/>
        <v>#DIV/0!</v>
      </c>
      <c r="AD90" s="537"/>
      <c r="AE90" s="182"/>
      <c r="AF90" s="182"/>
      <c r="AG90" s="187" t="e">
        <f t="shared" si="117"/>
        <v>#DIV/0!</v>
      </c>
      <c r="AH90" s="184" t="e">
        <f t="shared" si="127"/>
        <v>#DIV/0!</v>
      </c>
      <c r="AI90" s="537"/>
      <c r="AJ90" s="182"/>
      <c r="AK90" s="182"/>
      <c r="AL90" s="187" t="e">
        <f t="shared" si="118"/>
        <v>#DIV/0!</v>
      </c>
      <c r="AM90" s="184" t="e">
        <f t="shared" si="128"/>
        <v>#DIV/0!</v>
      </c>
      <c r="AN90" s="537"/>
      <c r="AO90" s="182"/>
      <c r="AP90" s="182"/>
      <c r="AQ90" s="187" t="e">
        <f t="shared" si="119"/>
        <v>#DIV/0!</v>
      </c>
      <c r="AR90" s="184" t="e">
        <f t="shared" si="129"/>
        <v>#DIV/0!</v>
      </c>
      <c r="AS90" s="537"/>
      <c r="AT90" s="182"/>
      <c r="AU90" s="182"/>
      <c r="AV90" s="187" t="e">
        <f t="shared" si="120"/>
        <v>#DIV/0!</v>
      </c>
      <c r="AW90" s="184" t="e">
        <f t="shared" si="130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3"/>
        <v>#DIV/0!</v>
      </c>
      <c r="H91" s="537"/>
      <c r="I91" s="188" t="e">
        <f t="shared" si="121"/>
        <v>#DIV/0!</v>
      </c>
      <c r="J91" s="188" t="e">
        <f t="shared" si="122"/>
        <v>#DIV/0!</v>
      </c>
      <c r="K91" s="189" t="e">
        <f t="shared" si="123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114"/>
        <v>#DIV/0!</v>
      </c>
      <c r="S91" s="184" t="e">
        <f t="shared" si="124"/>
        <v>#DIV/0!</v>
      </c>
      <c r="T91" s="537"/>
      <c r="U91" s="182"/>
      <c r="V91" s="182"/>
      <c r="W91" s="187" t="e">
        <f t="shared" si="115"/>
        <v>#DIV/0!</v>
      </c>
      <c r="X91" s="184" t="e">
        <f t="shared" si="125"/>
        <v>#DIV/0!</v>
      </c>
      <c r="Y91" s="537"/>
      <c r="Z91" s="182"/>
      <c r="AA91" s="182"/>
      <c r="AB91" s="187" t="e">
        <f t="shared" si="116"/>
        <v>#DIV/0!</v>
      </c>
      <c r="AC91" s="184" t="e">
        <f t="shared" si="126"/>
        <v>#DIV/0!</v>
      </c>
      <c r="AD91" s="537"/>
      <c r="AE91" s="182"/>
      <c r="AF91" s="182"/>
      <c r="AG91" s="187" t="e">
        <f t="shared" si="117"/>
        <v>#DIV/0!</v>
      </c>
      <c r="AH91" s="184" t="e">
        <f t="shared" si="127"/>
        <v>#DIV/0!</v>
      </c>
      <c r="AI91" s="537"/>
      <c r="AJ91" s="182"/>
      <c r="AK91" s="182"/>
      <c r="AL91" s="187" t="e">
        <f t="shared" si="118"/>
        <v>#DIV/0!</v>
      </c>
      <c r="AM91" s="184" t="e">
        <f t="shared" si="128"/>
        <v>#DIV/0!</v>
      </c>
      <c r="AN91" s="537"/>
      <c r="AO91" s="182"/>
      <c r="AP91" s="182"/>
      <c r="AQ91" s="187" t="e">
        <f t="shared" si="119"/>
        <v>#DIV/0!</v>
      </c>
      <c r="AR91" s="184" t="e">
        <f t="shared" si="129"/>
        <v>#DIV/0!</v>
      </c>
      <c r="AS91" s="537"/>
      <c r="AT91" s="182"/>
      <c r="AU91" s="182"/>
      <c r="AV91" s="187" t="e">
        <f t="shared" si="120"/>
        <v>#DIV/0!</v>
      </c>
      <c r="AW91" s="184" t="e">
        <f t="shared" si="130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3"/>
        <v>#DIV/0!</v>
      </c>
      <c r="H92" s="537"/>
      <c r="I92" s="188" t="e">
        <f t="shared" si="121"/>
        <v>#DIV/0!</v>
      </c>
      <c r="J92" s="188" t="e">
        <f t="shared" si="122"/>
        <v>#DIV/0!</v>
      </c>
      <c r="K92" s="189" t="e">
        <f t="shared" si="123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114"/>
        <v>#DIV/0!</v>
      </c>
      <c r="S92" s="184" t="e">
        <f t="shared" si="124"/>
        <v>#DIV/0!</v>
      </c>
      <c r="T92" s="537"/>
      <c r="U92" s="182"/>
      <c r="V92" s="182"/>
      <c r="W92" s="187" t="e">
        <f t="shared" si="115"/>
        <v>#DIV/0!</v>
      </c>
      <c r="X92" s="184" t="e">
        <f t="shared" si="125"/>
        <v>#DIV/0!</v>
      </c>
      <c r="Y92" s="537"/>
      <c r="Z92" s="182"/>
      <c r="AA92" s="182"/>
      <c r="AB92" s="187" t="e">
        <f t="shared" si="116"/>
        <v>#DIV/0!</v>
      </c>
      <c r="AC92" s="184" t="e">
        <f t="shared" si="126"/>
        <v>#DIV/0!</v>
      </c>
      <c r="AD92" s="537"/>
      <c r="AE92" s="182"/>
      <c r="AF92" s="182"/>
      <c r="AG92" s="187" t="e">
        <f t="shared" si="117"/>
        <v>#DIV/0!</v>
      </c>
      <c r="AH92" s="184" t="e">
        <f t="shared" si="127"/>
        <v>#DIV/0!</v>
      </c>
      <c r="AI92" s="537"/>
      <c r="AJ92" s="182"/>
      <c r="AK92" s="182"/>
      <c r="AL92" s="187" t="e">
        <f t="shared" si="118"/>
        <v>#DIV/0!</v>
      </c>
      <c r="AM92" s="184" t="e">
        <f t="shared" si="128"/>
        <v>#DIV/0!</v>
      </c>
      <c r="AN92" s="537"/>
      <c r="AO92" s="182"/>
      <c r="AP92" s="182"/>
      <c r="AQ92" s="187" t="e">
        <f t="shared" si="119"/>
        <v>#DIV/0!</v>
      </c>
      <c r="AR92" s="184" t="e">
        <f t="shared" si="129"/>
        <v>#DIV/0!</v>
      </c>
      <c r="AS92" s="537"/>
      <c r="AT92" s="182"/>
      <c r="AU92" s="182"/>
      <c r="AV92" s="187" t="e">
        <f t="shared" si="120"/>
        <v>#DIV/0!</v>
      </c>
      <c r="AW92" s="184" t="e">
        <f t="shared" si="130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3"/>
        <v>#DIV/0!</v>
      </c>
      <c r="H93" s="537"/>
      <c r="I93" s="188" t="e">
        <f t="shared" si="121"/>
        <v>#DIV/0!</v>
      </c>
      <c r="J93" s="188" t="e">
        <f t="shared" si="122"/>
        <v>#DIV/0!</v>
      </c>
      <c r="K93" s="189" t="e">
        <f t="shared" si="123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114"/>
        <v>#DIV/0!</v>
      </c>
      <c r="S93" s="184" t="e">
        <f t="shared" si="124"/>
        <v>#DIV/0!</v>
      </c>
      <c r="T93" s="537"/>
      <c r="U93" s="182"/>
      <c r="V93" s="182"/>
      <c r="W93" s="187" t="e">
        <f t="shared" si="115"/>
        <v>#DIV/0!</v>
      </c>
      <c r="X93" s="184" t="e">
        <f t="shared" si="125"/>
        <v>#DIV/0!</v>
      </c>
      <c r="Y93" s="537"/>
      <c r="Z93" s="182"/>
      <c r="AA93" s="182"/>
      <c r="AB93" s="187" t="e">
        <f t="shared" si="116"/>
        <v>#DIV/0!</v>
      </c>
      <c r="AC93" s="184" t="e">
        <f t="shared" si="126"/>
        <v>#DIV/0!</v>
      </c>
      <c r="AD93" s="537"/>
      <c r="AE93" s="182"/>
      <c r="AF93" s="182"/>
      <c r="AG93" s="187" t="e">
        <f t="shared" si="117"/>
        <v>#DIV/0!</v>
      </c>
      <c r="AH93" s="184" t="e">
        <f t="shared" si="127"/>
        <v>#DIV/0!</v>
      </c>
      <c r="AI93" s="537"/>
      <c r="AJ93" s="182"/>
      <c r="AK93" s="182"/>
      <c r="AL93" s="187" t="e">
        <f t="shared" si="118"/>
        <v>#DIV/0!</v>
      </c>
      <c r="AM93" s="184" t="e">
        <f t="shared" si="128"/>
        <v>#DIV/0!</v>
      </c>
      <c r="AN93" s="537"/>
      <c r="AO93" s="182"/>
      <c r="AP93" s="182"/>
      <c r="AQ93" s="187" t="e">
        <f t="shared" si="119"/>
        <v>#DIV/0!</v>
      </c>
      <c r="AR93" s="184" t="e">
        <f t="shared" si="129"/>
        <v>#DIV/0!</v>
      </c>
      <c r="AS93" s="537"/>
      <c r="AT93" s="182"/>
      <c r="AU93" s="182"/>
      <c r="AV93" s="187" t="e">
        <f t="shared" si="120"/>
        <v>#DIV/0!</v>
      </c>
      <c r="AW93" s="184" t="e">
        <f t="shared" si="130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3"/>
        <v>#DIV/0!</v>
      </c>
      <c r="H94" s="537"/>
      <c r="I94" s="188" t="e">
        <f t="shared" si="121"/>
        <v>#DIV/0!</v>
      </c>
      <c r="J94" s="188" t="e">
        <f t="shared" si="122"/>
        <v>#DIV/0!</v>
      </c>
      <c r="K94" s="189" t="e">
        <f t="shared" si="123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114"/>
        <v>#DIV/0!</v>
      </c>
      <c r="S94" s="184" t="e">
        <f t="shared" si="124"/>
        <v>#DIV/0!</v>
      </c>
      <c r="T94" s="537"/>
      <c r="U94" s="182"/>
      <c r="V94" s="182"/>
      <c r="W94" s="187" t="e">
        <f t="shared" si="115"/>
        <v>#DIV/0!</v>
      </c>
      <c r="X94" s="184" t="e">
        <f t="shared" si="125"/>
        <v>#DIV/0!</v>
      </c>
      <c r="Y94" s="537"/>
      <c r="Z94" s="182"/>
      <c r="AA94" s="182"/>
      <c r="AB94" s="187" t="e">
        <f t="shared" si="116"/>
        <v>#DIV/0!</v>
      </c>
      <c r="AC94" s="184" t="e">
        <f t="shared" si="126"/>
        <v>#DIV/0!</v>
      </c>
      <c r="AD94" s="537"/>
      <c r="AE94" s="182"/>
      <c r="AF94" s="182"/>
      <c r="AG94" s="187" t="e">
        <f t="shared" si="117"/>
        <v>#DIV/0!</v>
      </c>
      <c r="AH94" s="184" t="e">
        <f t="shared" si="127"/>
        <v>#DIV/0!</v>
      </c>
      <c r="AI94" s="537"/>
      <c r="AJ94" s="182"/>
      <c r="AK94" s="182"/>
      <c r="AL94" s="187" t="e">
        <f t="shared" si="118"/>
        <v>#DIV/0!</v>
      </c>
      <c r="AM94" s="184" t="e">
        <f t="shared" si="128"/>
        <v>#DIV/0!</v>
      </c>
      <c r="AN94" s="537"/>
      <c r="AO94" s="182"/>
      <c r="AP94" s="182"/>
      <c r="AQ94" s="187" t="e">
        <f t="shared" si="119"/>
        <v>#DIV/0!</v>
      </c>
      <c r="AR94" s="184" t="e">
        <f t="shared" si="129"/>
        <v>#DIV/0!</v>
      </c>
      <c r="AS94" s="537"/>
      <c r="AT94" s="182"/>
      <c r="AU94" s="182"/>
      <c r="AV94" s="187" t="e">
        <f t="shared" si="120"/>
        <v>#DIV/0!</v>
      </c>
      <c r="AW94" s="184" t="e">
        <f t="shared" si="130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3"/>
        <v>#DIV/0!</v>
      </c>
      <c r="H95" s="537"/>
      <c r="I95" s="188" t="e">
        <f t="shared" si="121"/>
        <v>#DIV/0!</v>
      </c>
      <c r="J95" s="188" t="e">
        <f t="shared" si="122"/>
        <v>#DIV/0!</v>
      </c>
      <c r="K95" s="189" t="e">
        <f t="shared" si="123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114"/>
        <v>#DIV/0!</v>
      </c>
      <c r="S95" s="184" t="e">
        <f t="shared" si="124"/>
        <v>#DIV/0!</v>
      </c>
      <c r="T95" s="537"/>
      <c r="U95" s="182"/>
      <c r="V95" s="182"/>
      <c r="W95" s="187" t="e">
        <f t="shared" si="115"/>
        <v>#DIV/0!</v>
      </c>
      <c r="X95" s="184" t="e">
        <f t="shared" si="125"/>
        <v>#DIV/0!</v>
      </c>
      <c r="Y95" s="537"/>
      <c r="Z95" s="182"/>
      <c r="AA95" s="182"/>
      <c r="AB95" s="187" t="e">
        <f t="shared" si="116"/>
        <v>#DIV/0!</v>
      </c>
      <c r="AC95" s="184" t="e">
        <f t="shared" si="126"/>
        <v>#DIV/0!</v>
      </c>
      <c r="AD95" s="537"/>
      <c r="AE95" s="182"/>
      <c r="AF95" s="182"/>
      <c r="AG95" s="187" t="e">
        <f t="shared" si="117"/>
        <v>#DIV/0!</v>
      </c>
      <c r="AH95" s="184" t="e">
        <f t="shared" si="127"/>
        <v>#DIV/0!</v>
      </c>
      <c r="AI95" s="537"/>
      <c r="AJ95" s="182"/>
      <c r="AK95" s="182"/>
      <c r="AL95" s="187" t="e">
        <f t="shared" si="118"/>
        <v>#DIV/0!</v>
      </c>
      <c r="AM95" s="184" t="e">
        <f t="shared" si="128"/>
        <v>#DIV/0!</v>
      </c>
      <c r="AN95" s="537"/>
      <c r="AO95" s="182"/>
      <c r="AP95" s="182"/>
      <c r="AQ95" s="187" t="e">
        <f t="shared" si="119"/>
        <v>#DIV/0!</v>
      </c>
      <c r="AR95" s="184" t="e">
        <f t="shared" si="129"/>
        <v>#DIV/0!</v>
      </c>
      <c r="AS95" s="537"/>
      <c r="AT95" s="182"/>
      <c r="AU95" s="182"/>
      <c r="AV95" s="187" t="e">
        <f t="shared" si="120"/>
        <v>#DIV/0!</v>
      </c>
      <c r="AW95" s="184" t="e">
        <f t="shared" si="130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3"/>
        <v>#DIV/0!</v>
      </c>
      <c r="H96" s="537"/>
      <c r="I96" s="188" t="e">
        <f t="shared" si="121"/>
        <v>#DIV/0!</v>
      </c>
      <c r="J96" s="188" t="e">
        <f t="shared" si="122"/>
        <v>#DIV/0!</v>
      </c>
      <c r="K96" s="189" t="e">
        <f t="shared" si="123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114"/>
        <v>#DIV/0!</v>
      </c>
      <c r="S96" s="184" t="e">
        <f t="shared" si="124"/>
        <v>#DIV/0!</v>
      </c>
      <c r="T96" s="537"/>
      <c r="U96" s="182"/>
      <c r="V96" s="182"/>
      <c r="W96" s="187" t="e">
        <f t="shared" si="115"/>
        <v>#DIV/0!</v>
      </c>
      <c r="X96" s="184" t="e">
        <f t="shared" si="125"/>
        <v>#DIV/0!</v>
      </c>
      <c r="Y96" s="537"/>
      <c r="Z96" s="182"/>
      <c r="AA96" s="182"/>
      <c r="AB96" s="187" t="e">
        <f t="shared" si="116"/>
        <v>#DIV/0!</v>
      </c>
      <c r="AC96" s="184" t="e">
        <f t="shared" si="126"/>
        <v>#DIV/0!</v>
      </c>
      <c r="AD96" s="537"/>
      <c r="AE96" s="182"/>
      <c r="AF96" s="182"/>
      <c r="AG96" s="187" t="e">
        <f t="shared" si="117"/>
        <v>#DIV/0!</v>
      </c>
      <c r="AH96" s="184" t="e">
        <f t="shared" si="127"/>
        <v>#DIV/0!</v>
      </c>
      <c r="AI96" s="537"/>
      <c r="AJ96" s="182"/>
      <c r="AK96" s="182"/>
      <c r="AL96" s="187" t="e">
        <f t="shared" si="118"/>
        <v>#DIV/0!</v>
      </c>
      <c r="AM96" s="184" t="e">
        <f t="shared" si="128"/>
        <v>#DIV/0!</v>
      </c>
      <c r="AN96" s="537"/>
      <c r="AO96" s="182"/>
      <c r="AP96" s="182"/>
      <c r="AQ96" s="187" t="e">
        <f t="shared" si="119"/>
        <v>#DIV/0!</v>
      </c>
      <c r="AR96" s="184" t="e">
        <f t="shared" si="129"/>
        <v>#DIV/0!</v>
      </c>
      <c r="AS96" s="537"/>
      <c r="AT96" s="182"/>
      <c r="AU96" s="182"/>
      <c r="AV96" s="187" t="e">
        <f t="shared" si="120"/>
        <v>#DIV/0!</v>
      </c>
      <c r="AW96" s="184" t="e">
        <f t="shared" si="130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3"/>
        <v>#DIV/0!</v>
      </c>
      <c r="H97" s="537"/>
      <c r="I97" s="188" t="e">
        <f t="shared" si="121"/>
        <v>#DIV/0!</v>
      </c>
      <c r="J97" s="188" t="e">
        <f t="shared" si="122"/>
        <v>#DIV/0!</v>
      </c>
      <c r="K97" s="189" t="e">
        <f t="shared" si="123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114"/>
        <v>#DIV/0!</v>
      </c>
      <c r="S97" s="184" t="e">
        <f t="shared" si="124"/>
        <v>#DIV/0!</v>
      </c>
      <c r="T97" s="537"/>
      <c r="U97" s="182"/>
      <c r="V97" s="182"/>
      <c r="W97" s="187" t="e">
        <f t="shared" si="115"/>
        <v>#DIV/0!</v>
      </c>
      <c r="X97" s="184" t="e">
        <f t="shared" si="125"/>
        <v>#DIV/0!</v>
      </c>
      <c r="Y97" s="537"/>
      <c r="Z97" s="182"/>
      <c r="AA97" s="182"/>
      <c r="AB97" s="187" t="e">
        <f t="shared" si="116"/>
        <v>#DIV/0!</v>
      </c>
      <c r="AC97" s="184" t="e">
        <f t="shared" si="126"/>
        <v>#DIV/0!</v>
      </c>
      <c r="AD97" s="537"/>
      <c r="AE97" s="182"/>
      <c r="AF97" s="182"/>
      <c r="AG97" s="187" t="e">
        <f t="shared" si="117"/>
        <v>#DIV/0!</v>
      </c>
      <c r="AH97" s="184" t="e">
        <f t="shared" si="127"/>
        <v>#DIV/0!</v>
      </c>
      <c r="AI97" s="537"/>
      <c r="AJ97" s="182"/>
      <c r="AK97" s="182"/>
      <c r="AL97" s="187" t="e">
        <f t="shared" si="118"/>
        <v>#DIV/0!</v>
      </c>
      <c r="AM97" s="184" t="e">
        <f t="shared" si="128"/>
        <v>#DIV/0!</v>
      </c>
      <c r="AN97" s="537"/>
      <c r="AO97" s="182"/>
      <c r="AP97" s="182"/>
      <c r="AQ97" s="187" t="e">
        <f t="shared" si="119"/>
        <v>#DIV/0!</v>
      </c>
      <c r="AR97" s="184" t="e">
        <f t="shared" si="129"/>
        <v>#DIV/0!</v>
      </c>
      <c r="AS97" s="537"/>
      <c r="AT97" s="182"/>
      <c r="AU97" s="182"/>
      <c r="AV97" s="187" t="e">
        <f t="shared" si="120"/>
        <v>#DIV/0!</v>
      </c>
      <c r="AW97" s="184" t="e">
        <f t="shared" si="130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3"/>
        <v>#DIV/0!</v>
      </c>
      <c r="H98" s="537"/>
      <c r="I98" s="188" t="e">
        <f t="shared" si="121"/>
        <v>#DIV/0!</v>
      </c>
      <c r="J98" s="188" t="e">
        <f t="shared" si="122"/>
        <v>#DIV/0!</v>
      </c>
      <c r="K98" s="189" t="e">
        <f t="shared" si="123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114"/>
        <v>#DIV/0!</v>
      </c>
      <c r="S98" s="184" t="e">
        <f t="shared" si="124"/>
        <v>#DIV/0!</v>
      </c>
      <c r="T98" s="537"/>
      <c r="U98" s="182"/>
      <c r="V98" s="182"/>
      <c r="W98" s="187" t="e">
        <f t="shared" si="115"/>
        <v>#DIV/0!</v>
      </c>
      <c r="X98" s="184" t="e">
        <f t="shared" si="125"/>
        <v>#DIV/0!</v>
      </c>
      <c r="Y98" s="537"/>
      <c r="Z98" s="182"/>
      <c r="AA98" s="182"/>
      <c r="AB98" s="187" t="e">
        <f t="shared" si="116"/>
        <v>#DIV/0!</v>
      </c>
      <c r="AC98" s="184" t="e">
        <f t="shared" si="126"/>
        <v>#DIV/0!</v>
      </c>
      <c r="AD98" s="537"/>
      <c r="AE98" s="182"/>
      <c r="AF98" s="182"/>
      <c r="AG98" s="187" t="e">
        <f t="shared" si="117"/>
        <v>#DIV/0!</v>
      </c>
      <c r="AH98" s="184" t="e">
        <f t="shared" si="127"/>
        <v>#DIV/0!</v>
      </c>
      <c r="AI98" s="537"/>
      <c r="AJ98" s="182"/>
      <c r="AK98" s="182"/>
      <c r="AL98" s="187" t="e">
        <f t="shared" si="118"/>
        <v>#DIV/0!</v>
      </c>
      <c r="AM98" s="184" t="e">
        <f t="shared" si="128"/>
        <v>#DIV/0!</v>
      </c>
      <c r="AN98" s="537"/>
      <c r="AO98" s="182"/>
      <c r="AP98" s="182"/>
      <c r="AQ98" s="187" t="e">
        <f t="shared" si="119"/>
        <v>#DIV/0!</v>
      </c>
      <c r="AR98" s="184" t="e">
        <f t="shared" si="129"/>
        <v>#DIV/0!</v>
      </c>
      <c r="AS98" s="537"/>
      <c r="AT98" s="182"/>
      <c r="AU98" s="182"/>
      <c r="AV98" s="187" t="e">
        <f t="shared" si="120"/>
        <v>#DIV/0!</v>
      </c>
      <c r="AW98" s="184" t="e">
        <f t="shared" si="130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3"/>
        <v>#DIV/0!</v>
      </c>
      <c r="H99" s="537"/>
      <c r="I99" s="188" t="e">
        <f t="shared" si="121"/>
        <v>#DIV/0!</v>
      </c>
      <c r="J99" s="188" t="e">
        <f t="shared" si="122"/>
        <v>#DIV/0!</v>
      </c>
      <c r="K99" s="189" t="e">
        <f t="shared" si="123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114"/>
        <v>#DIV/0!</v>
      </c>
      <c r="S99" s="184" t="e">
        <f t="shared" si="124"/>
        <v>#DIV/0!</v>
      </c>
      <c r="T99" s="537"/>
      <c r="U99" s="182"/>
      <c r="V99" s="182"/>
      <c r="W99" s="187" t="e">
        <f t="shared" si="115"/>
        <v>#DIV/0!</v>
      </c>
      <c r="X99" s="184" t="e">
        <f t="shared" si="125"/>
        <v>#DIV/0!</v>
      </c>
      <c r="Y99" s="537"/>
      <c r="Z99" s="182"/>
      <c r="AA99" s="182"/>
      <c r="AB99" s="187" t="e">
        <f t="shared" si="116"/>
        <v>#DIV/0!</v>
      </c>
      <c r="AC99" s="184" t="e">
        <f t="shared" si="126"/>
        <v>#DIV/0!</v>
      </c>
      <c r="AD99" s="537"/>
      <c r="AE99" s="182"/>
      <c r="AF99" s="182"/>
      <c r="AG99" s="187" t="e">
        <f t="shared" si="117"/>
        <v>#DIV/0!</v>
      </c>
      <c r="AH99" s="184" t="e">
        <f t="shared" si="127"/>
        <v>#DIV/0!</v>
      </c>
      <c r="AI99" s="537"/>
      <c r="AJ99" s="182"/>
      <c r="AK99" s="182"/>
      <c r="AL99" s="187" t="e">
        <f t="shared" si="118"/>
        <v>#DIV/0!</v>
      </c>
      <c r="AM99" s="184" t="e">
        <f t="shared" si="128"/>
        <v>#DIV/0!</v>
      </c>
      <c r="AN99" s="537"/>
      <c r="AO99" s="182"/>
      <c r="AP99" s="182"/>
      <c r="AQ99" s="187" t="e">
        <f t="shared" si="119"/>
        <v>#DIV/0!</v>
      </c>
      <c r="AR99" s="184" t="e">
        <f t="shared" si="129"/>
        <v>#DIV/0!</v>
      </c>
      <c r="AS99" s="537"/>
      <c r="AT99" s="182"/>
      <c r="AU99" s="182"/>
      <c r="AV99" s="187" t="e">
        <f t="shared" si="120"/>
        <v>#DIV/0!</v>
      </c>
      <c r="AW99" s="184" t="e">
        <f t="shared" si="130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3"/>
        <v>#DIV/0!</v>
      </c>
      <c r="H100" s="537"/>
      <c r="I100" s="188" t="e">
        <f t="shared" si="121"/>
        <v>#DIV/0!</v>
      </c>
      <c r="J100" s="188" t="e">
        <f t="shared" si="122"/>
        <v>#DIV/0!</v>
      </c>
      <c r="K100" s="189" t="e">
        <f t="shared" si="123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4"/>
        <v>#DIV/0!</v>
      </c>
      <c r="S100" s="184" t="e">
        <f t="shared" si="124"/>
        <v>#DIV/0!</v>
      </c>
      <c r="T100" s="537"/>
      <c r="U100" s="182"/>
      <c r="V100" s="182"/>
      <c r="W100" s="187" t="e">
        <f t="shared" si="115"/>
        <v>#DIV/0!</v>
      </c>
      <c r="X100" s="184" t="e">
        <f t="shared" si="125"/>
        <v>#DIV/0!</v>
      </c>
      <c r="Y100" s="537"/>
      <c r="Z100" s="182"/>
      <c r="AA100" s="182"/>
      <c r="AB100" s="187" t="e">
        <f t="shared" si="116"/>
        <v>#DIV/0!</v>
      </c>
      <c r="AC100" s="184" t="e">
        <f t="shared" si="126"/>
        <v>#DIV/0!</v>
      </c>
      <c r="AD100" s="537"/>
      <c r="AE100" s="182"/>
      <c r="AF100" s="182"/>
      <c r="AG100" s="187" t="e">
        <f t="shared" si="117"/>
        <v>#DIV/0!</v>
      </c>
      <c r="AH100" s="184" t="e">
        <f t="shared" si="127"/>
        <v>#DIV/0!</v>
      </c>
      <c r="AI100" s="537"/>
      <c r="AJ100" s="182"/>
      <c r="AK100" s="182"/>
      <c r="AL100" s="187" t="e">
        <f t="shared" si="118"/>
        <v>#DIV/0!</v>
      </c>
      <c r="AM100" s="184" t="e">
        <f t="shared" si="128"/>
        <v>#DIV/0!</v>
      </c>
      <c r="AN100" s="537"/>
      <c r="AO100" s="182"/>
      <c r="AP100" s="182"/>
      <c r="AQ100" s="187" t="e">
        <f t="shared" si="119"/>
        <v>#DIV/0!</v>
      </c>
      <c r="AR100" s="184" t="e">
        <f t="shared" si="129"/>
        <v>#DIV/0!</v>
      </c>
      <c r="AS100" s="537"/>
      <c r="AT100" s="182"/>
      <c r="AU100" s="182"/>
      <c r="AV100" s="187" t="e">
        <f t="shared" si="120"/>
        <v>#DIV/0!</v>
      </c>
      <c r="AW100" s="184" t="e">
        <f t="shared" si="130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3"/>
        <v>#DIV/0!</v>
      </c>
      <c r="H101" s="537"/>
      <c r="I101" s="188" t="e">
        <f t="shared" si="121"/>
        <v>#DIV/0!</v>
      </c>
      <c r="J101" s="188" t="e">
        <f t="shared" si="122"/>
        <v>#DIV/0!</v>
      </c>
      <c r="K101" s="189" t="e">
        <f t="shared" si="123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4"/>
        <v>#DIV/0!</v>
      </c>
      <c r="T101" s="537"/>
      <c r="U101" s="182"/>
      <c r="V101" s="186"/>
      <c r="W101" s="187" t="e">
        <f>V101/U101</f>
        <v>#DIV/0!</v>
      </c>
      <c r="X101" s="184" t="e">
        <f t="shared" si="125"/>
        <v>#DIV/0!</v>
      </c>
      <c r="Y101" s="537"/>
      <c r="Z101" s="182"/>
      <c r="AA101" s="186"/>
      <c r="AB101" s="187" t="e">
        <f>AA101/Z101</f>
        <v>#DIV/0!</v>
      </c>
      <c r="AC101" s="184" t="e">
        <f t="shared" si="126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27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28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29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30"/>
        <v>#DIV/0!</v>
      </c>
      <c r="AX101" s="537"/>
    </row>
  </sheetData>
  <mergeCells count="295">
    <mergeCell ref="AS84:AS86"/>
    <mergeCell ref="AT84:AW84"/>
    <mergeCell ref="AX84:AX86"/>
    <mergeCell ref="AX87:AX101"/>
    <mergeCell ref="P84:S84"/>
    <mergeCell ref="AT85:AW85"/>
    <mergeCell ref="T84:T86"/>
    <mergeCell ref="U84:X84"/>
    <mergeCell ref="Y84:Y86"/>
    <mergeCell ref="Z84:AC84"/>
    <mergeCell ref="AD84:AD86"/>
    <mergeCell ref="AE84:AH84"/>
    <mergeCell ref="AI84:AI86"/>
    <mergeCell ref="T87:T101"/>
    <mergeCell ref="Y87:Y101"/>
    <mergeCell ref="AD87:AD101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B87:B101"/>
    <mergeCell ref="H87:H101"/>
    <mergeCell ref="L87:L101"/>
    <mergeCell ref="AJ84:AM84"/>
    <mergeCell ref="AN84:AN86"/>
    <mergeCell ref="AO84:AR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conditionalFormatting sqref="A4:A21">
    <cfRule type="expression" dxfId="16" priority="1">
      <formula>A4&lt;0</formula>
    </cfRule>
    <cfRule type="expression" dxfId="15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N55" activePane="bottomRight" state="frozen"/>
      <selection activeCell="L95" sqref="L95"/>
      <selection pane="topRight" activeCell="L95" sqref="L95"/>
      <selection pane="bottomLeft" activeCell="L95" sqref="L95"/>
      <selection pane="bottomRight" activeCell="M72" sqref="M72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437" t="s">
        <v>609</v>
      </c>
      <c r="C1" s="177">
        <f>AVERAGE(L7,L27,L47,L67,L87)</f>
        <v>78.447633756306374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138</v>
      </c>
      <c r="C7" s="182">
        <v>1</v>
      </c>
      <c r="D7" s="185" t="s">
        <v>366</v>
      </c>
      <c r="E7" s="182">
        <v>21</v>
      </c>
      <c r="F7" s="182">
        <v>2000</v>
      </c>
      <c r="G7" s="187">
        <f t="shared" ref="G7:G15" si="10">F7/E7</f>
        <v>95.238095238095241</v>
      </c>
      <c r="H7" s="537">
        <f>AVERAGE(G7:G21)</f>
        <v>89.26595143986448</v>
      </c>
      <c r="I7" s="188">
        <f>AVERAGE(P7,U7,Z7,AE7,AJ7,AO7,AT7)</f>
        <v>21</v>
      </c>
      <c r="J7" s="188">
        <f>AVERAGE(Q7,V7,AA7,AF7,AK7,AP7,AU7)</f>
        <v>1772.2905642805385</v>
      </c>
      <c r="K7" s="189">
        <f>AVERAGE(R7,W7,AB7,AG7,AL7,AQ7,AV7)</f>
        <v>84.394788775263734</v>
      </c>
      <c r="L7" s="538">
        <f>IFERROR(AVERAGE(K7:K21),"-")</f>
        <v>79.171459456087732</v>
      </c>
      <c r="M7" s="188">
        <f>RANK(K7, K$7:$K$21)</f>
        <v>3</v>
      </c>
      <c r="N7" s="501"/>
      <c r="O7" s="501"/>
      <c r="P7" s="186">
        <v>21</v>
      </c>
      <c r="Q7" s="186">
        <v>1772.0036596523335</v>
      </c>
      <c r="R7" s="187">
        <f t="shared" ref="R7:R15" si="11">Q7/P7</f>
        <v>84.381126650111113</v>
      </c>
      <c r="S7" s="184">
        <f>RANK(R7, R$7:R$21)</f>
        <v>3</v>
      </c>
      <c r="T7" s="537">
        <f>AVERAGE(R7:R21)</f>
        <v>79.157460320254685</v>
      </c>
      <c r="U7" s="186">
        <v>21</v>
      </c>
      <c r="V7" s="186">
        <v>1772.2452049642725</v>
      </c>
      <c r="W7" s="187">
        <f t="shared" ref="W7:W15" si="12">V7/U7</f>
        <v>84.392628807822504</v>
      </c>
      <c r="X7" s="184">
        <f>RANK(W7, W$7:W$21)</f>
        <v>3</v>
      </c>
      <c r="Y7" s="537">
        <f>AVERAGE(W7:W21)</f>
        <v>79.164568862980715</v>
      </c>
      <c r="Z7" s="186">
        <v>21</v>
      </c>
      <c r="AA7" s="186">
        <v>1772.4550898203595</v>
      </c>
      <c r="AB7" s="187">
        <f t="shared" ref="AB7:AB15" si="13">AA7/Z7</f>
        <v>84.402623324779029</v>
      </c>
      <c r="AC7" s="184">
        <f>RANK(AB7, AB$7:AB$21)</f>
        <v>3</v>
      </c>
      <c r="AD7" s="537">
        <f>AVERAGE(AB7:AB21)</f>
        <v>79.169101890181608</v>
      </c>
      <c r="AE7" s="186">
        <v>21</v>
      </c>
      <c r="AF7" s="186">
        <v>1772.1115537848543</v>
      </c>
      <c r="AG7" s="187">
        <f t="shared" ref="AG7:AG15" si="14">AF7/AE7</f>
        <v>84.386264465945445</v>
      </c>
      <c r="AH7" s="184">
        <f>RANK(AG7, AG$7:AG$21)</f>
        <v>3</v>
      </c>
      <c r="AI7" s="537">
        <f>AVERAGE(AG7:AG21)</f>
        <v>79.170918753679345</v>
      </c>
      <c r="AJ7" s="186">
        <v>21</v>
      </c>
      <c r="AK7" s="186">
        <v>1772.4288840262602</v>
      </c>
      <c r="AL7" s="187">
        <f t="shared" ref="AL7:AL15" si="15">AK7/AJ7</f>
        <v>84.401375429821911</v>
      </c>
      <c r="AM7" s="184">
        <f>RANK(AL7, AL$7:AL$21)</f>
        <v>3</v>
      </c>
      <c r="AN7" s="537">
        <f>AVERAGE(AL7:AL21)</f>
        <v>79.176147138108988</v>
      </c>
      <c r="AO7" s="186">
        <v>21</v>
      </c>
      <c r="AP7" s="186">
        <v>1772.4177071509637</v>
      </c>
      <c r="AQ7" s="187">
        <f t="shared" ref="AQ7:AQ15" si="16">AP7/AO7</f>
        <v>84.40084319766494</v>
      </c>
      <c r="AR7" s="184">
        <f>RANK(AQ7, AQ$7:AQ$21)</f>
        <v>3</v>
      </c>
      <c r="AS7" s="537">
        <f>AVERAGE(AQ7:AQ21)</f>
        <v>79.176389769762935</v>
      </c>
      <c r="AT7" s="186">
        <v>21</v>
      </c>
      <c r="AU7" s="186">
        <v>1772.3718505647275</v>
      </c>
      <c r="AV7" s="187">
        <f t="shared" ref="AV7:AV15" si="17">AU7/AT7</f>
        <v>84.398659550701311</v>
      </c>
      <c r="AW7" s="184">
        <f>RANK(AV7, AV$7:AV$21)</f>
        <v>3</v>
      </c>
      <c r="AX7" s="537">
        <f>AVERAGE(AV7:AV21)</f>
        <v>79.185629457645888</v>
      </c>
    </row>
    <row r="8" spans="1:50" ht="14.25" customHeight="1">
      <c r="B8" s="501"/>
      <c r="C8" s="182">
        <v>2</v>
      </c>
      <c r="D8" s="185" t="s">
        <v>367</v>
      </c>
      <c r="E8" s="182">
        <v>25</v>
      </c>
      <c r="F8" s="182">
        <v>2000</v>
      </c>
      <c r="G8" s="187">
        <f t="shared" si="10"/>
        <v>80</v>
      </c>
      <c r="H8" s="537"/>
      <c r="I8" s="188">
        <f t="shared" ref="I8:K15" si="18">AVERAGE(P8,U8,Z8,AE8,AJ8,AO8,AT8)</f>
        <v>25</v>
      </c>
      <c r="J8" s="188">
        <f t="shared" si="18"/>
        <v>1781.6735257996181</v>
      </c>
      <c r="K8" s="189">
        <f t="shared" si="18"/>
        <v>71.266941031984729</v>
      </c>
      <c r="L8" s="538"/>
      <c r="M8" s="188">
        <f>RANK(K8, K$7:$K$21)</f>
        <v>8</v>
      </c>
      <c r="N8" s="501"/>
      <c r="O8" s="501"/>
      <c r="P8" s="186">
        <v>25</v>
      </c>
      <c r="Q8" s="186">
        <v>1781.4758046857892</v>
      </c>
      <c r="R8" s="187">
        <f t="shared" si="11"/>
        <v>71.259032187431572</v>
      </c>
      <c r="S8" s="184">
        <f t="shared" ref="S8:S15" si="19">RANK(R8, R$7:R$21)</f>
        <v>8</v>
      </c>
      <c r="T8" s="537"/>
      <c r="U8" s="186">
        <v>25</v>
      </c>
      <c r="V8" s="186">
        <v>1781.5723391925835</v>
      </c>
      <c r="W8" s="187">
        <f t="shared" si="12"/>
        <v>71.262893567703344</v>
      </c>
      <c r="X8" s="184">
        <f t="shared" ref="X8:X15" si="20">RANK(W8, W$7:W$21)</f>
        <v>8</v>
      </c>
      <c r="Y8" s="537"/>
      <c r="Z8" s="186">
        <v>25</v>
      </c>
      <c r="AA8" s="186">
        <v>1781.6043679126408</v>
      </c>
      <c r="AB8" s="187">
        <f t="shared" si="13"/>
        <v>71.264174716505636</v>
      </c>
      <c r="AC8" s="184">
        <f t="shared" ref="AC8:AC15" si="21">RANK(AB8, AB$7:AB$21)</f>
        <v>8</v>
      </c>
      <c r="AD8" s="537"/>
      <c r="AE8" s="186">
        <v>25</v>
      </c>
      <c r="AF8" s="186">
        <v>1781.6496756255788</v>
      </c>
      <c r="AG8" s="187">
        <f t="shared" si="14"/>
        <v>71.265987025023151</v>
      </c>
      <c r="AH8" s="184">
        <f t="shared" ref="AH8:AH15" si="22">RANK(AG8, AG$7:AG$21)</f>
        <v>8</v>
      </c>
      <c r="AI8" s="537"/>
      <c r="AJ8" s="186">
        <v>25</v>
      </c>
      <c r="AK8" s="186">
        <v>1781.8012132524477</v>
      </c>
      <c r="AL8" s="187">
        <f t="shared" si="15"/>
        <v>71.272048530097905</v>
      </c>
      <c r="AM8" s="184">
        <f t="shared" ref="AM8:AM15" si="23">RANK(AL8, AL$7:AL$21)</f>
        <v>8</v>
      </c>
      <c r="AN8" s="537"/>
      <c r="AO8" s="186">
        <v>25</v>
      </c>
      <c r="AP8" s="186">
        <v>1781.8473895582335</v>
      </c>
      <c r="AQ8" s="187">
        <f t="shared" si="16"/>
        <v>71.273895582329345</v>
      </c>
      <c r="AR8" s="184">
        <f t="shared" ref="AR8:AR15" si="24">RANK(AQ8, AQ$7:AQ$21)</f>
        <v>8</v>
      </c>
      <c r="AS8" s="537"/>
      <c r="AT8" s="186">
        <v>25</v>
      </c>
      <c r="AU8" s="186">
        <v>1781.7638903700542</v>
      </c>
      <c r="AV8" s="187">
        <f t="shared" si="17"/>
        <v>71.270555614802163</v>
      </c>
      <c r="AW8" s="184">
        <f t="shared" ref="AW8:AW15" si="25">RANK(AV8, AV$7:AV$21)</f>
        <v>8</v>
      </c>
      <c r="AX8" s="537"/>
    </row>
    <row r="9" spans="1:50" ht="14.25" customHeight="1">
      <c r="B9" s="501"/>
      <c r="C9" s="182">
        <v>3</v>
      </c>
      <c r="D9" s="185" t="s">
        <v>368</v>
      </c>
      <c r="E9" s="182">
        <v>23</v>
      </c>
      <c r="F9" s="182">
        <v>2000</v>
      </c>
      <c r="G9" s="187">
        <f t="shared" si="10"/>
        <v>86.956521739130437</v>
      </c>
      <c r="H9" s="537"/>
      <c r="I9" s="188">
        <f t="shared" si="18"/>
        <v>23</v>
      </c>
      <c r="J9" s="188">
        <f t="shared" si="18"/>
        <v>1776.3297859536137</v>
      </c>
      <c r="K9" s="189">
        <f t="shared" si="18"/>
        <v>77.231729824070172</v>
      </c>
      <c r="L9" s="538"/>
      <c r="M9" s="188">
        <f>RANK(K9, K$7:$K$21)</f>
        <v>5</v>
      </c>
      <c r="N9" s="501"/>
      <c r="O9" s="501"/>
      <c r="P9" s="186">
        <v>23</v>
      </c>
      <c r="Q9" s="186">
        <v>1775.9547383309755</v>
      </c>
      <c r="R9" s="187">
        <f t="shared" si="11"/>
        <v>77.21542340569458</v>
      </c>
      <c r="S9" s="184">
        <f t="shared" si="19"/>
        <v>5</v>
      </c>
      <c r="T9" s="537"/>
      <c r="U9" s="186">
        <v>23</v>
      </c>
      <c r="V9" s="186">
        <v>1776.271186440677</v>
      </c>
      <c r="W9" s="187">
        <f t="shared" si="12"/>
        <v>77.229182019159865</v>
      </c>
      <c r="X9" s="184">
        <f t="shared" si="20"/>
        <v>5</v>
      </c>
      <c r="Y9" s="537"/>
      <c r="Z9" s="186">
        <v>23</v>
      </c>
      <c r="AA9" s="186">
        <v>1776.3417305585988</v>
      </c>
      <c r="AB9" s="187">
        <f t="shared" si="13"/>
        <v>77.232249154721686</v>
      </c>
      <c r="AC9" s="184">
        <f t="shared" si="21"/>
        <v>5</v>
      </c>
      <c r="AD9" s="537"/>
      <c r="AE9" s="186">
        <v>23</v>
      </c>
      <c r="AF9" s="186">
        <v>1776.3934426229496</v>
      </c>
      <c r="AG9" s="187">
        <f t="shared" si="14"/>
        <v>77.23449750534563</v>
      </c>
      <c r="AH9" s="184">
        <f t="shared" si="22"/>
        <v>5</v>
      </c>
      <c r="AI9" s="537"/>
      <c r="AJ9" s="186">
        <v>23</v>
      </c>
      <c r="AK9" s="186">
        <v>1776.3779527559063</v>
      </c>
      <c r="AL9" s="187">
        <f t="shared" si="15"/>
        <v>77.233824032865499</v>
      </c>
      <c r="AM9" s="184">
        <f t="shared" si="23"/>
        <v>5</v>
      </c>
      <c r="AN9" s="537"/>
      <c r="AO9" s="186">
        <v>23</v>
      </c>
      <c r="AP9" s="186">
        <v>1776.352898638062</v>
      </c>
      <c r="AQ9" s="187">
        <f t="shared" si="16"/>
        <v>77.232734723394003</v>
      </c>
      <c r="AR9" s="184">
        <f t="shared" si="24"/>
        <v>5</v>
      </c>
      <c r="AS9" s="537"/>
      <c r="AT9" s="186">
        <v>23</v>
      </c>
      <c r="AU9" s="186">
        <v>1776.6165523281272</v>
      </c>
      <c r="AV9" s="187">
        <f t="shared" si="17"/>
        <v>77.244197927309884</v>
      </c>
      <c r="AW9" s="184">
        <f t="shared" si="25"/>
        <v>5</v>
      </c>
      <c r="AX9" s="537"/>
    </row>
    <row r="10" spans="1:50" ht="14.25" customHeight="1">
      <c r="B10" s="501"/>
      <c r="C10" s="182">
        <v>4</v>
      </c>
      <c r="D10" s="185" t="s">
        <v>369</v>
      </c>
      <c r="E10" s="182">
        <v>24</v>
      </c>
      <c r="F10" s="182">
        <v>2000</v>
      </c>
      <c r="G10" s="187">
        <f t="shared" si="10"/>
        <v>83.333333333333329</v>
      </c>
      <c r="H10" s="537"/>
      <c r="I10" s="188">
        <f t="shared" si="18"/>
        <v>24</v>
      </c>
      <c r="J10" s="188">
        <f t="shared" si="18"/>
        <v>1772.415697638254</v>
      </c>
      <c r="K10" s="189">
        <f t="shared" si="18"/>
        <v>73.850654068260582</v>
      </c>
      <c r="L10" s="538"/>
      <c r="M10" s="188">
        <f>RANK(K10, K$7:$K$21)</f>
        <v>7</v>
      </c>
      <c r="N10" s="501"/>
      <c r="O10" s="501"/>
      <c r="P10" s="186">
        <v>24</v>
      </c>
      <c r="Q10" s="186">
        <v>1771.9891745602176</v>
      </c>
      <c r="R10" s="187">
        <f t="shared" si="11"/>
        <v>73.832882273342406</v>
      </c>
      <c r="S10" s="184">
        <f t="shared" si="19"/>
        <v>7</v>
      </c>
      <c r="T10" s="537"/>
      <c r="U10" s="186">
        <v>24</v>
      </c>
      <c r="V10" s="186">
        <v>1772.2323049001834</v>
      </c>
      <c r="W10" s="187">
        <f t="shared" si="12"/>
        <v>73.843012704174313</v>
      </c>
      <c r="X10" s="184">
        <f t="shared" si="20"/>
        <v>7</v>
      </c>
      <c r="Y10" s="537"/>
      <c r="Z10" s="186">
        <v>24</v>
      </c>
      <c r="AA10" s="186">
        <v>1772.48489157483</v>
      </c>
      <c r="AB10" s="187">
        <f t="shared" si="13"/>
        <v>73.853537148951247</v>
      </c>
      <c r="AC10" s="184">
        <f t="shared" si="21"/>
        <v>7</v>
      </c>
      <c r="AD10" s="537"/>
      <c r="AE10" s="186">
        <v>24</v>
      </c>
      <c r="AF10" s="186">
        <v>1772.2444317532852</v>
      </c>
      <c r="AG10" s="187">
        <f t="shared" si="14"/>
        <v>73.843517989720212</v>
      </c>
      <c r="AH10" s="184">
        <f t="shared" si="22"/>
        <v>7</v>
      </c>
      <c r="AI10" s="537"/>
      <c r="AJ10" s="186">
        <v>24</v>
      </c>
      <c r="AK10" s="186">
        <v>1772.5806451612912</v>
      </c>
      <c r="AL10" s="187">
        <f t="shared" si="15"/>
        <v>73.85752688172046</v>
      </c>
      <c r="AM10" s="184">
        <f t="shared" si="23"/>
        <v>7</v>
      </c>
      <c r="AN10" s="537"/>
      <c r="AO10" s="186">
        <v>24</v>
      </c>
      <c r="AP10" s="186">
        <v>1772.7272727272723</v>
      </c>
      <c r="AQ10" s="187">
        <f t="shared" si="16"/>
        <v>73.863636363636346</v>
      </c>
      <c r="AR10" s="184">
        <f t="shared" si="24"/>
        <v>7</v>
      </c>
      <c r="AS10" s="537"/>
      <c r="AT10" s="186">
        <v>24</v>
      </c>
      <c r="AU10" s="186">
        <v>1772.6511627906973</v>
      </c>
      <c r="AV10" s="187">
        <f t="shared" si="17"/>
        <v>73.860465116279059</v>
      </c>
      <c r="AW10" s="184">
        <f t="shared" si="25"/>
        <v>7</v>
      </c>
      <c r="AX10" s="537"/>
    </row>
    <row r="11" spans="1:50" ht="14.25" customHeight="1">
      <c r="B11" s="501"/>
      <c r="C11" s="182">
        <v>5</v>
      </c>
      <c r="D11" s="185" t="s">
        <v>365</v>
      </c>
      <c r="E11" s="182">
        <v>25</v>
      </c>
      <c r="F11" s="182">
        <v>2000</v>
      </c>
      <c r="G11" s="187">
        <f t="shared" si="10"/>
        <v>80</v>
      </c>
      <c r="H11" s="537"/>
      <c r="I11" s="188">
        <f t="shared" si="18"/>
        <v>25</v>
      </c>
      <c r="J11" s="188">
        <f t="shared" si="18"/>
        <v>1777.3168188270677</v>
      </c>
      <c r="K11" s="189">
        <f t="shared" si="18"/>
        <v>71.092672753082724</v>
      </c>
      <c r="L11" s="538"/>
      <c r="M11" s="188">
        <f>RANK(K11, K$7:$K$21)</f>
        <v>9</v>
      </c>
      <c r="N11" s="501"/>
      <c r="O11" s="501"/>
      <c r="P11" s="186">
        <v>25</v>
      </c>
      <c r="Q11" s="186">
        <v>1776.7464114832524</v>
      </c>
      <c r="R11" s="187">
        <f t="shared" si="11"/>
        <v>71.069856459330097</v>
      </c>
      <c r="S11" s="184">
        <f t="shared" si="19"/>
        <v>9</v>
      </c>
      <c r="T11" s="537"/>
      <c r="U11" s="186">
        <v>25</v>
      </c>
      <c r="V11" s="186">
        <v>1777.0931011386451</v>
      </c>
      <c r="W11" s="187">
        <f t="shared" si="12"/>
        <v>71.083724045545807</v>
      </c>
      <c r="X11" s="184">
        <f t="shared" si="20"/>
        <v>9</v>
      </c>
      <c r="Y11" s="537"/>
      <c r="Z11" s="186">
        <v>25</v>
      </c>
      <c r="AA11" s="186">
        <v>1777.2387096774194</v>
      </c>
      <c r="AB11" s="187">
        <f t="shared" si="13"/>
        <v>71.089548387096769</v>
      </c>
      <c r="AC11" s="184">
        <f t="shared" si="21"/>
        <v>9</v>
      </c>
      <c r="AD11" s="537"/>
      <c r="AE11" s="186">
        <v>25</v>
      </c>
      <c r="AF11" s="186">
        <v>1777.5330396475777</v>
      </c>
      <c r="AG11" s="187">
        <f t="shared" si="14"/>
        <v>71.101321585903108</v>
      </c>
      <c r="AH11" s="184">
        <f t="shared" si="22"/>
        <v>9</v>
      </c>
      <c r="AI11" s="537"/>
      <c r="AJ11" s="186">
        <v>25</v>
      </c>
      <c r="AK11" s="186">
        <v>1777.4577332498441</v>
      </c>
      <c r="AL11" s="187">
        <f t="shared" si="15"/>
        <v>71.098309329993768</v>
      </c>
      <c r="AM11" s="184">
        <f t="shared" si="23"/>
        <v>9</v>
      </c>
      <c r="AN11" s="537"/>
      <c r="AO11" s="186">
        <v>25</v>
      </c>
      <c r="AP11" s="186">
        <v>1777.5041969781746</v>
      </c>
      <c r="AQ11" s="187">
        <f t="shared" si="16"/>
        <v>71.100167879126985</v>
      </c>
      <c r="AR11" s="184">
        <f t="shared" si="24"/>
        <v>9</v>
      </c>
      <c r="AS11" s="537"/>
      <c r="AT11" s="186">
        <v>25</v>
      </c>
      <c r="AU11" s="186">
        <v>1777.6445396145612</v>
      </c>
      <c r="AV11" s="187">
        <f t="shared" si="17"/>
        <v>71.105781584582445</v>
      </c>
      <c r="AW11" s="184">
        <f t="shared" si="25"/>
        <v>9</v>
      </c>
      <c r="AX11" s="537"/>
    </row>
    <row r="12" spans="1:50" ht="14.25" customHeight="1">
      <c r="B12" s="501"/>
      <c r="C12" s="182">
        <v>6</v>
      </c>
      <c r="D12" s="185" t="s">
        <v>483</v>
      </c>
      <c r="E12" s="182">
        <v>23</v>
      </c>
      <c r="F12" s="182">
        <v>2000</v>
      </c>
      <c r="G12" s="187">
        <f t="shared" si="10"/>
        <v>86.956521739130437</v>
      </c>
      <c r="H12" s="537"/>
      <c r="I12" s="188">
        <f t="shared" si="18"/>
        <v>23</v>
      </c>
      <c r="J12" s="188">
        <f t="shared" si="18"/>
        <v>1770.0245636014388</v>
      </c>
      <c r="K12" s="189">
        <f t="shared" si="18"/>
        <v>76.957589721801682</v>
      </c>
      <c r="L12" s="538"/>
      <c r="M12" s="188">
        <f>RANK(K12, K$7:$K$21)</f>
        <v>6</v>
      </c>
      <c r="N12" s="501"/>
      <c r="O12" s="501"/>
      <c r="P12" s="186">
        <v>23</v>
      </c>
      <c r="Q12" s="186">
        <v>1769.6822364993932</v>
      </c>
      <c r="R12" s="187">
        <f t="shared" si="11"/>
        <v>76.942705934756219</v>
      </c>
      <c r="S12" s="184">
        <f t="shared" si="19"/>
        <v>6</v>
      </c>
      <c r="T12" s="537"/>
      <c r="U12" s="186">
        <v>23</v>
      </c>
      <c r="V12" s="186">
        <v>1769.8909090909083</v>
      </c>
      <c r="W12" s="187">
        <f t="shared" si="12"/>
        <v>76.95177865612645</v>
      </c>
      <c r="X12" s="184">
        <f t="shared" si="20"/>
        <v>6</v>
      </c>
      <c r="Y12" s="537"/>
      <c r="Z12" s="186">
        <v>23</v>
      </c>
      <c r="AA12" s="186">
        <v>1769.9195378584679</v>
      </c>
      <c r="AB12" s="187">
        <f t="shared" si="13"/>
        <v>76.953023385150786</v>
      </c>
      <c r="AC12" s="184">
        <f t="shared" si="21"/>
        <v>6</v>
      </c>
      <c r="AD12" s="537"/>
      <c r="AE12" s="186">
        <v>23</v>
      </c>
      <c r="AF12" s="186">
        <v>1769.6574225122351</v>
      </c>
      <c r="AG12" s="187">
        <f t="shared" si="14"/>
        <v>76.941627065749358</v>
      </c>
      <c r="AH12" s="184">
        <f t="shared" si="22"/>
        <v>6</v>
      </c>
      <c r="AI12" s="537"/>
      <c r="AJ12" s="186">
        <v>23</v>
      </c>
      <c r="AK12" s="186">
        <v>1769.9244678416119</v>
      </c>
      <c r="AL12" s="187">
        <f t="shared" si="15"/>
        <v>76.953237732243991</v>
      </c>
      <c r="AM12" s="184">
        <f t="shared" si="23"/>
        <v>6</v>
      </c>
      <c r="AN12" s="537"/>
      <c r="AO12" s="186">
        <v>23</v>
      </c>
      <c r="AP12" s="186">
        <v>1769.9957977307754</v>
      </c>
      <c r="AQ12" s="187">
        <f t="shared" si="16"/>
        <v>76.956339031772842</v>
      </c>
      <c r="AR12" s="184">
        <f t="shared" si="24"/>
        <v>6</v>
      </c>
      <c r="AS12" s="537"/>
      <c r="AT12" s="186">
        <v>23</v>
      </c>
      <c r="AU12" s="186">
        <v>1771.1015736766797</v>
      </c>
      <c r="AV12" s="187">
        <f t="shared" si="17"/>
        <v>77.004416246812156</v>
      </c>
      <c r="AW12" s="184">
        <f t="shared" si="25"/>
        <v>6</v>
      </c>
      <c r="AX12" s="537"/>
    </row>
    <row r="13" spans="1:50" ht="14.25" customHeight="1">
      <c r="B13" s="501"/>
      <c r="C13" s="182">
        <v>7</v>
      </c>
      <c r="D13" s="185" t="s">
        <v>487</v>
      </c>
      <c r="E13" s="182">
        <v>22</v>
      </c>
      <c r="F13" s="182">
        <v>2000</v>
      </c>
      <c r="G13" s="187">
        <f t="shared" si="10"/>
        <v>90.909090909090907</v>
      </c>
      <c r="H13" s="537"/>
      <c r="I13" s="188">
        <f t="shared" si="18"/>
        <v>22</v>
      </c>
      <c r="J13" s="188">
        <f t="shared" si="18"/>
        <v>1773.0568206694059</v>
      </c>
      <c r="K13" s="189">
        <f t="shared" si="18"/>
        <v>80.593491848609361</v>
      </c>
      <c r="L13" s="538"/>
      <c r="M13" s="188">
        <f>RANK(K13, K$7:$K$21)</f>
        <v>4</v>
      </c>
      <c r="N13" s="501"/>
      <c r="O13" s="501"/>
      <c r="P13" s="186">
        <v>22</v>
      </c>
      <c r="Q13" s="186">
        <v>1772.929100023872</v>
      </c>
      <c r="R13" s="187">
        <f t="shared" si="11"/>
        <v>80.587686364721449</v>
      </c>
      <c r="S13" s="184">
        <f t="shared" si="19"/>
        <v>4</v>
      </c>
      <c r="T13" s="537"/>
      <c r="U13" s="186">
        <v>22</v>
      </c>
      <c r="V13" s="186">
        <v>1772.9153605015665</v>
      </c>
      <c r="W13" s="187">
        <f t="shared" si="12"/>
        <v>80.587061840980297</v>
      </c>
      <c r="X13" s="184">
        <f t="shared" si="20"/>
        <v>4</v>
      </c>
      <c r="Y13" s="537"/>
      <c r="Z13" s="186">
        <v>22</v>
      </c>
      <c r="AA13" s="186">
        <v>1772.7901614142963</v>
      </c>
      <c r="AB13" s="187">
        <f t="shared" si="13"/>
        <v>80.581370973377105</v>
      </c>
      <c r="AC13" s="184">
        <f t="shared" si="21"/>
        <v>4</v>
      </c>
      <c r="AD13" s="537"/>
      <c r="AE13" s="186">
        <v>22</v>
      </c>
      <c r="AF13" s="186">
        <v>1773.0595196658537</v>
      </c>
      <c r="AG13" s="187">
        <f t="shared" si="14"/>
        <v>80.59361453026608</v>
      </c>
      <c r="AH13" s="184">
        <f t="shared" si="22"/>
        <v>4</v>
      </c>
      <c r="AI13" s="537"/>
      <c r="AJ13" s="186">
        <v>22</v>
      </c>
      <c r="AK13" s="186">
        <v>1772.9530818767244</v>
      </c>
      <c r="AL13" s="187">
        <f t="shared" si="15"/>
        <v>80.588776448942014</v>
      </c>
      <c r="AM13" s="184">
        <f t="shared" si="23"/>
        <v>4</v>
      </c>
      <c r="AN13" s="537"/>
      <c r="AO13" s="186">
        <v>22</v>
      </c>
      <c r="AP13" s="186">
        <v>1773.1753916698506</v>
      </c>
      <c r="AQ13" s="187">
        <f t="shared" si="16"/>
        <v>80.598881439538658</v>
      </c>
      <c r="AR13" s="184">
        <f t="shared" si="24"/>
        <v>4</v>
      </c>
      <c r="AS13" s="537"/>
      <c r="AT13" s="186">
        <v>22</v>
      </c>
      <c r="AU13" s="186">
        <v>1773.5751295336786</v>
      </c>
      <c r="AV13" s="187">
        <f t="shared" si="17"/>
        <v>80.617051342439936</v>
      </c>
      <c r="AW13" s="184">
        <f t="shared" si="25"/>
        <v>4</v>
      </c>
      <c r="AX13" s="537"/>
    </row>
    <row r="14" spans="1:50" ht="14.25" customHeight="1">
      <c r="B14" s="501"/>
      <c r="C14" s="182">
        <v>8</v>
      </c>
      <c r="D14" s="185" t="s">
        <v>497</v>
      </c>
      <c r="E14" s="182">
        <v>20</v>
      </c>
      <c r="F14" s="182">
        <v>2000</v>
      </c>
      <c r="G14" s="187">
        <f t="shared" si="10"/>
        <v>100</v>
      </c>
      <c r="H14" s="537"/>
      <c r="I14" s="188">
        <f t="shared" si="18"/>
        <v>20</v>
      </c>
      <c r="J14" s="188">
        <f t="shared" si="18"/>
        <v>1771.301450026056</v>
      </c>
      <c r="K14" s="189">
        <f t="shared" si="18"/>
        <v>88.565072501302794</v>
      </c>
      <c r="L14" s="538"/>
      <c r="M14" s="188">
        <f>RANK(K14, K$7:$K$21)</f>
        <v>2</v>
      </c>
      <c r="N14" s="501"/>
      <c r="O14" s="501"/>
      <c r="P14" s="186">
        <v>20</v>
      </c>
      <c r="Q14" s="186">
        <v>1771.2656784492583</v>
      </c>
      <c r="R14" s="187">
        <f t="shared" si="11"/>
        <v>88.563283922462915</v>
      </c>
      <c r="S14" s="184">
        <f t="shared" si="19"/>
        <v>2</v>
      </c>
      <c r="T14" s="537"/>
      <c r="U14" s="186">
        <v>20</v>
      </c>
      <c r="V14" s="186">
        <v>1771.2336146525427</v>
      </c>
      <c r="W14" s="187">
        <f t="shared" si="12"/>
        <v>88.561680732627138</v>
      </c>
      <c r="X14" s="184">
        <f t="shared" si="20"/>
        <v>2</v>
      </c>
      <c r="Y14" s="537"/>
      <c r="Z14" s="186">
        <v>20</v>
      </c>
      <c r="AA14" s="186">
        <v>1771.0957178841334</v>
      </c>
      <c r="AB14" s="187">
        <f t="shared" si="13"/>
        <v>88.554785894206674</v>
      </c>
      <c r="AC14" s="184">
        <f t="shared" si="21"/>
        <v>2</v>
      </c>
      <c r="AD14" s="537"/>
      <c r="AE14" s="186">
        <v>20</v>
      </c>
      <c r="AF14" s="186">
        <v>1771.2925493930013</v>
      </c>
      <c r="AG14" s="187">
        <f t="shared" si="14"/>
        <v>88.564627469650063</v>
      </c>
      <c r="AH14" s="184">
        <f t="shared" si="22"/>
        <v>2</v>
      </c>
      <c r="AI14" s="537"/>
      <c r="AJ14" s="186">
        <v>20</v>
      </c>
      <c r="AK14" s="186">
        <v>1771.386807966381</v>
      </c>
      <c r="AL14" s="187">
        <f t="shared" si="15"/>
        <v>88.569340398319042</v>
      </c>
      <c r="AM14" s="184">
        <f t="shared" si="23"/>
        <v>2</v>
      </c>
      <c r="AN14" s="537"/>
      <c r="AO14" s="186">
        <v>20</v>
      </c>
      <c r="AP14" s="186">
        <v>1771.3907284768213</v>
      </c>
      <c r="AQ14" s="187">
        <f t="shared" si="16"/>
        <v>88.569536423841072</v>
      </c>
      <c r="AR14" s="184">
        <f t="shared" si="24"/>
        <v>2</v>
      </c>
      <c r="AS14" s="537"/>
      <c r="AT14" s="186">
        <v>20</v>
      </c>
      <c r="AU14" s="186">
        <v>1771.4450533602535</v>
      </c>
      <c r="AV14" s="187">
        <f t="shared" si="17"/>
        <v>88.57225266801268</v>
      </c>
      <c r="AW14" s="184">
        <f t="shared" si="25"/>
        <v>2</v>
      </c>
      <c r="AX14" s="537"/>
    </row>
    <row r="15" spans="1:50" ht="14.25" customHeight="1">
      <c r="B15" s="501"/>
      <c r="C15" s="182">
        <v>9</v>
      </c>
      <c r="D15" s="185" t="s">
        <v>507</v>
      </c>
      <c r="E15" s="182">
        <v>20</v>
      </c>
      <c r="F15" s="182">
        <v>2000</v>
      </c>
      <c r="G15" s="187">
        <f t="shared" si="10"/>
        <v>100</v>
      </c>
      <c r="H15" s="537"/>
      <c r="I15" s="188">
        <f t="shared" si="18"/>
        <v>20</v>
      </c>
      <c r="J15" s="188">
        <f t="shared" si="18"/>
        <v>1771.8038916082776</v>
      </c>
      <c r="K15" s="189">
        <f t="shared" si="18"/>
        <v>88.590194580413865</v>
      </c>
      <c r="L15" s="538"/>
      <c r="M15" s="188">
        <f>RANK(K15, K$7:$K$21)</f>
        <v>1</v>
      </c>
      <c r="N15" s="501"/>
      <c r="O15" s="501"/>
      <c r="P15" s="186">
        <v>20</v>
      </c>
      <c r="Q15" s="186">
        <v>1771.3029136888372</v>
      </c>
      <c r="R15" s="187">
        <f t="shared" si="11"/>
        <v>88.565145684441859</v>
      </c>
      <c r="S15" s="184">
        <f t="shared" si="19"/>
        <v>1</v>
      </c>
      <c r="T15" s="537"/>
      <c r="U15" s="186">
        <v>20</v>
      </c>
      <c r="V15" s="186">
        <v>1771.3831478537338</v>
      </c>
      <c r="W15" s="187">
        <f t="shared" si="12"/>
        <v>88.569157392686691</v>
      </c>
      <c r="X15" s="184">
        <f t="shared" si="20"/>
        <v>1</v>
      </c>
      <c r="Y15" s="537"/>
      <c r="Z15" s="186">
        <v>20</v>
      </c>
      <c r="AA15" s="186">
        <v>1771.8120805369113</v>
      </c>
      <c r="AB15" s="187">
        <f t="shared" si="13"/>
        <v>88.590604026845568</v>
      </c>
      <c r="AC15" s="184">
        <f t="shared" si="21"/>
        <v>1</v>
      </c>
      <c r="AD15" s="537"/>
      <c r="AE15" s="186">
        <v>20</v>
      </c>
      <c r="AF15" s="186">
        <v>1772.1362229102203</v>
      </c>
      <c r="AG15" s="187">
        <f t="shared" si="14"/>
        <v>88.606811145511017</v>
      </c>
      <c r="AH15" s="184">
        <f t="shared" si="22"/>
        <v>1</v>
      </c>
      <c r="AI15" s="537"/>
      <c r="AJ15" s="186">
        <v>20</v>
      </c>
      <c r="AK15" s="186">
        <v>1772.2177091795259</v>
      </c>
      <c r="AL15" s="187">
        <f t="shared" si="15"/>
        <v>88.610885458976298</v>
      </c>
      <c r="AM15" s="184">
        <f t="shared" si="23"/>
        <v>1</v>
      </c>
      <c r="AN15" s="537"/>
      <c r="AO15" s="186">
        <v>20</v>
      </c>
      <c r="AP15" s="186">
        <v>1771.8294657312463</v>
      </c>
      <c r="AQ15" s="187">
        <f t="shared" si="16"/>
        <v>88.591473286562319</v>
      </c>
      <c r="AR15" s="184">
        <f t="shared" si="24"/>
        <v>1</v>
      </c>
      <c r="AS15" s="537"/>
      <c r="AT15" s="186">
        <v>20</v>
      </c>
      <c r="AU15" s="186">
        <v>1771.9457013574668</v>
      </c>
      <c r="AV15" s="187">
        <f t="shared" si="17"/>
        <v>88.597285067873344</v>
      </c>
      <c r="AW15" s="184">
        <f t="shared" si="25"/>
        <v>1</v>
      </c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6"/>
      <c r="Q16" s="186"/>
      <c r="R16" s="187"/>
      <c r="S16" s="184"/>
      <c r="T16" s="537"/>
      <c r="U16" s="186"/>
      <c r="V16" s="186"/>
      <c r="W16" s="187"/>
      <c r="X16" s="184"/>
      <c r="Y16" s="537"/>
      <c r="Z16" s="186"/>
      <c r="AA16" s="186"/>
      <c r="AB16" s="187"/>
      <c r="AC16" s="184"/>
      <c r="AD16" s="537"/>
      <c r="AE16" s="186"/>
      <c r="AF16" s="186"/>
      <c r="AG16" s="187"/>
      <c r="AH16" s="184"/>
      <c r="AI16" s="537"/>
      <c r="AJ16" s="186"/>
      <c r="AK16" s="186"/>
      <c r="AL16" s="187"/>
      <c r="AM16" s="184"/>
      <c r="AN16" s="537"/>
      <c r="AO16" s="186"/>
      <c r="AP16" s="186"/>
      <c r="AQ16" s="187"/>
      <c r="AR16" s="184"/>
      <c r="AS16" s="537"/>
      <c r="AT16" s="186"/>
      <c r="AU16" s="186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6"/>
      <c r="Q17" s="186"/>
      <c r="R17" s="187"/>
      <c r="S17" s="184"/>
      <c r="T17" s="537"/>
      <c r="U17" s="186"/>
      <c r="V17" s="186"/>
      <c r="W17" s="187"/>
      <c r="X17" s="184"/>
      <c r="Y17" s="537"/>
      <c r="Z17" s="186"/>
      <c r="AA17" s="186"/>
      <c r="AB17" s="187"/>
      <c r="AC17" s="184"/>
      <c r="AD17" s="537"/>
      <c r="AE17" s="186"/>
      <c r="AF17" s="186"/>
      <c r="AG17" s="187"/>
      <c r="AH17" s="184"/>
      <c r="AI17" s="537"/>
      <c r="AJ17" s="186"/>
      <c r="AK17" s="186"/>
      <c r="AL17" s="187"/>
      <c r="AM17" s="184"/>
      <c r="AN17" s="537"/>
      <c r="AO17" s="186"/>
      <c r="AP17" s="186"/>
      <c r="AQ17" s="187"/>
      <c r="AR17" s="184"/>
      <c r="AS17" s="537"/>
      <c r="AT17" s="186"/>
      <c r="AU17" s="186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138</v>
      </c>
      <c r="C27" s="182">
        <v>1</v>
      </c>
      <c r="D27" s="185" t="s">
        <v>366</v>
      </c>
      <c r="E27" s="182">
        <v>21</v>
      </c>
      <c r="F27" s="182">
        <v>2000</v>
      </c>
      <c r="G27" s="187">
        <f t="shared" ref="G27:G35" si="36">F27/E27</f>
        <v>95.238095238095241</v>
      </c>
      <c r="H27" s="537">
        <f>AVERAGE(G27:G41)</f>
        <v>89.26595143986448</v>
      </c>
      <c r="I27" s="188">
        <f>AVERAGE(P27,U27,Z27,AE27,AJ27,AO27,AT27)</f>
        <v>21</v>
      </c>
      <c r="J27" s="188">
        <f>AVERAGE(Q27,V27,AA27,AF27,AK27,AP27,AU27)</f>
        <v>1772.9802815912858</v>
      </c>
      <c r="K27" s="189">
        <f>AVERAGE(R27,W27,AB27,AG27,AL27,AQ27,AV27)</f>
        <v>84.427632456727892</v>
      </c>
      <c r="L27" s="538">
        <f>IFERROR(AVERAGE(K27:K41),"-")</f>
        <v>79.212616720831704</v>
      </c>
      <c r="M27" s="188">
        <f>RANK(K27, K$27:$K$41)</f>
        <v>3</v>
      </c>
      <c r="N27" s="501"/>
      <c r="O27" s="501"/>
      <c r="P27" s="190">
        <v>21</v>
      </c>
      <c r="Q27" s="190">
        <v>1772.4992793312208</v>
      </c>
      <c r="R27" s="187">
        <f>IFERROR(Q27/P27,"")</f>
        <v>84.404727587200995</v>
      </c>
      <c r="S27" s="184">
        <f>RANK(R27, R$27:R$41)</f>
        <v>3</v>
      </c>
      <c r="T27" s="537">
        <f>AVERAGE(R27:R41)</f>
        <v>79.190457249481796</v>
      </c>
      <c r="U27" s="190">
        <v>21</v>
      </c>
      <c r="V27" s="190">
        <v>1772.6941747572814</v>
      </c>
      <c r="W27" s="187">
        <f t="shared" ref="W27:W35" si="37">IFERROR(V27/U27,"")</f>
        <v>84.414008321775299</v>
      </c>
      <c r="X27" s="184">
        <f>RANK(W27, W$27:W$41)</f>
        <v>3</v>
      </c>
      <c r="Y27" s="537">
        <f>AVERAGE(W27:W41)</f>
        <v>79.200753394935532</v>
      </c>
      <c r="Z27" s="190">
        <v>21</v>
      </c>
      <c r="AA27" s="190">
        <v>1772.4665391969427</v>
      </c>
      <c r="AB27" s="187">
        <f t="shared" ref="AB27:AB35" si="38">IFERROR(AA27/Z27,"")</f>
        <v>84.403168533187753</v>
      </c>
      <c r="AC27" s="184">
        <f>RANK(AB27, AB$27:AB$41)</f>
        <v>3</v>
      </c>
      <c r="AD27" s="537">
        <f>AVERAGE(AB27:AB41)</f>
        <v>79.202326810781202</v>
      </c>
      <c r="AE27" s="190">
        <v>21</v>
      </c>
      <c r="AF27" s="190">
        <v>1772.6399999999974</v>
      </c>
      <c r="AG27" s="187">
        <f>IFERROR(AF27/AE27,"")</f>
        <v>84.411428571428445</v>
      </c>
      <c r="AH27" s="184" t="e">
        <f>RANK(AG27, AG$7:AG$21)</f>
        <v>#N/A</v>
      </c>
      <c r="AI27" s="537">
        <f>AVERAGE(AG27:AG41)</f>
        <v>79.202088966608926</v>
      </c>
      <c r="AJ27" s="190">
        <v>21</v>
      </c>
      <c r="AK27" s="190">
        <v>1772.9769315269123</v>
      </c>
      <c r="AL27" s="187">
        <f t="shared" ref="AL27:AL35" si="39">IFERROR(AK27/AJ27,"")</f>
        <v>84.427472929852968</v>
      </c>
      <c r="AM27" s="184">
        <f>RANK(AL27, AL$27:AL$41)</f>
        <v>3</v>
      </c>
      <c r="AN27" s="537">
        <f>AVERAGE(AL27:AL41)</f>
        <v>79.212828360953139</v>
      </c>
      <c r="AO27" s="190">
        <v>21</v>
      </c>
      <c r="AP27" s="190">
        <v>1773.8547486033517</v>
      </c>
      <c r="AQ27" s="187">
        <f t="shared" ref="AQ27:AQ35" si="40">IFERROR(AP27/AO27,"")</f>
        <v>84.469273743016743</v>
      </c>
      <c r="AR27" s="184">
        <f>RANK(AQ27, AQ$27:AQ$41)</f>
        <v>3</v>
      </c>
      <c r="AS27" s="537">
        <f>AVERAGE(AQ27:AQ41)</f>
        <v>79.240743545962076</v>
      </c>
      <c r="AT27" s="190">
        <v>21</v>
      </c>
      <c r="AU27" s="190">
        <v>1773.7302977232932</v>
      </c>
      <c r="AV27" s="187">
        <f t="shared" ref="AV27:AV35" si="41">IFERROR(AU27/AT27,"")</f>
        <v>84.463347510633014</v>
      </c>
      <c r="AW27" s="184">
        <f>RANK(AV27, AV$27:AV$41)</f>
        <v>3</v>
      </c>
      <c r="AX27" s="537">
        <f>AVERAGE(AV27:AV41)</f>
        <v>79.239118717099359</v>
      </c>
    </row>
    <row r="28" spans="2:50" ht="14.25" customHeight="1">
      <c r="B28" s="501"/>
      <c r="C28" s="182">
        <v>2</v>
      </c>
      <c r="D28" s="185" t="s">
        <v>367</v>
      </c>
      <c r="E28" s="182">
        <v>25</v>
      </c>
      <c r="F28" s="182">
        <v>2000</v>
      </c>
      <c r="G28" s="187">
        <f t="shared" si="36"/>
        <v>80</v>
      </c>
      <c r="H28" s="537"/>
      <c r="I28" s="188">
        <f t="shared" ref="I28:K35" si="42">AVERAGE(P28,U28,Z28,AE28,AJ28,AO28,AT28)</f>
        <v>25</v>
      </c>
      <c r="J28" s="188">
        <f t="shared" si="42"/>
        <v>1781.9368108585911</v>
      </c>
      <c r="K28" s="189">
        <f t="shared" si="42"/>
        <v>71.277472434343636</v>
      </c>
      <c r="L28" s="538"/>
      <c r="M28" s="188">
        <f>RANK(K28, K$27:$K$41)</f>
        <v>8</v>
      </c>
      <c r="N28" s="501"/>
      <c r="O28" s="501"/>
      <c r="P28" s="190">
        <v>25</v>
      </c>
      <c r="Q28" s="190">
        <v>1781.7149098853095</v>
      </c>
      <c r="R28" s="187">
        <f t="shared" ref="R28:R35" si="43">IFERROR(Q28/P28,"")</f>
        <v>71.268596395412374</v>
      </c>
      <c r="S28" s="184">
        <f t="shared" ref="S28:S35" si="44">RANK(R28, R$27:R$41)</f>
        <v>8</v>
      </c>
      <c r="T28" s="537"/>
      <c r="U28" s="190">
        <v>25</v>
      </c>
      <c r="V28" s="190">
        <v>1781.8107583954272</v>
      </c>
      <c r="W28" s="187">
        <f t="shared" si="37"/>
        <v>71.272430335817091</v>
      </c>
      <c r="X28" s="184">
        <f t="shared" ref="X28:X35" si="45">RANK(W28, W$27:W$41)</f>
        <v>8</v>
      </c>
      <c r="Y28" s="537"/>
      <c r="Z28" s="190">
        <v>25</v>
      </c>
      <c r="AA28" s="190">
        <v>1781.9127556448752</v>
      </c>
      <c r="AB28" s="187">
        <f t="shared" si="38"/>
        <v>71.276510225795008</v>
      </c>
      <c r="AC28" s="184">
        <f t="shared" ref="AC28:AC35" si="46">RANK(AB28, AB$27:AB$41)</f>
        <v>8</v>
      </c>
      <c r="AD28" s="537"/>
      <c r="AE28" s="190">
        <v>25</v>
      </c>
      <c r="AF28" s="190">
        <v>1781.9822360073306</v>
      </c>
      <c r="AG28" s="187">
        <f t="shared" ref="AG28:AG35" si="47">IFERROR(AF28/AE28,"")</f>
        <v>71.279289440293226</v>
      </c>
      <c r="AH28" s="184" t="e">
        <f t="shared" ref="AH28:AH35" si="48">RANK(AG28, AG$7:AG$21)</f>
        <v>#N/A</v>
      </c>
      <c r="AI28" s="537"/>
      <c r="AJ28" s="190">
        <v>25</v>
      </c>
      <c r="AK28" s="190">
        <v>1782.1142699420377</v>
      </c>
      <c r="AL28" s="187">
        <f t="shared" si="39"/>
        <v>71.284570797681511</v>
      </c>
      <c r="AM28" s="184">
        <f t="shared" ref="AM28:AM35" si="49">RANK(AL28, AL$27:AL$41)</f>
        <v>8</v>
      </c>
      <c r="AN28" s="537"/>
      <c r="AO28" s="190">
        <v>25</v>
      </c>
      <c r="AP28" s="190">
        <v>1782.0495185694649</v>
      </c>
      <c r="AQ28" s="187">
        <f t="shared" si="40"/>
        <v>71.2819807427786</v>
      </c>
      <c r="AR28" s="184">
        <f t="shared" ref="AR28:AR35" si="50">RANK(AQ28, AQ$27:AQ$41)</f>
        <v>8</v>
      </c>
      <c r="AS28" s="537"/>
      <c r="AT28" s="190">
        <v>25</v>
      </c>
      <c r="AU28" s="190">
        <v>1781.973227565692</v>
      </c>
      <c r="AV28" s="187">
        <f t="shared" si="41"/>
        <v>71.278929102627686</v>
      </c>
      <c r="AW28" s="184">
        <f t="shared" ref="AW28:AW35" si="51">RANK(AV28, AV$27:AV$41)</f>
        <v>8</v>
      </c>
      <c r="AX28" s="537"/>
    </row>
    <row r="29" spans="2:50" ht="14.25" customHeight="1">
      <c r="B29" s="501"/>
      <c r="C29" s="182">
        <v>3</v>
      </c>
      <c r="D29" s="185" t="s">
        <v>368</v>
      </c>
      <c r="E29" s="182">
        <v>23</v>
      </c>
      <c r="F29" s="182">
        <v>2000</v>
      </c>
      <c r="G29" s="187">
        <f t="shared" si="36"/>
        <v>86.956521739130437</v>
      </c>
      <c r="H29" s="537"/>
      <c r="I29" s="188">
        <f t="shared" si="42"/>
        <v>23</v>
      </c>
      <c r="J29" s="188">
        <f t="shared" si="42"/>
        <v>1776.8541389326358</v>
      </c>
      <c r="K29" s="189">
        <f t="shared" si="42"/>
        <v>77.254527779679819</v>
      </c>
      <c r="L29" s="538"/>
      <c r="M29" s="188">
        <f>RANK(K29, K$27:$K$41)</f>
        <v>5</v>
      </c>
      <c r="N29" s="501"/>
      <c r="O29" s="501"/>
      <c r="P29" s="190">
        <v>23</v>
      </c>
      <c r="Q29" s="190">
        <v>1776.7673804634792</v>
      </c>
      <c r="R29" s="187">
        <f t="shared" si="43"/>
        <v>77.250755672325184</v>
      </c>
      <c r="S29" s="184">
        <f t="shared" si="44"/>
        <v>5</v>
      </c>
      <c r="T29" s="537"/>
      <c r="U29" s="190">
        <v>23</v>
      </c>
      <c r="V29" s="190">
        <v>1777.0649078099234</v>
      </c>
      <c r="W29" s="187">
        <f t="shared" si="37"/>
        <v>77.263691643909709</v>
      </c>
      <c r="X29" s="184">
        <f t="shared" si="45"/>
        <v>5</v>
      </c>
      <c r="Y29" s="537"/>
      <c r="Z29" s="190">
        <v>23</v>
      </c>
      <c r="AA29" s="190">
        <v>1776.8146688892259</v>
      </c>
      <c r="AB29" s="187">
        <f t="shared" si="38"/>
        <v>77.252811690835912</v>
      </c>
      <c r="AC29" s="184">
        <f t="shared" si="46"/>
        <v>5</v>
      </c>
      <c r="AD29" s="537"/>
      <c r="AE29" s="190">
        <v>23</v>
      </c>
      <c r="AF29" s="190">
        <v>1776.596947427927</v>
      </c>
      <c r="AG29" s="187">
        <f t="shared" si="47"/>
        <v>77.243345540344649</v>
      </c>
      <c r="AH29" s="184" t="e">
        <f t="shared" si="48"/>
        <v>#N/A</v>
      </c>
      <c r="AI29" s="537"/>
      <c r="AJ29" s="190">
        <v>23</v>
      </c>
      <c r="AK29" s="190">
        <v>1776.8067226890767</v>
      </c>
      <c r="AL29" s="187">
        <f t="shared" si="39"/>
        <v>77.252466203872899</v>
      </c>
      <c r="AM29" s="184">
        <f t="shared" si="49"/>
        <v>5</v>
      </c>
      <c r="AN29" s="537"/>
      <c r="AO29" s="190">
        <v>23</v>
      </c>
      <c r="AP29" s="190">
        <v>1776.8970952488175</v>
      </c>
      <c r="AQ29" s="187">
        <f t="shared" si="40"/>
        <v>77.256395445600759</v>
      </c>
      <c r="AR29" s="184">
        <f t="shared" si="50"/>
        <v>5</v>
      </c>
      <c r="AS29" s="537"/>
      <c r="AT29" s="190">
        <v>23</v>
      </c>
      <c r="AU29" s="190">
        <v>1777.0312499999995</v>
      </c>
      <c r="AV29" s="187">
        <f t="shared" si="41"/>
        <v>77.262228260869549</v>
      </c>
      <c r="AW29" s="184">
        <f t="shared" si="51"/>
        <v>5</v>
      </c>
      <c r="AX29" s="537"/>
    </row>
    <row r="30" spans="2:50" ht="14.25" customHeight="1">
      <c r="B30" s="501"/>
      <c r="C30" s="182">
        <v>4</v>
      </c>
      <c r="D30" s="185" t="s">
        <v>369</v>
      </c>
      <c r="E30" s="182">
        <v>24</v>
      </c>
      <c r="F30" s="182">
        <v>2000</v>
      </c>
      <c r="G30" s="187">
        <f t="shared" si="36"/>
        <v>83.333333333333329</v>
      </c>
      <c r="H30" s="537"/>
      <c r="I30" s="188">
        <f t="shared" si="42"/>
        <v>24</v>
      </c>
      <c r="J30" s="188">
        <f t="shared" si="42"/>
        <v>1772.799459172315</v>
      </c>
      <c r="K30" s="189">
        <f t="shared" si="42"/>
        <v>73.8666441321798</v>
      </c>
      <c r="L30" s="538"/>
      <c r="M30" s="188">
        <f>RANK(K30, K$27:$K$41)</f>
        <v>7</v>
      </c>
      <c r="N30" s="501"/>
      <c r="O30" s="501"/>
      <c r="P30" s="190">
        <v>24</v>
      </c>
      <c r="Q30" s="190">
        <v>1772.606214331008</v>
      </c>
      <c r="R30" s="187">
        <f t="shared" si="43"/>
        <v>73.858592263792005</v>
      </c>
      <c r="S30" s="184">
        <f t="shared" si="44"/>
        <v>7</v>
      </c>
      <c r="T30" s="537"/>
      <c r="U30" s="190">
        <v>24</v>
      </c>
      <c r="V30" s="190">
        <v>1772.4602203182378</v>
      </c>
      <c r="W30" s="187">
        <f t="shared" si="37"/>
        <v>73.852509179926571</v>
      </c>
      <c r="X30" s="184">
        <f t="shared" si="45"/>
        <v>7</v>
      </c>
      <c r="Y30" s="537"/>
      <c r="Z30" s="190">
        <v>24</v>
      </c>
      <c r="AA30" s="190">
        <v>1772.1774193548385</v>
      </c>
      <c r="AB30" s="187">
        <f t="shared" si="38"/>
        <v>73.840725806451601</v>
      </c>
      <c r="AC30" s="184">
        <f t="shared" si="46"/>
        <v>7</v>
      </c>
      <c r="AD30" s="537"/>
      <c r="AE30" s="190">
        <v>24</v>
      </c>
      <c r="AF30" s="190">
        <v>1771.9943422913714</v>
      </c>
      <c r="AG30" s="187">
        <f t="shared" si="47"/>
        <v>73.833097595473802</v>
      </c>
      <c r="AH30" s="184" t="e">
        <f t="shared" si="48"/>
        <v>#N/A</v>
      </c>
      <c r="AI30" s="537"/>
      <c r="AJ30" s="190">
        <v>24</v>
      </c>
      <c r="AK30" s="190">
        <v>1772.7154612386316</v>
      </c>
      <c r="AL30" s="187">
        <f t="shared" si="39"/>
        <v>73.863144218276318</v>
      </c>
      <c r="AM30" s="184">
        <f t="shared" si="49"/>
        <v>7</v>
      </c>
      <c r="AN30" s="537"/>
      <c r="AO30" s="190">
        <v>24</v>
      </c>
      <c r="AP30" s="190">
        <v>1773.7789203084828</v>
      </c>
      <c r="AQ30" s="187">
        <f t="shared" si="40"/>
        <v>73.907455012853447</v>
      </c>
      <c r="AR30" s="184">
        <f t="shared" si="50"/>
        <v>7</v>
      </c>
      <c r="AS30" s="537"/>
      <c r="AT30" s="190">
        <v>24</v>
      </c>
      <c r="AU30" s="190">
        <v>1773.8636363636358</v>
      </c>
      <c r="AV30" s="187">
        <f t="shared" si="41"/>
        <v>73.91098484848483</v>
      </c>
      <c r="AW30" s="184">
        <f t="shared" si="51"/>
        <v>7</v>
      </c>
      <c r="AX30" s="537"/>
    </row>
    <row r="31" spans="2:50" ht="14.25" customHeight="1">
      <c r="B31" s="501"/>
      <c r="C31" s="182">
        <v>5</v>
      </c>
      <c r="D31" s="185" t="s">
        <v>365</v>
      </c>
      <c r="E31" s="182">
        <v>25</v>
      </c>
      <c r="F31" s="182">
        <v>2000</v>
      </c>
      <c r="G31" s="187">
        <f t="shared" si="36"/>
        <v>80</v>
      </c>
      <c r="H31" s="537"/>
      <c r="I31" s="188">
        <f t="shared" si="42"/>
        <v>25</v>
      </c>
      <c r="J31" s="188">
        <f t="shared" si="42"/>
        <v>1777.5642807386641</v>
      </c>
      <c r="K31" s="189">
        <f t="shared" si="42"/>
        <v>71.102571229546555</v>
      </c>
      <c r="L31" s="538"/>
      <c r="M31" s="188">
        <f>RANK(K31, K$27:$K$41)</f>
        <v>9</v>
      </c>
      <c r="N31" s="501"/>
      <c r="O31" s="501"/>
      <c r="P31" s="190">
        <v>25</v>
      </c>
      <c r="Q31" s="190">
        <v>1777.537085001177</v>
      </c>
      <c r="R31" s="187">
        <f t="shared" si="43"/>
        <v>71.101483400047087</v>
      </c>
      <c r="S31" s="184">
        <f t="shared" si="44"/>
        <v>9</v>
      </c>
      <c r="T31" s="537"/>
      <c r="U31" s="190">
        <v>25</v>
      </c>
      <c r="V31" s="190">
        <v>1777.5459287820361</v>
      </c>
      <c r="W31" s="187">
        <f t="shared" si="37"/>
        <v>71.101837151281444</v>
      </c>
      <c r="X31" s="184">
        <f t="shared" si="45"/>
        <v>9</v>
      </c>
      <c r="Y31" s="537"/>
      <c r="Z31" s="190">
        <v>25</v>
      </c>
      <c r="AA31" s="190">
        <v>1777.5055133545713</v>
      </c>
      <c r="AB31" s="187">
        <f t="shared" si="38"/>
        <v>71.100220534182853</v>
      </c>
      <c r="AC31" s="184">
        <f t="shared" si="46"/>
        <v>9</v>
      </c>
      <c r="AD31" s="537"/>
      <c r="AE31" s="190">
        <v>25</v>
      </c>
      <c r="AF31" s="190">
        <v>1777.5790482274042</v>
      </c>
      <c r="AG31" s="187">
        <f t="shared" si="47"/>
        <v>71.103161929096174</v>
      </c>
      <c r="AH31" s="184" t="e">
        <f t="shared" si="48"/>
        <v>#N/A</v>
      </c>
      <c r="AI31" s="537"/>
      <c r="AJ31" s="190">
        <v>25</v>
      </c>
      <c r="AK31" s="190">
        <v>1777.6198934280665</v>
      </c>
      <c r="AL31" s="187">
        <f t="shared" si="39"/>
        <v>71.104795737122657</v>
      </c>
      <c r="AM31" s="184">
        <f t="shared" si="49"/>
        <v>9</v>
      </c>
      <c r="AN31" s="537"/>
      <c r="AO31" s="190">
        <v>25</v>
      </c>
      <c r="AP31" s="190">
        <v>1777.6044568245118</v>
      </c>
      <c r="AQ31" s="187">
        <f t="shared" si="40"/>
        <v>71.104178272980477</v>
      </c>
      <c r="AR31" s="184">
        <f t="shared" si="50"/>
        <v>9</v>
      </c>
      <c r="AS31" s="537"/>
      <c r="AT31" s="190">
        <v>25</v>
      </c>
      <c r="AU31" s="190">
        <v>1777.5580395528798</v>
      </c>
      <c r="AV31" s="187">
        <f t="shared" si="41"/>
        <v>71.102321582115195</v>
      </c>
      <c r="AW31" s="184">
        <f t="shared" si="51"/>
        <v>9</v>
      </c>
      <c r="AX31" s="537"/>
    </row>
    <row r="32" spans="2:50" ht="14.25" customHeight="1">
      <c r="B32" s="501"/>
      <c r="C32" s="182">
        <v>6</v>
      </c>
      <c r="D32" s="185" t="s">
        <v>483</v>
      </c>
      <c r="E32" s="182">
        <v>23</v>
      </c>
      <c r="F32" s="182">
        <v>2000</v>
      </c>
      <c r="G32" s="187">
        <f t="shared" si="36"/>
        <v>86.956521739130437</v>
      </c>
      <c r="H32" s="537"/>
      <c r="I32" s="188">
        <f t="shared" si="42"/>
        <v>23</v>
      </c>
      <c r="J32" s="188">
        <f t="shared" si="42"/>
        <v>1772.1365367982319</v>
      </c>
      <c r="K32" s="189">
        <f t="shared" si="42"/>
        <v>77.049414643401377</v>
      </c>
      <c r="L32" s="538"/>
      <c r="M32" s="188">
        <f>RANK(K32, K$27:$K$41)</f>
        <v>6</v>
      </c>
      <c r="N32" s="501"/>
      <c r="O32" s="501"/>
      <c r="P32" s="190">
        <v>23</v>
      </c>
      <c r="Q32" s="190">
        <v>1771.2266532054521</v>
      </c>
      <c r="R32" s="187">
        <f t="shared" si="43"/>
        <v>77.009854487193564</v>
      </c>
      <c r="S32" s="184">
        <f t="shared" si="44"/>
        <v>6</v>
      </c>
      <c r="T32" s="537"/>
      <c r="U32" s="190">
        <v>23</v>
      </c>
      <c r="V32" s="190">
        <v>1771.409463300452</v>
      </c>
      <c r="W32" s="187">
        <f t="shared" si="37"/>
        <v>77.01780275219356</v>
      </c>
      <c r="X32" s="184">
        <f t="shared" si="45"/>
        <v>6</v>
      </c>
      <c r="Y32" s="537"/>
      <c r="Z32" s="190">
        <v>23</v>
      </c>
      <c r="AA32" s="190">
        <v>1771.634931057124</v>
      </c>
      <c r="AB32" s="187">
        <f t="shared" si="38"/>
        <v>77.027605698135829</v>
      </c>
      <c r="AC32" s="184">
        <f t="shared" si="46"/>
        <v>6</v>
      </c>
      <c r="AD32" s="537"/>
      <c r="AE32" s="190">
        <v>23</v>
      </c>
      <c r="AF32" s="190">
        <v>1771.6652858326418</v>
      </c>
      <c r="AG32" s="187">
        <f t="shared" si="47"/>
        <v>77.028925470984419</v>
      </c>
      <c r="AH32" s="184" t="e">
        <f t="shared" si="48"/>
        <v>#N/A</v>
      </c>
      <c r="AI32" s="537"/>
      <c r="AJ32" s="190">
        <v>23</v>
      </c>
      <c r="AK32" s="190">
        <v>1771.6565190006299</v>
      </c>
      <c r="AL32" s="187">
        <f t="shared" si="39"/>
        <v>77.028544304375217</v>
      </c>
      <c r="AM32" s="184">
        <f t="shared" si="49"/>
        <v>6</v>
      </c>
      <c r="AN32" s="537"/>
      <c r="AO32" s="190">
        <v>23</v>
      </c>
      <c r="AP32" s="190">
        <v>1773.6363636363637</v>
      </c>
      <c r="AQ32" s="187">
        <f t="shared" si="40"/>
        <v>77.114624505928859</v>
      </c>
      <c r="AR32" s="184">
        <f t="shared" si="50"/>
        <v>6</v>
      </c>
      <c r="AS32" s="537"/>
      <c r="AT32" s="190">
        <v>23</v>
      </c>
      <c r="AU32" s="190">
        <v>1773.7265415549589</v>
      </c>
      <c r="AV32" s="187">
        <f t="shared" si="41"/>
        <v>77.118545284998206</v>
      </c>
      <c r="AW32" s="184">
        <f t="shared" si="51"/>
        <v>6</v>
      </c>
      <c r="AX32" s="537"/>
    </row>
    <row r="33" spans="2:50" ht="14.25" customHeight="1">
      <c r="B33" s="501"/>
      <c r="C33" s="182">
        <v>7</v>
      </c>
      <c r="D33" s="185" t="s">
        <v>487</v>
      </c>
      <c r="E33" s="182">
        <v>22</v>
      </c>
      <c r="F33" s="182">
        <v>2000</v>
      </c>
      <c r="G33" s="187">
        <f t="shared" si="36"/>
        <v>90.909090909090907</v>
      </c>
      <c r="H33" s="537"/>
      <c r="I33" s="188">
        <f t="shared" si="42"/>
        <v>22</v>
      </c>
      <c r="J33" s="188">
        <f t="shared" si="42"/>
        <v>1774.1595839760814</v>
      </c>
      <c r="K33" s="189">
        <f t="shared" si="42"/>
        <v>80.643617453458234</v>
      </c>
      <c r="L33" s="538"/>
      <c r="M33" s="188">
        <f>RANK(K33, K$27:$K$41)</f>
        <v>4</v>
      </c>
      <c r="N33" s="501"/>
      <c r="O33" s="501"/>
      <c r="P33" s="190">
        <v>22</v>
      </c>
      <c r="Q33" s="190">
        <v>1773.6070381231671</v>
      </c>
      <c r="R33" s="187">
        <f t="shared" si="43"/>
        <v>80.618501732871223</v>
      </c>
      <c r="S33" s="184">
        <f t="shared" si="44"/>
        <v>4</v>
      </c>
      <c r="T33" s="537"/>
      <c r="U33" s="190">
        <v>22</v>
      </c>
      <c r="V33" s="190">
        <v>1773.8325991189424</v>
      </c>
      <c r="W33" s="187">
        <f t="shared" si="37"/>
        <v>80.628754505406476</v>
      </c>
      <c r="X33" s="184">
        <f t="shared" si="45"/>
        <v>4</v>
      </c>
      <c r="Y33" s="537"/>
      <c r="Z33" s="190">
        <v>22</v>
      </c>
      <c r="AA33" s="190">
        <v>1773.9897134459952</v>
      </c>
      <c r="AB33" s="187">
        <f t="shared" si="38"/>
        <v>80.635896065727053</v>
      </c>
      <c r="AC33" s="184">
        <f t="shared" si="46"/>
        <v>4</v>
      </c>
      <c r="AD33" s="537"/>
      <c r="AE33" s="190">
        <v>22</v>
      </c>
      <c r="AF33" s="190">
        <v>1774.0251765428313</v>
      </c>
      <c r="AG33" s="187">
        <f t="shared" si="47"/>
        <v>80.637508024674148</v>
      </c>
      <c r="AH33" s="184" t="e">
        <f t="shared" si="48"/>
        <v>#N/A</v>
      </c>
      <c r="AI33" s="537"/>
      <c r="AJ33" s="190">
        <v>22</v>
      </c>
      <c r="AK33" s="190">
        <v>1774.34679334917</v>
      </c>
      <c r="AL33" s="187">
        <f t="shared" si="39"/>
        <v>80.652126970416816</v>
      </c>
      <c r="AM33" s="184">
        <f t="shared" si="49"/>
        <v>4</v>
      </c>
      <c r="AN33" s="537"/>
      <c r="AO33" s="190">
        <v>22</v>
      </c>
      <c r="AP33" s="190">
        <v>1774.5693826204765</v>
      </c>
      <c r="AQ33" s="187">
        <f t="shared" si="40"/>
        <v>80.662244664567112</v>
      </c>
      <c r="AR33" s="184">
        <f t="shared" si="50"/>
        <v>4</v>
      </c>
      <c r="AS33" s="537"/>
      <c r="AT33" s="190">
        <v>22</v>
      </c>
      <c r="AU33" s="190">
        <v>1774.7463846319872</v>
      </c>
      <c r="AV33" s="187">
        <f t="shared" si="41"/>
        <v>80.670290210544877</v>
      </c>
      <c r="AW33" s="184">
        <f t="shared" si="51"/>
        <v>4</v>
      </c>
      <c r="AX33" s="537"/>
    </row>
    <row r="34" spans="2:50" ht="14.25" customHeight="1">
      <c r="B34" s="501"/>
      <c r="C34" s="182">
        <v>8</v>
      </c>
      <c r="D34" s="185" t="s">
        <v>497</v>
      </c>
      <c r="E34" s="182">
        <v>20</v>
      </c>
      <c r="F34" s="182">
        <v>2000</v>
      </c>
      <c r="G34" s="187">
        <f t="shared" si="36"/>
        <v>100</v>
      </c>
      <c r="H34" s="537"/>
      <c r="I34" s="188">
        <f t="shared" si="42"/>
        <v>20</v>
      </c>
      <c r="J34" s="188">
        <f t="shared" si="42"/>
        <v>1772.2676650879262</v>
      </c>
      <c r="K34" s="189">
        <f t="shared" si="42"/>
        <v>88.613383254396282</v>
      </c>
      <c r="L34" s="538"/>
      <c r="M34" s="188">
        <f>RANK(K34, K$27:$K$41)</f>
        <v>2</v>
      </c>
      <c r="N34" s="501"/>
      <c r="O34" s="501"/>
      <c r="P34" s="190">
        <v>20</v>
      </c>
      <c r="Q34" s="190">
        <v>1771.4968628622653</v>
      </c>
      <c r="R34" s="187">
        <f t="shared" si="43"/>
        <v>88.57484314311327</v>
      </c>
      <c r="S34" s="184">
        <f t="shared" si="44"/>
        <v>2</v>
      </c>
      <c r="T34" s="537"/>
      <c r="U34" s="190">
        <v>20</v>
      </c>
      <c r="V34" s="190">
        <v>1771.7884130982368</v>
      </c>
      <c r="W34" s="187">
        <f t="shared" si="37"/>
        <v>88.589420654911834</v>
      </c>
      <c r="X34" s="184">
        <f t="shared" si="45"/>
        <v>2</v>
      </c>
      <c r="Y34" s="537"/>
      <c r="Z34" s="190">
        <v>20</v>
      </c>
      <c r="AA34" s="190">
        <v>1771.957427117075</v>
      </c>
      <c r="AB34" s="187">
        <f t="shared" si="38"/>
        <v>88.597871355853755</v>
      </c>
      <c r="AC34" s="184">
        <f t="shared" si="46"/>
        <v>2</v>
      </c>
      <c r="AD34" s="537"/>
      <c r="AE34" s="190">
        <v>20</v>
      </c>
      <c r="AF34" s="190">
        <v>1772.0007151796895</v>
      </c>
      <c r="AG34" s="187">
        <f t="shared" si="47"/>
        <v>88.600035758984475</v>
      </c>
      <c r="AH34" s="184" t="e">
        <f>RANK(AG34, AG$7:AG$21)</f>
        <v>#N/A</v>
      </c>
      <c r="AI34" s="537"/>
      <c r="AJ34" s="190">
        <v>20</v>
      </c>
      <c r="AK34" s="190">
        <v>1772.2602739726028</v>
      </c>
      <c r="AL34" s="187">
        <f t="shared" si="39"/>
        <v>88.613013698630141</v>
      </c>
      <c r="AM34" s="184">
        <f t="shared" si="49"/>
        <v>2</v>
      </c>
      <c r="AN34" s="537"/>
      <c r="AO34" s="190">
        <v>20</v>
      </c>
      <c r="AP34" s="190">
        <v>1773.2283464566931</v>
      </c>
      <c r="AQ34" s="187">
        <f t="shared" si="40"/>
        <v>88.661417322834652</v>
      </c>
      <c r="AR34" s="184">
        <f t="shared" si="50"/>
        <v>2</v>
      </c>
      <c r="AS34" s="537"/>
      <c r="AT34" s="190">
        <v>20</v>
      </c>
      <c r="AU34" s="190">
        <v>1773.1416169289196</v>
      </c>
      <c r="AV34" s="187">
        <f t="shared" si="41"/>
        <v>88.657080846445979</v>
      </c>
      <c r="AW34" s="184">
        <f t="shared" si="51"/>
        <v>2</v>
      </c>
      <c r="AX34" s="537"/>
    </row>
    <row r="35" spans="2:50" ht="14.25" customHeight="1">
      <c r="B35" s="501"/>
      <c r="C35" s="182">
        <v>9</v>
      </c>
      <c r="D35" s="185" t="s">
        <v>507</v>
      </c>
      <c r="E35" s="182">
        <v>20</v>
      </c>
      <c r="F35" s="182">
        <v>2000</v>
      </c>
      <c r="G35" s="187">
        <f t="shared" si="36"/>
        <v>100</v>
      </c>
      <c r="H35" s="537"/>
      <c r="I35" s="188">
        <f t="shared" si="42"/>
        <v>20</v>
      </c>
      <c r="J35" s="188">
        <f t="shared" si="42"/>
        <v>1773.5657420750374</v>
      </c>
      <c r="K35" s="189">
        <f t="shared" si="42"/>
        <v>88.678287103751856</v>
      </c>
      <c r="L35" s="538"/>
      <c r="M35" s="188">
        <f>RANK(K35, K$27:$K$41)</f>
        <v>1</v>
      </c>
      <c r="N35" s="501"/>
      <c r="O35" s="501"/>
      <c r="P35" s="190">
        <v>20</v>
      </c>
      <c r="Q35" s="190">
        <v>1772.535211267608</v>
      </c>
      <c r="R35" s="187">
        <f t="shared" si="43"/>
        <v>88.626760563380401</v>
      </c>
      <c r="S35" s="184">
        <f t="shared" si="44"/>
        <v>1</v>
      </c>
      <c r="T35" s="537"/>
      <c r="U35" s="190">
        <v>20</v>
      </c>
      <c r="V35" s="190">
        <v>1773.3265201839545</v>
      </c>
      <c r="W35" s="187">
        <f t="shared" si="37"/>
        <v>88.666326009197718</v>
      </c>
      <c r="X35" s="184">
        <f t="shared" si="45"/>
        <v>1</v>
      </c>
      <c r="Y35" s="537"/>
      <c r="Z35" s="190">
        <v>20</v>
      </c>
      <c r="AA35" s="190">
        <v>1773.7226277372231</v>
      </c>
      <c r="AB35" s="187">
        <f t="shared" si="38"/>
        <v>88.686131386861149</v>
      </c>
      <c r="AC35" s="184">
        <f t="shared" si="46"/>
        <v>1</v>
      </c>
      <c r="AD35" s="537"/>
      <c r="AE35" s="190">
        <v>20</v>
      </c>
      <c r="AF35" s="190">
        <v>1773.6401673640182</v>
      </c>
      <c r="AG35" s="187">
        <f t="shared" si="47"/>
        <v>88.682008368200911</v>
      </c>
      <c r="AH35" s="184" t="e">
        <f t="shared" si="48"/>
        <v>#N/A</v>
      </c>
      <c r="AI35" s="537"/>
      <c r="AJ35" s="190">
        <v>20</v>
      </c>
      <c r="AK35" s="190">
        <v>1773.7864077669951</v>
      </c>
      <c r="AL35" s="187">
        <f t="shared" si="39"/>
        <v>88.689320388349756</v>
      </c>
      <c r="AM35" s="184">
        <f t="shared" si="49"/>
        <v>1</v>
      </c>
      <c r="AN35" s="537"/>
      <c r="AO35" s="190">
        <v>20</v>
      </c>
      <c r="AP35" s="190">
        <v>1774.1824440619632</v>
      </c>
      <c r="AQ35" s="187">
        <f t="shared" si="40"/>
        <v>88.709122203098161</v>
      </c>
      <c r="AR35" s="184">
        <f t="shared" si="50"/>
        <v>1</v>
      </c>
      <c r="AS35" s="537"/>
      <c r="AT35" s="190">
        <v>20</v>
      </c>
      <c r="AU35" s="190">
        <v>1773.7668161434985</v>
      </c>
      <c r="AV35" s="187">
        <f t="shared" si="41"/>
        <v>88.688340807174924</v>
      </c>
      <c r="AW35" s="184">
        <f t="shared" si="51"/>
        <v>1</v>
      </c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7"/>
      <c r="N42" s="563" t="s">
        <v>383</v>
      </c>
      <c r="O42" s="563" t="s">
        <v>105</v>
      </c>
      <c r="P42" s="598">
        <f>AT22+1</f>
        <v>46035</v>
      </c>
      <c r="Q42" s="599"/>
      <c r="R42" s="599"/>
      <c r="S42" s="599"/>
      <c r="T42" s="599"/>
      <c r="U42" s="600">
        <f>P42+1</f>
        <v>46036</v>
      </c>
      <c r="V42" s="601"/>
      <c r="W42" s="601"/>
      <c r="X42" s="601"/>
      <c r="Y42" s="601"/>
      <c r="Z42" s="598">
        <f t="shared" ref="Z42" si="52">U42+1</f>
        <v>46037</v>
      </c>
      <c r="AA42" s="599"/>
      <c r="AB42" s="599"/>
      <c r="AC42" s="599"/>
      <c r="AD42" s="599"/>
      <c r="AE42" s="600">
        <f t="shared" ref="AE42" si="53">Z42+1</f>
        <v>46038</v>
      </c>
      <c r="AF42" s="601"/>
      <c r="AG42" s="601"/>
      <c r="AH42" s="601"/>
      <c r="AI42" s="601"/>
      <c r="AJ42" s="590">
        <f t="shared" ref="AJ42" si="54">AE42+1</f>
        <v>46039</v>
      </c>
      <c r="AK42" s="591"/>
      <c r="AL42" s="591"/>
      <c r="AM42" s="591"/>
      <c r="AN42" s="592"/>
      <c r="AO42" s="600">
        <f t="shared" ref="AO42" si="55">AJ42+1</f>
        <v>46040</v>
      </c>
      <c r="AP42" s="601"/>
      <c r="AQ42" s="601"/>
      <c r="AR42" s="601"/>
      <c r="AS42" s="601"/>
      <c r="AT42" s="590">
        <f t="shared" ref="AT42" si="56">AO42+1</f>
        <v>46041</v>
      </c>
      <c r="AU42" s="591"/>
      <c r="AV42" s="591"/>
      <c r="AW42" s="591"/>
      <c r="AX42" s="592"/>
    </row>
    <row r="43" spans="2:50" ht="14.25" customHeight="1">
      <c r="B43" s="548"/>
      <c r="C43" s="548"/>
      <c r="D43" s="548"/>
      <c r="E43" s="548"/>
      <c r="F43" s="548"/>
      <c r="G43" s="548"/>
      <c r="H43" s="548"/>
      <c r="I43" s="548"/>
      <c r="J43" s="548"/>
      <c r="K43" s="548"/>
      <c r="L43" s="548"/>
      <c r="M43" s="549"/>
      <c r="N43" s="565"/>
      <c r="O43" s="565"/>
      <c r="P43" s="593">
        <f>P42</f>
        <v>46035</v>
      </c>
      <c r="Q43" s="593"/>
      <c r="R43" s="593"/>
      <c r="S43" s="593"/>
      <c r="T43" s="593"/>
      <c r="U43" s="594">
        <f>U42</f>
        <v>46036</v>
      </c>
      <c r="V43" s="594"/>
      <c r="W43" s="594"/>
      <c r="X43" s="594"/>
      <c r="Y43" s="594"/>
      <c r="Z43" s="593">
        <f t="shared" ref="Z43" si="57">Z42</f>
        <v>46037</v>
      </c>
      <c r="AA43" s="593"/>
      <c r="AB43" s="593"/>
      <c r="AC43" s="593"/>
      <c r="AD43" s="593"/>
      <c r="AE43" s="594">
        <f t="shared" ref="AE43" si="58">AE42</f>
        <v>46038</v>
      </c>
      <c r="AF43" s="594"/>
      <c r="AG43" s="594"/>
      <c r="AH43" s="594"/>
      <c r="AI43" s="594"/>
      <c r="AJ43" s="595">
        <f t="shared" ref="AJ43" si="59">AJ42</f>
        <v>46039</v>
      </c>
      <c r="AK43" s="596"/>
      <c r="AL43" s="596"/>
      <c r="AM43" s="596"/>
      <c r="AN43" s="597"/>
      <c r="AO43" s="594">
        <f t="shared" ref="AO43" si="60">AO42</f>
        <v>46040</v>
      </c>
      <c r="AP43" s="594"/>
      <c r="AQ43" s="594"/>
      <c r="AR43" s="594"/>
      <c r="AS43" s="594"/>
      <c r="AT43" s="595">
        <f t="shared" ref="AT43" si="61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138</v>
      </c>
      <c r="C47" s="182">
        <v>1</v>
      </c>
      <c r="D47" s="185" t="s">
        <v>366</v>
      </c>
      <c r="E47" s="182">
        <v>21</v>
      </c>
      <c r="F47" s="182">
        <v>2000</v>
      </c>
      <c r="G47" s="187">
        <f t="shared" ref="G47:G54" si="62">F47/E47</f>
        <v>95.238095238095241</v>
      </c>
      <c r="H47" s="537">
        <f>AVERAGE(G47:G61)</f>
        <v>87.924195369847538</v>
      </c>
      <c r="I47" s="188">
        <f>AVERAGE(P47,U47,Z47,AE47,AJ47,AO47,AT47)</f>
        <v>21</v>
      </c>
      <c r="J47" s="188">
        <f>AVERAGE(Q47,V47,AA47,AF47,AK47,AP47,AU47)</f>
        <v>1773.9576501052602</v>
      </c>
      <c r="K47" s="189">
        <f>AVERAGE(R47,W47,AB47,AG47,AL47,AQ47,AV47)</f>
        <v>84.474173814536215</v>
      </c>
      <c r="L47" s="538">
        <f>IFERROR(AVERAGE(K47:K61),"-")</f>
        <v>78.073512695363803</v>
      </c>
      <c r="M47" s="188">
        <f>RANK(K47, K$47:$K$61)</f>
        <v>2</v>
      </c>
      <c r="N47" s="501"/>
      <c r="O47" s="501"/>
      <c r="P47" s="190">
        <v>21</v>
      </c>
      <c r="Q47" s="190">
        <v>1773.6585365853653</v>
      </c>
      <c r="R47" s="187">
        <f>IFERROR(Q47/P47,"")</f>
        <v>84.459930313588828</v>
      </c>
      <c r="S47" s="184">
        <f>RANK(R47, R$47:R$61)</f>
        <v>2</v>
      </c>
      <c r="T47" s="537">
        <f>AVERAGE(R47:R61)</f>
        <v>78.060599966360996</v>
      </c>
      <c r="U47" s="190">
        <v>21</v>
      </c>
      <c r="V47" s="190">
        <v>1773.6668239735732</v>
      </c>
      <c r="W47" s="187">
        <f t="shared" ref="W47:W54" si="63">IFERROR(V47/U47,"")</f>
        <v>84.46032495112253</v>
      </c>
      <c r="X47" s="184">
        <f>RANK(W47, W$47:W$61)</f>
        <v>2</v>
      </c>
      <c r="Y47" s="537">
        <f>AVERAGE(W47:W61)</f>
        <v>78.065411930825206</v>
      </c>
      <c r="Z47" s="190">
        <v>21</v>
      </c>
      <c r="AA47" s="190">
        <v>1773.9514348785874</v>
      </c>
      <c r="AB47" s="187">
        <f t="shared" ref="AB47:AB54" si="64">IFERROR(AA47/Z47,"")</f>
        <v>84.473877851361308</v>
      </c>
      <c r="AC47" s="184">
        <f>RANK(AB47, AB$47:AB$61)</f>
        <v>2</v>
      </c>
      <c r="AD47" s="537">
        <f>AVERAGE(AB47:AB61)</f>
        <v>78.069395343180034</v>
      </c>
      <c r="AE47" s="190">
        <v>21</v>
      </c>
      <c r="AF47" s="190">
        <v>1773.8067520372517</v>
      </c>
      <c r="AG47" s="187">
        <f>IFERROR(AF47/AE47,"")</f>
        <v>84.466988192250085</v>
      </c>
      <c r="AH47" s="184">
        <f>RANK(AG47, AG$47:AG$61)</f>
        <v>2</v>
      </c>
      <c r="AI47" s="537">
        <f>AVERAGE(AG47:AG61)</f>
        <v>78.070840479376798</v>
      </c>
      <c r="AJ47" s="190">
        <v>21</v>
      </c>
      <c r="AK47" s="190">
        <v>1774.1351782863221</v>
      </c>
      <c r="AL47" s="187">
        <f t="shared" ref="AL47:AL54" si="65">IFERROR(AK47/AJ47,"")</f>
        <v>84.482627537443904</v>
      </c>
      <c r="AM47" s="184">
        <f>RANK(AL47, AL$47:AL$61)</f>
        <v>2</v>
      </c>
      <c r="AN47" s="537">
        <f>AVERAGE(AL47:AL61)</f>
        <v>78.074989686501965</v>
      </c>
      <c r="AO47" s="190">
        <v>21</v>
      </c>
      <c r="AP47" s="190">
        <v>1774.370208105149</v>
      </c>
      <c r="AQ47" s="187">
        <f t="shared" ref="AQ47:AQ54" si="66">IFERROR(AP47/AO47,"")</f>
        <v>84.493819433578523</v>
      </c>
      <c r="AR47" s="184">
        <f>RANK(AQ47, AQ$47:AQ$61)</f>
        <v>2</v>
      </c>
      <c r="AS47" s="537">
        <f>AVERAGE(AQ47:AQ61)</f>
        <v>78.075995508733016</v>
      </c>
      <c r="AT47" s="190">
        <v>21</v>
      </c>
      <c r="AU47" s="190">
        <v>1774.1146168705734</v>
      </c>
      <c r="AV47" s="187">
        <f t="shared" ref="AV47:AV54" si="67">IFERROR(AU47/AT47,"")</f>
        <v>84.481648422408256</v>
      </c>
      <c r="AW47" s="184">
        <f>RANK(AV47, AV$47:AV$61)</f>
        <v>2</v>
      </c>
      <c r="AX47" s="537">
        <f>AVERAGE(AV47:AV61)</f>
        <v>78.097355952568662</v>
      </c>
    </row>
    <row r="48" spans="2:50" ht="14.25" customHeight="1">
      <c r="B48" s="501"/>
      <c r="C48" s="182">
        <v>2</v>
      </c>
      <c r="D48" s="185" t="s">
        <v>367</v>
      </c>
      <c r="E48" s="182">
        <v>25</v>
      </c>
      <c r="F48" s="182">
        <v>2000</v>
      </c>
      <c r="G48" s="187">
        <f t="shared" si="62"/>
        <v>80</v>
      </c>
      <c r="H48" s="537"/>
      <c r="I48" s="188">
        <f t="shared" ref="I48:K54" si="68">AVERAGE(P48,U48,Z48,AE48,AJ48,AO48,AT48)</f>
        <v>25</v>
      </c>
      <c r="J48" s="188">
        <f t="shared" si="68"/>
        <v>1781.8286065693496</v>
      </c>
      <c r="K48" s="189">
        <f t="shared" si="68"/>
        <v>71.273144262773968</v>
      </c>
      <c r="L48" s="538"/>
      <c r="M48" s="188">
        <f>RANK(K48, K$47:$K$61)</f>
        <v>7</v>
      </c>
      <c r="N48" s="501"/>
      <c r="O48" s="501"/>
      <c r="P48" s="190">
        <v>25</v>
      </c>
      <c r="Q48" s="190">
        <v>1781.9225251076034</v>
      </c>
      <c r="R48" s="187">
        <f t="shared" ref="R48:R54" si="69">IFERROR(Q48/P48,"")</f>
        <v>71.276901004304136</v>
      </c>
      <c r="S48" s="184">
        <f t="shared" ref="S48:S54" si="70">RANK(R48, R$47:R$61)</f>
        <v>7</v>
      </c>
      <c r="T48" s="537"/>
      <c r="U48" s="190">
        <v>25</v>
      </c>
      <c r="V48" s="190">
        <v>1781.8575918500062</v>
      </c>
      <c r="W48" s="187">
        <f t="shared" si="63"/>
        <v>71.274303674000251</v>
      </c>
      <c r="X48" s="184">
        <f t="shared" ref="X48:X54" si="71">RANK(W48, W$47:W$61)</f>
        <v>7</v>
      </c>
      <c r="Y48" s="537"/>
      <c r="Z48" s="190">
        <v>25</v>
      </c>
      <c r="AA48" s="190">
        <v>1781.7596911693745</v>
      </c>
      <c r="AB48" s="187">
        <f t="shared" si="64"/>
        <v>71.270387646774978</v>
      </c>
      <c r="AC48" s="184">
        <f t="shared" ref="AC48:AC54" si="72">RANK(AB48, AB$47:AB$61)</f>
        <v>7</v>
      </c>
      <c r="AD48" s="537"/>
      <c r="AE48" s="190">
        <v>25</v>
      </c>
      <c r="AF48" s="190">
        <v>1781.8831168831168</v>
      </c>
      <c r="AG48" s="187">
        <f t="shared" ref="AG48:AG54" si="73">IFERROR(AF48/AE48,"")</f>
        <v>71.275324675324669</v>
      </c>
      <c r="AH48" s="184">
        <f t="shared" ref="AH48:AH54" si="74">RANK(AG48, AG$47:AG$61)</f>
        <v>7</v>
      </c>
      <c r="AI48" s="537"/>
      <c r="AJ48" s="190">
        <v>25</v>
      </c>
      <c r="AK48" s="190">
        <v>1781.7861856577231</v>
      </c>
      <c r="AL48" s="187">
        <f t="shared" si="65"/>
        <v>71.271447426308924</v>
      </c>
      <c r="AM48" s="184">
        <f t="shared" ref="AM48:AM54" si="75">RANK(AL48, AL$47:AL$61)</f>
        <v>7</v>
      </c>
      <c r="AN48" s="537"/>
      <c r="AO48" s="190">
        <v>25</v>
      </c>
      <c r="AP48" s="190">
        <v>1781.7578193255299</v>
      </c>
      <c r="AQ48" s="187">
        <f t="shared" si="66"/>
        <v>71.270312773021203</v>
      </c>
      <c r="AR48" s="184">
        <f t="shared" ref="AR48:AR54" si="76">RANK(AQ48, AQ$47:AQ$61)</f>
        <v>7</v>
      </c>
      <c r="AS48" s="537"/>
      <c r="AT48" s="190">
        <v>25</v>
      </c>
      <c r="AU48" s="190">
        <v>1781.8333159920924</v>
      </c>
      <c r="AV48" s="187">
        <f t="shared" si="67"/>
        <v>71.273332639683701</v>
      </c>
      <c r="AW48" s="184">
        <f t="shared" ref="AW48:AW54" si="77">RANK(AV48, AV$47:AV$61)</f>
        <v>7</v>
      </c>
      <c r="AX48" s="537"/>
    </row>
    <row r="49" spans="2:50" ht="14.25" customHeight="1">
      <c r="B49" s="501"/>
      <c r="C49" s="182">
        <v>3</v>
      </c>
      <c r="D49" s="185" t="s">
        <v>368</v>
      </c>
      <c r="E49" s="182">
        <v>23</v>
      </c>
      <c r="F49" s="182">
        <v>2000</v>
      </c>
      <c r="G49" s="187">
        <f t="shared" si="62"/>
        <v>86.956521739130437</v>
      </c>
      <c r="H49" s="537"/>
      <c r="I49" s="188">
        <f t="shared" si="68"/>
        <v>23</v>
      </c>
      <c r="J49" s="188">
        <f t="shared" si="68"/>
        <v>1777.2945615784822</v>
      </c>
      <c r="K49" s="189">
        <f t="shared" si="68"/>
        <v>77.273676590368794</v>
      </c>
      <c r="L49" s="538"/>
      <c r="M49" s="188">
        <f>RANK(K49, K$47:$K$61)</f>
        <v>4</v>
      </c>
      <c r="N49" s="501"/>
      <c r="O49" s="501"/>
      <c r="P49" s="190">
        <v>23</v>
      </c>
      <c r="Q49" s="190">
        <v>1777.0746748893948</v>
      </c>
      <c r="R49" s="187">
        <f t="shared" si="69"/>
        <v>77.264116299538912</v>
      </c>
      <c r="S49" s="184">
        <f t="shared" si="70"/>
        <v>4</v>
      </c>
      <c r="T49" s="537"/>
      <c r="U49" s="190">
        <v>23</v>
      </c>
      <c r="V49" s="190">
        <v>1777.1494518176578</v>
      </c>
      <c r="W49" s="187">
        <f t="shared" si="63"/>
        <v>77.267367470332943</v>
      </c>
      <c r="X49" s="184">
        <f t="shared" si="71"/>
        <v>4</v>
      </c>
      <c r="Y49" s="537"/>
      <c r="Z49" s="190">
        <v>23</v>
      </c>
      <c r="AA49" s="190">
        <v>1777.2223090142161</v>
      </c>
      <c r="AB49" s="187">
        <f t="shared" si="64"/>
        <v>77.270535174531133</v>
      </c>
      <c r="AC49" s="184">
        <f t="shared" si="72"/>
        <v>4</v>
      </c>
      <c r="AD49" s="537"/>
      <c r="AE49" s="190">
        <v>23</v>
      </c>
      <c r="AF49" s="190">
        <v>1777.2484200291676</v>
      </c>
      <c r="AG49" s="187">
        <f t="shared" si="73"/>
        <v>77.271670436050769</v>
      </c>
      <c r="AH49" s="184">
        <f t="shared" si="74"/>
        <v>4</v>
      </c>
      <c r="AI49" s="537"/>
      <c r="AJ49" s="190">
        <v>23</v>
      </c>
      <c r="AK49" s="190">
        <v>1777.4597495527728</v>
      </c>
      <c r="AL49" s="187">
        <f t="shared" si="65"/>
        <v>77.280858676207515</v>
      </c>
      <c r="AM49" s="184">
        <f t="shared" si="75"/>
        <v>4</v>
      </c>
      <c r="AN49" s="537"/>
      <c r="AO49" s="190">
        <v>23</v>
      </c>
      <c r="AP49" s="190">
        <v>1777.4870912220319</v>
      </c>
      <c r="AQ49" s="187">
        <f t="shared" si="66"/>
        <v>77.282047444436174</v>
      </c>
      <c r="AR49" s="184">
        <f t="shared" si="76"/>
        <v>4</v>
      </c>
      <c r="AS49" s="537"/>
      <c r="AT49" s="190">
        <v>23</v>
      </c>
      <c r="AU49" s="190">
        <v>1777.4202345241333</v>
      </c>
      <c r="AV49" s="187">
        <f t="shared" si="67"/>
        <v>77.279140631484054</v>
      </c>
      <c r="AW49" s="184">
        <f t="shared" si="77"/>
        <v>4</v>
      </c>
      <c r="AX49" s="537"/>
    </row>
    <row r="50" spans="2:50" ht="14.25" customHeight="1">
      <c r="B50" s="501"/>
      <c r="C50" s="182">
        <v>4</v>
      </c>
      <c r="D50" s="185" t="s">
        <v>369</v>
      </c>
      <c r="E50" s="182">
        <v>24</v>
      </c>
      <c r="F50" s="182">
        <v>2000</v>
      </c>
      <c r="G50" s="187">
        <f t="shared" si="62"/>
        <v>83.333333333333329</v>
      </c>
      <c r="H50" s="537"/>
      <c r="I50" s="188">
        <f t="shared" si="68"/>
        <v>24</v>
      </c>
      <c r="J50" s="188">
        <f t="shared" si="68"/>
        <v>1774.7031973012465</v>
      </c>
      <c r="K50" s="189">
        <f t="shared" si="68"/>
        <v>73.945966554218586</v>
      </c>
      <c r="L50" s="538"/>
      <c r="M50" s="188">
        <f>RANK(K50, K$47:$K$61)</f>
        <v>6</v>
      </c>
      <c r="N50" s="501"/>
      <c r="O50" s="501"/>
      <c r="P50" s="190">
        <v>24</v>
      </c>
      <c r="Q50" s="190">
        <v>1774.1143458435631</v>
      </c>
      <c r="R50" s="187">
        <f t="shared" si="69"/>
        <v>73.921431076815125</v>
      </c>
      <c r="S50" s="184">
        <f t="shared" si="70"/>
        <v>6</v>
      </c>
      <c r="T50" s="537"/>
      <c r="U50" s="190">
        <v>24</v>
      </c>
      <c r="V50" s="190">
        <v>1774.2257742257746</v>
      </c>
      <c r="W50" s="187">
        <f t="shared" si="63"/>
        <v>73.92607392607394</v>
      </c>
      <c r="X50" s="184">
        <f t="shared" si="71"/>
        <v>6</v>
      </c>
      <c r="Y50" s="537"/>
      <c r="Z50" s="190">
        <v>24</v>
      </c>
      <c r="AA50" s="190">
        <v>1774.4776119402964</v>
      </c>
      <c r="AB50" s="187">
        <f t="shared" si="64"/>
        <v>73.93656716417901</v>
      </c>
      <c r="AC50" s="184">
        <f t="shared" si="72"/>
        <v>6</v>
      </c>
      <c r="AD50" s="537"/>
      <c r="AE50" s="190">
        <v>24</v>
      </c>
      <c r="AF50" s="190">
        <v>1774.695407685095</v>
      </c>
      <c r="AG50" s="187">
        <f t="shared" si="73"/>
        <v>73.945641986878954</v>
      </c>
      <c r="AH50" s="184">
        <f t="shared" si="74"/>
        <v>6</v>
      </c>
      <c r="AI50" s="537"/>
      <c r="AJ50" s="190">
        <v>24</v>
      </c>
      <c r="AK50" s="190">
        <v>1774.7984726347033</v>
      </c>
      <c r="AL50" s="187">
        <f t="shared" si="65"/>
        <v>73.949936359779301</v>
      </c>
      <c r="AM50" s="184">
        <f t="shared" si="75"/>
        <v>6</v>
      </c>
      <c r="AN50" s="537"/>
      <c r="AO50" s="190">
        <v>24</v>
      </c>
      <c r="AP50" s="190">
        <v>1774.7332959011806</v>
      </c>
      <c r="AQ50" s="187">
        <f t="shared" si="66"/>
        <v>73.947220662549185</v>
      </c>
      <c r="AR50" s="184">
        <f t="shared" si="76"/>
        <v>6</v>
      </c>
      <c r="AS50" s="537"/>
      <c r="AT50" s="190">
        <v>24</v>
      </c>
      <c r="AU50" s="190">
        <v>1775.8774728781116</v>
      </c>
      <c r="AV50" s="187">
        <f t="shared" si="67"/>
        <v>73.994894703254644</v>
      </c>
      <c r="AW50" s="184">
        <f t="shared" si="77"/>
        <v>6</v>
      </c>
      <c r="AX50" s="537"/>
    </row>
    <row r="51" spans="2:50" ht="14.25" customHeight="1">
      <c r="B51" s="501"/>
      <c r="C51" s="182">
        <v>5</v>
      </c>
      <c r="D51" s="185" t="s">
        <v>365</v>
      </c>
      <c r="E51" s="182">
        <v>25</v>
      </c>
      <c r="F51" s="182">
        <v>2000</v>
      </c>
      <c r="G51" s="187">
        <f t="shared" si="62"/>
        <v>80</v>
      </c>
      <c r="H51" s="537"/>
      <c r="I51" s="188">
        <f t="shared" si="68"/>
        <v>25</v>
      </c>
      <c r="J51" s="188">
        <f t="shared" si="68"/>
        <v>1778.2397093525838</v>
      </c>
      <c r="K51" s="189">
        <f t="shared" si="68"/>
        <v>71.129588374103349</v>
      </c>
      <c r="L51" s="538"/>
      <c r="M51" s="188">
        <f>RANK(K51, K$47:$K$61)</f>
        <v>8</v>
      </c>
      <c r="N51" s="501"/>
      <c r="O51" s="501"/>
      <c r="P51" s="190">
        <v>25</v>
      </c>
      <c r="Q51" s="190">
        <v>1777.8294213339518</v>
      </c>
      <c r="R51" s="187">
        <f t="shared" si="69"/>
        <v>71.11317685335807</v>
      </c>
      <c r="S51" s="184">
        <f t="shared" si="70"/>
        <v>8</v>
      </c>
      <c r="T51" s="537"/>
      <c r="U51" s="190">
        <v>25</v>
      </c>
      <c r="V51" s="190">
        <v>1777.8932451582421</v>
      </c>
      <c r="W51" s="187">
        <f t="shared" si="63"/>
        <v>71.115729806329682</v>
      </c>
      <c r="X51" s="184">
        <f t="shared" si="71"/>
        <v>8</v>
      </c>
      <c r="Y51" s="537"/>
      <c r="Z51" s="190">
        <v>25</v>
      </c>
      <c r="AA51" s="190">
        <v>1778.1645569620262</v>
      </c>
      <c r="AB51" s="187">
        <f t="shared" si="64"/>
        <v>71.126582278481052</v>
      </c>
      <c r="AC51" s="184">
        <f t="shared" si="72"/>
        <v>8</v>
      </c>
      <c r="AD51" s="537"/>
      <c r="AE51" s="190">
        <v>25</v>
      </c>
      <c r="AF51" s="190">
        <v>1778.5091965150048</v>
      </c>
      <c r="AG51" s="187">
        <f t="shared" si="73"/>
        <v>71.140367860600193</v>
      </c>
      <c r="AH51" s="184">
        <f t="shared" si="74"/>
        <v>8</v>
      </c>
      <c r="AI51" s="537"/>
      <c r="AJ51" s="190">
        <v>25</v>
      </c>
      <c r="AK51" s="190">
        <v>1778.412335808111</v>
      </c>
      <c r="AL51" s="187">
        <f t="shared" si="65"/>
        <v>71.136493432324443</v>
      </c>
      <c r="AM51" s="184">
        <f t="shared" si="75"/>
        <v>8</v>
      </c>
      <c r="AN51" s="537"/>
      <c r="AO51" s="190">
        <v>25</v>
      </c>
      <c r="AP51" s="190">
        <v>1778.5559566787015</v>
      </c>
      <c r="AQ51" s="187">
        <f t="shared" si="66"/>
        <v>71.142238267148059</v>
      </c>
      <c r="AR51" s="184">
        <f t="shared" si="76"/>
        <v>8</v>
      </c>
      <c r="AS51" s="537"/>
      <c r="AT51" s="190">
        <v>25</v>
      </c>
      <c r="AU51" s="190">
        <v>1778.3132530120486</v>
      </c>
      <c r="AV51" s="187">
        <f t="shared" si="67"/>
        <v>71.132530120481945</v>
      </c>
      <c r="AW51" s="184">
        <f t="shared" si="77"/>
        <v>8</v>
      </c>
      <c r="AX51" s="537"/>
    </row>
    <row r="52" spans="2:50" ht="14.25" customHeight="1">
      <c r="B52" s="501"/>
      <c r="C52" s="182">
        <v>6</v>
      </c>
      <c r="D52" s="185" t="s">
        <v>483</v>
      </c>
      <c r="E52" s="182">
        <v>23</v>
      </c>
      <c r="F52" s="182">
        <v>2000</v>
      </c>
      <c r="G52" s="187">
        <f t="shared" si="62"/>
        <v>86.956521739130437</v>
      </c>
      <c r="H52" s="537"/>
      <c r="I52" s="188">
        <f t="shared" si="68"/>
        <v>23</v>
      </c>
      <c r="J52" s="188">
        <f t="shared" si="68"/>
        <v>1774.2916618556972</v>
      </c>
      <c r="K52" s="189">
        <f t="shared" si="68"/>
        <v>77.143115732856401</v>
      </c>
      <c r="L52" s="538"/>
      <c r="M52" s="188">
        <f>RANK(K52, K$47:$K$61)</f>
        <v>5</v>
      </c>
      <c r="N52" s="501"/>
      <c r="O52" s="501"/>
      <c r="P52" s="190">
        <v>23</v>
      </c>
      <c r="Q52" s="190">
        <v>1773.640167364016</v>
      </c>
      <c r="R52" s="187">
        <f t="shared" si="69"/>
        <v>77.114789885392</v>
      </c>
      <c r="S52" s="184">
        <f t="shared" si="70"/>
        <v>5</v>
      </c>
      <c r="T52" s="537"/>
      <c r="U52" s="190">
        <v>23</v>
      </c>
      <c r="V52" s="190">
        <v>1774.2814912136625</v>
      </c>
      <c r="W52" s="187">
        <f t="shared" si="63"/>
        <v>77.142673531028805</v>
      </c>
      <c r="X52" s="184">
        <f t="shared" si="71"/>
        <v>5</v>
      </c>
      <c r="Y52" s="537"/>
      <c r="Z52" s="190">
        <v>23</v>
      </c>
      <c r="AA52" s="190">
        <v>1774.1946365322979</v>
      </c>
      <c r="AB52" s="187">
        <f t="shared" si="64"/>
        <v>77.138897240534689</v>
      </c>
      <c r="AC52" s="184">
        <f t="shared" si="72"/>
        <v>5</v>
      </c>
      <c r="AD52" s="537"/>
      <c r="AE52" s="190">
        <v>23</v>
      </c>
      <c r="AF52" s="190">
        <v>1774.4262295081983</v>
      </c>
      <c r="AG52" s="187">
        <f t="shared" si="73"/>
        <v>77.148966500356451</v>
      </c>
      <c r="AH52" s="184">
        <f t="shared" si="74"/>
        <v>5</v>
      </c>
      <c r="AI52" s="537"/>
      <c r="AJ52" s="190">
        <v>23</v>
      </c>
      <c r="AK52" s="190">
        <v>1774.5910822316825</v>
      </c>
      <c r="AL52" s="187">
        <f t="shared" si="65"/>
        <v>77.15613401007316</v>
      </c>
      <c r="AM52" s="184">
        <f t="shared" si="75"/>
        <v>5</v>
      </c>
      <c r="AN52" s="537"/>
      <c r="AO52" s="190">
        <v>23</v>
      </c>
      <c r="AP52" s="190">
        <v>1774.4613767735161</v>
      </c>
      <c r="AQ52" s="187">
        <f t="shared" si="66"/>
        <v>77.150494642326791</v>
      </c>
      <c r="AR52" s="184">
        <f t="shared" si="76"/>
        <v>5</v>
      </c>
      <c r="AS52" s="537"/>
      <c r="AT52" s="190">
        <v>23</v>
      </c>
      <c r="AU52" s="190">
        <v>1774.4466493665086</v>
      </c>
      <c r="AV52" s="187">
        <f t="shared" si="67"/>
        <v>77.149854320282984</v>
      </c>
      <c r="AW52" s="184">
        <f t="shared" si="77"/>
        <v>5</v>
      </c>
      <c r="AX52" s="537"/>
    </row>
    <row r="53" spans="2:50" ht="14.25" customHeight="1">
      <c r="B53" s="501"/>
      <c r="C53" s="182">
        <v>7</v>
      </c>
      <c r="D53" s="185" t="s">
        <v>487</v>
      </c>
      <c r="E53" s="182">
        <v>22</v>
      </c>
      <c r="F53" s="182">
        <v>2000</v>
      </c>
      <c r="G53" s="187">
        <f t="shared" si="62"/>
        <v>90.909090909090907</v>
      </c>
      <c r="H53" s="537"/>
      <c r="I53" s="188">
        <f t="shared" si="68"/>
        <v>22</v>
      </c>
      <c r="J53" s="188">
        <f t="shared" si="68"/>
        <v>1774.8306130568983</v>
      </c>
      <c r="K53" s="189">
        <f t="shared" si="68"/>
        <v>80.674118775313545</v>
      </c>
      <c r="L53" s="538"/>
      <c r="M53" s="188">
        <f>RANK(K53, K$47:$K$61)</f>
        <v>3</v>
      </c>
      <c r="N53" s="501"/>
      <c r="O53" s="501"/>
      <c r="P53" s="190">
        <v>22</v>
      </c>
      <c r="Q53" s="190">
        <v>1774.918718067813</v>
      </c>
      <c r="R53" s="187">
        <f t="shared" si="69"/>
        <v>80.678123548536959</v>
      </c>
      <c r="S53" s="184">
        <f t="shared" si="70"/>
        <v>3</v>
      </c>
      <c r="T53" s="537"/>
      <c r="U53" s="190">
        <v>22</v>
      </c>
      <c r="V53" s="190">
        <v>1774.9187180678111</v>
      </c>
      <c r="W53" s="187">
        <f t="shared" si="63"/>
        <v>80.678123548536874</v>
      </c>
      <c r="X53" s="184">
        <f t="shared" si="71"/>
        <v>3</v>
      </c>
      <c r="Y53" s="537"/>
      <c r="Z53" s="190">
        <v>22</v>
      </c>
      <c r="AA53" s="190">
        <v>1774.8447204968948</v>
      </c>
      <c r="AB53" s="187">
        <f t="shared" si="64"/>
        <v>80.674760022586128</v>
      </c>
      <c r="AC53" s="184">
        <f t="shared" si="72"/>
        <v>3</v>
      </c>
      <c r="AD53" s="537"/>
      <c r="AE53" s="190">
        <v>22</v>
      </c>
      <c r="AF53" s="190">
        <v>1774.6478873239432</v>
      </c>
      <c r="AG53" s="187">
        <f t="shared" si="73"/>
        <v>80.665813060179232</v>
      </c>
      <c r="AH53" s="184">
        <f t="shared" si="74"/>
        <v>3</v>
      </c>
      <c r="AI53" s="537"/>
      <c r="AJ53" s="190">
        <v>22</v>
      </c>
      <c r="AK53" s="190">
        <v>1774.8139327180731</v>
      </c>
      <c r="AL53" s="187">
        <f t="shared" si="65"/>
        <v>80.673360578094233</v>
      </c>
      <c r="AM53" s="184">
        <f t="shared" si="75"/>
        <v>3</v>
      </c>
      <c r="AN53" s="537"/>
      <c r="AO53" s="190">
        <v>22</v>
      </c>
      <c r="AP53" s="190">
        <v>1774.7937847688461</v>
      </c>
      <c r="AQ53" s="187">
        <f t="shared" si="66"/>
        <v>80.67244476222028</v>
      </c>
      <c r="AR53" s="184">
        <f t="shared" si="76"/>
        <v>3</v>
      </c>
      <c r="AS53" s="537"/>
      <c r="AT53" s="190">
        <v>22</v>
      </c>
      <c r="AU53" s="190">
        <v>1774.8765299549066</v>
      </c>
      <c r="AV53" s="187">
        <f t="shared" si="67"/>
        <v>80.676205907041208</v>
      </c>
      <c r="AW53" s="184">
        <f t="shared" si="77"/>
        <v>3</v>
      </c>
      <c r="AX53" s="537"/>
    </row>
    <row r="54" spans="2:50" ht="14.25" customHeight="1">
      <c r="B54" s="501"/>
      <c r="C54" s="182">
        <v>8</v>
      </c>
      <c r="D54" s="185" t="s">
        <v>497</v>
      </c>
      <c r="E54" s="182">
        <v>20</v>
      </c>
      <c r="F54" s="182">
        <v>2000</v>
      </c>
      <c r="G54" s="187">
        <f t="shared" si="62"/>
        <v>100</v>
      </c>
      <c r="H54" s="537"/>
      <c r="I54" s="188">
        <f t="shared" si="68"/>
        <v>20</v>
      </c>
      <c r="J54" s="188">
        <f t="shared" si="68"/>
        <v>1773.4863491747917</v>
      </c>
      <c r="K54" s="189">
        <f t="shared" si="68"/>
        <v>88.674317458739594</v>
      </c>
      <c r="L54" s="538"/>
      <c r="M54" s="188">
        <f>RANK(K54, K$47:$K$61)</f>
        <v>1</v>
      </c>
      <c r="N54" s="501"/>
      <c r="O54" s="501"/>
      <c r="P54" s="190">
        <v>20</v>
      </c>
      <c r="Q54" s="190">
        <v>1773.1266149870798</v>
      </c>
      <c r="R54" s="187">
        <f t="shared" si="69"/>
        <v>88.656330749353998</v>
      </c>
      <c r="S54" s="184">
        <f t="shared" si="70"/>
        <v>1</v>
      </c>
      <c r="T54" s="537"/>
      <c r="U54" s="190">
        <v>20</v>
      </c>
      <c r="V54" s="190">
        <v>1773.1739707835327</v>
      </c>
      <c r="W54" s="187">
        <f t="shared" si="63"/>
        <v>88.65869853917664</v>
      </c>
      <c r="X54" s="184">
        <f t="shared" si="71"/>
        <v>1</v>
      </c>
      <c r="Y54" s="537"/>
      <c r="Z54" s="190">
        <v>20</v>
      </c>
      <c r="AA54" s="190">
        <v>1773.2711073398407</v>
      </c>
      <c r="AB54" s="187">
        <f t="shared" si="64"/>
        <v>88.663555366992028</v>
      </c>
      <c r="AC54" s="184">
        <f t="shared" si="72"/>
        <v>1</v>
      </c>
      <c r="AD54" s="537"/>
      <c r="AE54" s="190">
        <v>20</v>
      </c>
      <c r="AF54" s="190">
        <v>1773.0390224674816</v>
      </c>
      <c r="AG54" s="187">
        <f t="shared" si="73"/>
        <v>88.651951123374076</v>
      </c>
      <c r="AH54" s="184">
        <f t="shared" si="74"/>
        <v>1</v>
      </c>
      <c r="AI54" s="537"/>
      <c r="AJ54" s="190">
        <v>20</v>
      </c>
      <c r="AK54" s="190">
        <v>1772.9811894356835</v>
      </c>
      <c r="AL54" s="187">
        <f t="shared" si="65"/>
        <v>88.64905947178417</v>
      </c>
      <c r="AM54" s="184">
        <f t="shared" si="75"/>
        <v>1</v>
      </c>
      <c r="AN54" s="537"/>
      <c r="AO54" s="190">
        <v>20</v>
      </c>
      <c r="AP54" s="190">
        <v>1772.9877216916777</v>
      </c>
      <c r="AQ54" s="187">
        <f t="shared" si="66"/>
        <v>88.649386084583881</v>
      </c>
      <c r="AR54" s="184">
        <f t="shared" si="76"/>
        <v>1</v>
      </c>
      <c r="AS54" s="537"/>
      <c r="AT54" s="190">
        <v>20</v>
      </c>
      <c r="AU54" s="190">
        <v>1775.8248175182475</v>
      </c>
      <c r="AV54" s="187">
        <f t="shared" si="67"/>
        <v>88.791240875912379</v>
      </c>
      <c r="AW54" s="184">
        <f t="shared" si="77"/>
        <v>1</v>
      </c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6"/>
      <c r="D62" s="546"/>
      <c r="E62" s="546"/>
      <c r="F62" s="546"/>
      <c r="G62" s="546"/>
      <c r="H62" s="546"/>
      <c r="I62" s="546"/>
      <c r="J62" s="546"/>
      <c r="K62" s="546"/>
      <c r="L62" s="546"/>
      <c r="M62" s="547"/>
      <c r="N62" s="563" t="s">
        <v>383</v>
      </c>
      <c r="O62" s="563" t="s">
        <v>105</v>
      </c>
      <c r="P62" s="598">
        <f>AT42+1</f>
        <v>46042</v>
      </c>
      <c r="Q62" s="599"/>
      <c r="R62" s="599"/>
      <c r="S62" s="599"/>
      <c r="T62" s="599"/>
      <c r="U62" s="600">
        <f>P62+1</f>
        <v>46043</v>
      </c>
      <c r="V62" s="601"/>
      <c r="W62" s="601"/>
      <c r="X62" s="601"/>
      <c r="Y62" s="601"/>
      <c r="Z62" s="598">
        <f t="shared" ref="Z62" si="78">U62+1</f>
        <v>46044</v>
      </c>
      <c r="AA62" s="599"/>
      <c r="AB62" s="599"/>
      <c r="AC62" s="599"/>
      <c r="AD62" s="599"/>
      <c r="AE62" s="600">
        <f t="shared" ref="AE62" si="79">Z62+1</f>
        <v>46045</v>
      </c>
      <c r="AF62" s="601"/>
      <c r="AG62" s="601"/>
      <c r="AH62" s="601"/>
      <c r="AI62" s="601"/>
      <c r="AJ62" s="590">
        <f t="shared" ref="AJ62" si="80">AE62+1</f>
        <v>46046</v>
      </c>
      <c r="AK62" s="591"/>
      <c r="AL62" s="591"/>
      <c r="AM62" s="591"/>
      <c r="AN62" s="592"/>
      <c r="AO62" s="600">
        <f t="shared" ref="AO62" si="81">AJ62+1</f>
        <v>46047</v>
      </c>
      <c r="AP62" s="601"/>
      <c r="AQ62" s="601"/>
      <c r="AR62" s="601"/>
      <c r="AS62" s="601"/>
      <c r="AT62" s="590">
        <f t="shared" ref="AT62" si="82">AO62+1</f>
        <v>46048</v>
      </c>
      <c r="AU62" s="591"/>
      <c r="AV62" s="591"/>
      <c r="AW62" s="591"/>
      <c r="AX62" s="592"/>
    </row>
    <row r="63" spans="2:50" ht="14.25" customHeight="1"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9"/>
      <c r="N63" s="565"/>
      <c r="O63" s="565"/>
      <c r="P63" s="593">
        <f>P62</f>
        <v>46042</v>
      </c>
      <c r="Q63" s="593"/>
      <c r="R63" s="593"/>
      <c r="S63" s="593"/>
      <c r="T63" s="593"/>
      <c r="U63" s="594">
        <f>U62</f>
        <v>46043</v>
      </c>
      <c r="V63" s="594"/>
      <c r="W63" s="594"/>
      <c r="X63" s="594"/>
      <c r="Y63" s="594"/>
      <c r="Z63" s="593">
        <f t="shared" ref="Z63" si="83">Z62</f>
        <v>46044</v>
      </c>
      <c r="AA63" s="593"/>
      <c r="AB63" s="593"/>
      <c r="AC63" s="593"/>
      <c r="AD63" s="593"/>
      <c r="AE63" s="594">
        <f t="shared" ref="AE63" si="84">AE62</f>
        <v>46045</v>
      </c>
      <c r="AF63" s="594"/>
      <c r="AG63" s="594"/>
      <c r="AH63" s="594"/>
      <c r="AI63" s="594"/>
      <c r="AJ63" s="595">
        <f t="shared" ref="AJ63" si="85">AJ62</f>
        <v>46046</v>
      </c>
      <c r="AK63" s="596"/>
      <c r="AL63" s="596"/>
      <c r="AM63" s="596"/>
      <c r="AN63" s="597"/>
      <c r="AO63" s="594">
        <f t="shared" ref="AO63" si="86">AO62</f>
        <v>46047</v>
      </c>
      <c r="AP63" s="594"/>
      <c r="AQ63" s="594"/>
      <c r="AR63" s="594"/>
      <c r="AS63" s="594"/>
      <c r="AT63" s="595">
        <f t="shared" ref="AT63" si="87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138</v>
      </c>
      <c r="C67" s="182">
        <v>1</v>
      </c>
      <c r="D67" s="185" t="s">
        <v>366</v>
      </c>
      <c r="E67" s="182">
        <v>21</v>
      </c>
      <c r="F67" s="182">
        <v>2000</v>
      </c>
      <c r="G67" s="187">
        <f t="shared" ref="G67:G75" si="88">F67/E67</f>
        <v>95.238095238095241</v>
      </c>
      <c r="H67" s="537">
        <f>AVERAGE(G67:G81)</f>
        <v>87.414099588012633</v>
      </c>
      <c r="I67" s="188">
        <f>AVERAGE(P67,U67,Z67,AE67,AJ67,AO67,AT67)</f>
        <v>21</v>
      </c>
      <c r="J67" s="188">
        <f>AVERAGE(Q67,V67,AA67,AF67,AK67,AP67,AU67)</f>
        <v>1774.3466747738125</v>
      </c>
      <c r="K67" s="189">
        <f>AVERAGE(R67,W67,AB67,AG67,AL67,AQ67,AV67)</f>
        <v>84.492698798752983</v>
      </c>
      <c r="L67" s="538">
        <f>IFERROR(AVERAGE(K67:K81),"-")</f>
        <v>77.332946152942256</v>
      </c>
      <c r="M67" s="188">
        <f>RANK(K67, K$67:$K$81)</f>
        <v>2</v>
      </c>
      <c r="N67" s="501"/>
      <c r="O67" s="501"/>
      <c r="P67" s="190">
        <v>21</v>
      </c>
      <c r="Q67" s="190">
        <v>1774.0976645435242</v>
      </c>
      <c r="R67" s="187">
        <f>IFERROR(Q67/P67,"")</f>
        <v>84.480841168739246</v>
      </c>
      <c r="S67" s="184">
        <f>RANK(R67, R$67:R$81)</f>
        <v>2</v>
      </c>
      <c r="T67" s="537">
        <f>AVERAGE(R67:R81)</f>
        <v>76.949893634933332</v>
      </c>
      <c r="U67" s="190">
        <v>21</v>
      </c>
      <c r="V67" s="190">
        <v>1774.2290748898677</v>
      </c>
      <c r="W67" s="187">
        <f t="shared" ref="W67:W75" si="89">IFERROR(V67/U67,"")</f>
        <v>84.487098804279412</v>
      </c>
      <c r="X67" s="184">
        <f>RANK(W67, W$67:W$81)</f>
        <v>2</v>
      </c>
      <c r="Y67" s="537">
        <f>AVERAGE(W67:W81)</f>
        <v>77.066965797006134</v>
      </c>
      <c r="Z67" s="190">
        <v>21</v>
      </c>
      <c r="AA67" s="190">
        <v>1774.1189737806574</v>
      </c>
      <c r="AB67" s="187">
        <f t="shared" ref="AB67:AB75" si="90">IFERROR(AA67/Z67,"")</f>
        <v>84.481855894317022</v>
      </c>
      <c r="AC67" s="184">
        <f>RANK(AB67, AB$67:AB$81)</f>
        <v>2</v>
      </c>
      <c r="AD67" s="537">
        <f>AVERAGE(AB67:AB81)</f>
        <v>77.214181581242897</v>
      </c>
      <c r="AE67" s="190">
        <v>21</v>
      </c>
      <c r="AF67" s="190">
        <v>1774.2155525238745</v>
      </c>
      <c r="AG67" s="187">
        <f>IFERROR(AF67/AE67,"")</f>
        <v>84.486454882089262</v>
      </c>
      <c r="AH67" s="184">
        <f>RANK(AG67, AG$67:AG$81)</f>
        <v>2</v>
      </c>
      <c r="AI67" s="537">
        <f>AVERAGE(AG67:AG81)</f>
        <v>77.342220598094727</v>
      </c>
      <c r="AJ67" s="190">
        <v>21</v>
      </c>
      <c r="AK67" s="190">
        <v>1774.3380855397156</v>
      </c>
      <c r="AL67" s="187">
        <f t="shared" ref="AL67:AL75" si="91">IFERROR(AK67/AJ67,"")</f>
        <v>84.4922897876055</v>
      </c>
      <c r="AM67" s="184">
        <f>RANK(AL67, AL$67:AL$81)</f>
        <v>2</v>
      </c>
      <c r="AN67" s="537">
        <f>AVERAGE(AL67:AL81)</f>
        <v>77.469586791433343</v>
      </c>
      <c r="AO67" s="190">
        <v>21</v>
      </c>
      <c r="AP67" s="190">
        <v>1774.4158034208624</v>
      </c>
      <c r="AQ67" s="187">
        <f t="shared" ref="AQ67:AQ75" si="92">IFERROR(AP67/AO67,"")</f>
        <v>84.495990639088689</v>
      </c>
      <c r="AR67" s="184">
        <f>RANK(AQ67, AQ$67:AQ$81)</f>
        <v>2</v>
      </c>
      <c r="AS67" s="537">
        <f>AVERAGE(AQ67:AQ81)</f>
        <v>77.60307240471451</v>
      </c>
      <c r="AT67" s="190">
        <v>21</v>
      </c>
      <c r="AU67" s="190">
        <v>1775.0115687181869</v>
      </c>
      <c r="AV67" s="187">
        <f t="shared" ref="AV67:AV75" si="93">IFERROR(AU67/AT67,"")</f>
        <v>84.524360415151762</v>
      </c>
      <c r="AW67" s="184">
        <f>RANK(AV67, AV$67:AV$81)</f>
        <v>2</v>
      </c>
      <c r="AX67" s="537">
        <f>AVERAGE(AV67:AV81)</f>
        <v>77.684702263170806</v>
      </c>
    </row>
    <row r="68" spans="2:50" ht="14.25" customHeight="1">
      <c r="B68" s="501"/>
      <c r="C68" s="182">
        <v>2</v>
      </c>
      <c r="D68" s="185" t="s">
        <v>367</v>
      </c>
      <c r="E68" s="182">
        <v>25</v>
      </c>
      <c r="F68" s="182">
        <v>2000</v>
      </c>
      <c r="G68" s="187">
        <f t="shared" si="88"/>
        <v>80</v>
      </c>
      <c r="H68" s="537"/>
      <c r="I68" s="188">
        <f t="shared" ref="I68:K75" si="94">AVERAGE(P68,U68,Z68,AE68,AJ68,AO68,AT68)</f>
        <v>25</v>
      </c>
      <c r="J68" s="188">
        <f t="shared" si="94"/>
        <v>1781.9666843585317</v>
      </c>
      <c r="K68" s="189">
        <f t="shared" si="94"/>
        <v>71.278667374341268</v>
      </c>
      <c r="L68" s="538"/>
      <c r="M68" s="188">
        <f>RANK(K68, K$67:$K$81)</f>
        <v>7</v>
      </c>
      <c r="N68" s="501"/>
      <c r="O68" s="501"/>
      <c r="P68" s="190">
        <v>25</v>
      </c>
      <c r="Q68" s="190">
        <v>1781.8529130850056</v>
      </c>
      <c r="R68" s="187">
        <f t="shared" ref="R68:R75" si="95">IFERROR(Q68/P68,"")</f>
        <v>71.274116523400224</v>
      </c>
      <c r="S68" s="184">
        <f t="shared" ref="S68:S75" si="96">RANK(R68, R$67:R$81)</f>
        <v>7</v>
      </c>
      <c r="T68" s="537"/>
      <c r="U68" s="190">
        <v>25</v>
      </c>
      <c r="V68" s="190">
        <v>1781.8854829381139</v>
      </c>
      <c r="W68" s="187">
        <f t="shared" si="89"/>
        <v>71.275419317524552</v>
      </c>
      <c r="X68" s="184">
        <f t="shared" ref="X68:X75" si="97">RANK(W68, W$67:W$81)</f>
        <v>7</v>
      </c>
      <c r="Y68" s="537"/>
      <c r="Z68" s="190">
        <v>25</v>
      </c>
      <c r="AA68" s="190">
        <v>1782.0221644547812</v>
      </c>
      <c r="AB68" s="187">
        <f t="shared" si="90"/>
        <v>71.280886578191243</v>
      </c>
      <c r="AC68" s="184">
        <f t="shared" ref="AC68:AC75" si="98">RANK(AB68, AB$67:AB$81)</f>
        <v>7</v>
      </c>
      <c r="AD68" s="537"/>
      <c r="AE68" s="190">
        <v>25</v>
      </c>
      <c r="AF68" s="190">
        <v>1782.0304100752578</v>
      </c>
      <c r="AG68" s="187">
        <f t="shared" ref="AG68:AG75" si="99">IFERROR(AF68/AE68,"")</f>
        <v>71.281216403010319</v>
      </c>
      <c r="AH68" s="184">
        <f t="shared" ref="AH68:AH75" si="100">RANK(AG68, AG$67:AG$81)</f>
        <v>7</v>
      </c>
      <c r="AI68" s="537"/>
      <c r="AJ68" s="190">
        <v>25</v>
      </c>
      <c r="AK68" s="190">
        <v>1781.9836214740685</v>
      </c>
      <c r="AL68" s="187">
        <f t="shared" si="91"/>
        <v>71.279344858962745</v>
      </c>
      <c r="AM68" s="184">
        <f t="shared" ref="AM68:AM75" si="101">RANK(AL68, AL$67:AL$81)</f>
        <v>8</v>
      </c>
      <c r="AN68" s="537"/>
      <c r="AO68" s="190">
        <v>25</v>
      </c>
      <c r="AP68" s="190">
        <v>1782.0275254115311</v>
      </c>
      <c r="AQ68" s="187">
        <f t="shared" si="92"/>
        <v>71.28110101646125</v>
      </c>
      <c r="AR68" s="184">
        <f t="shared" ref="AR68:AR75" si="102">RANK(AQ68, AQ$67:AQ$81)</f>
        <v>8</v>
      </c>
      <c r="AS68" s="537"/>
      <c r="AT68" s="190">
        <v>25</v>
      </c>
      <c r="AU68" s="190">
        <v>1781.9646730709642</v>
      </c>
      <c r="AV68" s="187">
        <f t="shared" si="93"/>
        <v>71.278586922838571</v>
      </c>
      <c r="AW68" s="184">
        <f t="shared" ref="AW68:AW75" si="103">RANK(AV68, AV$67:AV$81)</f>
        <v>8</v>
      </c>
      <c r="AX68" s="537"/>
    </row>
    <row r="69" spans="2:50" ht="14.25" customHeight="1">
      <c r="B69" s="501"/>
      <c r="C69" s="182">
        <v>3</v>
      </c>
      <c r="D69" s="185" t="s">
        <v>368</v>
      </c>
      <c r="E69" s="182">
        <v>23</v>
      </c>
      <c r="F69" s="182">
        <v>2000</v>
      </c>
      <c r="G69" s="187">
        <f t="shared" si="88"/>
        <v>86.956521739130437</v>
      </c>
      <c r="H69" s="537"/>
      <c r="I69" s="188">
        <f t="shared" si="94"/>
        <v>23</v>
      </c>
      <c r="J69" s="188">
        <f t="shared" si="94"/>
        <v>1777.7530178825823</v>
      </c>
      <c r="K69" s="189">
        <f t="shared" si="94"/>
        <v>77.293609473155769</v>
      </c>
      <c r="L69" s="538"/>
      <c r="M69" s="188">
        <f>RANK(K69, K$67:$K$81)</f>
        <v>4</v>
      </c>
      <c r="N69" s="501"/>
      <c r="O69" s="501"/>
      <c r="P69" s="190">
        <v>23</v>
      </c>
      <c r="Q69" s="190">
        <v>1777.5334323922737</v>
      </c>
      <c r="R69" s="187">
        <f t="shared" si="95"/>
        <v>77.284062277924946</v>
      </c>
      <c r="S69" s="184">
        <f t="shared" si="96"/>
        <v>4</v>
      </c>
      <c r="T69" s="537"/>
      <c r="U69" s="190">
        <v>23</v>
      </c>
      <c r="V69" s="190">
        <v>1777.5528646303999</v>
      </c>
      <c r="W69" s="187">
        <f t="shared" si="89"/>
        <v>77.284907157843477</v>
      </c>
      <c r="X69" s="184">
        <f t="shared" si="97"/>
        <v>4</v>
      </c>
      <c r="Y69" s="537"/>
      <c r="Z69" s="190">
        <v>23</v>
      </c>
      <c r="AA69" s="190">
        <v>1777.6882553455212</v>
      </c>
      <c r="AB69" s="187">
        <f t="shared" si="90"/>
        <v>77.290793710674834</v>
      </c>
      <c r="AC69" s="184">
        <f t="shared" si="98"/>
        <v>4</v>
      </c>
      <c r="AD69" s="537"/>
      <c r="AE69" s="190">
        <v>23</v>
      </c>
      <c r="AF69" s="190">
        <v>1777.8416085350832</v>
      </c>
      <c r="AG69" s="187">
        <f t="shared" si="99"/>
        <v>77.297461240655792</v>
      </c>
      <c r="AH69" s="184">
        <f t="shared" si="100"/>
        <v>4</v>
      </c>
      <c r="AI69" s="537"/>
      <c r="AJ69" s="190">
        <v>23</v>
      </c>
      <c r="AK69" s="190">
        <v>1777.8688524590159</v>
      </c>
      <c r="AL69" s="187">
        <f t="shared" si="91"/>
        <v>77.298645759087648</v>
      </c>
      <c r="AM69" s="184">
        <f t="shared" si="101"/>
        <v>4</v>
      </c>
      <c r="AN69" s="537"/>
      <c r="AO69" s="190">
        <v>23</v>
      </c>
      <c r="AP69" s="190">
        <v>1777.8473931528299</v>
      </c>
      <c r="AQ69" s="187">
        <f t="shared" si="92"/>
        <v>77.297712745775215</v>
      </c>
      <c r="AR69" s="184">
        <f t="shared" si="102"/>
        <v>4</v>
      </c>
      <c r="AS69" s="537"/>
      <c r="AT69" s="190">
        <v>23</v>
      </c>
      <c r="AU69" s="190">
        <v>1777.9387186629522</v>
      </c>
      <c r="AV69" s="187">
        <f t="shared" si="93"/>
        <v>77.301683420128356</v>
      </c>
      <c r="AW69" s="184">
        <f t="shared" si="103"/>
        <v>4</v>
      </c>
      <c r="AX69" s="537"/>
    </row>
    <row r="70" spans="2:50" ht="14.25" customHeight="1">
      <c r="B70" s="501"/>
      <c r="C70" s="182">
        <v>4</v>
      </c>
      <c r="D70" s="185" t="s">
        <v>369</v>
      </c>
      <c r="E70" s="182">
        <v>24</v>
      </c>
      <c r="F70" s="182">
        <v>2000</v>
      </c>
      <c r="G70" s="187">
        <f t="shared" si="88"/>
        <v>83.333333333333329</v>
      </c>
      <c r="H70" s="537"/>
      <c r="I70" s="188">
        <f t="shared" si="94"/>
        <v>24</v>
      </c>
      <c r="J70" s="188">
        <f t="shared" si="94"/>
        <v>1776.3716018570362</v>
      </c>
      <c r="K70" s="189">
        <f t="shared" si="94"/>
        <v>74.015483410709848</v>
      </c>
      <c r="L70" s="538"/>
      <c r="M70" s="188">
        <f>RANK(K70, K$67:$K$81)</f>
        <v>6</v>
      </c>
      <c r="N70" s="501"/>
      <c r="O70" s="501"/>
      <c r="P70" s="190">
        <v>24</v>
      </c>
      <c r="Q70" s="190">
        <v>1775.7102272727261</v>
      </c>
      <c r="R70" s="187">
        <f t="shared" si="95"/>
        <v>73.987926136363583</v>
      </c>
      <c r="S70" s="184">
        <f t="shared" si="96"/>
        <v>6</v>
      </c>
      <c r="T70" s="537"/>
      <c r="U70" s="190">
        <v>24</v>
      </c>
      <c r="V70" s="190">
        <v>1776.0547320410467</v>
      </c>
      <c r="W70" s="187">
        <f t="shared" si="89"/>
        <v>74.002280501710274</v>
      </c>
      <c r="X70" s="184">
        <f t="shared" si="97"/>
        <v>6</v>
      </c>
      <c r="Y70" s="537"/>
      <c r="Z70" s="190">
        <v>24</v>
      </c>
      <c r="AA70" s="190">
        <v>1776.1541549578465</v>
      </c>
      <c r="AB70" s="187">
        <f t="shared" si="90"/>
        <v>74.006423123243607</v>
      </c>
      <c r="AC70" s="184">
        <f t="shared" si="98"/>
        <v>6</v>
      </c>
      <c r="AD70" s="537"/>
      <c r="AE70" s="190">
        <v>24</v>
      </c>
      <c r="AF70" s="190">
        <v>1776.547231270358</v>
      </c>
      <c r="AG70" s="187">
        <f t="shared" si="99"/>
        <v>74.022801302931583</v>
      </c>
      <c r="AH70" s="184">
        <f t="shared" si="100"/>
        <v>6</v>
      </c>
      <c r="AI70" s="537"/>
      <c r="AJ70" s="190">
        <v>24</v>
      </c>
      <c r="AK70" s="190">
        <v>1776.7955801104943</v>
      </c>
      <c r="AL70" s="187">
        <f t="shared" si="91"/>
        <v>74.033149171270594</v>
      </c>
      <c r="AM70" s="184">
        <f t="shared" si="101"/>
        <v>6</v>
      </c>
      <c r="AN70" s="537"/>
      <c r="AO70" s="190">
        <v>24</v>
      </c>
      <c r="AP70" s="190">
        <v>1776.5951013002718</v>
      </c>
      <c r="AQ70" s="187">
        <f t="shared" si="92"/>
        <v>74.024795887511331</v>
      </c>
      <c r="AR70" s="184">
        <f t="shared" si="102"/>
        <v>6</v>
      </c>
      <c r="AS70" s="537"/>
      <c r="AT70" s="190">
        <v>24</v>
      </c>
      <c r="AU70" s="190">
        <v>1776.7441860465119</v>
      </c>
      <c r="AV70" s="187">
        <f t="shared" si="93"/>
        <v>74.031007751937992</v>
      </c>
      <c r="AW70" s="184">
        <f t="shared" si="103"/>
        <v>7</v>
      </c>
      <c r="AX70" s="537"/>
    </row>
    <row r="71" spans="2:50" ht="14.25" customHeight="1">
      <c r="B71" s="501"/>
      <c r="C71" s="182">
        <v>5</v>
      </c>
      <c r="D71" s="185" t="s">
        <v>365</v>
      </c>
      <c r="E71" s="182">
        <v>25</v>
      </c>
      <c r="F71" s="182">
        <v>2000</v>
      </c>
      <c r="G71" s="187">
        <f t="shared" si="88"/>
        <v>80</v>
      </c>
      <c r="H71" s="537"/>
      <c r="I71" s="188">
        <f t="shared" si="94"/>
        <v>25</v>
      </c>
      <c r="J71" s="188">
        <f t="shared" si="94"/>
        <v>1778.7928429411111</v>
      </c>
      <c r="K71" s="189">
        <f t="shared" si="94"/>
        <v>71.151713717644441</v>
      </c>
      <c r="L71" s="538"/>
      <c r="M71" s="188">
        <f>RANK(K71, K$67:$K$81)</f>
        <v>8</v>
      </c>
      <c r="N71" s="501"/>
      <c r="O71" s="501"/>
      <c r="P71" s="190">
        <v>25</v>
      </c>
      <c r="Q71" s="190">
        <v>1778.2705099778266</v>
      </c>
      <c r="R71" s="187">
        <f t="shared" si="95"/>
        <v>71.130820399113063</v>
      </c>
      <c r="S71" s="184">
        <f t="shared" si="96"/>
        <v>8</v>
      </c>
      <c r="T71" s="537"/>
      <c r="U71" s="190">
        <v>25</v>
      </c>
      <c r="V71" s="190">
        <v>1778.277564454196</v>
      </c>
      <c r="W71" s="187">
        <f t="shared" si="89"/>
        <v>71.131102578167841</v>
      </c>
      <c r="X71" s="184">
        <f t="shared" si="97"/>
        <v>8</v>
      </c>
      <c r="Y71" s="537"/>
      <c r="Z71" s="190">
        <v>25</v>
      </c>
      <c r="AA71" s="190">
        <v>1778.7748058671284</v>
      </c>
      <c r="AB71" s="187">
        <f t="shared" si="90"/>
        <v>71.150992234685134</v>
      </c>
      <c r="AC71" s="184">
        <f t="shared" si="98"/>
        <v>8</v>
      </c>
      <c r="AD71" s="537"/>
      <c r="AE71" s="190">
        <v>25</v>
      </c>
      <c r="AF71" s="190">
        <v>1779.0697674418604</v>
      </c>
      <c r="AG71" s="187">
        <f t="shared" si="99"/>
        <v>71.162790697674424</v>
      </c>
      <c r="AH71" s="184">
        <f t="shared" si="100"/>
        <v>9</v>
      </c>
      <c r="AI71" s="537"/>
      <c r="AJ71" s="190">
        <v>25</v>
      </c>
      <c r="AK71" s="190">
        <v>1778.9307181271759</v>
      </c>
      <c r="AL71" s="187">
        <f t="shared" si="91"/>
        <v>71.157228725087037</v>
      </c>
      <c r="AM71" s="184">
        <f t="shared" si="101"/>
        <v>9</v>
      </c>
      <c r="AN71" s="537"/>
      <c r="AO71" s="190">
        <v>25</v>
      </c>
      <c r="AP71" s="190">
        <v>1779.0949138966753</v>
      </c>
      <c r="AQ71" s="187">
        <f t="shared" si="92"/>
        <v>71.163796555867009</v>
      </c>
      <c r="AR71" s="184">
        <f t="shared" si="102"/>
        <v>9</v>
      </c>
      <c r="AS71" s="537"/>
      <c r="AT71" s="190">
        <v>25</v>
      </c>
      <c r="AU71" s="190">
        <v>1779.1316208229148</v>
      </c>
      <c r="AV71" s="187">
        <f t="shared" si="93"/>
        <v>71.165264832916591</v>
      </c>
      <c r="AW71" s="184">
        <f t="shared" si="103"/>
        <v>9</v>
      </c>
      <c r="AX71" s="537"/>
    </row>
    <row r="72" spans="2:50" ht="14.25" customHeight="1">
      <c r="B72" s="501"/>
      <c r="C72" s="182">
        <v>6</v>
      </c>
      <c r="D72" s="185" t="s">
        <v>483</v>
      </c>
      <c r="E72" s="182">
        <v>23</v>
      </c>
      <c r="F72" s="182">
        <v>2000</v>
      </c>
      <c r="G72" s="187">
        <f t="shared" si="88"/>
        <v>86.956521739130437</v>
      </c>
      <c r="H72" s="537"/>
      <c r="I72" s="188">
        <f t="shared" si="94"/>
        <v>23</v>
      </c>
      <c r="J72" s="188">
        <f t="shared" si="94"/>
        <v>1774.8140621483712</v>
      </c>
      <c r="K72" s="189">
        <f t="shared" si="94"/>
        <v>77.165828789059631</v>
      </c>
      <c r="L72" s="538"/>
      <c r="M72" s="188">
        <f>RANK(K72, K$67:$K$81)</f>
        <v>5</v>
      </c>
      <c r="N72" s="501"/>
      <c r="O72" s="501"/>
      <c r="P72" s="190">
        <v>23</v>
      </c>
      <c r="Q72" s="190">
        <v>1774.5283018867922</v>
      </c>
      <c r="R72" s="187">
        <f t="shared" si="95"/>
        <v>77.153404429860529</v>
      </c>
      <c r="S72" s="184">
        <f t="shared" si="96"/>
        <v>5</v>
      </c>
      <c r="T72" s="537"/>
      <c r="U72" s="190">
        <v>23</v>
      </c>
      <c r="V72" s="190">
        <v>1774.4811999178155</v>
      </c>
      <c r="W72" s="187">
        <f t="shared" si="89"/>
        <v>77.151356518165898</v>
      </c>
      <c r="X72" s="184">
        <f t="shared" si="97"/>
        <v>5</v>
      </c>
      <c r="Y72" s="537"/>
      <c r="Z72" s="190">
        <v>23</v>
      </c>
      <c r="AA72" s="190">
        <v>1774.7589833479403</v>
      </c>
      <c r="AB72" s="187">
        <f t="shared" si="90"/>
        <v>77.1634340586061</v>
      </c>
      <c r="AC72" s="184">
        <f t="shared" si="98"/>
        <v>5</v>
      </c>
      <c r="AD72" s="537"/>
      <c r="AE72" s="190">
        <v>23</v>
      </c>
      <c r="AF72" s="190">
        <v>1774.6594005449579</v>
      </c>
      <c r="AG72" s="187">
        <f t="shared" si="99"/>
        <v>77.159104371519902</v>
      </c>
      <c r="AH72" s="184">
        <f t="shared" si="100"/>
        <v>5</v>
      </c>
      <c r="AI72" s="537"/>
      <c r="AJ72" s="190">
        <v>23</v>
      </c>
      <c r="AK72" s="190">
        <v>1774.9143248800576</v>
      </c>
      <c r="AL72" s="187">
        <f t="shared" si="91"/>
        <v>77.170188038263376</v>
      </c>
      <c r="AM72" s="184">
        <f t="shared" si="101"/>
        <v>5</v>
      </c>
      <c r="AN72" s="537"/>
      <c r="AO72" s="190">
        <v>23</v>
      </c>
      <c r="AP72" s="190">
        <v>1774.8907989291226</v>
      </c>
      <c r="AQ72" s="187">
        <f t="shared" si="92"/>
        <v>77.16916517083142</v>
      </c>
      <c r="AR72" s="184">
        <f t="shared" si="102"/>
        <v>5</v>
      </c>
      <c r="AS72" s="537"/>
      <c r="AT72" s="190">
        <v>23</v>
      </c>
      <c r="AU72" s="190">
        <v>1775.4654255319128</v>
      </c>
      <c r="AV72" s="187">
        <f t="shared" si="93"/>
        <v>77.194148936170123</v>
      </c>
      <c r="AW72" s="184">
        <f t="shared" si="103"/>
        <v>5</v>
      </c>
      <c r="AX72" s="537"/>
    </row>
    <row r="73" spans="2:50" ht="14.25" customHeight="1">
      <c r="B73" s="501"/>
      <c r="C73" s="182">
        <v>7</v>
      </c>
      <c r="D73" s="185" t="s">
        <v>487</v>
      </c>
      <c r="E73" s="182">
        <v>22</v>
      </c>
      <c r="F73" s="182">
        <v>2000</v>
      </c>
      <c r="G73" s="187">
        <f t="shared" si="88"/>
        <v>90.909090909090907</v>
      </c>
      <c r="H73" s="537"/>
      <c r="I73" s="188">
        <f t="shared" si="94"/>
        <v>22</v>
      </c>
      <c r="J73" s="188">
        <f t="shared" si="94"/>
        <v>1775.4844460855873</v>
      </c>
      <c r="K73" s="189">
        <f t="shared" si="94"/>
        <v>80.703838458435811</v>
      </c>
      <c r="L73" s="538"/>
      <c r="M73" s="188">
        <f>RANK(K73, K$67:$K$81)</f>
        <v>3</v>
      </c>
      <c r="N73" s="501"/>
      <c r="O73" s="501"/>
      <c r="P73" s="190">
        <v>22</v>
      </c>
      <c r="Q73" s="190">
        <v>1774.8837209302333</v>
      </c>
      <c r="R73" s="187">
        <f t="shared" si="95"/>
        <v>80.676532769556061</v>
      </c>
      <c r="S73" s="184">
        <f t="shared" si="96"/>
        <v>3</v>
      </c>
      <c r="T73" s="537"/>
      <c r="U73" s="190">
        <v>22</v>
      </c>
      <c r="V73" s="190">
        <v>1775.2202643171804</v>
      </c>
      <c r="W73" s="187">
        <f t="shared" si="89"/>
        <v>80.691830196235472</v>
      </c>
      <c r="X73" s="184">
        <f t="shared" si="97"/>
        <v>3</v>
      </c>
      <c r="Y73" s="537"/>
      <c r="Z73" s="190">
        <v>22</v>
      </c>
      <c r="AA73" s="190">
        <v>1775.3280839894994</v>
      </c>
      <c r="AB73" s="187">
        <f t="shared" si="90"/>
        <v>80.696731090431797</v>
      </c>
      <c r="AC73" s="184">
        <f t="shared" si="98"/>
        <v>3</v>
      </c>
      <c r="AD73" s="537"/>
      <c r="AE73" s="190">
        <v>22</v>
      </c>
      <c r="AF73" s="190">
        <v>1775.6676557863507</v>
      </c>
      <c r="AG73" s="187">
        <f t="shared" si="99"/>
        <v>80.712166172106848</v>
      </c>
      <c r="AH73" s="184">
        <f t="shared" si="100"/>
        <v>3</v>
      </c>
      <c r="AI73" s="537"/>
      <c r="AJ73" s="190">
        <v>22</v>
      </c>
      <c r="AK73" s="190">
        <v>1775.7290686735657</v>
      </c>
      <c r="AL73" s="187">
        <f t="shared" si="91"/>
        <v>80.714957666980254</v>
      </c>
      <c r="AM73" s="184">
        <f t="shared" si="101"/>
        <v>3</v>
      </c>
      <c r="AN73" s="537"/>
      <c r="AO73" s="190">
        <v>22</v>
      </c>
      <c r="AP73" s="190">
        <v>1775.737152485256</v>
      </c>
      <c r="AQ73" s="187">
        <f t="shared" si="92"/>
        <v>80.715325112966184</v>
      </c>
      <c r="AR73" s="184">
        <f t="shared" si="102"/>
        <v>3</v>
      </c>
      <c r="AS73" s="537"/>
      <c r="AT73" s="190">
        <v>22</v>
      </c>
      <c r="AU73" s="190">
        <v>1775.8251764170279</v>
      </c>
      <c r="AV73" s="187">
        <f t="shared" si="93"/>
        <v>80.719326200773992</v>
      </c>
      <c r="AW73" s="184">
        <f t="shared" si="103"/>
        <v>3</v>
      </c>
      <c r="AX73" s="537"/>
    </row>
    <row r="74" spans="2:50" ht="14.25" customHeight="1">
      <c r="B74" s="501"/>
      <c r="C74" s="182">
        <v>8</v>
      </c>
      <c r="D74" s="185" t="s">
        <v>497</v>
      </c>
      <c r="E74" s="182">
        <v>20</v>
      </c>
      <c r="F74" s="182">
        <v>2000</v>
      </c>
      <c r="G74" s="187">
        <f t="shared" si="88"/>
        <v>100</v>
      </c>
      <c r="H74" s="537"/>
      <c r="I74" s="188">
        <f t="shared" si="94"/>
        <v>20</v>
      </c>
      <c r="J74" s="188">
        <f t="shared" si="94"/>
        <v>1776.0141615198861</v>
      </c>
      <c r="K74" s="189">
        <f t="shared" si="94"/>
        <v>88.800708075994294</v>
      </c>
      <c r="L74" s="538"/>
      <c r="M74" s="188">
        <f>RANK(K74, K$67:$K$81)</f>
        <v>1</v>
      </c>
      <c r="N74" s="501"/>
      <c r="O74" s="501"/>
      <c r="P74" s="190">
        <v>20</v>
      </c>
      <c r="Q74" s="190">
        <v>1775.9127705270116</v>
      </c>
      <c r="R74" s="187">
        <f t="shared" si="95"/>
        <v>88.795638526350587</v>
      </c>
      <c r="S74" s="184">
        <f t="shared" si="96"/>
        <v>1</v>
      </c>
      <c r="T74" s="537"/>
      <c r="U74" s="190">
        <v>20</v>
      </c>
      <c r="V74" s="190">
        <v>1775.7253780138949</v>
      </c>
      <c r="W74" s="187">
        <f t="shared" si="89"/>
        <v>88.786268900694751</v>
      </c>
      <c r="X74" s="184">
        <f t="shared" si="97"/>
        <v>1</v>
      </c>
      <c r="Y74" s="537"/>
      <c r="Z74" s="190">
        <v>20</v>
      </c>
      <c r="AA74" s="190">
        <v>1775.899581589958</v>
      </c>
      <c r="AB74" s="187">
        <f t="shared" si="90"/>
        <v>88.794979079497892</v>
      </c>
      <c r="AC74" s="184">
        <f t="shared" si="98"/>
        <v>1</v>
      </c>
      <c r="AD74" s="537"/>
      <c r="AE74" s="190">
        <v>20</v>
      </c>
      <c r="AF74" s="190">
        <v>1775.8414206070634</v>
      </c>
      <c r="AG74" s="187">
        <f t="shared" si="99"/>
        <v>88.792071030353171</v>
      </c>
      <c r="AH74" s="184">
        <f t="shared" si="100"/>
        <v>1</v>
      </c>
      <c r="AI74" s="537"/>
      <c r="AJ74" s="190">
        <v>20</v>
      </c>
      <c r="AK74" s="190">
        <v>1775.7977122215525</v>
      </c>
      <c r="AL74" s="187">
        <f t="shared" si="91"/>
        <v>88.789885611077622</v>
      </c>
      <c r="AM74" s="184">
        <f t="shared" si="101"/>
        <v>1</v>
      </c>
      <c r="AN74" s="537"/>
      <c r="AO74" s="190">
        <v>20</v>
      </c>
      <c r="AP74" s="190">
        <v>1775.8036236119237</v>
      </c>
      <c r="AQ74" s="187">
        <f t="shared" si="92"/>
        <v>88.790181180596193</v>
      </c>
      <c r="AR74" s="184">
        <f t="shared" si="102"/>
        <v>1</v>
      </c>
      <c r="AS74" s="537"/>
      <c r="AT74" s="190">
        <v>20</v>
      </c>
      <c r="AU74" s="190">
        <v>1777.1186440677975</v>
      </c>
      <c r="AV74" s="187">
        <f t="shared" si="93"/>
        <v>88.85593220338987</v>
      </c>
      <c r="AW74" s="184">
        <f t="shared" si="103"/>
        <v>1</v>
      </c>
      <c r="AX74" s="537"/>
    </row>
    <row r="75" spans="2:50" ht="14.25" customHeight="1">
      <c r="B75" s="501"/>
      <c r="C75" s="182">
        <v>9</v>
      </c>
      <c r="D75" s="185" t="s">
        <v>741</v>
      </c>
      <c r="E75" s="182">
        <v>24</v>
      </c>
      <c r="F75" s="182">
        <v>2000</v>
      </c>
      <c r="G75" s="187">
        <f t="shared" si="88"/>
        <v>83.333333333333329</v>
      </c>
      <c r="H75" s="537"/>
      <c r="I75" s="188">
        <f t="shared" si="94"/>
        <v>24</v>
      </c>
      <c r="J75" s="188">
        <f t="shared" si="94"/>
        <v>1706.2552146812693</v>
      </c>
      <c r="K75" s="189">
        <f t="shared" si="94"/>
        <v>71.093967278386231</v>
      </c>
      <c r="L75" s="538"/>
      <c r="M75" s="188">
        <f>RANK(K75, K$67:$K$81)</f>
        <v>9</v>
      </c>
      <c r="N75" s="501"/>
      <c r="O75" s="501"/>
      <c r="P75" s="190">
        <v>24</v>
      </c>
      <c r="Q75" s="190">
        <v>1626.3768115942023</v>
      </c>
      <c r="R75" s="187">
        <f t="shared" si="95"/>
        <v>67.765700483091763</v>
      </c>
      <c r="S75" s="184">
        <f t="shared" si="96"/>
        <v>9</v>
      </c>
      <c r="T75" s="537"/>
      <c r="U75" s="190">
        <v>24</v>
      </c>
      <c r="V75" s="190">
        <v>1651.0182767624033</v>
      </c>
      <c r="W75" s="187">
        <f t="shared" si="89"/>
        <v>68.79242819843347</v>
      </c>
      <c r="X75" s="184">
        <f t="shared" si="97"/>
        <v>9</v>
      </c>
      <c r="Y75" s="537"/>
      <c r="Z75" s="190">
        <v>24</v>
      </c>
      <c r="AA75" s="190">
        <v>1681.4769230769225</v>
      </c>
      <c r="AB75" s="187">
        <f t="shared" si="90"/>
        <v>70.061538461538433</v>
      </c>
      <c r="AC75" s="184">
        <f t="shared" si="98"/>
        <v>9</v>
      </c>
      <c r="AD75" s="537"/>
      <c r="AE75" s="190">
        <v>24</v>
      </c>
      <c r="AF75" s="190">
        <v>1707.9820627802687</v>
      </c>
      <c r="AG75" s="187">
        <f t="shared" si="99"/>
        <v>71.165919282511197</v>
      </c>
      <c r="AH75" s="184">
        <f t="shared" si="100"/>
        <v>8</v>
      </c>
      <c r="AI75" s="537"/>
      <c r="AJ75" s="190">
        <v>24</v>
      </c>
      <c r="AK75" s="190">
        <v>1734.9741961095681</v>
      </c>
      <c r="AL75" s="187">
        <f t="shared" si="91"/>
        <v>72.290591504565342</v>
      </c>
      <c r="AM75" s="184">
        <f t="shared" si="101"/>
        <v>7</v>
      </c>
      <c r="AN75" s="537"/>
      <c r="AO75" s="190">
        <v>24</v>
      </c>
      <c r="AP75" s="190">
        <v>1763.7500000000005</v>
      </c>
      <c r="AQ75" s="187">
        <f t="shared" si="92"/>
        <v>73.489583333333357</v>
      </c>
      <c r="AR75" s="184">
        <f t="shared" si="102"/>
        <v>7</v>
      </c>
      <c r="AS75" s="537"/>
      <c r="AT75" s="190">
        <v>24</v>
      </c>
      <c r="AU75" s="190">
        <v>1778.2082324455212</v>
      </c>
      <c r="AV75" s="187">
        <f t="shared" si="93"/>
        <v>74.092009685230053</v>
      </c>
      <c r="AW75" s="184">
        <f t="shared" si="103"/>
        <v>6</v>
      </c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104">U82+1</f>
        <v>46051</v>
      </c>
      <c r="AA82" s="599"/>
      <c r="AB82" s="599"/>
      <c r="AC82" s="599"/>
      <c r="AD82" s="599"/>
      <c r="AE82" s="600">
        <f t="shared" ref="AE82" si="105">Z82+1</f>
        <v>46052</v>
      </c>
      <c r="AF82" s="601"/>
      <c r="AG82" s="601"/>
      <c r="AH82" s="601"/>
      <c r="AI82" s="601"/>
      <c r="AJ82" s="590">
        <f t="shared" ref="AJ82" si="106">AE82+1</f>
        <v>46053</v>
      </c>
      <c r="AK82" s="591"/>
      <c r="AL82" s="591"/>
      <c r="AM82" s="591"/>
      <c r="AN82" s="592"/>
      <c r="AO82" s="600">
        <f t="shared" ref="AO82" si="107">AJ82+1</f>
        <v>46054</v>
      </c>
      <c r="AP82" s="601"/>
      <c r="AQ82" s="601"/>
      <c r="AR82" s="601"/>
      <c r="AS82" s="601"/>
      <c r="AT82" s="590">
        <f t="shared" ref="AT82" si="108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109">Z82</f>
        <v>46051</v>
      </c>
      <c r="AA83" s="593"/>
      <c r="AB83" s="593"/>
      <c r="AC83" s="593"/>
      <c r="AD83" s="593"/>
      <c r="AE83" s="594">
        <f t="shared" ref="AE83" si="110">AE82</f>
        <v>46052</v>
      </c>
      <c r="AF83" s="594"/>
      <c r="AG83" s="594"/>
      <c r="AH83" s="594"/>
      <c r="AI83" s="594"/>
      <c r="AJ83" s="595">
        <f t="shared" ref="AJ83" si="111">AJ82</f>
        <v>46053</v>
      </c>
      <c r="AK83" s="596"/>
      <c r="AL83" s="596"/>
      <c r="AM83" s="596"/>
      <c r="AN83" s="597"/>
      <c r="AO83" s="594">
        <f t="shared" ref="AO83" si="112">AO82</f>
        <v>46054</v>
      </c>
      <c r="AP83" s="594"/>
      <c r="AQ83" s="594"/>
      <c r="AR83" s="594"/>
      <c r="AS83" s="594"/>
      <c r="AT83" s="595">
        <f t="shared" ref="AT83" si="113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138</v>
      </c>
      <c r="C87" s="182">
        <v>1</v>
      </c>
      <c r="D87" s="185"/>
      <c r="E87" s="182"/>
      <c r="F87" s="182"/>
      <c r="G87" s="187" t="e">
        <f t="shared" ref="G87:G101" si="114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5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116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17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18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19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20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21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4"/>
        <v>#DIV/0!</v>
      </c>
      <c r="H88" s="537"/>
      <c r="I88" s="188" t="e">
        <f t="shared" ref="I88:I101" si="122">AVERAGE(P88,U88,Z88,AE88,AJ88,AO88,AT88)</f>
        <v>#DIV/0!</v>
      </c>
      <c r="J88" s="188" t="e">
        <f t="shared" ref="J88:J101" si="123">AVERAGE(Q88,V88,AA88,AF88,AK88,AP88,AU88)</f>
        <v>#DIV/0!</v>
      </c>
      <c r="K88" s="189" t="e">
        <f t="shared" ref="K88:K101" si="124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115"/>
        <v>#DIV/0!</v>
      </c>
      <c r="S88" s="184" t="e">
        <f t="shared" ref="S88:S101" si="125">RANK(R88, R$47:R$61)</f>
        <v>#DIV/0!</v>
      </c>
      <c r="T88" s="537"/>
      <c r="U88" s="182"/>
      <c r="V88" s="182"/>
      <c r="W88" s="187" t="e">
        <f t="shared" si="116"/>
        <v>#DIV/0!</v>
      </c>
      <c r="X88" s="184" t="e">
        <f t="shared" ref="X88:X101" si="126">RANK(W88, W$47:W$61)</f>
        <v>#DIV/0!</v>
      </c>
      <c r="Y88" s="537"/>
      <c r="Z88" s="182"/>
      <c r="AA88" s="182"/>
      <c r="AB88" s="187" t="e">
        <f t="shared" si="117"/>
        <v>#DIV/0!</v>
      </c>
      <c r="AC88" s="184" t="e">
        <f t="shared" ref="AC88:AC101" si="127">RANK(AB88, AB$47:AB$61)</f>
        <v>#DIV/0!</v>
      </c>
      <c r="AD88" s="537"/>
      <c r="AE88" s="182"/>
      <c r="AF88" s="182"/>
      <c r="AG88" s="187" t="e">
        <f t="shared" si="118"/>
        <v>#DIV/0!</v>
      </c>
      <c r="AH88" s="184" t="e">
        <f t="shared" ref="AH88:AH101" si="128">RANK(AG88, AG$47:AG$61)</f>
        <v>#DIV/0!</v>
      </c>
      <c r="AI88" s="537"/>
      <c r="AJ88" s="182"/>
      <c r="AK88" s="182"/>
      <c r="AL88" s="187" t="e">
        <f t="shared" si="119"/>
        <v>#DIV/0!</v>
      </c>
      <c r="AM88" s="184" t="e">
        <f t="shared" ref="AM88:AM101" si="129">RANK(AL88, AL$47:AL$61)</f>
        <v>#DIV/0!</v>
      </c>
      <c r="AN88" s="537"/>
      <c r="AO88" s="182"/>
      <c r="AP88" s="182"/>
      <c r="AQ88" s="187" t="e">
        <f t="shared" si="120"/>
        <v>#DIV/0!</v>
      </c>
      <c r="AR88" s="184" t="e">
        <f t="shared" ref="AR88:AR101" si="130">RANK(AQ88, AQ$47:AQ$61)</f>
        <v>#DIV/0!</v>
      </c>
      <c r="AS88" s="537"/>
      <c r="AT88" s="182"/>
      <c r="AU88" s="182"/>
      <c r="AV88" s="187" t="e">
        <f t="shared" si="121"/>
        <v>#DIV/0!</v>
      </c>
      <c r="AW88" s="184" t="e">
        <f t="shared" ref="AW88:AW101" si="131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4"/>
        <v>#DIV/0!</v>
      </c>
      <c r="H89" s="537"/>
      <c r="I89" s="188" t="e">
        <f t="shared" si="122"/>
        <v>#DIV/0!</v>
      </c>
      <c r="J89" s="188" t="e">
        <f t="shared" si="123"/>
        <v>#DIV/0!</v>
      </c>
      <c r="K89" s="189" t="e">
        <f t="shared" si="124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115"/>
        <v>#DIV/0!</v>
      </c>
      <c r="S89" s="184" t="e">
        <f t="shared" si="125"/>
        <v>#DIV/0!</v>
      </c>
      <c r="T89" s="537"/>
      <c r="U89" s="182"/>
      <c r="V89" s="182"/>
      <c r="W89" s="187" t="e">
        <f t="shared" si="116"/>
        <v>#DIV/0!</v>
      </c>
      <c r="X89" s="184" t="e">
        <f t="shared" si="126"/>
        <v>#DIV/0!</v>
      </c>
      <c r="Y89" s="537"/>
      <c r="Z89" s="182"/>
      <c r="AA89" s="182"/>
      <c r="AB89" s="187" t="e">
        <f t="shared" si="117"/>
        <v>#DIV/0!</v>
      </c>
      <c r="AC89" s="184" t="e">
        <f t="shared" si="127"/>
        <v>#DIV/0!</v>
      </c>
      <c r="AD89" s="537"/>
      <c r="AE89" s="182"/>
      <c r="AF89" s="182"/>
      <c r="AG89" s="187" t="e">
        <f t="shared" si="118"/>
        <v>#DIV/0!</v>
      </c>
      <c r="AH89" s="184" t="e">
        <f t="shared" si="128"/>
        <v>#DIV/0!</v>
      </c>
      <c r="AI89" s="537"/>
      <c r="AJ89" s="182"/>
      <c r="AK89" s="182"/>
      <c r="AL89" s="187" t="e">
        <f t="shared" si="119"/>
        <v>#DIV/0!</v>
      </c>
      <c r="AM89" s="184" t="e">
        <f t="shared" si="129"/>
        <v>#DIV/0!</v>
      </c>
      <c r="AN89" s="537"/>
      <c r="AO89" s="182"/>
      <c r="AP89" s="182"/>
      <c r="AQ89" s="187" t="e">
        <f t="shared" si="120"/>
        <v>#DIV/0!</v>
      </c>
      <c r="AR89" s="184" t="e">
        <f t="shared" si="130"/>
        <v>#DIV/0!</v>
      </c>
      <c r="AS89" s="537"/>
      <c r="AT89" s="182"/>
      <c r="AU89" s="182"/>
      <c r="AV89" s="187" t="e">
        <f t="shared" si="121"/>
        <v>#DIV/0!</v>
      </c>
      <c r="AW89" s="184" t="e">
        <f t="shared" si="131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4"/>
        <v>#DIV/0!</v>
      </c>
      <c r="H90" s="537"/>
      <c r="I90" s="188" t="e">
        <f t="shared" si="122"/>
        <v>#DIV/0!</v>
      </c>
      <c r="J90" s="188" t="e">
        <f t="shared" si="123"/>
        <v>#DIV/0!</v>
      </c>
      <c r="K90" s="189" t="e">
        <f t="shared" si="124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115"/>
        <v>#DIV/0!</v>
      </c>
      <c r="S90" s="184" t="e">
        <f t="shared" si="125"/>
        <v>#DIV/0!</v>
      </c>
      <c r="T90" s="537"/>
      <c r="U90" s="182"/>
      <c r="V90" s="182"/>
      <c r="W90" s="187" t="e">
        <f t="shared" si="116"/>
        <v>#DIV/0!</v>
      </c>
      <c r="X90" s="184" t="e">
        <f t="shared" si="126"/>
        <v>#DIV/0!</v>
      </c>
      <c r="Y90" s="537"/>
      <c r="Z90" s="182"/>
      <c r="AA90" s="182"/>
      <c r="AB90" s="187" t="e">
        <f t="shared" si="117"/>
        <v>#DIV/0!</v>
      </c>
      <c r="AC90" s="184" t="e">
        <f t="shared" si="127"/>
        <v>#DIV/0!</v>
      </c>
      <c r="AD90" s="537"/>
      <c r="AE90" s="182"/>
      <c r="AF90" s="182"/>
      <c r="AG90" s="187" t="e">
        <f t="shared" si="118"/>
        <v>#DIV/0!</v>
      </c>
      <c r="AH90" s="184" t="e">
        <f t="shared" si="128"/>
        <v>#DIV/0!</v>
      </c>
      <c r="AI90" s="537"/>
      <c r="AJ90" s="182"/>
      <c r="AK90" s="182"/>
      <c r="AL90" s="187" t="e">
        <f t="shared" si="119"/>
        <v>#DIV/0!</v>
      </c>
      <c r="AM90" s="184" t="e">
        <f t="shared" si="129"/>
        <v>#DIV/0!</v>
      </c>
      <c r="AN90" s="537"/>
      <c r="AO90" s="182"/>
      <c r="AP90" s="182"/>
      <c r="AQ90" s="187" t="e">
        <f t="shared" si="120"/>
        <v>#DIV/0!</v>
      </c>
      <c r="AR90" s="184" t="e">
        <f t="shared" si="130"/>
        <v>#DIV/0!</v>
      </c>
      <c r="AS90" s="537"/>
      <c r="AT90" s="182"/>
      <c r="AU90" s="182"/>
      <c r="AV90" s="187" t="e">
        <f t="shared" si="121"/>
        <v>#DIV/0!</v>
      </c>
      <c r="AW90" s="184" t="e">
        <f t="shared" si="131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4"/>
        <v>#DIV/0!</v>
      </c>
      <c r="H91" s="537"/>
      <c r="I91" s="188" t="e">
        <f t="shared" si="122"/>
        <v>#DIV/0!</v>
      </c>
      <c r="J91" s="188" t="e">
        <f t="shared" si="123"/>
        <v>#DIV/0!</v>
      </c>
      <c r="K91" s="189" t="e">
        <f t="shared" si="124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115"/>
        <v>#DIV/0!</v>
      </c>
      <c r="S91" s="184" t="e">
        <f t="shared" si="125"/>
        <v>#DIV/0!</v>
      </c>
      <c r="T91" s="537"/>
      <c r="U91" s="182"/>
      <c r="V91" s="182"/>
      <c r="W91" s="187" t="e">
        <f t="shared" si="116"/>
        <v>#DIV/0!</v>
      </c>
      <c r="X91" s="184" t="e">
        <f t="shared" si="126"/>
        <v>#DIV/0!</v>
      </c>
      <c r="Y91" s="537"/>
      <c r="Z91" s="182"/>
      <c r="AA91" s="182"/>
      <c r="AB91" s="187" t="e">
        <f t="shared" si="117"/>
        <v>#DIV/0!</v>
      </c>
      <c r="AC91" s="184" t="e">
        <f t="shared" si="127"/>
        <v>#DIV/0!</v>
      </c>
      <c r="AD91" s="537"/>
      <c r="AE91" s="182"/>
      <c r="AF91" s="182"/>
      <c r="AG91" s="187" t="e">
        <f t="shared" si="118"/>
        <v>#DIV/0!</v>
      </c>
      <c r="AH91" s="184" t="e">
        <f t="shared" si="128"/>
        <v>#DIV/0!</v>
      </c>
      <c r="AI91" s="537"/>
      <c r="AJ91" s="182"/>
      <c r="AK91" s="182"/>
      <c r="AL91" s="187" t="e">
        <f t="shared" si="119"/>
        <v>#DIV/0!</v>
      </c>
      <c r="AM91" s="184" t="e">
        <f t="shared" si="129"/>
        <v>#DIV/0!</v>
      </c>
      <c r="AN91" s="537"/>
      <c r="AO91" s="182"/>
      <c r="AP91" s="182"/>
      <c r="AQ91" s="187" t="e">
        <f t="shared" si="120"/>
        <v>#DIV/0!</v>
      </c>
      <c r="AR91" s="184" t="e">
        <f t="shared" si="130"/>
        <v>#DIV/0!</v>
      </c>
      <c r="AS91" s="537"/>
      <c r="AT91" s="182"/>
      <c r="AU91" s="182"/>
      <c r="AV91" s="187" t="e">
        <f t="shared" si="121"/>
        <v>#DIV/0!</v>
      </c>
      <c r="AW91" s="184" t="e">
        <f t="shared" si="131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4"/>
        <v>#DIV/0!</v>
      </c>
      <c r="H92" s="537"/>
      <c r="I92" s="188" t="e">
        <f t="shared" si="122"/>
        <v>#DIV/0!</v>
      </c>
      <c r="J92" s="188" t="e">
        <f t="shared" si="123"/>
        <v>#DIV/0!</v>
      </c>
      <c r="K92" s="189" t="e">
        <f t="shared" si="124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115"/>
        <v>#DIV/0!</v>
      </c>
      <c r="S92" s="184" t="e">
        <f t="shared" si="125"/>
        <v>#DIV/0!</v>
      </c>
      <c r="T92" s="537"/>
      <c r="U92" s="182"/>
      <c r="V92" s="182"/>
      <c r="W92" s="187" t="e">
        <f t="shared" si="116"/>
        <v>#DIV/0!</v>
      </c>
      <c r="X92" s="184" t="e">
        <f t="shared" si="126"/>
        <v>#DIV/0!</v>
      </c>
      <c r="Y92" s="537"/>
      <c r="Z92" s="182"/>
      <c r="AA92" s="182"/>
      <c r="AB92" s="187" t="e">
        <f t="shared" si="117"/>
        <v>#DIV/0!</v>
      </c>
      <c r="AC92" s="184" t="e">
        <f t="shared" si="127"/>
        <v>#DIV/0!</v>
      </c>
      <c r="AD92" s="537"/>
      <c r="AE92" s="182"/>
      <c r="AF92" s="182"/>
      <c r="AG92" s="187" t="e">
        <f t="shared" si="118"/>
        <v>#DIV/0!</v>
      </c>
      <c r="AH92" s="184" t="e">
        <f t="shared" si="128"/>
        <v>#DIV/0!</v>
      </c>
      <c r="AI92" s="537"/>
      <c r="AJ92" s="182"/>
      <c r="AK92" s="182"/>
      <c r="AL92" s="187" t="e">
        <f t="shared" si="119"/>
        <v>#DIV/0!</v>
      </c>
      <c r="AM92" s="184" t="e">
        <f t="shared" si="129"/>
        <v>#DIV/0!</v>
      </c>
      <c r="AN92" s="537"/>
      <c r="AO92" s="182"/>
      <c r="AP92" s="182"/>
      <c r="AQ92" s="187" t="e">
        <f t="shared" si="120"/>
        <v>#DIV/0!</v>
      </c>
      <c r="AR92" s="184" t="e">
        <f t="shared" si="130"/>
        <v>#DIV/0!</v>
      </c>
      <c r="AS92" s="537"/>
      <c r="AT92" s="182"/>
      <c r="AU92" s="182"/>
      <c r="AV92" s="187" t="e">
        <f t="shared" si="121"/>
        <v>#DIV/0!</v>
      </c>
      <c r="AW92" s="184" t="e">
        <f t="shared" si="131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4"/>
        <v>#DIV/0!</v>
      </c>
      <c r="H93" s="537"/>
      <c r="I93" s="188" t="e">
        <f t="shared" si="122"/>
        <v>#DIV/0!</v>
      </c>
      <c r="J93" s="188" t="e">
        <f t="shared" si="123"/>
        <v>#DIV/0!</v>
      </c>
      <c r="K93" s="189" t="e">
        <f t="shared" si="124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115"/>
        <v>#DIV/0!</v>
      </c>
      <c r="S93" s="184" t="e">
        <f t="shared" si="125"/>
        <v>#DIV/0!</v>
      </c>
      <c r="T93" s="537"/>
      <c r="U93" s="182"/>
      <c r="V93" s="182"/>
      <c r="W93" s="187" t="e">
        <f t="shared" si="116"/>
        <v>#DIV/0!</v>
      </c>
      <c r="X93" s="184" t="e">
        <f t="shared" si="126"/>
        <v>#DIV/0!</v>
      </c>
      <c r="Y93" s="537"/>
      <c r="Z93" s="182"/>
      <c r="AA93" s="182"/>
      <c r="AB93" s="187" t="e">
        <f t="shared" si="117"/>
        <v>#DIV/0!</v>
      </c>
      <c r="AC93" s="184" t="e">
        <f t="shared" si="127"/>
        <v>#DIV/0!</v>
      </c>
      <c r="AD93" s="537"/>
      <c r="AE93" s="182"/>
      <c r="AF93" s="182"/>
      <c r="AG93" s="187" t="e">
        <f t="shared" si="118"/>
        <v>#DIV/0!</v>
      </c>
      <c r="AH93" s="184" t="e">
        <f t="shared" si="128"/>
        <v>#DIV/0!</v>
      </c>
      <c r="AI93" s="537"/>
      <c r="AJ93" s="182"/>
      <c r="AK93" s="182"/>
      <c r="AL93" s="187" t="e">
        <f t="shared" si="119"/>
        <v>#DIV/0!</v>
      </c>
      <c r="AM93" s="184" t="e">
        <f t="shared" si="129"/>
        <v>#DIV/0!</v>
      </c>
      <c r="AN93" s="537"/>
      <c r="AO93" s="182"/>
      <c r="AP93" s="182"/>
      <c r="AQ93" s="187" t="e">
        <f t="shared" si="120"/>
        <v>#DIV/0!</v>
      </c>
      <c r="AR93" s="184" t="e">
        <f t="shared" si="130"/>
        <v>#DIV/0!</v>
      </c>
      <c r="AS93" s="537"/>
      <c r="AT93" s="182"/>
      <c r="AU93" s="182"/>
      <c r="AV93" s="187" t="e">
        <f t="shared" si="121"/>
        <v>#DIV/0!</v>
      </c>
      <c r="AW93" s="184" t="e">
        <f t="shared" si="131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4"/>
        <v>#DIV/0!</v>
      </c>
      <c r="H94" s="537"/>
      <c r="I94" s="188" t="e">
        <f t="shared" si="122"/>
        <v>#DIV/0!</v>
      </c>
      <c r="J94" s="188" t="e">
        <f t="shared" si="123"/>
        <v>#DIV/0!</v>
      </c>
      <c r="K94" s="189" t="e">
        <f t="shared" si="124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115"/>
        <v>#DIV/0!</v>
      </c>
      <c r="S94" s="184" t="e">
        <f t="shared" si="125"/>
        <v>#DIV/0!</v>
      </c>
      <c r="T94" s="537"/>
      <c r="U94" s="182"/>
      <c r="V94" s="182"/>
      <c r="W94" s="187" t="e">
        <f t="shared" si="116"/>
        <v>#DIV/0!</v>
      </c>
      <c r="X94" s="184" t="e">
        <f t="shared" si="126"/>
        <v>#DIV/0!</v>
      </c>
      <c r="Y94" s="537"/>
      <c r="Z94" s="182"/>
      <c r="AA94" s="182"/>
      <c r="AB94" s="187" t="e">
        <f t="shared" si="117"/>
        <v>#DIV/0!</v>
      </c>
      <c r="AC94" s="184" t="e">
        <f t="shared" si="127"/>
        <v>#DIV/0!</v>
      </c>
      <c r="AD94" s="537"/>
      <c r="AE94" s="182"/>
      <c r="AF94" s="182"/>
      <c r="AG94" s="187" t="e">
        <f t="shared" si="118"/>
        <v>#DIV/0!</v>
      </c>
      <c r="AH94" s="184" t="e">
        <f t="shared" si="128"/>
        <v>#DIV/0!</v>
      </c>
      <c r="AI94" s="537"/>
      <c r="AJ94" s="182"/>
      <c r="AK94" s="182"/>
      <c r="AL94" s="187" t="e">
        <f t="shared" si="119"/>
        <v>#DIV/0!</v>
      </c>
      <c r="AM94" s="184" t="e">
        <f t="shared" si="129"/>
        <v>#DIV/0!</v>
      </c>
      <c r="AN94" s="537"/>
      <c r="AO94" s="182"/>
      <c r="AP94" s="182"/>
      <c r="AQ94" s="187" t="e">
        <f t="shared" si="120"/>
        <v>#DIV/0!</v>
      </c>
      <c r="AR94" s="184" t="e">
        <f t="shared" si="130"/>
        <v>#DIV/0!</v>
      </c>
      <c r="AS94" s="537"/>
      <c r="AT94" s="182"/>
      <c r="AU94" s="182"/>
      <c r="AV94" s="187" t="e">
        <f t="shared" si="121"/>
        <v>#DIV/0!</v>
      </c>
      <c r="AW94" s="184" t="e">
        <f t="shared" si="131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4"/>
        <v>#DIV/0!</v>
      </c>
      <c r="H95" s="537"/>
      <c r="I95" s="188" t="e">
        <f t="shared" si="122"/>
        <v>#DIV/0!</v>
      </c>
      <c r="J95" s="188" t="e">
        <f t="shared" si="123"/>
        <v>#DIV/0!</v>
      </c>
      <c r="K95" s="189" t="e">
        <f t="shared" si="124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115"/>
        <v>#DIV/0!</v>
      </c>
      <c r="S95" s="184" t="e">
        <f t="shared" si="125"/>
        <v>#DIV/0!</v>
      </c>
      <c r="T95" s="537"/>
      <c r="U95" s="182"/>
      <c r="V95" s="182"/>
      <c r="W95" s="187" t="e">
        <f t="shared" si="116"/>
        <v>#DIV/0!</v>
      </c>
      <c r="X95" s="184" t="e">
        <f t="shared" si="126"/>
        <v>#DIV/0!</v>
      </c>
      <c r="Y95" s="537"/>
      <c r="Z95" s="182"/>
      <c r="AA95" s="182"/>
      <c r="AB95" s="187" t="e">
        <f t="shared" si="117"/>
        <v>#DIV/0!</v>
      </c>
      <c r="AC95" s="184" t="e">
        <f t="shared" si="127"/>
        <v>#DIV/0!</v>
      </c>
      <c r="AD95" s="537"/>
      <c r="AE95" s="182"/>
      <c r="AF95" s="182"/>
      <c r="AG95" s="187" t="e">
        <f t="shared" si="118"/>
        <v>#DIV/0!</v>
      </c>
      <c r="AH95" s="184" t="e">
        <f t="shared" si="128"/>
        <v>#DIV/0!</v>
      </c>
      <c r="AI95" s="537"/>
      <c r="AJ95" s="182"/>
      <c r="AK95" s="182"/>
      <c r="AL95" s="187" t="e">
        <f t="shared" si="119"/>
        <v>#DIV/0!</v>
      </c>
      <c r="AM95" s="184" t="e">
        <f t="shared" si="129"/>
        <v>#DIV/0!</v>
      </c>
      <c r="AN95" s="537"/>
      <c r="AO95" s="182"/>
      <c r="AP95" s="182"/>
      <c r="AQ95" s="187" t="e">
        <f t="shared" si="120"/>
        <v>#DIV/0!</v>
      </c>
      <c r="AR95" s="184" t="e">
        <f t="shared" si="130"/>
        <v>#DIV/0!</v>
      </c>
      <c r="AS95" s="537"/>
      <c r="AT95" s="182"/>
      <c r="AU95" s="182"/>
      <c r="AV95" s="187" t="e">
        <f t="shared" si="121"/>
        <v>#DIV/0!</v>
      </c>
      <c r="AW95" s="184" t="e">
        <f t="shared" si="131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4"/>
        <v>#DIV/0!</v>
      </c>
      <c r="H96" s="537"/>
      <c r="I96" s="188" t="e">
        <f t="shared" si="122"/>
        <v>#DIV/0!</v>
      </c>
      <c r="J96" s="188" t="e">
        <f t="shared" si="123"/>
        <v>#DIV/0!</v>
      </c>
      <c r="K96" s="189" t="e">
        <f t="shared" si="124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115"/>
        <v>#DIV/0!</v>
      </c>
      <c r="S96" s="184" t="e">
        <f t="shared" si="125"/>
        <v>#DIV/0!</v>
      </c>
      <c r="T96" s="537"/>
      <c r="U96" s="182"/>
      <c r="V96" s="182"/>
      <c r="W96" s="187" t="e">
        <f t="shared" si="116"/>
        <v>#DIV/0!</v>
      </c>
      <c r="X96" s="184" t="e">
        <f t="shared" si="126"/>
        <v>#DIV/0!</v>
      </c>
      <c r="Y96" s="537"/>
      <c r="Z96" s="182"/>
      <c r="AA96" s="182"/>
      <c r="AB96" s="187" t="e">
        <f t="shared" si="117"/>
        <v>#DIV/0!</v>
      </c>
      <c r="AC96" s="184" t="e">
        <f t="shared" si="127"/>
        <v>#DIV/0!</v>
      </c>
      <c r="AD96" s="537"/>
      <c r="AE96" s="182"/>
      <c r="AF96" s="182"/>
      <c r="AG96" s="187" t="e">
        <f t="shared" si="118"/>
        <v>#DIV/0!</v>
      </c>
      <c r="AH96" s="184" t="e">
        <f t="shared" si="128"/>
        <v>#DIV/0!</v>
      </c>
      <c r="AI96" s="537"/>
      <c r="AJ96" s="182"/>
      <c r="AK96" s="182"/>
      <c r="AL96" s="187" t="e">
        <f t="shared" si="119"/>
        <v>#DIV/0!</v>
      </c>
      <c r="AM96" s="184" t="e">
        <f t="shared" si="129"/>
        <v>#DIV/0!</v>
      </c>
      <c r="AN96" s="537"/>
      <c r="AO96" s="182"/>
      <c r="AP96" s="182"/>
      <c r="AQ96" s="187" t="e">
        <f t="shared" si="120"/>
        <v>#DIV/0!</v>
      </c>
      <c r="AR96" s="184" t="e">
        <f t="shared" si="130"/>
        <v>#DIV/0!</v>
      </c>
      <c r="AS96" s="537"/>
      <c r="AT96" s="182"/>
      <c r="AU96" s="182"/>
      <c r="AV96" s="187" t="e">
        <f t="shared" si="121"/>
        <v>#DIV/0!</v>
      </c>
      <c r="AW96" s="184" t="e">
        <f t="shared" si="131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4"/>
        <v>#DIV/0!</v>
      </c>
      <c r="H97" s="537"/>
      <c r="I97" s="188" t="e">
        <f t="shared" si="122"/>
        <v>#DIV/0!</v>
      </c>
      <c r="J97" s="188" t="e">
        <f t="shared" si="123"/>
        <v>#DIV/0!</v>
      </c>
      <c r="K97" s="189" t="e">
        <f t="shared" si="124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115"/>
        <v>#DIV/0!</v>
      </c>
      <c r="S97" s="184" t="e">
        <f t="shared" si="125"/>
        <v>#DIV/0!</v>
      </c>
      <c r="T97" s="537"/>
      <c r="U97" s="182"/>
      <c r="V97" s="182"/>
      <c r="W97" s="187" t="e">
        <f t="shared" si="116"/>
        <v>#DIV/0!</v>
      </c>
      <c r="X97" s="184" t="e">
        <f t="shared" si="126"/>
        <v>#DIV/0!</v>
      </c>
      <c r="Y97" s="537"/>
      <c r="Z97" s="182"/>
      <c r="AA97" s="182"/>
      <c r="AB97" s="187" t="e">
        <f t="shared" si="117"/>
        <v>#DIV/0!</v>
      </c>
      <c r="AC97" s="184" t="e">
        <f t="shared" si="127"/>
        <v>#DIV/0!</v>
      </c>
      <c r="AD97" s="537"/>
      <c r="AE97" s="182"/>
      <c r="AF97" s="182"/>
      <c r="AG97" s="187" t="e">
        <f t="shared" si="118"/>
        <v>#DIV/0!</v>
      </c>
      <c r="AH97" s="184" t="e">
        <f t="shared" si="128"/>
        <v>#DIV/0!</v>
      </c>
      <c r="AI97" s="537"/>
      <c r="AJ97" s="182"/>
      <c r="AK97" s="182"/>
      <c r="AL97" s="187" t="e">
        <f t="shared" si="119"/>
        <v>#DIV/0!</v>
      </c>
      <c r="AM97" s="184" t="e">
        <f t="shared" si="129"/>
        <v>#DIV/0!</v>
      </c>
      <c r="AN97" s="537"/>
      <c r="AO97" s="182"/>
      <c r="AP97" s="182"/>
      <c r="AQ97" s="187" t="e">
        <f t="shared" si="120"/>
        <v>#DIV/0!</v>
      </c>
      <c r="AR97" s="184" t="e">
        <f t="shared" si="130"/>
        <v>#DIV/0!</v>
      </c>
      <c r="AS97" s="537"/>
      <c r="AT97" s="182"/>
      <c r="AU97" s="182"/>
      <c r="AV97" s="187" t="e">
        <f t="shared" si="121"/>
        <v>#DIV/0!</v>
      </c>
      <c r="AW97" s="184" t="e">
        <f t="shared" si="131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4"/>
        <v>#DIV/0!</v>
      </c>
      <c r="H98" s="537"/>
      <c r="I98" s="188" t="e">
        <f t="shared" si="122"/>
        <v>#DIV/0!</v>
      </c>
      <c r="J98" s="188" t="e">
        <f t="shared" si="123"/>
        <v>#DIV/0!</v>
      </c>
      <c r="K98" s="189" t="e">
        <f t="shared" si="124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115"/>
        <v>#DIV/0!</v>
      </c>
      <c r="S98" s="184" t="e">
        <f t="shared" si="125"/>
        <v>#DIV/0!</v>
      </c>
      <c r="T98" s="537"/>
      <c r="U98" s="182"/>
      <c r="V98" s="182"/>
      <c r="W98" s="187" t="e">
        <f t="shared" si="116"/>
        <v>#DIV/0!</v>
      </c>
      <c r="X98" s="184" t="e">
        <f t="shared" si="126"/>
        <v>#DIV/0!</v>
      </c>
      <c r="Y98" s="537"/>
      <c r="Z98" s="182"/>
      <c r="AA98" s="182"/>
      <c r="AB98" s="187" t="e">
        <f t="shared" si="117"/>
        <v>#DIV/0!</v>
      </c>
      <c r="AC98" s="184" t="e">
        <f t="shared" si="127"/>
        <v>#DIV/0!</v>
      </c>
      <c r="AD98" s="537"/>
      <c r="AE98" s="182"/>
      <c r="AF98" s="182"/>
      <c r="AG98" s="187" t="e">
        <f t="shared" si="118"/>
        <v>#DIV/0!</v>
      </c>
      <c r="AH98" s="184" t="e">
        <f t="shared" si="128"/>
        <v>#DIV/0!</v>
      </c>
      <c r="AI98" s="537"/>
      <c r="AJ98" s="182"/>
      <c r="AK98" s="182"/>
      <c r="AL98" s="187" t="e">
        <f t="shared" si="119"/>
        <v>#DIV/0!</v>
      </c>
      <c r="AM98" s="184" t="e">
        <f t="shared" si="129"/>
        <v>#DIV/0!</v>
      </c>
      <c r="AN98" s="537"/>
      <c r="AO98" s="182"/>
      <c r="AP98" s="182"/>
      <c r="AQ98" s="187" t="e">
        <f t="shared" si="120"/>
        <v>#DIV/0!</v>
      </c>
      <c r="AR98" s="184" t="e">
        <f t="shared" si="130"/>
        <v>#DIV/0!</v>
      </c>
      <c r="AS98" s="537"/>
      <c r="AT98" s="182"/>
      <c r="AU98" s="182"/>
      <c r="AV98" s="187" t="e">
        <f t="shared" si="121"/>
        <v>#DIV/0!</v>
      </c>
      <c r="AW98" s="184" t="e">
        <f t="shared" si="131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4"/>
        <v>#DIV/0!</v>
      </c>
      <c r="H99" s="537"/>
      <c r="I99" s="188" t="e">
        <f t="shared" si="122"/>
        <v>#DIV/0!</v>
      </c>
      <c r="J99" s="188" t="e">
        <f t="shared" si="123"/>
        <v>#DIV/0!</v>
      </c>
      <c r="K99" s="189" t="e">
        <f t="shared" si="124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115"/>
        <v>#DIV/0!</v>
      </c>
      <c r="S99" s="184" t="e">
        <f t="shared" si="125"/>
        <v>#DIV/0!</v>
      </c>
      <c r="T99" s="537"/>
      <c r="U99" s="182"/>
      <c r="V99" s="182"/>
      <c r="W99" s="187" t="e">
        <f t="shared" si="116"/>
        <v>#DIV/0!</v>
      </c>
      <c r="X99" s="184" t="e">
        <f t="shared" si="126"/>
        <v>#DIV/0!</v>
      </c>
      <c r="Y99" s="537"/>
      <c r="Z99" s="182"/>
      <c r="AA99" s="182"/>
      <c r="AB99" s="187" t="e">
        <f t="shared" si="117"/>
        <v>#DIV/0!</v>
      </c>
      <c r="AC99" s="184" t="e">
        <f t="shared" si="127"/>
        <v>#DIV/0!</v>
      </c>
      <c r="AD99" s="537"/>
      <c r="AE99" s="182"/>
      <c r="AF99" s="182"/>
      <c r="AG99" s="187" t="e">
        <f t="shared" si="118"/>
        <v>#DIV/0!</v>
      </c>
      <c r="AH99" s="184" t="e">
        <f t="shared" si="128"/>
        <v>#DIV/0!</v>
      </c>
      <c r="AI99" s="537"/>
      <c r="AJ99" s="182"/>
      <c r="AK99" s="182"/>
      <c r="AL99" s="187" t="e">
        <f t="shared" si="119"/>
        <v>#DIV/0!</v>
      </c>
      <c r="AM99" s="184" t="e">
        <f t="shared" si="129"/>
        <v>#DIV/0!</v>
      </c>
      <c r="AN99" s="537"/>
      <c r="AO99" s="182"/>
      <c r="AP99" s="182"/>
      <c r="AQ99" s="187" t="e">
        <f t="shared" si="120"/>
        <v>#DIV/0!</v>
      </c>
      <c r="AR99" s="184" t="e">
        <f t="shared" si="130"/>
        <v>#DIV/0!</v>
      </c>
      <c r="AS99" s="537"/>
      <c r="AT99" s="182"/>
      <c r="AU99" s="182"/>
      <c r="AV99" s="187" t="e">
        <f t="shared" si="121"/>
        <v>#DIV/0!</v>
      </c>
      <c r="AW99" s="184" t="e">
        <f t="shared" si="131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4"/>
        <v>#DIV/0!</v>
      </c>
      <c r="H100" s="537"/>
      <c r="I100" s="188" t="e">
        <f t="shared" si="122"/>
        <v>#DIV/0!</v>
      </c>
      <c r="J100" s="188" t="e">
        <f t="shared" si="123"/>
        <v>#DIV/0!</v>
      </c>
      <c r="K100" s="189" t="e">
        <f t="shared" si="124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5"/>
        <v>#DIV/0!</v>
      </c>
      <c r="S100" s="184" t="e">
        <f t="shared" si="125"/>
        <v>#DIV/0!</v>
      </c>
      <c r="T100" s="537"/>
      <c r="U100" s="182"/>
      <c r="V100" s="182"/>
      <c r="W100" s="187" t="e">
        <f t="shared" si="116"/>
        <v>#DIV/0!</v>
      </c>
      <c r="X100" s="184" t="e">
        <f t="shared" si="126"/>
        <v>#DIV/0!</v>
      </c>
      <c r="Y100" s="537"/>
      <c r="Z100" s="182"/>
      <c r="AA100" s="182"/>
      <c r="AB100" s="187" t="e">
        <f t="shared" si="117"/>
        <v>#DIV/0!</v>
      </c>
      <c r="AC100" s="184" t="e">
        <f t="shared" si="127"/>
        <v>#DIV/0!</v>
      </c>
      <c r="AD100" s="537"/>
      <c r="AE100" s="182"/>
      <c r="AF100" s="182"/>
      <c r="AG100" s="187" t="e">
        <f t="shared" si="118"/>
        <v>#DIV/0!</v>
      </c>
      <c r="AH100" s="184" t="e">
        <f t="shared" si="128"/>
        <v>#DIV/0!</v>
      </c>
      <c r="AI100" s="537"/>
      <c r="AJ100" s="182"/>
      <c r="AK100" s="182"/>
      <c r="AL100" s="187" t="e">
        <f t="shared" si="119"/>
        <v>#DIV/0!</v>
      </c>
      <c r="AM100" s="184" t="e">
        <f t="shared" si="129"/>
        <v>#DIV/0!</v>
      </c>
      <c r="AN100" s="537"/>
      <c r="AO100" s="182"/>
      <c r="AP100" s="182"/>
      <c r="AQ100" s="187" t="e">
        <f t="shared" si="120"/>
        <v>#DIV/0!</v>
      </c>
      <c r="AR100" s="184" t="e">
        <f t="shared" si="130"/>
        <v>#DIV/0!</v>
      </c>
      <c r="AS100" s="537"/>
      <c r="AT100" s="182"/>
      <c r="AU100" s="182"/>
      <c r="AV100" s="187" t="e">
        <f t="shared" si="121"/>
        <v>#DIV/0!</v>
      </c>
      <c r="AW100" s="184" t="e">
        <f t="shared" si="131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4"/>
        <v>#DIV/0!</v>
      </c>
      <c r="H101" s="537"/>
      <c r="I101" s="188" t="e">
        <f t="shared" si="122"/>
        <v>#DIV/0!</v>
      </c>
      <c r="J101" s="188" t="e">
        <f t="shared" si="123"/>
        <v>#DIV/0!</v>
      </c>
      <c r="K101" s="189" t="e">
        <f t="shared" si="124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5"/>
        <v>#DIV/0!</v>
      </c>
      <c r="T101" s="537"/>
      <c r="U101" s="182"/>
      <c r="V101" s="186"/>
      <c r="W101" s="187" t="e">
        <f>V101/U101</f>
        <v>#DIV/0!</v>
      </c>
      <c r="X101" s="184" t="e">
        <f t="shared" si="126"/>
        <v>#DIV/0!</v>
      </c>
      <c r="Y101" s="537"/>
      <c r="Z101" s="182"/>
      <c r="AA101" s="186"/>
      <c r="AB101" s="187" t="e">
        <f>AA101/Z101</f>
        <v>#DIV/0!</v>
      </c>
      <c r="AC101" s="184" t="e">
        <f t="shared" si="127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28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29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30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31"/>
        <v>#DIV/0!</v>
      </c>
      <c r="AX101" s="537"/>
    </row>
  </sheetData>
  <mergeCells count="295"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N47:AN61"/>
    <mergeCell ref="AS47:AS61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AI47:AI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AD84:AD86"/>
    <mergeCell ref="AE84:AH84"/>
    <mergeCell ref="AI84:AI86"/>
    <mergeCell ref="AE85:AH85"/>
    <mergeCell ref="Z85:AC85"/>
    <mergeCell ref="Y84:Y86"/>
    <mergeCell ref="Z84:AC84"/>
    <mergeCell ref="Z83:AD83"/>
    <mergeCell ref="AE83:AI83"/>
    <mergeCell ref="AJ83:AN83"/>
    <mergeCell ref="AO83:AS83"/>
    <mergeCell ref="AT83:AX83"/>
    <mergeCell ref="AO64:AR64"/>
    <mergeCell ref="AS64:AS66"/>
    <mergeCell ref="AT64:AW64"/>
    <mergeCell ref="AX64:AX66"/>
    <mergeCell ref="L87:L101"/>
    <mergeCell ref="T87:T101"/>
    <mergeCell ref="Y87:Y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N64:AN66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B82:M83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82:AS82"/>
    <mergeCell ref="AT82:AX8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</mergeCells>
  <phoneticPr fontId="15" type="noConversion"/>
  <conditionalFormatting sqref="A4:A21">
    <cfRule type="expression" dxfId="14" priority="1">
      <formula>A4&lt;0</formula>
    </cfRule>
    <cfRule type="expression" dxfId="13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I47" activePane="bottomRight" state="frozen"/>
      <selection activeCell="L95" sqref="L95"/>
      <selection pane="topRight" activeCell="L95" sqref="L95"/>
      <selection pane="bottomLeft" activeCell="L95" sqref="L95"/>
      <selection pane="bottomRight" activeCell="AW67" sqref="AW6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437" t="s">
        <v>609</v>
      </c>
      <c r="C1" s="177">
        <f>AVERAGE(L7,L27,L47,L67,L87)</f>
        <v>77.084750750706206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466</v>
      </c>
      <c r="C7" s="182">
        <v>1</v>
      </c>
      <c r="D7" s="185" t="s">
        <v>514</v>
      </c>
      <c r="E7" s="182">
        <v>21</v>
      </c>
      <c r="F7" s="182">
        <v>2000</v>
      </c>
      <c r="G7" s="187">
        <f t="shared" ref="G7:G8" si="10">F7/E7</f>
        <v>95.238095238095241</v>
      </c>
      <c r="H7" s="537">
        <f>AVERAGE(G7:G21)</f>
        <v>88.528138528138527</v>
      </c>
      <c r="I7" s="188">
        <f>AVERAGE(P7,U7,Z7,AE7,AJ7,AO7,AT7)</f>
        <v>21</v>
      </c>
      <c r="J7" s="188">
        <f>AVERAGE(Q7,V7,AA7,AF7,AK7,AP7,AU7)</f>
        <v>1772.5820973900161</v>
      </c>
      <c r="K7" s="189">
        <f>AVERAGE(R7,W7,AB7,AG7,AL7,AQ7,AV7)</f>
        <v>84.408671304286472</v>
      </c>
      <c r="L7" s="538">
        <f>IFERROR(AVERAGE(K7:K21),"-")</f>
        <v>78.461608222859752</v>
      </c>
      <c r="M7" s="188">
        <f>RANK(K7, K$7:$K$21)</f>
        <v>1</v>
      </c>
      <c r="N7" s="501"/>
      <c r="O7" s="501"/>
      <c r="P7" s="186">
        <v>21</v>
      </c>
      <c r="Q7" s="186">
        <v>1771.9105862505248</v>
      </c>
      <c r="R7" s="187">
        <f t="shared" ref="R7:R8" si="11">Q7/P7</f>
        <v>84.376694583358329</v>
      </c>
      <c r="S7" s="184">
        <f>RANK(R7, R$7:R$21)</f>
        <v>1</v>
      </c>
      <c r="T7" s="537">
        <f>AVERAGE(R7:R21)</f>
        <v>78.440731271335878</v>
      </c>
      <c r="U7" s="186">
        <v>21</v>
      </c>
      <c r="V7" s="186">
        <v>1772.2160970231544</v>
      </c>
      <c r="W7" s="187">
        <f t="shared" ref="W7:W8" si="12">V7/U7</f>
        <v>84.391242715388302</v>
      </c>
      <c r="X7" s="184">
        <f>RANK(W7, W$7:W$21)</f>
        <v>1</v>
      </c>
      <c r="Y7" s="537">
        <f>AVERAGE(W7:W21)</f>
        <v>78.450384558565133</v>
      </c>
      <c r="Z7" s="186">
        <v>21</v>
      </c>
      <c r="AA7" s="186">
        <v>1772.8052266231073</v>
      </c>
      <c r="AB7" s="187">
        <f t="shared" ref="AB7:AB8" si="13">AA7/Z7</f>
        <v>84.419296505862249</v>
      </c>
      <c r="AC7" s="184">
        <f>RANK(AB7, AB$7:AB$21)</f>
        <v>1</v>
      </c>
      <c r="AD7" s="537">
        <f>AVERAGE(AB7:AB21)</f>
        <v>78.462485252770307</v>
      </c>
      <c r="AE7" s="186">
        <v>21</v>
      </c>
      <c r="AF7" s="186">
        <v>1772.5674091441956</v>
      </c>
      <c r="AG7" s="187">
        <f t="shared" ref="AG7:AG8" si="14">AF7/AE7</f>
        <v>84.407971864009312</v>
      </c>
      <c r="AH7" s="184">
        <f>RANK(AG7, AG$7:AG$21)</f>
        <v>1</v>
      </c>
      <c r="AI7" s="537">
        <f>AVERAGE(AG7:AG21)</f>
        <v>78.459910102620768</v>
      </c>
      <c r="AJ7" s="186">
        <v>21</v>
      </c>
      <c r="AK7" s="186">
        <v>1772.9112610275035</v>
      </c>
      <c r="AL7" s="187">
        <f t="shared" ref="AL7:AL8" si="15">AK7/AJ7</f>
        <v>84.424345763214461</v>
      </c>
      <c r="AM7" s="184">
        <f>RANK(AL7, AL$7:AL$21)</f>
        <v>1</v>
      </c>
      <c r="AN7" s="537">
        <f>AVERAGE(AL7:AL21)</f>
        <v>78.470509139943488</v>
      </c>
      <c r="AO7" s="186">
        <v>21</v>
      </c>
      <c r="AP7" s="186">
        <v>1772.9598051157113</v>
      </c>
      <c r="AQ7" s="187">
        <f t="shared" ref="AQ7:AQ8" si="16">AP7/AO7</f>
        <v>84.426657386462438</v>
      </c>
      <c r="AR7" s="184">
        <f>RANK(AQ7, AQ$7:AQ$21)</f>
        <v>1</v>
      </c>
      <c r="AS7" s="537">
        <f>AVERAGE(AQ7:AQ21)</f>
        <v>78.471176149094703</v>
      </c>
      <c r="AT7" s="186">
        <v>21</v>
      </c>
      <c r="AU7" s="186">
        <v>1772.704296545915</v>
      </c>
      <c r="AV7" s="187">
        <f t="shared" ref="AV7:AV8" si="17">AU7/AT7</f>
        <v>84.414490311710239</v>
      </c>
      <c r="AW7" s="184">
        <f>RANK(AV7, AV$7:AV$21)</f>
        <v>1</v>
      </c>
      <c r="AX7" s="537">
        <f>AVERAGE(AV7:AV21)</f>
        <v>78.476061085688002</v>
      </c>
    </row>
    <row r="8" spans="1:50" ht="14.25" customHeight="1">
      <c r="B8" s="501"/>
      <c r="C8" s="182">
        <v>2</v>
      </c>
      <c r="D8" s="185" t="s">
        <v>493</v>
      </c>
      <c r="E8" s="182">
        <v>22</v>
      </c>
      <c r="F8" s="182">
        <v>1800</v>
      </c>
      <c r="G8" s="187">
        <f t="shared" si="10"/>
        <v>81.818181818181813</v>
      </c>
      <c r="H8" s="537"/>
      <c r="I8" s="188">
        <f t="shared" ref="I8:K8" si="18">AVERAGE(P8,U8,Z8,AE8,AJ8,AO8,AT8)</f>
        <v>22</v>
      </c>
      <c r="J8" s="188">
        <f t="shared" si="18"/>
        <v>1595.3199931115269</v>
      </c>
      <c r="K8" s="189">
        <f t="shared" si="18"/>
        <v>72.514545141433047</v>
      </c>
      <c r="L8" s="538"/>
      <c r="M8" s="188">
        <f>RANK(K8, K$7:$K$21)</f>
        <v>2</v>
      </c>
      <c r="N8" s="501"/>
      <c r="O8" s="501"/>
      <c r="P8" s="186">
        <v>22</v>
      </c>
      <c r="Q8" s="186">
        <v>1595.1048951048954</v>
      </c>
      <c r="R8" s="187">
        <f t="shared" si="11"/>
        <v>72.504767959313426</v>
      </c>
      <c r="S8" s="184">
        <f t="shared" ref="S8" si="19">RANK(R8, R$7:R$21)</f>
        <v>2</v>
      </c>
      <c r="T8" s="537"/>
      <c r="U8" s="186">
        <v>22</v>
      </c>
      <c r="V8" s="186">
        <v>1595.2095808383235</v>
      </c>
      <c r="W8" s="187">
        <f t="shared" si="12"/>
        <v>72.509526401741979</v>
      </c>
      <c r="X8" s="184">
        <f t="shared" ref="X8" si="20">RANK(W8, W$7:W$21)</f>
        <v>2</v>
      </c>
      <c r="Y8" s="537"/>
      <c r="Z8" s="186">
        <v>22</v>
      </c>
      <c r="AA8" s="186">
        <v>1595.1248279929239</v>
      </c>
      <c r="AB8" s="187">
        <f t="shared" si="13"/>
        <v>72.505673999678365</v>
      </c>
      <c r="AC8" s="184">
        <f t="shared" ref="AC8" si="21">RANK(AB8, AB$7:AB$21)</f>
        <v>2</v>
      </c>
      <c r="AD8" s="537"/>
      <c r="AE8" s="186">
        <v>22</v>
      </c>
      <c r="AF8" s="186">
        <v>1595.2606635071088</v>
      </c>
      <c r="AG8" s="187">
        <f t="shared" si="14"/>
        <v>72.511848341232223</v>
      </c>
      <c r="AH8" s="184">
        <f t="shared" ref="AH8" si="22">RANK(AG8, AG$7:AG$21)</f>
        <v>2</v>
      </c>
      <c r="AI8" s="537"/>
      <c r="AJ8" s="186">
        <v>22</v>
      </c>
      <c r="AK8" s="186">
        <v>1595.3667953667955</v>
      </c>
      <c r="AL8" s="187">
        <f t="shared" si="15"/>
        <v>72.516672516672529</v>
      </c>
      <c r="AM8" s="184">
        <f t="shared" ref="AM8" si="23">RANK(AL8, AL$7:AL$21)</f>
        <v>2</v>
      </c>
      <c r="AN8" s="537"/>
      <c r="AO8" s="186">
        <v>22</v>
      </c>
      <c r="AP8" s="186">
        <v>1595.345288057993</v>
      </c>
      <c r="AQ8" s="187">
        <f t="shared" si="16"/>
        <v>72.515694911726953</v>
      </c>
      <c r="AR8" s="184">
        <f t="shared" ref="AR8" si="24">RANK(AQ8, AQ$7:AQ$21)</f>
        <v>2</v>
      </c>
      <c r="AS8" s="537"/>
      <c r="AT8" s="186">
        <v>22</v>
      </c>
      <c r="AU8" s="186">
        <v>1595.8279009126472</v>
      </c>
      <c r="AV8" s="187">
        <f t="shared" si="17"/>
        <v>72.53763185966578</v>
      </c>
      <c r="AW8" s="184">
        <f t="shared" ref="AW8" si="25">RANK(AV8, AV$7:AV$21)</f>
        <v>2</v>
      </c>
      <c r="AX8" s="537"/>
    </row>
    <row r="9" spans="1:50" ht="14.25" customHeight="1">
      <c r="B9" s="501"/>
      <c r="C9" s="182">
        <v>3</v>
      </c>
      <c r="D9" s="185"/>
      <c r="E9" s="182"/>
      <c r="F9" s="182"/>
      <c r="G9" s="187"/>
      <c r="H9" s="537"/>
      <c r="I9" s="188"/>
      <c r="J9" s="188"/>
      <c r="K9" s="189"/>
      <c r="L9" s="538"/>
      <c r="M9" s="188"/>
      <c r="N9" s="501"/>
      <c r="O9" s="501"/>
      <c r="P9" s="186"/>
      <c r="Q9" s="186"/>
      <c r="R9" s="187"/>
      <c r="S9" s="184"/>
      <c r="T9" s="537"/>
      <c r="U9" s="186"/>
      <c r="V9" s="186"/>
      <c r="W9" s="187"/>
      <c r="X9" s="184"/>
      <c r="Y9" s="537"/>
      <c r="Z9" s="186"/>
      <c r="AA9" s="186"/>
      <c r="AB9" s="187"/>
      <c r="AC9" s="184"/>
      <c r="AD9" s="537"/>
      <c r="AE9" s="186"/>
      <c r="AF9" s="186"/>
      <c r="AG9" s="187"/>
      <c r="AH9" s="184"/>
      <c r="AI9" s="537"/>
      <c r="AJ9" s="186"/>
      <c r="AK9" s="186"/>
      <c r="AL9" s="187"/>
      <c r="AM9" s="184"/>
      <c r="AN9" s="537"/>
      <c r="AO9" s="186"/>
      <c r="AP9" s="186"/>
      <c r="AQ9" s="187"/>
      <c r="AR9" s="184"/>
      <c r="AS9" s="537"/>
      <c r="AT9" s="186"/>
      <c r="AU9" s="186"/>
      <c r="AV9" s="187"/>
      <c r="AW9" s="184"/>
      <c r="AX9" s="537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01"/>
      <c r="O10" s="501"/>
      <c r="P10" s="186"/>
      <c r="Q10" s="186"/>
      <c r="R10" s="187"/>
      <c r="S10" s="184"/>
      <c r="T10" s="537"/>
      <c r="U10" s="186"/>
      <c r="V10" s="186"/>
      <c r="W10" s="187"/>
      <c r="X10" s="184"/>
      <c r="Y10" s="537"/>
      <c r="Z10" s="186"/>
      <c r="AA10" s="186"/>
      <c r="AB10" s="187"/>
      <c r="AC10" s="184"/>
      <c r="AD10" s="537"/>
      <c r="AE10" s="186"/>
      <c r="AF10" s="186"/>
      <c r="AG10" s="187"/>
      <c r="AH10" s="184"/>
      <c r="AI10" s="537"/>
      <c r="AJ10" s="186"/>
      <c r="AK10" s="186"/>
      <c r="AL10" s="187"/>
      <c r="AM10" s="184"/>
      <c r="AN10" s="537"/>
      <c r="AO10" s="186"/>
      <c r="AP10" s="186"/>
      <c r="AQ10" s="187"/>
      <c r="AR10" s="184"/>
      <c r="AS10" s="537"/>
      <c r="AT10" s="186"/>
      <c r="AU10" s="186"/>
      <c r="AV10" s="187"/>
      <c r="AW10" s="184"/>
      <c r="AX10" s="537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01"/>
      <c r="O11" s="501"/>
      <c r="P11" s="186"/>
      <c r="Q11" s="186"/>
      <c r="R11" s="187"/>
      <c r="S11" s="184"/>
      <c r="T11" s="537"/>
      <c r="U11" s="186"/>
      <c r="V11" s="186"/>
      <c r="W11" s="187"/>
      <c r="X11" s="184"/>
      <c r="Y11" s="537"/>
      <c r="Z11" s="186"/>
      <c r="AA11" s="186"/>
      <c r="AB11" s="187"/>
      <c r="AC11" s="184"/>
      <c r="AD11" s="537"/>
      <c r="AE11" s="186"/>
      <c r="AF11" s="186"/>
      <c r="AG11" s="187"/>
      <c r="AH11" s="184"/>
      <c r="AI11" s="537"/>
      <c r="AJ11" s="186"/>
      <c r="AK11" s="186"/>
      <c r="AL11" s="187"/>
      <c r="AM11" s="184"/>
      <c r="AN11" s="537"/>
      <c r="AO11" s="186"/>
      <c r="AP11" s="186"/>
      <c r="AQ11" s="187"/>
      <c r="AR11" s="184"/>
      <c r="AS11" s="537"/>
      <c r="AT11" s="186"/>
      <c r="AU11" s="186"/>
      <c r="AV11" s="187"/>
      <c r="AW11" s="184"/>
      <c r="AX11" s="537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01"/>
      <c r="O12" s="501"/>
      <c r="P12" s="182"/>
      <c r="Q12" s="182"/>
      <c r="R12" s="187"/>
      <c r="S12" s="184"/>
      <c r="T12" s="537"/>
      <c r="U12" s="182"/>
      <c r="V12" s="182"/>
      <c r="W12" s="187"/>
      <c r="X12" s="184"/>
      <c r="Y12" s="537"/>
      <c r="Z12" s="182"/>
      <c r="AA12" s="182"/>
      <c r="AB12" s="187"/>
      <c r="AC12" s="184"/>
      <c r="AD12" s="537"/>
      <c r="AE12" s="182"/>
      <c r="AF12" s="182"/>
      <c r="AG12" s="187"/>
      <c r="AH12" s="184"/>
      <c r="AI12" s="537"/>
      <c r="AJ12" s="182"/>
      <c r="AK12" s="182"/>
      <c r="AL12" s="187"/>
      <c r="AM12" s="184"/>
      <c r="AN12" s="537"/>
      <c r="AO12" s="182"/>
      <c r="AP12" s="182"/>
      <c r="AQ12" s="187"/>
      <c r="AR12" s="184"/>
      <c r="AS12" s="537"/>
      <c r="AT12" s="182"/>
      <c r="AU12" s="182"/>
      <c r="AV12" s="187"/>
      <c r="AW12" s="184"/>
      <c r="AX12" s="537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01"/>
      <c r="O13" s="501"/>
      <c r="P13" s="182"/>
      <c r="Q13" s="182"/>
      <c r="R13" s="187"/>
      <c r="S13" s="184"/>
      <c r="T13" s="537"/>
      <c r="U13" s="182"/>
      <c r="V13" s="182"/>
      <c r="W13" s="187"/>
      <c r="X13" s="184"/>
      <c r="Y13" s="537"/>
      <c r="Z13" s="182"/>
      <c r="AA13" s="182"/>
      <c r="AB13" s="187"/>
      <c r="AC13" s="184"/>
      <c r="AD13" s="537"/>
      <c r="AE13" s="182"/>
      <c r="AF13" s="182"/>
      <c r="AG13" s="187"/>
      <c r="AH13" s="184"/>
      <c r="AI13" s="537"/>
      <c r="AJ13" s="182"/>
      <c r="AK13" s="182"/>
      <c r="AL13" s="187"/>
      <c r="AM13" s="184"/>
      <c r="AN13" s="537"/>
      <c r="AO13" s="182"/>
      <c r="AP13" s="182"/>
      <c r="AQ13" s="187"/>
      <c r="AR13" s="184"/>
      <c r="AS13" s="537"/>
      <c r="AT13" s="182"/>
      <c r="AU13" s="182"/>
      <c r="AV13" s="187"/>
      <c r="AW13" s="184"/>
      <c r="AX13" s="537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01"/>
      <c r="O14" s="501"/>
      <c r="P14" s="182"/>
      <c r="Q14" s="182"/>
      <c r="R14" s="187"/>
      <c r="S14" s="184"/>
      <c r="T14" s="537"/>
      <c r="U14" s="182"/>
      <c r="V14" s="182"/>
      <c r="W14" s="187"/>
      <c r="X14" s="184"/>
      <c r="Y14" s="537"/>
      <c r="Z14" s="182"/>
      <c r="AA14" s="182"/>
      <c r="AB14" s="187"/>
      <c r="AC14" s="184"/>
      <c r="AD14" s="537"/>
      <c r="AE14" s="182"/>
      <c r="AF14" s="182"/>
      <c r="AG14" s="187"/>
      <c r="AH14" s="184"/>
      <c r="AI14" s="537"/>
      <c r="AJ14" s="182"/>
      <c r="AK14" s="182"/>
      <c r="AL14" s="187"/>
      <c r="AM14" s="184"/>
      <c r="AN14" s="537"/>
      <c r="AO14" s="182"/>
      <c r="AP14" s="182"/>
      <c r="AQ14" s="187"/>
      <c r="AR14" s="184"/>
      <c r="AS14" s="537"/>
      <c r="AT14" s="182"/>
      <c r="AU14" s="182"/>
      <c r="AV14" s="187"/>
      <c r="AW14" s="184"/>
      <c r="AX14" s="537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01"/>
      <c r="O15" s="501"/>
      <c r="P15" s="182"/>
      <c r="Q15" s="182"/>
      <c r="R15" s="187"/>
      <c r="S15" s="184"/>
      <c r="T15" s="537"/>
      <c r="U15" s="182"/>
      <c r="V15" s="182"/>
      <c r="W15" s="187"/>
      <c r="X15" s="184"/>
      <c r="Y15" s="537"/>
      <c r="Z15" s="182"/>
      <c r="AA15" s="182"/>
      <c r="AB15" s="187"/>
      <c r="AC15" s="184"/>
      <c r="AD15" s="537"/>
      <c r="AE15" s="182"/>
      <c r="AF15" s="182"/>
      <c r="AG15" s="187"/>
      <c r="AH15" s="184"/>
      <c r="AI15" s="537"/>
      <c r="AJ15" s="182"/>
      <c r="AK15" s="182"/>
      <c r="AL15" s="187"/>
      <c r="AM15" s="184"/>
      <c r="AN15" s="537"/>
      <c r="AO15" s="182"/>
      <c r="AP15" s="182"/>
      <c r="AQ15" s="187"/>
      <c r="AR15" s="184"/>
      <c r="AS15" s="537"/>
      <c r="AT15" s="182"/>
      <c r="AU15" s="182"/>
      <c r="AV15" s="187"/>
      <c r="AW15" s="184"/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2"/>
      <c r="Q16" s="182"/>
      <c r="R16" s="187"/>
      <c r="S16" s="184"/>
      <c r="T16" s="537"/>
      <c r="U16" s="182"/>
      <c r="V16" s="182"/>
      <c r="W16" s="187"/>
      <c r="X16" s="184"/>
      <c r="Y16" s="537"/>
      <c r="Z16" s="182"/>
      <c r="AA16" s="182"/>
      <c r="AB16" s="187"/>
      <c r="AC16" s="184"/>
      <c r="AD16" s="537"/>
      <c r="AE16" s="182"/>
      <c r="AF16" s="182"/>
      <c r="AG16" s="187"/>
      <c r="AH16" s="184"/>
      <c r="AI16" s="537"/>
      <c r="AJ16" s="182"/>
      <c r="AK16" s="182"/>
      <c r="AL16" s="187"/>
      <c r="AM16" s="184"/>
      <c r="AN16" s="537"/>
      <c r="AO16" s="182"/>
      <c r="AP16" s="182"/>
      <c r="AQ16" s="187"/>
      <c r="AR16" s="184"/>
      <c r="AS16" s="537"/>
      <c r="AT16" s="182"/>
      <c r="AU16" s="182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2"/>
      <c r="Q17" s="182"/>
      <c r="R17" s="187"/>
      <c r="S17" s="184"/>
      <c r="T17" s="537"/>
      <c r="U17" s="182"/>
      <c r="V17" s="182"/>
      <c r="W17" s="187"/>
      <c r="X17" s="184"/>
      <c r="Y17" s="537"/>
      <c r="Z17" s="182"/>
      <c r="AA17" s="182"/>
      <c r="AB17" s="187"/>
      <c r="AC17" s="184"/>
      <c r="AD17" s="537"/>
      <c r="AE17" s="182"/>
      <c r="AF17" s="182"/>
      <c r="AG17" s="187"/>
      <c r="AH17" s="184"/>
      <c r="AI17" s="537"/>
      <c r="AJ17" s="182"/>
      <c r="AK17" s="182"/>
      <c r="AL17" s="187"/>
      <c r="AM17" s="184"/>
      <c r="AN17" s="537"/>
      <c r="AO17" s="182"/>
      <c r="AP17" s="182"/>
      <c r="AQ17" s="187"/>
      <c r="AR17" s="184"/>
      <c r="AS17" s="537"/>
      <c r="AT17" s="182"/>
      <c r="AU17" s="182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466</v>
      </c>
      <c r="C27" s="182">
        <v>1</v>
      </c>
      <c r="D27" s="185" t="s">
        <v>514</v>
      </c>
      <c r="E27" s="182">
        <v>21</v>
      </c>
      <c r="F27" s="182">
        <v>2000</v>
      </c>
      <c r="G27" s="187">
        <f t="shared" ref="G27:G28" si="36">F27/E27</f>
        <v>95.238095238095241</v>
      </c>
      <c r="H27" s="537">
        <f>AVERAGE(G27:G41)</f>
        <v>88.528138528138527</v>
      </c>
      <c r="I27" s="188">
        <f>AVERAGE(P27,U27,Z27,AE27,AJ27,AO27,AT27)</f>
        <v>21</v>
      </c>
      <c r="J27" s="188">
        <f>AVERAGE(Q27,V27,AA27,AF27,AK27,AP27,AU27)</f>
        <v>1773.6785030743556</v>
      </c>
      <c r="K27" s="189">
        <f>AVERAGE(R27,W27,AB27,AG27,AL27,AQ27,AV27)</f>
        <v>84.460881098778842</v>
      </c>
      <c r="L27" s="538">
        <f>IFERROR(AVERAGE(K27:K41),"-")</f>
        <v>78.533953495662999</v>
      </c>
      <c r="M27" s="188">
        <f>RANK(K27, K$27:$K$41)</f>
        <v>1</v>
      </c>
      <c r="N27" s="501"/>
      <c r="O27" s="501"/>
      <c r="P27" s="190">
        <v>21</v>
      </c>
      <c r="Q27" s="190">
        <v>1772.4572457245686</v>
      </c>
      <c r="R27" s="187">
        <f>IFERROR(Q27/P27,"")</f>
        <v>84.402725986884221</v>
      </c>
      <c r="S27" s="184">
        <f>RANK(R27, R$27:R$41)</f>
        <v>1</v>
      </c>
      <c r="T27" s="537">
        <f>AVERAGE(R27:R41)</f>
        <v>78.473676729743687</v>
      </c>
      <c r="U27" s="190">
        <v>21</v>
      </c>
      <c r="V27" s="190">
        <v>1773.1610337972159</v>
      </c>
      <c r="W27" s="187">
        <f t="shared" ref="W27:W28" si="37">IFERROR(V27/U27,"")</f>
        <v>84.43623970462933</v>
      </c>
      <c r="X27" s="184">
        <f>RANK(W27, W$27:W$41)</f>
        <v>1</v>
      </c>
      <c r="Y27" s="537">
        <f>AVERAGE(W27:W41)</f>
        <v>78.493796367035003</v>
      </c>
      <c r="Z27" s="190">
        <v>21</v>
      </c>
      <c r="AA27" s="190">
        <v>1773.7098344693256</v>
      </c>
      <c r="AB27" s="187">
        <f t="shared" ref="AB27:AB28" si="38">IFERROR(AA27/Z27,"")</f>
        <v>84.462373069967882</v>
      </c>
      <c r="AC27" s="184">
        <f>RANK(AB27, AB$27:AB$41)</f>
        <v>1</v>
      </c>
      <c r="AD27" s="537">
        <f>AVERAGE(AB27:AB41)</f>
        <v>78.540710344507744</v>
      </c>
      <c r="AE27" s="190">
        <v>21</v>
      </c>
      <c r="AF27" s="190">
        <v>1773.809523809522</v>
      </c>
      <c r="AG27" s="187">
        <f>IFERROR(AF27/AE27,"")</f>
        <v>84.467120181405818</v>
      </c>
      <c r="AH27" s="184">
        <f>RANK(AG27, AG$27:AG$41)</f>
        <v>1</v>
      </c>
      <c r="AI27" s="537">
        <f>AVERAGE(AG27:AG41)</f>
        <v>78.546246603549548</v>
      </c>
      <c r="AJ27" s="190">
        <v>21</v>
      </c>
      <c r="AK27" s="190">
        <v>1773.9733950260284</v>
      </c>
      <c r="AL27" s="187">
        <f t="shared" ref="AL27:AL28" si="39">IFERROR(AK27/AJ27,"")</f>
        <v>84.474923572668018</v>
      </c>
      <c r="AM27" s="184">
        <f>RANK(AL27, AL$27:AL$41)</f>
        <v>1</v>
      </c>
      <c r="AN27" s="537">
        <f>AVERAGE(AL27:AL41)</f>
        <v>78.554099358510712</v>
      </c>
      <c r="AO27" s="190">
        <v>21</v>
      </c>
      <c r="AP27" s="190">
        <v>1774.1704035874436</v>
      </c>
      <c r="AQ27" s="187">
        <f t="shared" ref="AQ27:AQ28" si="40">IFERROR(AP27/AO27,"")</f>
        <v>84.484304932735412</v>
      </c>
      <c r="AR27" s="184">
        <f>RANK(AQ27, AQ$27:AQ$41)</f>
        <v>1</v>
      </c>
      <c r="AS27" s="537">
        <f>AVERAGE(AQ27:AQ41)</f>
        <v>78.559220698803415</v>
      </c>
      <c r="AT27" s="190">
        <v>21</v>
      </c>
      <c r="AU27" s="190">
        <v>1774.4680851063847</v>
      </c>
      <c r="AV27" s="187">
        <f t="shared" ref="AV27:AV28" si="41">IFERROR(AU27/AT27,"")</f>
        <v>84.498480243161183</v>
      </c>
      <c r="AW27" s="184">
        <f>RANK(AV27, AV$27:AV$41)</f>
        <v>1</v>
      </c>
      <c r="AX27" s="537">
        <f>AVERAGE(AV27:AV41)</f>
        <v>78.569924367490813</v>
      </c>
    </row>
    <row r="28" spans="2:50" ht="14.25" customHeight="1">
      <c r="B28" s="501"/>
      <c r="C28" s="182">
        <v>2</v>
      </c>
      <c r="D28" s="185" t="s">
        <v>493</v>
      </c>
      <c r="E28" s="182">
        <v>22</v>
      </c>
      <c r="F28" s="182">
        <v>1800</v>
      </c>
      <c r="G28" s="187">
        <f t="shared" si="36"/>
        <v>81.818181818181813</v>
      </c>
      <c r="H28" s="537"/>
      <c r="I28" s="188">
        <f t="shared" ref="I28:K28" si="42">AVERAGE(P28,U28,Z28,AE28,AJ28,AO28,AT28)</f>
        <v>22</v>
      </c>
      <c r="J28" s="188">
        <f t="shared" si="42"/>
        <v>1597.3545696360372</v>
      </c>
      <c r="K28" s="189">
        <f t="shared" si="42"/>
        <v>72.607025892547156</v>
      </c>
      <c r="L28" s="538"/>
      <c r="M28" s="188">
        <f>RANK(K28, K$27:$K$41)</f>
        <v>2</v>
      </c>
      <c r="N28" s="501"/>
      <c r="O28" s="501"/>
      <c r="P28" s="190">
        <v>22</v>
      </c>
      <c r="Q28" s="190">
        <v>1595.9818043972698</v>
      </c>
      <c r="R28" s="187">
        <f t="shared" ref="R28" si="43">IFERROR(Q28/P28,"")</f>
        <v>72.544627472603167</v>
      </c>
      <c r="S28" s="184">
        <f>RANK(R28, R$27:R$41)</f>
        <v>2</v>
      </c>
      <c r="T28" s="537"/>
      <c r="U28" s="190">
        <v>22</v>
      </c>
      <c r="V28" s="190">
        <v>1596.1297666476953</v>
      </c>
      <c r="W28" s="187">
        <f t="shared" si="37"/>
        <v>72.551353029440691</v>
      </c>
      <c r="X28" s="184">
        <f>RANK(W28, W$27:W$41)</f>
        <v>2</v>
      </c>
      <c r="Y28" s="537"/>
      <c r="Z28" s="190">
        <v>22</v>
      </c>
      <c r="AA28" s="190">
        <v>1597.6190476190477</v>
      </c>
      <c r="AB28" s="187">
        <f t="shared" si="38"/>
        <v>72.61904761904762</v>
      </c>
      <c r="AC28" s="184">
        <f>RANK(AB28, AB$27:AB$41)</f>
        <v>2</v>
      </c>
      <c r="AD28" s="537"/>
      <c r="AE28" s="190">
        <v>22</v>
      </c>
      <c r="AF28" s="190">
        <v>1597.7582065652521</v>
      </c>
      <c r="AG28" s="187">
        <f t="shared" ref="AG28:AG41" si="44">IFERROR(AF28/AE28,"")</f>
        <v>72.625373025693278</v>
      </c>
      <c r="AH28" s="184">
        <f>RANK(AG28, AG$27:AG$41)</f>
        <v>2</v>
      </c>
      <c r="AI28" s="537"/>
      <c r="AJ28" s="190">
        <v>22</v>
      </c>
      <c r="AK28" s="190">
        <v>1597.9320531757746</v>
      </c>
      <c r="AL28" s="187">
        <f t="shared" si="39"/>
        <v>72.633275144353391</v>
      </c>
      <c r="AM28" s="184">
        <f>RANK(AL28, AL$27:AL$41)</f>
        <v>2</v>
      </c>
      <c r="AN28" s="537"/>
      <c r="AO28" s="190">
        <v>22</v>
      </c>
      <c r="AP28" s="190">
        <v>1597.9510022271716</v>
      </c>
      <c r="AQ28" s="187">
        <f t="shared" si="40"/>
        <v>72.634136464871432</v>
      </c>
      <c r="AR28" s="184">
        <f>RANK(AQ28, AQ$27:AQ$41)</f>
        <v>2</v>
      </c>
      <c r="AS28" s="537"/>
      <c r="AT28" s="190">
        <v>22</v>
      </c>
      <c r="AU28" s="190">
        <v>1598.1101068200501</v>
      </c>
      <c r="AV28" s="187">
        <f t="shared" si="41"/>
        <v>72.641368491820458</v>
      </c>
      <c r="AW28" s="184">
        <f>RANK(AV28, AV$27:AV$41)</f>
        <v>2</v>
      </c>
      <c r="AX28" s="537"/>
    </row>
    <row r="29" spans="2:50" ht="14.25" customHeight="1">
      <c r="B29" s="501"/>
      <c r="C29" s="182">
        <v>3</v>
      </c>
      <c r="D29" s="185"/>
      <c r="E29" s="182"/>
      <c r="F29" s="182"/>
      <c r="G29" s="187"/>
      <c r="H29" s="537"/>
      <c r="I29" s="188"/>
      <c r="J29" s="188"/>
      <c r="K29" s="189"/>
      <c r="L29" s="538"/>
      <c r="M29" s="188"/>
      <c r="N29" s="501"/>
      <c r="O29" s="501"/>
      <c r="P29" s="190"/>
      <c r="Q29" s="190"/>
      <c r="R29" s="187"/>
      <c r="S29" s="184"/>
      <c r="T29" s="537"/>
      <c r="U29" s="190"/>
      <c r="V29" s="190"/>
      <c r="W29" s="187"/>
      <c r="X29" s="184"/>
      <c r="Y29" s="537"/>
      <c r="Z29" s="190"/>
      <c r="AA29" s="190"/>
      <c r="AB29" s="187"/>
      <c r="AC29" s="184"/>
      <c r="AD29" s="537"/>
      <c r="AE29" s="190" t="s">
        <v>663</v>
      </c>
      <c r="AF29" s="190" t="s">
        <v>663</v>
      </c>
      <c r="AG29" s="187" t="str">
        <f t="shared" si="44"/>
        <v/>
      </c>
      <c r="AH29" s="184"/>
      <c r="AI29" s="537"/>
      <c r="AJ29" s="190"/>
      <c r="AK29" s="190"/>
      <c r="AL29" s="187"/>
      <c r="AM29" s="184"/>
      <c r="AN29" s="537"/>
      <c r="AO29" s="190"/>
      <c r="AP29" s="190"/>
      <c r="AQ29" s="187"/>
      <c r="AR29" s="184"/>
      <c r="AS29" s="537"/>
      <c r="AT29" s="190"/>
      <c r="AU29" s="190"/>
      <c r="AV29" s="187"/>
      <c r="AW29" s="184"/>
      <c r="AX29" s="537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01"/>
      <c r="O30" s="501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 t="s">
        <v>663</v>
      </c>
      <c r="AF30" s="190" t="s">
        <v>663</v>
      </c>
      <c r="AG30" s="187" t="str">
        <f t="shared" si="44"/>
        <v/>
      </c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01"/>
      <c r="O31" s="501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 t="s">
        <v>663</v>
      </c>
      <c r="AF31" s="190" t="s">
        <v>663</v>
      </c>
      <c r="AG31" s="187" t="str">
        <f t="shared" si="44"/>
        <v/>
      </c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01"/>
      <c r="O32" s="501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 t="s">
        <v>663</v>
      </c>
      <c r="AF32" s="190" t="s">
        <v>663</v>
      </c>
      <c r="AG32" s="187" t="str">
        <f t="shared" si="44"/>
        <v/>
      </c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01"/>
      <c r="O33" s="501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 t="s">
        <v>663</v>
      </c>
      <c r="AF33" s="190" t="s">
        <v>663</v>
      </c>
      <c r="AG33" s="187" t="str">
        <f t="shared" si="44"/>
        <v/>
      </c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01"/>
      <c r="O34" s="501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 t="s">
        <v>663</v>
      </c>
      <c r="AF34" s="190" t="s">
        <v>663</v>
      </c>
      <c r="AG34" s="187" t="str">
        <f t="shared" si="44"/>
        <v/>
      </c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01"/>
      <c r="O35" s="501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 t="str">
        <f>IFERROR(VLOOKUP($D35,[1]W5!$A:$B,2,0),"")</f>
        <v/>
      </c>
      <c r="AF35" s="190" t="str">
        <f>IFERROR(VLOOKUP($D35,[1]W5!$A:$C,3,0),"")</f>
        <v/>
      </c>
      <c r="AG35" s="187" t="str">
        <f t="shared" si="44"/>
        <v/>
      </c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 t="str">
        <f>IFERROR(VLOOKUP($D36,[1]W5!$A:$B,2,0),"")</f>
        <v/>
      </c>
      <c r="AF36" s="190" t="str">
        <f>IFERROR(VLOOKUP($D36,[1]W5!$A:$C,3,0),"")</f>
        <v/>
      </c>
      <c r="AG36" s="187" t="str">
        <f t="shared" si="44"/>
        <v/>
      </c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 t="str">
        <f>IFERROR(VLOOKUP($D37,[1]W5!$A:$B,2,0),"")</f>
        <v/>
      </c>
      <c r="AF37" s="190" t="str">
        <f>IFERROR(VLOOKUP($D37,[1]W5!$A:$C,3,0),"")</f>
        <v/>
      </c>
      <c r="AG37" s="187" t="str">
        <f t="shared" si="44"/>
        <v/>
      </c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 t="str">
        <f>IFERROR(VLOOKUP($D38,[1]W5!$A:$B,2,0),"")</f>
        <v/>
      </c>
      <c r="AF38" s="190" t="str">
        <f>IFERROR(VLOOKUP($D38,[1]W5!$A:$C,3,0),"")</f>
        <v/>
      </c>
      <c r="AG38" s="187" t="str">
        <f t="shared" si="44"/>
        <v/>
      </c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 t="str">
        <f>IFERROR(VLOOKUP($D39,[1]W5!$A:$B,2,0),"")</f>
        <v/>
      </c>
      <c r="AF39" s="190" t="str">
        <f>IFERROR(VLOOKUP($D39,[1]W5!$A:$C,3,0),"")</f>
        <v/>
      </c>
      <c r="AG39" s="187" t="str">
        <f t="shared" si="44"/>
        <v/>
      </c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 t="str">
        <f>IFERROR(VLOOKUP($D40,[1]W5!$A:$B,2,0),"")</f>
        <v/>
      </c>
      <c r="AF40" s="190" t="str">
        <f>IFERROR(VLOOKUP($D40,[1]W5!$A:$C,3,0),"")</f>
        <v/>
      </c>
      <c r="AG40" s="187" t="str">
        <f t="shared" si="44"/>
        <v/>
      </c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 t="str">
        <f>IFERROR(VLOOKUP($D41,[1]W5!$A:$B,2,0),"")</f>
        <v/>
      </c>
      <c r="AF41" s="190" t="str">
        <f>IFERROR(VLOOKUP($D41,[1]W5!$A:$C,3,0),"")</f>
        <v/>
      </c>
      <c r="AG41" s="187" t="str">
        <f t="shared" si="44"/>
        <v/>
      </c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7"/>
      <c r="N42" s="563" t="s">
        <v>383</v>
      </c>
      <c r="O42" s="563" t="s">
        <v>105</v>
      </c>
      <c r="P42" s="598">
        <f>AT22+1</f>
        <v>46035</v>
      </c>
      <c r="Q42" s="599"/>
      <c r="R42" s="599"/>
      <c r="S42" s="599"/>
      <c r="T42" s="599"/>
      <c r="U42" s="600">
        <f>P42+1</f>
        <v>46036</v>
      </c>
      <c r="V42" s="601"/>
      <c r="W42" s="601"/>
      <c r="X42" s="601"/>
      <c r="Y42" s="601"/>
      <c r="Z42" s="598">
        <f t="shared" ref="Z42" si="45">U42+1</f>
        <v>46037</v>
      </c>
      <c r="AA42" s="599"/>
      <c r="AB42" s="599"/>
      <c r="AC42" s="599"/>
      <c r="AD42" s="599"/>
      <c r="AE42" s="600">
        <f t="shared" ref="AE42" si="46">Z42+1</f>
        <v>46038</v>
      </c>
      <c r="AF42" s="601"/>
      <c r="AG42" s="601"/>
      <c r="AH42" s="601"/>
      <c r="AI42" s="601"/>
      <c r="AJ42" s="590">
        <f t="shared" ref="AJ42" si="47">AE42+1</f>
        <v>46039</v>
      </c>
      <c r="AK42" s="591"/>
      <c r="AL42" s="591"/>
      <c r="AM42" s="591"/>
      <c r="AN42" s="592"/>
      <c r="AO42" s="600">
        <f t="shared" ref="AO42" si="48">AJ42+1</f>
        <v>46040</v>
      </c>
      <c r="AP42" s="601"/>
      <c r="AQ42" s="601"/>
      <c r="AR42" s="601"/>
      <c r="AS42" s="601"/>
      <c r="AT42" s="590">
        <f t="shared" ref="AT42" si="49">AO42+1</f>
        <v>46041</v>
      </c>
      <c r="AU42" s="591"/>
      <c r="AV42" s="591"/>
      <c r="AW42" s="591"/>
      <c r="AX42" s="592"/>
    </row>
    <row r="43" spans="2:50" ht="14.25" customHeight="1">
      <c r="B43" s="548"/>
      <c r="C43" s="548"/>
      <c r="D43" s="548"/>
      <c r="E43" s="548"/>
      <c r="F43" s="548"/>
      <c r="G43" s="548"/>
      <c r="H43" s="548"/>
      <c r="I43" s="548"/>
      <c r="J43" s="548"/>
      <c r="K43" s="548"/>
      <c r="L43" s="548"/>
      <c r="M43" s="549"/>
      <c r="N43" s="565"/>
      <c r="O43" s="565"/>
      <c r="P43" s="593">
        <f>P42</f>
        <v>46035</v>
      </c>
      <c r="Q43" s="593"/>
      <c r="R43" s="593"/>
      <c r="S43" s="593"/>
      <c r="T43" s="593"/>
      <c r="U43" s="594">
        <f>U42</f>
        <v>46036</v>
      </c>
      <c r="V43" s="594"/>
      <c r="W43" s="594"/>
      <c r="X43" s="594"/>
      <c r="Y43" s="594"/>
      <c r="Z43" s="593">
        <f t="shared" ref="Z43" si="50">Z42</f>
        <v>46037</v>
      </c>
      <c r="AA43" s="593"/>
      <c r="AB43" s="593"/>
      <c r="AC43" s="593"/>
      <c r="AD43" s="593"/>
      <c r="AE43" s="594">
        <f t="shared" ref="AE43" si="51">AE42</f>
        <v>46038</v>
      </c>
      <c r="AF43" s="594"/>
      <c r="AG43" s="594"/>
      <c r="AH43" s="594"/>
      <c r="AI43" s="594"/>
      <c r="AJ43" s="595">
        <f t="shared" ref="AJ43" si="52">AJ42</f>
        <v>46039</v>
      </c>
      <c r="AK43" s="596"/>
      <c r="AL43" s="596"/>
      <c r="AM43" s="596"/>
      <c r="AN43" s="597"/>
      <c r="AO43" s="594">
        <f t="shared" ref="AO43" si="53">AO42</f>
        <v>46040</v>
      </c>
      <c r="AP43" s="594"/>
      <c r="AQ43" s="594"/>
      <c r="AR43" s="594"/>
      <c r="AS43" s="594"/>
      <c r="AT43" s="595">
        <f t="shared" ref="AT43" si="54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466</v>
      </c>
      <c r="C47" s="182">
        <v>1</v>
      </c>
      <c r="D47" s="185" t="s">
        <v>514</v>
      </c>
      <c r="E47" s="182">
        <v>21</v>
      </c>
      <c r="F47" s="182">
        <v>2000</v>
      </c>
      <c r="G47" s="187">
        <f t="shared" ref="G47:G48" si="55">F47/E47</f>
        <v>95.238095238095241</v>
      </c>
      <c r="H47" s="537">
        <f>AVERAGE(G47:G61)</f>
        <v>88.528138528138527</v>
      </c>
      <c r="I47" s="188">
        <f>AVERAGE(P47,U47,Z47,AE47,AJ47,AO47,AT47)</f>
        <v>21</v>
      </c>
      <c r="J47" s="188">
        <f>AVERAGE(Q47,V47,AA47,AF47,AK47,AP47,AU47)</f>
        <v>1775.8664909069062</v>
      </c>
      <c r="K47" s="189">
        <f>AVERAGE(R47,W47,AB47,AG47,AL47,AQ47,AV47)</f>
        <v>84.56507099556697</v>
      </c>
      <c r="L47" s="538">
        <f>IFERROR(AVERAGE(K47:K61),"-")</f>
        <v>78.618786021690852</v>
      </c>
      <c r="M47" s="188">
        <f>RANK(K47, K$47:$K$61)</f>
        <v>1</v>
      </c>
      <c r="N47" s="501"/>
      <c r="O47" s="501"/>
      <c r="P47" s="190">
        <v>21</v>
      </c>
      <c r="Q47" s="190">
        <v>1774.8917748917761</v>
      </c>
      <c r="R47" s="187">
        <f>IFERROR(Q47/P47,"")</f>
        <v>84.51865594722743</v>
      </c>
      <c r="S47" s="184">
        <f>RANK(R47, R$47:$R$61)</f>
        <v>1</v>
      </c>
      <c r="T47" s="537">
        <f>AVERAGE(R47:R61)</f>
        <v>78.5831287116211</v>
      </c>
      <c r="U47" s="190">
        <v>21</v>
      </c>
      <c r="V47" s="190">
        <v>1775.0000000000009</v>
      </c>
      <c r="W47" s="187">
        <f t="shared" ref="W47:W48" si="56">IFERROR(V47/U47,"")</f>
        <v>84.523809523809561</v>
      </c>
      <c r="X47" s="184">
        <f>RANK(W47, $R$47:W$61)</f>
        <v>3</v>
      </c>
      <c r="Y47" s="537">
        <f>AVERAGE(W47:W61)</f>
        <v>78.594177713201887</v>
      </c>
      <c r="Z47" s="190">
        <v>21</v>
      </c>
      <c r="AA47" s="190">
        <v>1774.9502982107347</v>
      </c>
      <c r="AB47" s="187">
        <f t="shared" ref="AB47:AB48" si="57">IFERROR(AA47/Z47,"")</f>
        <v>84.521442771939746</v>
      </c>
      <c r="AC47" s="184" t="e">
        <f>RANK(AB47, AB$7:AB$21)</f>
        <v>#N/A</v>
      </c>
      <c r="AD47" s="537">
        <f>AVERAGE(AB47:AB61)</f>
        <v>78.590360333409848</v>
      </c>
      <c r="AE47" s="190">
        <v>21</v>
      </c>
      <c r="AF47" s="190">
        <v>1775.5656108597207</v>
      </c>
      <c r="AG47" s="187">
        <f>IFERROR(AF47/AE47,"")</f>
        <v>84.550743374272415</v>
      </c>
      <c r="AH47" s="184" t="e">
        <f>RANK(AG47, AG$7:AG$21)</f>
        <v>#N/A</v>
      </c>
      <c r="AI47" s="537">
        <f>AVERAGE(AG47:AG61)</f>
        <v>78.611010178610854</v>
      </c>
      <c r="AJ47" s="190">
        <v>21</v>
      </c>
      <c r="AK47" s="190">
        <v>1777.0770163735576</v>
      </c>
      <c r="AL47" s="187">
        <f t="shared" ref="AL47:AL48" si="58">IFERROR(AK47/AJ47,"")</f>
        <v>84.622715065407505</v>
      </c>
      <c r="AM47" s="184" t="e">
        <f>RANK(AL47, AL$7:AL$21)</f>
        <v>#N/A</v>
      </c>
      <c r="AN47" s="537">
        <f>AVERAGE(AL47:AL61)</f>
        <v>78.653297215932213</v>
      </c>
      <c r="AO47" s="190">
        <v>21</v>
      </c>
      <c r="AP47" s="190">
        <v>1776.6467065868292</v>
      </c>
      <c r="AQ47" s="187">
        <f t="shared" ref="AQ47:AQ48" si="59">IFERROR(AP47/AO47,"")</f>
        <v>84.602224123182339</v>
      </c>
      <c r="AR47" s="184" t="e">
        <f>RANK(AQ47, AQ$7:AQ$21)</f>
        <v>#N/A</v>
      </c>
      <c r="AS47" s="537">
        <f>AVERAGE(AQ47:AQ61)</f>
        <v>78.644456217435348</v>
      </c>
      <c r="AT47" s="190">
        <v>21</v>
      </c>
      <c r="AU47" s="190">
        <v>1776.9340294257238</v>
      </c>
      <c r="AV47" s="187">
        <f t="shared" ref="AV47:AV48" si="60">IFERROR(AU47/AT47,"")</f>
        <v>84.615906163129708</v>
      </c>
      <c r="AW47" s="184" t="e">
        <f>RANK(AV47, AV$7:AV$21)</f>
        <v>#N/A</v>
      </c>
      <c r="AX47" s="537">
        <f>AVERAGE(AV47:AV61)</f>
        <v>78.655071781624713</v>
      </c>
    </row>
    <row r="48" spans="2:50" ht="14.25" customHeight="1">
      <c r="B48" s="501"/>
      <c r="C48" s="182">
        <v>2</v>
      </c>
      <c r="D48" s="185" t="s">
        <v>493</v>
      </c>
      <c r="E48" s="182">
        <v>22</v>
      </c>
      <c r="F48" s="182">
        <v>1800</v>
      </c>
      <c r="G48" s="187">
        <f t="shared" si="55"/>
        <v>81.818181818181813</v>
      </c>
      <c r="H48" s="537"/>
      <c r="I48" s="188">
        <f t="shared" ref="I48:K48" si="61">AVERAGE(P48,U48,Z48,AE48,AJ48,AO48,AT48)</f>
        <v>22</v>
      </c>
      <c r="J48" s="188">
        <f t="shared" si="61"/>
        <v>1598.7950230519248</v>
      </c>
      <c r="K48" s="189">
        <f t="shared" si="61"/>
        <v>72.672501047814748</v>
      </c>
      <c r="L48" s="538"/>
      <c r="M48" s="188">
        <f>RANK(K48, K$47:$K$61)</f>
        <v>2</v>
      </c>
      <c r="N48" s="501"/>
      <c r="O48" s="501"/>
      <c r="P48" s="190">
        <v>22</v>
      </c>
      <c r="Q48" s="190">
        <v>1598.2472324723253</v>
      </c>
      <c r="R48" s="187">
        <f t="shared" ref="R48" si="62">IFERROR(Q48/P48,"")</f>
        <v>72.647601476014785</v>
      </c>
      <c r="S48" s="184">
        <f>RANK(R48, R$47:$R$61)</f>
        <v>2</v>
      </c>
      <c r="T48" s="537"/>
      <c r="U48" s="190">
        <v>22</v>
      </c>
      <c r="V48" s="190">
        <v>1598.6200098570728</v>
      </c>
      <c r="W48" s="187">
        <f t="shared" si="56"/>
        <v>72.664545902594213</v>
      </c>
      <c r="X48" s="184">
        <f>RANK(W48, $R$47:W$61)</f>
        <v>6</v>
      </c>
      <c r="Y48" s="537"/>
      <c r="Z48" s="190">
        <v>22</v>
      </c>
      <c r="AA48" s="190">
        <v>1598.5041136873585</v>
      </c>
      <c r="AB48" s="187">
        <f t="shared" si="57"/>
        <v>72.659277894879935</v>
      </c>
      <c r="AC48" s="184" t="e">
        <f t="shared" ref="AC48" si="63">RANK(AB48, AB$7:AB$21)</f>
        <v>#N/A</v>
      </c>
      <c r="AD48" s="537"/>
      <c r="AE48" s="190">
        <v>22</v>
      </c>
      <c r="AF48" s="190">
        <v>1598.7680936248842</v>
      </c>
      <c r="AG48" s="187">
        <f t="shared" ref="AG48" si="64">IFERROR(AF48/AE48,"")</f>
        <v>72.67127698294928</v>
      </c>
      <c r="AH48" s="184" t="e">
        <f t="shared" ref="AH48" si="65">RANK(AG48, AG$7:AG$21)</f>
        <v>#N/A</v>
      </c>
      <c r="AI48" s="537"/>
      <c r="AJ48" s="190">
        <v>22</v>
      </c>
      <c r="AK48" s="190">
        <v>1599.0453460620527</v>
      </c>
      <c r="AL48" s="187">
        <f t="shared" si="58"/>
        <v>72.683879366456935</v>
      </c>
      <c r="AM48" s="184" t="e">
        <f t="shared" ref="AM48" si="66">RANK(AL48, AL$7:AL$21)</f>
        <v>#N/A</v>
      </c>
      <c r="AN48" s="537"/>
      <c r="AO48" s="190">
        <v>22</v>
      </c>
      <c r="AP48" s="190">
        <v>1599.1071428571438</v>
      </c>
      <c r="AQ48" s="187">
        <f t="shared" si="59"/>
        <v>72.686688311688357</v>
      </c>
      <c r="AR48" s="184" t="e">
        <f t="shared" ref="AR48" si="67">RANK(AQ48, AQ$7:AQ$21)</f>
        <v>#N/A</v>
      </c>
      <c r="AS48" s="537"/>
      <c r="AT48" s="190">
        <v>22</v>
      </c>
      <c r="AU48" s="190">
        <v>1599.2732228026341</v>
      </c>
      <c r="AV48" s="187">
        <f t="shared" si="60"/>
        <v>72.694237400119732</v>
      </c>
      <c r="AW48" s="184" t="e">
        <f t="shared" ref="AW48" si="68">RANK(AV48, AV$7:AV$21)</f>
        <v>#N/A</v>
      </c>
      <c r="AX48" s="537"/>
    </row>
    <row r="49" spans="2:50" ht="14.25" customHeight="1">
      <c r="B49" s="501"/>
      <c r="C49" s="182">
        <v>3</v>
      </c>
      <c r="D49" s="185"/>
      <c r="E49" s="182"/>
      <c r="F49" s="182"/>
      <c r="G49" s="187"/>
      <c r="H49" s="537"/>
      <c r="I49" s="188"/>
      <c r="J49" s="188"/>
      <c r="K49" s="189"/>
      <c r="L49" s="538"/>
      <c r="M49" s="188"/>
      <c r="N49" s="501"/>
      <c r="O49" s="501"/>
      <c r="P49" s="190"/>
      <c r="Q49" s="190"/>
      <c r="R49" s="187"/>
      <c r="S49" s="184"/>
      <c r="T49" s="537"/>
      <c r="U49" s="190"/>
      <c r="V49" s="190"/>
      <c r="W49" s="187"/>
      <c r="X49" s="184"/>
      <c r="Y49" s="537"/>
      <c r="Z49" s="190"/>
      <c r="AA49" s="190"/>
      <c r="AB49" s="187"/>
      <c r="AC49" s="184"/>
      <c r="AD49" s="537"/>
      <c r="AE49" s="190"/>
      <c r="AF49" s="190"/>
      <c r="AG49" s="187"/>
      <c r="AH49" s="184"/>
      <c r="AI49" s="537"/>
      <c r="AJ49" s="190"/>
      <c r="AK49" s="190"/>
      <c r="AL49" s="187"/>
      <c r="AM49" s="184"/>
      <c r="AN49" s="537"/>
      <c r="AO49" s="190"/>
      <c r="AP49" s="190"/>
      <c r="AQ49" s="187"/>
      <c r="AR49" s="184"/>
      <c r="AS49" s="537"/>
      <c r="AT49" s="190"/>
      <c r="AU49" s="190"/>
      <c r="AV49" s="187"/>
      <c r="AW49" s="184"/>
      <c r="AX49" s="537"/>
    </row>
    <row r="50" spans="2:50" ht="14.25" customHeight="1">
      <c r="B50" s="501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01"/>
      <c r="O50" s="501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01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01"/>
      <c r="O51" s="501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01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01"/>
      <c r="O52" s="501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01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01"/>
      <c r="O53" s="501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01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01"/>
      <c r="O54" s="501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6"/>
      <c r="D62" s="546"/>
      <c r="E62" s="546"/>
      <c r="F62" s="546"/>
      <c r="G62" s="546"/>
      <c r="H62" s="546"/>
      <c r="I62" s="546"/>
      <c r="J62" s="546"/>
      <c r="K62" s="546"/>
      <c r="L62" s="546"/>
      <c r="M62" s="547"/>
      <c r="N62" s="563" t="s">
        <v>383</v>
      </c>
      <c r="O62" s="563" t="s">
        <v>105</v>
      </c>
      <c r="P62" s="598">
        <f>AT42+1</f>
        <v>46042</v>
      </c>
      <c r="Q62" s="599"/>
      <c r="R62" s="599"/>
      <c r="S62" s="599"/>
      <c r="T62" s="599"/>
      <c r="U62" s="600">
        <f>P62+1</f>
        <v>46043</v>
      </c>
      <c r="V62" s="601"/>
      <c r="W62" s="601"/>
      <c r="X62" s="601"/>
      <c r="Y62" s="601"/>
      <c r="Z62" s="598">
        <f t="shared" ref="Z62" si="69">U62+1</f>
        <v>46044</v>
      </c>
      <c r="AA62" s="599"/>
      <c r="AB62" s="599"/>
      <c r="AC62" s="599"/>
      <c r="AD62" s="599"/>
      <c r="AE62" s="600">
        <f t="shared" ref="AE62" si="70">Z62+1</f>
        <v>46045</v>
      </c>
      <c r="AF62" s="601"/>
      <c r="AG62" s="601"/>
      <c r="AH62" s="601"/>
      <c r="AI62" s="601"/>
      <c r="AJ62" s="590">
        <f t="shared" ref="AJ62" si="71">AE62+1</f>
        <v>46046</v>
      </c>
      <c r="AK62" s="591"/>
      <c r="AL62" s="591"/>
      <c r="AM62" s="591"/>
      <c r="AN62" s="592"/>
      <c r="AO62" s="600">
        <f t="shared" ref="AO62" si="72">AJ62+1</f>
        <v>46047</v>
      </c>
      <c r="AP62" s="601"/>
      <c r="AQ62" s="601"/>
      <c r="AR62" s="601"/>
      <c r="AS62" s="601"/>
      <c r="AT62" s="590">
        <f t="shared" ref="AT62" si="73">AO62+1</f>
        <v>46048</v>
      </c>
      <c r="AU62" s="591"/>
      <c r="AV62" s="591"/>
      <c r="AW62" s="591"/>
      <c r="AX62" s="592"/>
    </row>
    <row r="63" spans="2:50" ht="14.25" customHeight="1"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9"/>
      <c r="N63" s="565"/>
      <c r="O63" s="565"/>
      <c r="P63" s="593">
        <f>P62</f>
        <v>46042</v>
      </c>
      <c r="Q63" s="593"/>
      <c r="R63" s="593"/>
      <c r="S63" s="593"/>
      <c r="T63" s="593"/>
      <c r="U63" s="594">
        <f>U62</f>
        <v>46043</v>
      </c>
      <c r="V63" s="594"/>
      <c r="W63" s="594"/>
      <c r="X63" s="594"/>
      <c r="Y63" s="594"/>
      <c r="Z63" s="593">
        <f t="shared" ref="Z63" si="74">Z62</f>
        <v>46044</v>
      </c>
      <c r="AA63" s="593"/>
      <c r="AB63" s="593"/>
      <c r="AC63" s="593"/>
      <c r="AD63" s="593"/>
      <c r="AE63" s="594">
        <f t="shared" ref="AE63" si="75">AE62</f>
        <v>46045</v>
      </c>
      <c r="AF63" s="594"/>
      <c r="AG63" s="594"/>
      <c r="AH63" s="594"/>
      <c r="AI63" s="594"/>
      <c r="AJ63" s="595">
        <f t="shared" ref="AJ63" si="76">AJ62</f>
        <v>46046</v>
      </c>
      <c r="AK63" s="596"/>
      <c r="AL63" s="596"/>
      <c r="AM63" s="596"/>
      <c r="AN63" s="597"/>
      <c r="AO63" s="594">
        <f t="shared" ref="AO63" si="77">AO62</f>
        <v>46047</v>
      </c>
      <c r="AP63" s="594"/>
      <c r="AQ63" s="594"/>
      <c r="AR63" s="594"/>
      <c r="AS63" s="594"/>
      <c r="AT63" s="595">
        <f t="shared" ref="AT63" si="78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466</v>
      </c>
      <c r="C67" s="182">
        <v>1</v>
      </c>
      <c r="D67" s="185" t="s">
        <v>493</v>
      </c>
      <c r="E67" s="182">
        <v>22</v>
      </c>
      <c r="F67" s="182">
        <v>1800</v>
      </c>
      <c r="G67" s="187">
        <f t="shared" ref="G67" si="79">F67/E67</f>
        <v>81.818181818181813</v>
      </c>
      <c r="H67" s="537">
        <f>AVERAGE(G67:G81)</f>
        <v>81.818181818181813</v>
      </c>
      <c r="I67" s="188">
        <f>AVERAGE(P67,U67,Z67,AE67,AJ67,AO67,AT67)</f>
        <v>22</v>
      </c>
      <c r="J67" s="188">
        <f>AVERAGE(Q67,V67,AA67,AF67,AK67,AP67,AU67)</f>
        <v>1599.9424157774472</v>
      </c>
      <c r="K67" s="189">
        <f>AVERAGE(R67,W67,AB67,AG67,AL67,AQ67,AV67)</f>
        <v>72.724655262611222</v>
      </c>
      <c r="L67" s="538">
        <f>IFERROR(AVERAGE(K67:K81),"-")</f>
        <v>72.724655262611222</v>
      </c>
      <c r="M67" s="188">
        <f>RANK(K67, K$67:$K$81)</f>
        <v>1</v>
      </c>
      <c r="N67" s="501"/>
      <c r="O67" s="501"/>
      <c r="P67" s="190">
        <v>22</v>
      </c>
      <c r="Q67" s="190">
        <v>1599.3506493506504</v>
      </c>
      <c r="R67" s="187">
        <f t="shared" ref="R67" si="80">IFERROR(Q67/P67,"")</f>
        <v>72.697756788665927</v>
      </c>
      <c r="S67" s="184" t="e">
        <f t="shared" ref="S67" si="81">RANK(R67, R$7:R$21)</f>
        <v>#N/A</v>
      </c>
      <c r="T67" s="537">
        <f>AVERAGE(R67:R81)</f>
        <v>72.697756788665927</v>
      </c>
      <c r="U67" s="190">
        <v>22</v>
      </c>
      <c r="V67" s="190">
        <v>1599.6204933586337</v>
      </c>
      <c r="W67" s="187">
        <f t="shared" ref="W67" si="82">IFERROR(V67/U67,"")</f>
        <v>72.710022425392438</v>
      </c>
      <c r="X67" s="184" t="e">
        <f>RANK(W67, W$7:W$21)</f>
        <v>#N/A</v>
      </c>
      <c r="Y67" s="537">
        <f>AVERAGE(W67:W81)</f>
        <v>72.710022425392438</v>
      </c>
      <c r="Z67" s="190">
        <v>22</v>
      </c>
      <c r="AA67" s="190">
        <v>1599.5359628770309</v>
      </c>
      <c r="AB67" s="187">
        <f t="shared" ref="AB67" si="83">IFERROR(AA67/Z67,"")</f>
        <v>72.706180130774129</v>
      </c>
      <c r="AC67" s="184" t="e">
        <f>RANK(AB67, AB$7:AB$21)</f>
        <v>#N/A</v>
      </c>
      <c r="AD67" s="537">
        <f>AVERAGE(AB67:AB81)</f>
        <v>72.706180130774129</v>
      </c>
      <c r="AE67" s="190">
        <v>22</v>
      </c>
      <c r="AF67" s="190">
        <v>1599.6011964107677</v>
      </c>
      <c r="AG67" s="187">
        <f>IFERROR(AF67/AE67,"")</f>
        <v>72.709145291398528</v>
      </c>
      <c r="AH67" s="184">
        <f>RANK(AG67, AG$67:AG$81)</f>
        <v>1</v>
      </c>
      <c r="AI67" s="537">
        <f>AVERAGE(AG67:AG81)</f>
        <v>72.709145291398528</v>
      </c>
      <c r="AJ67" s="190">
        <v>22</v>
      </c>
      <c r="AK67" s="190">
        <v>1599.8798076923081</v>
      </c>
      <c r="AL67" s="187">
        <f t="shared" ref="AL67" si="84">IFERROR(AK67/AJ67,"")</f>
        <v>72.721809440559454</v>
      </c>
      <c r="AM67" s="184">
        <f>RANK(AL67, AL$67:AL$81)</f>
        <v>1</v>
      </c>
      <c r="AN67" s="537">
        <f>AVERAGE(AL67:AL81)</f>
        <v>72.721809440559454</v>
      </c>
      <c r="AO67" s="190">
        <v>22</v>
      </c>
      <c r="AP67" s="190">
        <v>1599.8868458274408</v>
      </c>
      <c r="AQ67" s="187">
        <f t="shared" ref="AQ67" si="85">IFERROR(AP67/AO67,"")</f>
        <v>72.722129355792759</v>
      </c>
      <c r="AR67" s="184">
        <f>RANK(AQ67, AQ$67:AQ$81)</f>
        <v>1</v>
      </c>
      <c r="AS67" s="537">
        <f>AVERAGE(AQ67:AQ81)</f>
        <v>72.722129355792759</v>
      </c>
      <c r="AT67" s="190">
        <v>22</v>
      </c>
      <c r="AU67" s="190">
        <v>1601.7219549252977</v>
      </c>
      <c r="AV67" s="187">
        <f t="shared" ref="AV67" si="86">IFERROR(AU67/AT67,"")</f>
        <v>72.805543405695346</v>
      </c>
      <c r="AW67" s="184">
        <f>RANK(AV67, AV$67:AV$81)</f>
        <v>1</v>
      </c>
      <c r="AX67" s="537">
        <f>AVERAGE(AV67:AV81)</f>
        <v>72.805543405695346</v>
      </c>
    </row>
    <row r="68" spans="2:50" ht="14.25" customHeight="1">
      <c r="B68" s="501"/>
      <c r="C68" s="182">
        <v>2</v>
      </c>
      <c r="D68" s="185"/>
      <c r="E68" s="182"/>
      <c r="F68" s="182"/>
      <c r="G68" s="187"/>
      <c r="H68" s="537"/>
      <c r="I68" s="188"/>
      <c r="J68" s="188"/>
      <c r="K68" s="189"/>
      <c r="L68" s="538"/>
      <c r="M68" s="188"/>
      <c r="N68" s="501"/>
      <c r="O68" s="501"/>
      <c r="P68" s="190"/>
      <c r="Q68" s="190"/>
      <c r="R68" s="187"/>
      <c r="S68" s="184"/>
      <c r="T68" s="537"/>
      <c r="U68" s="190"/>
      <c r="V68" s="190"/>
      <c r="W68" s="187"/>
      <c r="X68" s="184"/>
      <c r="Y68" s="537"/>
      <c r="Z68" s="190"/>
      <c r="AA68" s="190"/>
      <c r="AB68" s="187"/>
      <c r="AC68" s="184"/>
      <c r="AD68" s="537"/>
      <c r="AE68" s="190"/>
      <c r="AF68" s="190"/>
      <c r="AG68" s="187"/>
      <c r="AH68" s="184"/>
      <c r="AI68" s="537"/>
      <c r="AJ68" s="190"/>
      <c r="AK68" s="190"/>
      <c r="AL68" s="187"/>
      <c r="AM68" s="184"/>
      <c r="AN68" s="537"/>
      <c r="AO68" s="190"/>
      <c r="AP68" s="190"/>
      <c r="AQ68" s="187"/>
      <c r="AR68" s="184"/>
      <c r="AS68" s="537"/>
      <c r="AT68" s="190"/>
      <c r="AU68" s="190"/>
      <c r="AV68" s="187"/>
      <c r="AW68" s="184"/>
      <c r="AX68" s="537"/>
    </row>
    <row r="69" spans="2:50" ht="14.25" customHeight="1">
      <c r="B69" s="501"/>
      <c r="C69" s="182">
        <v>3</v>
      </c>
      <c r="D69" s="185"/>
      <c r="E69" s="182"/>
      <c r="F69" s="182"/>
      <c r="G69" s="187"/>
      <c r="H69" s="537"/>
      <c r="I69" s="188"/>
      <c r="J69" s="188"/>
      <c r="K69" s="189"/>
      <c r="L69" s="538"/>
      <c r="M69" s="188"/>
      <c r="N69" s="501"/>
      <c r="O69" s="501"/>
      <c r="P69" s="190"/>
      <c r="Q69" s="190"/>
      <c r="R69" s="187"/>
      <c r="S69" s="184"/>
      <c r="T69" s="537"/>
      <c r="U69" s="190"/>
      <c r="V69" s="190"/>
      <c r="W69" s="187"/>
      <c r="X69" s="184"/>
      <c r="Y69" s="537"/>
      <c r="Z69" s="190"/>
      <c r="AA69" s="190"/>
      <c r="AB69" s="187"/>
      <c r="AC69" s="184"/>
      <c r="AD69" s="537"/>
      <c r="AE69" s="190"/>
      <c r="AF69" s="190"/>
      <c r="AG69" s="187"/>
      <c r="AH69" s="184"/>
      <c r="AI69" s="537"/>
      <c r="AJ69" s="190"/>
      <c r="AK69" s="190"/>
      <c r="AL69" s="187"/>
      <c r="AM69" s="184"/>
      <c r="AN69" s="537"/>
      <c r="AO69" s="190"/>
      <c r="AP69" s="190"/>
      <c r="AQ69" s="187"/>
      <c r="AR69" s="184"/>
      <c r="AS69" s="537"/>
      <c r="AT69" s="190"/>
      <c r="AU69" s="190"/>
      <c r="AV69" s="187"/>
      <c r="AW69" s="184"/>
      <c r="AX69" s="537"/>
    </row>
    <row r="70" spans="2:50" ht="14.25" customHeight="1">
      <c r="B70" s="501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01"/>
      <c r="O70" s="501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3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01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01"/>
      <c r="O71" s="501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01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01"/>
      <c r="O72" s="501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01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01"/>
      <c r="O73" s="501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01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01"/>
      <c r="O74" s="501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01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01"/>
      <c r="O75" s="501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87">U82+1</f>
        <v>46051</v>
      </c>
      <c r="AA82" s="599"/>
      <c r="AB82" s="599"/>
      <c r="AC82" s="599"/>
      <c r="AD82" s="599"/>
      <c r="AE82" s="600">
        <f t="shared" ref="AE82" si="88">Z82+1</f>
        <v>46052</v>
      </c>
      <c r="AF82" s="601"/>
      <c r="AG82" s="601"/>
      <c r="AH82" s="601"/>
      <c r="AI82" s="601"/>
      <c r="AJ82" s="590">
        <f t="shared" ref="AJ82" si="89">AE82+1</f>
        <v>46053</v>
      </c>
      <c r="AK82" s="591"/>
      <c r="AL82" s="591"/>
      <c r="AM82" s="591"/>
      <c r="AN82" s="592"/>
      <c r="AO82" s="600">
        <f t="shared" ref="AO82" si="90">AJ82+1</f>
        <v>46054</v>
      </c>
      <c r="AP82" s="601"/>
      <c r="AQ82" s="601"/>
      <c r="AR82" s="601"/>
      <c r="AS82" s="601"/>
      <c r="AT82" s="590">
        <f t="shared" ref="AT82" si="91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92">Z82</f>
        <v>46051</v>
      </c>
      <c r="AA83" s="593"/>
      <c r="AB83" s="593"/>
      <c r="AC83" s="593"/>
      <c r="AD83" s="593"/>
      <c r="AE83" s="594">
        <f t="shared" ref="AE83" si="93">AE82</f>
        <v>46052</v>
      </c>
      <c r="AF83" s="594"/>
      <c r="AG83" s="594"/>
      <c r="AH83" s="594"/>
      <c r="AI83" s="594"/>
      <c r="AJ83" s="595">
        <f t="shared" ref="AJ83" si="94">AJ82</f>
        <v>46053</v>
      </c>
      <c r="AK83" s="596"/>
      <c r="AL83" s="596"/>
      <c r="AM83" s="596"/>
      <c r="AN83" s="597"/>
      <c r="AO83" s="594">
        <f t="shared" ref="AO83" si="95">AO82</f>
        <v>46054</v>
      </c>
      <c r="AP83" s="594"/>
      <c r="AQ83" s="594"/>
      <c r="AR83" s="594"/>
      <c r="AS83" s="594"/>
      <c r="AT83" s="595">
        <f t="shared" ref="AT83" si="96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466</v>
      </c>
      <c r="C87" s="182">
        <v>1</v>
      </c>
      <c r="D87" s="185"/>
      <c r="E87" s="182"/>
      <c r="F87" s="182"/>
      <c r="G87" s="187" t="e">
        <f t="shared" ref="G87:G101" si="97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98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99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00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01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02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03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04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97"/>
        <v>#DIV/0!</v>
      </c>
      <c r="H88" s="537"/>
      <c r="I88" s="188" t="e">
        <f t="shared" ref="I88:I101" si="105">AVERAGE(P88,U88,Z88,AE88,AJ88,AO88,AT88)</f>
        <v>#DIV/0!</v>
      </c>
      <c r="J88" s="188" t="e">
        <f t="shared" ref="J88:J101" si="106">AVERAGE(Q88,V88,AA88,AF88,AK88,AP88,AU88)</f>
        <v>#DIV/0!</v>
      </c>
      <c r="K88" s="189" t="e">
        <f t="shared" ref="K88:K101" si="107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98"/>
        <v>#DIV/0!</v>
      </c>
      <c r="S88" s="184" t="e">
        <f t="shared" ref="S88:S101" si="108">RANK(R88, R$47:R$61)</f>
        <v>#DIV/0!</v>
      </c>
      <c r="T88" s="537"/>
      <c r="U88" s="182"/>
      <c r="V88" s="182"/>
      <c r="W88" s="187" t="e">
        <f t="shared" si="99"/>
        <v>#DIV/0!</v>
      </c>
      <c r="X88" s="184" t="e">
        <f t="shared" ref="X88:X101" si="109">RANK(W88, W$47:W$61)</f>
        <v>#DIV/0!</v>
      </c>
      <c r="Y88" s="537"/>
      <c r="Z88" s="182"/>
      <c r="AA88" s="182"/>
      <c r="AB88" s="187" t="e">
        <f t="shared" si="100"/>
        <v>#DIV/0!</v>
      </c>
      <c r="AC88" s="184" t="e">
        <f t="shared" ref="AC88:AC101" si="110">RANK(AB88, AB$47:AB$61)</f>
        <v>#DIV/0!</v>
      </c>
      <c r="AD88" s="537"/>
      <c r="AE88" s="182"/>
      <c r="AF88" s="182"/>
      <c r="AG88" s="187" t="e">
        <f t="shared" si="101"/>
        <v>#DIV/0!</v>
      </c>
      <c r="AH88" s="184" t="e">
        <f t="shared" ref="AH88:AH101" si="111">RANK(AG88, AG$47:AG$61)</f>
        <v>#DIV/0!</v>
      </c>
      <c r="AI88" s="537"/>
      <c r="AJ88" s="182"/>
      <c r="AK88" s="182"/>
      <c r="AL88" s="187" t="e">
        <f t="shared" si="102"/>
        <v>#DIV/0!</v>
      </c>
      <c r="AM88" s="184" t="e">
        <f t="shared" ref="AM88:AM101" si="112">RANK(AL88, AL$47:AL$61)</f>
        <v>#DIV/0!</v>
      </c>
      <c r="AN88" s="537"/>
      <c r="AO88" s="182"/>
      <c r="AP88" s="182"/>
      <c r="AQ88" s="187" t="e">
        <f t="shared" si="103"/>
        <v>#DIV/0!</v>
      </c>
      <c r="AR88" s="184" t="e">
        <f t="shared" ref="AR88:AR101" si="113">RANK(AQ88, AQ$47:AQ$61)</f>
        <v>#DIV/0!</v>
      </c>
      <c r="AS88" s="537"/>
      <c r="AT88" s="182"/>
      <c r="AU88" s="182"/>
      <c r="AV88" s="187" t="e">
        <f t="shared" si="104"/>
        <v>#DIV/0!</v>
      </c>
      <c r="AW88" s="184" t="e">
        <f t="shared" ref="AW88:AW101" si="114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97"/>
        <v>#DIV/0!</v>
      </c>
      <c r="H89" s="537"/>
      <c r="I89" s="188" t="e">
        <f t="shared" si="105"/>
        <v>#DIV/0!</v>
      </c>
      <c r="J89" s="188" t="e">
        <f t="shared" si="106"/>
        <v>#DIV/0!</v>
      </c>
      <c r="K89" s="189" t="e">
        <f t="shared" si="107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98"/>
        <v>#DIV/0!</v>
      </c>
      <c r="S89" s="184" t="e">
        <f t="shared" si="108"/>
        <v>#DIV/0!</v>
      </c>
      <c r="T89" s="537"/>
      <c r="U89" s="182"/>
      <c r="V89" s="182"/>
      <c r="W89" s="187" t="e">
        <f t="shared" si="99"/>
        <v>#DIV/0!</v>
      </c>
      <c r="X89" s="184" t="e">
        <f t="shared" si="109"/>
        <v>#DIV/0!</v>
      </c>
      <c r="Y89" s="537"/>
      <c r="Z89" s="182"/>
      <c r="AA89" s="182"/>
      <c r="AB89" s="187" t="e">
        <f t="shared" si="100"/>
        <v>#DIV/0!</v>
      </c>
      <c r="AC89" s="184" t="e">
        <f t="shared" si="110"/>
        <v>#DIV/0!</v>
      </c>
      <c r="AD89" s="537"/>
      <c r="AE89" s="182"/>
      <c r="AF89" s="182"/>
      <c r="AG89" s="187" t="e">
        <f t="shared" si="101"/>
        <v>#DIV/0!</v>
      </c>
      <c r="AH89" s="184" t="e">
        <f t="shared" si="111"/>
        <v>#DIV/0!</v>
      </c>
      <c r="AI89" s="537"/>
      <c r="AJ89" s="182"/>
      <c r="AK89" s="182"/>
      <c r="AL89" s="187" t="e">
        <f t="shared" si="102"/>
        <v>#DIV/0!</v>
      </c>
      <c r="AM89" s="184" t="e">
        <f t="shared" si="112"/>
        <v>#DIV/0!</v>
      </c>
      <c r="AN89" s="537"/>
      <c r="AO89" s="182"/>
      <c r="AP89" s="182"/>
      <c r="AQ89" s="187" t="e">
        <f t="shared" si="103"/>
        <v>#DIV/0!</v>
      </c>
      <c r="AR89" s="184" t="e">
        <f t="shared" si="113"/>
        <v>#DIV/0!</v>
      </c>
      <c r="AS89" s="537"/>
      <c r="AT89" s="182"/>
      <c r="AU89" s="182"/>
      <c r="AV89" s="187" t="e">
        <f t="shared" si="104"/>
        <v>#DIV/0!</v>
      </c>
      <c r="AW89" s="184" t="e">
        <f t="shared" si="114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97"/>
        <v>#DIV/0!</v>
      </c>
      <c r="H90" s="537"/>
      <c r="I90" s="188" t="e">
        <f t="shared" si="105"/>
        <v>#DIV/0!</v>
      </c>
      <c r="J90" s="188" t="e">
        <f t="shared" si="106"/>
        <v>#DIV/0!</v>
      </c>
      <c r="K90" s="189" t="e">
        <f t="shared" si="107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98"/>
        <v>#DIV/0!</v>
      </c>
      <c r="S90" s="184" t="e">
        <f t="shared" si="108"/>
        <v>#DIV/0!</v>
      </c>
      <c r="T90" s="537"/>
      <c r="U90" s="182"/>
      <c r="V90" s="182"/>
      <c r="W90" s="187" t="e">
        <f t="shared" si="99"/>
        <v>#DIV/0!</v>
      </c>
      <c r="X90" s="184" t="e">
        <f t="shared" si="109"/>
        <v>#DIV/0!</v>
      </c>
      <c r="Y90" s="537"/>
      <c r="Z90" s="182"/>
      <c r="AA90" s="182"/>
      <c r="AB90" s="187" t="e">
        <f t="shared" si="100"/>
        <v>#DIV/0!</v>
      </c>
      <c r="AC90" s="184" t="e">
        <f t="shared" si="110"/>
        <v>#DIV/0!</v>
      </c>
      <c r="AD90" s="537"/>
      <c r="AE90" s="182"/>
      <c r="AF90" s="182"/>
      <c r="AG90" s="187" t="e">
        <f t="shared" si="101"/>
        <v>#DIV/0!</v>
      </c>
      <c r="AH90" s="184" t="e">
        <f t="shared" si="111"/>
        <v>#DIV/0!</v>
      </c>
      <c r="AI90" s="537"/>
      <c r="AJ90" s="182"/>
      <c r="AK90" s="182"/>
      <c r="AL90" s="187" t="e">
        <f t="shared" si="102"/>
        <v>#DIV/0!</v>
      </c>
      <c r="AM90" s="184" t="e">
        <f t="shared" si="112"/>
        <v>#DIV/0!</v>
      </c>
      <c r="AN90" s="537"/>
      <c r="AO90" s="182"/>
      <c r="AP90" s="182"/>
      <c r="AQ90" s="187" t="e">
        <f t="shared" si="103"/>
        <v>#DIV/0!</v>
      </c>
      <c r="AR90" s="184" t="e">
        <f t="shared" si="113"/>
        <v>#DIV/0!</v>
      </c>
      <c r="AS90" s="537"/>
      <c r="AT90" s="182"/>
      <c r="AU90" s="182"/>
      <c r="AV90" s="187" t="e">
        <f t="shared" si="104"/>
        <v>#DIV/0!</v>
      </c>
      <c r="AW90" s="184" t="e">
        <f t="shared" si="114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97"/>
        <v>#DIV/0!</v>
      </c>
      <c r="H91" s="537"/>
      <c r="I91" s="188" t="e">
        <f t="shared" si="105"/>
        <v>#DIV/0!</v>
      </c>
      <c r="J91" s="188" t="e">
        <f t="shared" si="106"/>
        <v>#DIV/0!</v>
      </c>
      <c r="K91" s="189" t="e">
        <f t="shared" si="107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98"/>
        <v>#DIV/0!</v>
      </c>
      <c r="S91" s="184" t="e">
        <f t="shared" si="108"/>
        <v>#DIV/0!</v>
      </c>
      <c r="T91" s="537"/>
      <c r="U91" s="182"/>
      <c r="V91" s="182"/>
      <c r="W91" s="187" t="e">
        <f t="shared" si="99"/>
        <v>#DIV/0!</v>
      </c>
      <c r="X91" s="184" t="e">
        <f t="shared" si="109"/>
        <v>#DIV/0!</v>
      </c>
      <c r="Y91" s="537"/>
      <c r="Z91" s="182"/>
      <c r="AA91" s="182"/>
      <c r="AB91" s="187" t="e">
        <f t="shared" si="100"/>
        <v>#DIV/0!</v>
      </c>
      <c r="AC91" s="184" t="e">
        <f t="shared" si="110"/>
        <v>#DIV/0!</v>
      </c>
      <c r="AD91" s="537"/>
      <c r="AE91" s="182"/>
      <c r="AF91" s="182"/>
      <c r="AG91" s="187" t="e">
        <f t="shared" si="101"/>
        <v>#DIV/0!</v>
      </c>
      <c r="AH91" s="184" t="e">
        <f t="shared" si="111"/>
        <v>#DIV/0!</v>
      </c>
      <c r="AI91" s="537"/>
      <c r="AJ91" s="182"/>
      <c r="AK91" s="182"/>
      <c r="AL91" s="187" t="e">
        <f t="shared" si="102"/>
        <v>#DIV/0!</v>
      </c>
      <c r="AM91" s="184" t="e">
        <f t="shared" si="112"/>
        <v>#DIV/0!</v>
      </c>
      <c r="AN91" s="537"/>
      <c r="AO91" s="182"/>
      <c r="AP91" s="182"/>
      <c r="AQ91" s="187" t="e">
        <f t="shared" si="103"/>
        <v>#DIV/0!</v>
      </c>
      <c r="AR91" s="184" t="e">
        <f t="shared" si="113"/>
        <v>#DIV/0!</v>
      </c>
      <c r="AS91" s="537"/>
      <c r="AT91" s="182"/>
      <c r="AU91" s="182"/>
      <c r="AV91" s="187" t="e">
        <f t="shared" si="104"/>
        <v>#DIV/0!</v>
      </c>
      <c r="AW91" s="184" t="e">
        <f t="shared" si="114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97"/>
        <v>#DIV/0!</v>
      </c>
      <c r="H92" s="537"/>
      <c r="I92" s="188" t="e">
        <f t="shared" si="105"/>
        <v>#DIV/0!</v>
      </c>
      <c r="J92" s="188" t="e">
        <f t="shared" si="106"/>
        <v>#DIV/0!</v>
      </c>
      <c r="K92" s="189" t="e">
        <f t="shared" si="107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98"/>
        <v>#DIV/0!</v>
      </c>
      <c r="S92" s="184" t="e">
        <f t="shared" si="108"/>
        <v>#DIV/0!</v>
      </c>
      <c r="T92" s="537"/>
      <c r="U92" s="182"/>
      <c r="V92" s="182"/>
      <c r="W92" s="187" t="e">
        <f t="shared" si="99"/>
        <v>#DIV/0!</v>
      </c>
      <c r="X92" s="184" t="e">
        <f t="shared" si="109"/>
        <v>#DIV/0!</v>
      </c>
      <c r="Y92" s="537"/>
      <c r="Z92" s="182"/>
      <c r="AA92" s="182"/>
      <c r="AB92" s="187" t="e">
        <f t="shared" si="100"/>
        <v>#DIV/0!</v>
      </c>
      <c r="AC92" s="184" t="e">
        <f t="shared" si="110"/>
        <v>#DIV/0!</v>
      </c>
      <c r="AD92" s="537"/>
      <c r="AE92" s="182"/>
      <c r="AF92" s="182"/>
      <c r="AG92" s="187" t="e">
        <f t="shared" si="101"/>
        <v>#DIV/0!</v>
      </c>
      <c r="AH92" s="184" t="e">
        <f t="shared" si="111"/>
        <v>#DIV/0!</v>
      </c>
      <c r="AI92" s="537"/>
      <c r="AJ92" s="182"/>
      <c r="AK92" s="182"/>
      <c r="AL92" s="187" t="e">
        <f t="shared" si="102"/>
        <v>#DIV/0!</v>
      </c>
      <c r="AM92" s="184" t="e">
        <f t="shared" si="112"/>
        <v>#DIV/0!</v>
      </c>
      <c r="AN92" s="537"/>
      <c r="AO92" s="182"/>
      <c r="AP92" s="182"/>
      <c r="AQ92" s="187" t="e">
        <f t="shared" si="103"/>
        <v>#DIV/0!</v>
      </c>
      <c r="AR92" s="184" t="e">
        <f t="shared" si="113"/>
        <v>#DIV/0!</v>
      </c>
      <c r="AS92" s="537"/>
      <c r="AT92" s="182"/>
      <c r="AU92" s="182"/>
      <c r="AV92" s="187" t="e">
        <f t="shared" si="104"/>
        <v>#DIV/0!</v>
      </c>
      <c r="AW92" s="184" t="e">
        <f t="shared" si="114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97"/>
        <v>#DIV/0!</v>
      </c>
      <c r="H93" s="537"/>
      <c r="I93" s="188" t="e">
        <f t="shared" si="105"/>
        <v>#DIV/0!</v>
      </c>
      <c r="J93" s="188" t="e">
        <f t="shared" si="106"/>
        <v>#DIV/0!</v>
      </c>
      <c r="K93" s="189" t="e">
        <f t="shared" si="107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98"/>
        <v>#DIV/0!</v>
      </c>
      <c r="S93" s="184" t="e">
        <f t="shared" si="108"/>
        <v>#DIV/0!</v>
      </c>
      <c r="T93" s="537"/>
      <c r="U93" s="182"/>
      <c r="V93" s="182"/>
      <c r="W93" s="187" t="e">
        <f t="shared" si="99"/>
        <v>#DIV/0!</v>
      </c>
      <c r="X93" s="184" t="e">
        <f t="shared" si="109"/>
        <v>#DIV/0!</v>
      </c>
      <c r="Y93" s="537"/>
      <c r="Z93" s="182"/>
      <c r="AA93" s="182"/>
      <c r="AB93" s="187" t="e">
        <f t="shared" si="100"/>
        <v>#DIV/0!</v>
      </c>
      <c r="AC93" s="184" t="e">
        <f t="shared" si="110"/>
        <v>#DIV/0!</v>
      </c>
      <c r="AD93" s="537"/>
      <c r="AE93" s="182"/>
      <c r="AF93" s="182"/>
      <c r="AG93" s="187" t="e">
        <f t="shared" si="101"/>
        <v>#DIV/0!</v>
      </c>
      <c r="AH93" s="184" t="e">
        <f t="shared" si="111"/>
        <v>#DIV/0!</v>
      </c>
      <c r="AI93" s="537"/>
      <c r="AJ93" s="182"/>
      <c r="AK93" s="182"/>
      <c r="AL93" s="187" t="e">
        <f t="shared" si="102"/>
        <v>#DIV/0!</v>
      </c>
      <c r="AM93" s="184" t="e">
        <f t="shared" si="112"/>
        <v>#DIV/0!</v>
      </c>
      <c r="AN93" s="537"/>
      <c r="AO93" s="182"/>
      <c r="AP93" s="182"/>
      <c r="AQ93" s="187" t="e">
        <f t="shared" si="103"/>
        <v>#DIV/0!</v>
      </c>
      <c r="AR93" s="184" t="e">
        <f t="shared" si="113"/>
        <v>#DIV/0!</v>
      </c>
      <c r="AS93" s="537"/>
      <c r="AT93" s="182"/>
      <c r="AU93" s="182"/>
      <c r="AV93" s="187" t="e">
        <f t="shared" si="104"/>
        <v>#DIV/0!</v>
      </c>
      <c r="AW93" s="184" t="e">
        <f t="shared" si="114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97"/>
        <v>#DIV/0!</v>
      </c>
      <c r="H94" s="537"/>
      <c r="I94" s="188" t="e">
        <f t="shared" si="105"/>
        <v>#DIV/0!</v>
      </c>
      <c r="J94" s="188" t="e">
        <f t="shared" si="106"/>
        <v>#DIV/0!</v>
      </c>
      <c r="K94" s="189" t="e">
        <f t="shared" si="107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98"/>
        <v>#DIV/0!</v>
      </c>
      <c r="S94" s="184" t="e">
        <f t="shared" si="108"/>
        <v>#DIV/0!</v>
      </c>
      <c r="T94" s="537"/>
      <c r="U94" s="182"/>
      <c r="V94" s="182"/>
      <c r="W94" s="187" t="e">
        <f t="shared" si="99"/>
        <v>#DIV/0!</v>
      </c>
      <c r="X94" s="184" t="e">
        <f t="shared" si="109"/>
        <v>#DIV/0!</v>
      </c>
      <c r="Y94" s="537"/>
      <c r="Z94" s="182"/>
      <c r="AA94" s="182"/>
      <c r="AB94" s="187" t="e">
        <f t="shared" si="100"/>
        <v>#DIV/0!</v>
      </c>
      <c r="AC94" s="184" t="e">
        <f t="shared" si="110"/>
        <v>#DIV/0!</v>
      </c>
      <c r="AD94" s="537"/>
      <c r="AE94" s="182"/>
      <c r="AF94" s="182"/>
      <c r="AG94" s="187" t="e">
        <f t="shared" si="101"/>
        <v>#DIV/0!</v>
      </c>
      <c r="AH94" s="184" t="e">
        <f t="shared" si="111"/>
        <v>#DIV/0!</v>
      </c>
      <c r="AI94" s="537"/>
      <c r="AJ94" s="182"/>
      <c r="AK94" s="182"/>
      <c r="AL94" s="187" t="e">
        <f t="shared" si="102"/>
        <v>#DIV/0!</v>
      </c>
      <c r="AM94" s="184" t="e">
        <f t="shared" si="112"/>
        <v>#DIV/0!</v>
      </c>
      <c r="AN94" s="537"/>
      <c r="AO94" s="182"/>
      <c r="AP94" s="182"/>
      <c r="AQ94" s="187" t="e">
        <f t="shared" si="103"/>
        <v>#DIV/0!</v>
      </c>
      <c r="AR94" s="184" t="e">
        <f t="shared" si="113"/>
        <v>#DIV/0!</v>
      </c>
      <c r="AS94" s="537"/>
      <c r="AT94" s="182"/>
      <c r="AU94" s="182"/>
      <c r="AV94" s="187" t="e">
        <f t="shared" si="104"/>
        <v>#DIV/0!</v>
      </c>
      <c r="AW94" s="184" t="e">
        <f t="shared" si="114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97"/>
        <v>#DIV/0!</v>
      </c>
      <c r="H95" s="537"/>
      <c r="I95" s="188" t="e">
        <f t="shared" si="105"/>
        <v>#DIV/0!</v>
      </c>
      <c r="J95" s="188" t="e">
        <f t="shared" si="106"/>
        <v>#DIV/0!</v>
      </c>
      <c r="K95" s="189" t="e">
        <f t="shared" si="107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98"/>
        <v>#DIV/0!</v>
      </c>
      <c r="S95" s="184" t="e">
        <f t="shared" si="108"/>
        <v>#DIV/0!</v>
      </c>
      <c r="T95" s="537"/>
      <c r="U95" s="182"/>
      <c r="V95" s="182"/>
      <c r="W95" s="187" t="e">
        <f t="shared" si="99"/>
        <v>#DIV/0!</v>
      </c>
      <c r="X95" s="184" t="e">
        <f t="shared" si="109"/>
        <v>#DIV/0!</v>
      </c>
      <c r="Y95" s="537"/>
      <c r="Z95" s="182"/>
      <c r="AA95" s="182"/>
      <c r="AB95" s="187" t="e">
        <f t="shared" si="100"/>
        <v>#DIV/0!</v>
      </c>
      <c r="AC95" s="184" t="e">
        <f t="shared" si="110"/>
        <v>#DIV/0!</v>
      </c>
      <c r="AD95" s="537"/>
      <c r="AE95" s="182"/>
      <c r="AF95" s="182"/>
      <c r="AG95" s="187" t="e">
        <f t="shared" si="101"/>
        <v>#DIV/0!</v>
      </c>
      <c r="AH95" s="184" t="e">
        <f t="shared" si="111"/>
        <v>#DIV/0!</v>
      </c>
      <c r="AI95" s="537"/>
      <c r="AJ95" s="182"/>
      <c r="AK95" s="182"/>
      <c r="AL95" s="187" t="e">
        <f t="shared" si="102"/>
        <v>#DIV/0!</v>
      </c>
      <c r="AM95" s="184" t="e">
        <f t="shared" si="112"/>
        <v>#DIV/0!</v>
      </c>
      <c r="AN95" s="537"/>
      <c r="AO95" s="182"/>
      <c r="AP95" s="182"/>
      <c r="AQ95" s="187" t="e">
        <f t="shared" si="103"/>
        <v>#DIV/0!</v>
      </c>
      <c r="AR95" s="184" t="e">
        <f t="shared" si="113"/>
        <v>#DIV/0!</v>
      </c>
      <c r="AS95" s="537"/>
      <c r="AT95" s="182"/>
      <c r="AU95" s="182"/>
      <c r="AV95" s="187" t="e">
        <f t="shared" si="104"/>
        <v>#DIV/0!</v>
      </c>
      <c r="AW95" s="184" t="e">
        <f t="shared" si="114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97"/>
        <v>#DIV/0!</v>
      </c>
      <c r="H96" s="537"/>
      <c r="I96" s="188" t="e">
        <f t="shared" si="105"/>
        <v>#DIV/0!</v>
      </c>
      <c r="J96" s="188" t="e">
        <f t="shared" si="106"/>
        <v>#DIV/0!</v>
      </c>
      <c r="K96" s="189" t="e">
        <f t="shared" si="107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98"/>
        <v>#DIV/0!</v>
      </c>
      <c r="S96" s="184" t="e">
        <f t="shared" si="108"/>
        <v>#DIV/0!</v>
      </c>
      <c r="T96" s="537"/>
      <c r="U96" s="182"/>
      <c r="V96" s="182"/>
      <c r="W96" s="187" t="e">
        <f t="shared" si="99"/>
        <v>#DIV/0!</v>
      </c>
      <c r="X96" s="184" t="e">
        <f t="shared" si="109"/>
        <v>#DIV/0!</v>
      </c>
      <c r="Y96" s="537"/>
      <c r="Z96" s="182"/>
      <c r="AA96" s="182"/>
      <c r="AB96" s="187" t="e">
        <f t="shared" si="100"/>
        <v>#DIV/0!</v>
      </c>
      <c r="AC96" s="184" t="e">
        <f t="shared" si="110"/>
        <v>#DIV/0!</v>
      </c>
      <c r="AD96" s="537"/>
      <c r="AE96" s="182"/>
      <c r="AF96" s="182"/>
      <c r="AG96" s="187" t="e">
        <f t="shared" si="101"/>
        <v>#DIV/0!</v>
      </c>
      <c r="AH96" s="184" t="e">
        <f t="shared" si="111"/>
        <v>#DIV/0!</v>
      </c>
      <c r="AI96" s="537"/>
      <c r="AJ96" s="182"/>
      <c r="AK96" s="182"/>
      <c r="AL96" s="187" t="e">
        <f t="shared" si="102"/>
        <v>#DIV/0!</v>
      </c>
      <c r="AM96" s="184" t="e">
        <f t="shared" si="112"/>
        <v>#DIV/0!</v>
      </c>
      <c r="AN96" s="537"/>
      <c r="AO96" s="182"/>
      <c r="AP96" s="182"/>
      <c r="AQ96" s="187" t="e">
        <f t="shared" si="103"/>
        <v>#DIV/0!</v>
      </c>
      <c r="AR96" s="184" t="e">
        <f t="shared" si="113"/>
        <v>#DIV/0!</v>
      </c>
      <c r="AS96" s="537"/>
      <c r="AT96" s="182"/>
      <c r="AU96" s="182"/>
      <c r="AV96" s="187" t="e">
        <f t="shared" si="104"/>
        <v>#DIV/0!</v>
      </c>
      <c r="AW96" s="184" t="e">
        <f t="shared" si="114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97"/>
        <v>#DIV/0!</v>
      </c>
      <c r="H97" s="537"/>
      <c r="I97" s="188" t="e">
        <f t="shared" si="105"/>
        <v>#DIV/0!</v>
      </c>
      <c r="J97" s="188" t="e">
        <f t="shared" si="106"/>
        <v>#DIV/0!</v>
      </c>
      <c r="K97" s="189" t="e">
        <f t="shared" si="107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98"/>
        <v>#DIV/0!</v>
      </c>
      <c r="S97" s="184" t="e">
        <f t="shared" si="108"/>
        <v>#DIV/0!</v>
      </c>
      <c r="T97" s="537"/>
      <c r="U97" s="182"/>
      <c r="V97" s="182"/>
      <c r="W97" s="187" t="e">
        <f t="shared" si="99"/>
        <v>#DIV/0!</v>
      </c>
      <c r="X97" s="184" t="e">
        <f t="shared" si="109"/>
        <v>#DIV/0!</v>
      </c>
      <c r="Y97" s="537"/>
      <c r="Z97" s="182"/>
      <c r="AA97" s="182"/>
      <c r="AB97" s="187" t="e">
        <f t="shared" si="100"/>
        <v>#DIV/0!</v>
      </c>
      <c r="AC97" s="184" t="e">
        <f t="shared" si="110"/>
        <v>#DIV/0!</v>
      </c>
      <c r="AD97" s="537"/>
      <c r="AE97" s="182"/>
      <c r="AF97" s="182"/>
      <c r="AG97" s="187" t="e">
        <f t="shared" si="101"/>
        <v>#DIV/0!</v>
      </c>
      <c r="AH97" s="184" t="e">
        <f t="shared" si="111"/>
        <v>#DIV/0!</v>
      </c>
      <c r="AI97" s="537"/>
      <c r="AJ97" s="182"/>
      <c r="AK97" s="182"/>
      <c r="AL97" s="187" t="e">
        <f t="shared" si="102"/>
        <v>#DIV/0!</v>
      </c>
      <c r="AM97" s="184" t="e">
        <f t="shared" si="112"/>
        <v>#DIV/0!</v>
      </c>
      <c r="AN97" s="537"/>
      <c r="AO97" s="182"/>
      <c r="AP97" s="182"/>
      <c r="AQ97" s="187" t="e">
        <f t="shared" si="103"/>
        <v>#DIV/0!</v>
      </c>
      <c r="AR97" s="184" t="e">
        <f t="shared" si="113"/>
        <v>#DIV/0!</v>
      </c>
      <c r="AS97" s="537"/>
      <c r="AT97" s="182"/>
      <c r="AU97" s="182"/>
      <c r="AV97" s="187" t="e">
        <f t="shared" si="104"/>
        <v>#DIV/0!</v>
      </c>
      <c r="AW97" s="184" t="e">
        <f t="shared" si="114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97"/>
        <v>#DIV/0!</v>
      </c>
      <c r="H98" s="537"/>
      <c r="I98" s="188" t="e">
        <f t="shared" si="105"/>
        <v>#DIV/0!</v>
      </c>
      <c r="J98" s="188" t="e">
        <f t="shared" si="106"/>
        <v>#DIV/0!</v>
      </c>
      <c r="K98" s="189" t="e">
        <f t="shared" si="107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98"/>
        <v>#DIV/0!</v>
      </c>
      <c r="S98" s="184" t="e">
        <f t="shared" si="108"/>
        <v>#DIV/0!</v>
      </c>
      <c r="T98" s="537"/>
      <c r="U98" s="182"/>
      <c r="V98" s="182"/>
      <c r="W98" s="187" t="e">
        <f t="shared" si="99"/>
        <v>#DIV/0!</v>
      </c>
      <c r="X98" s="184" t="e">
        <f t="shared" si="109"/>
        <v>#DIV/0!</v>
      </c>
      <c r="Y98" s="537"/>
      <c r="Z98" s="182"/>
      <c r="AA98" s="182"/>
      <c r="AB98" s="187" t="e">
        <f t="shared" si="100"/>
        <v>#DIV/0!</v>
      </c>
      <c r="AC98" s="184" t="e">
        <f t="shared" si="110"/>
        <v>#DIV/0!</v>
      </c>
      <c r="AD98" s="537"/>
      <c r="AE98" s="182"/>
      <c r="AF98" s="182"/>
      <c r="AG98" s="187" t="e">
        <f t="shared" si="101"/>
        <v>#DIV/0!</v>
      </c>
      <c r="AH98" s="184" t="e">
        <f t="shared" si="111"/>
        <v>#DIV/0!</v>
      </c>
      <c r="AI98" s="537"/>
      <c r="AJ98" s="182"/>
      <c r="AK98" s="182"/>
      <c r="AL98" s="187" t="e">
        <f t="shared" si="102"/>
        <v>#DIV/0!</v>
      </c>
      <c r="AM98" s="184" t="e">
        <f t="shared" si="112"/>
        <v>#DIV/0!</v>
      </c>
      <c r="AN98" s="537"/>
      <c r="AO98" s="182"/>
      <c r="AP98" s="182"/>
      <c r="AQ98" s="187" t="e">
        <f t="shared" si="103"/>
        <v>#DIV/0!</v>
      </c>
      <c r="AR98" s="184" t="e">
        <f t="shared" si="113"/>
        <v>#DIV/0!</v>
      </c>
      <c r="AS98" s="537"/>
      <c r="AT98" s="182"/>
      <c r="AU98" s="182"/>
      <c r="AV98" s="187" t="e">
        <f t="shared" si="104"/>
        <v>#DIV/0!</v>
      </c>
      <c r="AW98" s="184" t="e">
        <f t="shared" si="114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97"/>
        <v>#DIV/0!</v>
      </c>
      <c r="H99" s="537"/>
      <c r="I99" s="188" t="e">
        <f t="shared" si="105"/>
        <v>#DIV/0!</v>
      </c>
      <c r="J99" s="188" t="e">
        <f t="shared" si="106"/>
        <v>#DIV/0!</v>
      </c>
      <c r="K99" s="189" t="e">
        <f t="shared" si="107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98"/>
        <v>#DIV/0!</v>
      </c>
      <c r="S99" s="184" t="e">
        <f t="shared" si="108"/>
        <v>#DIV/0!</v>
      </c>
      <c r="T99" s="537"/>
      <c r="U99" s="182"/>
      <c r="V99" s="182"/>
      <c r="W99" s="187" t="e">
        <f t="shared" si="99"/>
        <v>#DIV/0!</v>
      </c>
      <c r="X99" s="184" t="e">
        <f t="shared" si="109"/>
        <v>#DIV/0!</v>
      </c>
      <c r="Y99" s="537"/>
      <c r="Z99" s="182"/>
      <c r="AA99" s="182"/>
      <c r="AB99" s="187" t="e">
        <f t="shared" si="100"/>
        <v>#DIV/0!</v>
      </c>
      <c r="AC99" s="184" t="e">
        <f t="shared" si="110"/>
        <v>#DIV/0!</v>
      </c>
      <c r="AD99" s="537"/>
      <c r="AE99" s="182"/>
      <c r="AF99" s="182"/>
      <c r="AG99" s="187" t="e">
        <f t="shared" si="101"/>
        <v>#DIV/0!</v>
      </c>
      <c r="AH99" s="184" t="e">
        <f t="shared" si="111"/>
        <v>#DIV/0!</v>
      </c>
      <c r="AI99" s="537"/>
      <c r="AJ99" s="182"/>
      <c r="AK99" s="182"/>
      <c r="AL99" s="187" t="e">
        <f t="shared" si="102"/>
        <v>#DIV/0!</v>
      </c>
      <c r="AM99" s="184" t="e">
        <f t="shared" si="112"/>
        <v>#DIV/0!</v>
      </c>
      <c r="AN99" s="537"/>
      <c r="AO99" s="182"/>
      <c r="AP99" s="182"/>
      <c r="AQ99" s="187" t="e">
        <f t="shared" si="103"/>
        <v>#DIV/0!</v>
      </c>
      <c r="AR99" s="184" t="e">
        <f t="shared" si="113"/>
        <v>#DIV/0!</v>
      </c>
      <c r="AS99" s="537"/>
      <c r="AT99" s="182"/>
      <c r="AU99" s="182"/>
      <c r="AV99" s="187" t="e">
        <f t="shared" si="104"/>
        <v>#DIV/0!</v>
      </c>
      <c r="AW99" s="184" t="e">
        <f t="shared" si="114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97"/>
        <v>#DIV/0!</v>
      </c>
      <c r="H100" s="537"/>
      <c r="I100" s="188" t="e">
        <f t="shared" si="105"/>
        <v>#DIV/0!</v>
      </c>
      <c r="J100" s="188" t="e">
        <f t="shared" si="106"/>
        <v>#DIV/0!</v>
      </c>
      <c r="K100" s="189" t="e">
        <f t="shared" si="107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98"/>
        <v>#DIV/0!</v>
      </c>
      <c r="S100" s="184" t="e">
        <f t="shared" si="108"/>
        <v>#DIV/0!</v>
      </c>
      <c r="T100" s="537"/>
      <c r="U100" s="182"/>
      <c r="V100" s="182"/>
      <c r="W100" s="187" t="e">
        <f t="shared" si="99"/>
        <v>#DIV/0!</v>
      </c>
      <c r="X100" s="184" t="e">
        <f t="shared" si="109"/>
        <v>#DIV/0!</v>
      </c>
      <c r="Y100" s="537"/>
      <c r="Z100" s="182"/>
      <c r="AA100" s="182"/>
      <c r="AB100" s="187" t="e">
        <f t="shared" si="100"/>
        <v>#DIV/0!</v>
      </c>
      <c r="AC100" s="184" t="e">
        <f t="shared" si="110"/>
        <v>#DIV/0!</v>
      </c>
      <c r="AD100" s="537"/>
      <c r="AE100" s="182"/>
      <c r="AF100" s="182"/>
      <c r="AG100" s="187" t="e">
        <f t="shared" si="101"/>
        <v>#DIV/0!</v>
      </c>
      <c r="AH100" s="184" t="e">
        <f t="shared" si="111"/>
        <v>#DIV/0!</v>
      </c>
      <c r="AI100" s="537"/>
      <c r="AJ100" s="182"/>
      <c r="AK100" s="182"/>
      <c r="AL100" s="187" t="e">
        <f t="shared" si="102"/>
        <v>#DIV/0!</v>
      </c>
      <c r="AM100" s="184" t="e">
        <f t="shared" si="112"/>
        <v>#DIV/0!</v>
      </c>
      <c r="AN100" s="537"/>
      <c r="AO100" s="182"/>
      <c r="AP100" s="182"/>
      <c r="AQ100" s="187" t="e">
        <f t="shared" si="103"/>
        <v>#DIV/0!</v>
      </c>
      <c r="AR100" s="184" t="e">
        <f t="shared" si="113"/>
        <v>#DIV/0!</v>
      </c>
      <c r="AS100" s="537"/>
      <c r="AT100" s="182"/>
      <c r="AU100" s="182"/>
      <c r="AV100" s="187" t="e">
        <f t="shared" si="104"/>
        <v>#DIV/0!</v>
      </c>
      <c r="AW100" s="184" t="e">
        <f t="shared" si="114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97"/>
        <v>#DIV/0!</v>
      </c>
      <c r="H101" s="537"/>
      <c r="I101" s="188" t="e">
        <f t="shared" si="105"/>
        <v>#DIV/0!</v>
      </c>
      <c r="J101" s="188" t="e">
        <f t="shared" si="106"/>
        <v>#DIV/0!</v>
      </c>
      <c r="K101" s="189" t="e">
        <f t="shared" si="107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08"/>
        <v>#DIV/0!</v>
      </c>
      <c r="T101" s="537"/>
      <c r="U101" s="182"/>
      <c r="V101" s="186"/>
      <c r="W101" s="187" t="e">
        <f>V101/U101</f>
        <v>#DIV/0!</v>
      </c>
      <c r="X101" s="184" t="e">
        <f t="shared" si="109"/>
        <v>#DIV/0!</v>
      </c>
      <c r="Y101" s="537"/>
      <c r="Z101" s="182"/>
      <c r="AA101" s="186"/>
      <c r="AB101" s="187" t="e">
        <f>AA101/Z101</f>
        <v>#DIV/0!</v>
      </c>
      <c r="AC101" s="184" t="e">
        <f t="shared" si="110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11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12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13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14"/>
        <v>#DIV/0!</v>
      </c>
      <c r="AX101" s="537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conditionalFormatting sqref="A4:A21">
    <cfRule type="expression" dxfId="12" priority="1">
      <formula>A4&lt;0</formula>
    </cfRule>
    <cfRule type="expression" dxfId="11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Y27" activePane="bottomRight" state="frozen"/>
      <selection activeCell="L95" sqref="L95"/>
      <selection pane="topRight" activeCell="L95" sqref="L95"/>
      <selection pane="bottomLeft" activeCell="L95" sqref="L95"/>
      <selection pane="bottomRight" activeCell="AH67" sqref="AH6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16384" width="8.81640625" style="78"/>
  </cols>
  <sheetData>
    <row r="1" spans="1:50" ht="24.5">
      <c r="A1" s="74"/>
      <c r="B1" s="374" t="s">
        <v>523</v>
      </c>
      <c r="C1" s="177">
        <f>AVERAGE(L7,L27,L47,L67,L87)</f>
        <v>111.82978875996693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391</v>
      </c>
      <c r="C7" s="182">
        <v>1</v>
      </c>
      <c r="D7" s="185" t="s">
        <v>508</v>
      </c>
      <c r="E7" s="182">
        <v>19</v>
      </c>
      <c r="F7" s="182">
        <v>1800</v>
      </c>
      <c r="G7" s="187">
        <f t="shared" ref="G7:G9" si="10">F7/E7</f>
        <v>94.736842105263165</v>
      </c>
      <c r="H7" s="537">
        <f>AVERAGE(G7:G21)</f>
        <v>128.07017543859649</v>
      </c>
      <c r="I7" s="188">
        <f>AVERAGE(P7,U7,Z7,AE7,AJ7,AO7,AT7)</f>
        <v>19</v>
      </c>
      <c r="J7" s="188">
        <f>AVERAGE(Q7,V7,AA7,AF7,AK7,AP7,AU7)</f>
        <v>1598.6267061501296</v>
      </c>
      <c r="K7" s="189">
        <f>AVERAGE(R7,W7,AB7,AG7,AL7,AQ7,AV7)</f>
        <v>84.138247692112103</v>
      </c>
      <c r="L7" s="538">
        <f>IFERROR(AVERAGE(K7:K21),"-")</f>
        <v>113.55482046433671</v>
      </c>
      <c r="M7" s="188">
        <f>RANK(K7, K$7:$K$21)</f>
        <v>3</v>
      </c>
      <c r="N7" s="501"/>
      <c r="O7" s="501"/>
      <c r="P7" s="186">
        <v>19</v>
      </c>
      <c r="Q7" s="186">
        <v>1597.4671212859259</v>
      </c>
      <c r="R7" s="187">
        <f t="shared" ref="R7:R9" si="11">Q7/P7</f>
        <v>84.077216909785577</v>
      </c>
      <c r="S7" s="184">
        <f>RANK(R7, R$7:R$21)</f>
        <v>3</v>
      </c>
      <c r="T7" s="537">
        <f>AVERAGE(R7:R21)</f>
        <v>113.47648040477686</v>
      </c>
      <c r="U7" s="186">
        <v>19</v>
      </c>
      <c r="V7" s="186">
        <v>1597.67035527082</v>
      </c>
      <c r="W7" s="187">
        <f t="shared" ref="W7:W9" si="12">V7/U7</f>
        <v>84.087913435306319</v>
      </c>
      <c r="X7" s="184">
        <f>RANK(W7, W$7:W$21)</f>
        <v>3</v>
      </c>
      <c r="Y7" s="537">
        <f>AVERAGE(W7:W21)</f>
        <v>113.49859128394201</v>
      </c>
      <c r="Z7" s="186">
        <v>19</v>
      </c>
      <c r="AA7" s="186">
        <v>1597.6712942230213</v>
      </c>
      <c r="AB7" s="187">
        <f t="shared" ref="AB7:AB9" si="13">AA7/Z7</f>
        <v>84.087962853843223</v>
      </c>
      <c r="AC7" s="184">
        <f>RANK(AB7, AB$7:AB$21)</f>
        <v>3</v>
      </c>
      <c r="AD7" s="537">
        <f>AVERAGE(AB7:AB21)</f>
        <v>113.52675401693375</v>
      </c>
      <c r="AE7" s="186">
        <v>19</v>
      </c>
      <c r="AF7" s="186">
        <v>1598.2300884955741</v>
      </c>
      <c r="AG7" s="187">
        <f t="shared" ref="AG7:AG9" si="14">AF7/AE7</f>
        <v>84.117373078714422</v>
      </c>
      <c r="AH7" s="184">
        <f>RANK(AG7, AG$7:AG$21)</f>
        <v>3</v>
      </c>
      <c r="AI7" s="537">
        <f>AVERAGE(AG7:AG21)</f>
        <v>113.5000055027167</v>
      </c>
      <c r="AJ7" s="186">
        <v>19</v>
      </c>
      <c r="AK7" s="186">
        <v>1598.4478935698442</v>
      </c>
      <c r="AL7" s="187">
        <f t="shared" ref="AL7:AL9" si="15">AK7/AJ7</f>
        <v>84.128836503676013</v>
      </c>
      <c r="AM7" s="184">
        <f>RANK(AL7, AL$7:AL$21)</f>
        <v>3</v>
      </c>
      <c r="AN7" s="537">
        <f>AVERAGE(AL7:AL21)</f>
        <v>113.49361861256854</v>
      </c>
      <c r="AO7" s="186">
        <v>19</v>
      </c>
      <c r="AP7" s="186">
        <v>1598.0392156862752</v>
      </c>
      <c r="AQ7" s="187">
        <f t="shared" ref="AQ7:AQ9" si="16">AP7/AO7</f>
        <v>84.107327141382896</v>
      </c>
      <c r="AR7" s="184">
        <f>RANK(AQ7, AQ$7:AQ$21)</f>
        <v>3</v>
      </c>
      <c r="AS7" s="537">
        <f>AVERAGE(AQ7:AQ21)</f>
        <v>113.58803278894511</v>
      </c>
      <c r="AT7" s="186">
        <v>19</v>
      </c>
      <c r="AU7" s="186">
        <v>1602.8609745194472</v>
      </c>
      <c r="AV7" s="187">
        <f t="shared" ref="AV7:AV9" si="17">AU7/AT7</f>
        <v>84.361103922076168</v>
      </c>
      <c r="AW7" s="184">
        <f>RANK(AV7, AV$7:AV$21)</f>
        <v>3</v>
      </c>
      <c r="AX7" s="537">
        <f>AVERAGE(AV7:AV21)</f>
        <v>113.80026064047411</v>
      </c>
    </row>
    <row r="8" spans="1:50" ht="14.25" customHeight="1">
      <c r="B8" s="501"/>
      <c r="C8" s="182">
        <v>2</v>
      </c>
      <c r="D8" s="185" t="s">
        <v>515</v>
      </c>
      <c r="E8" s="182">
        <v>18</v>
      </c>
      <c r="F8" s="182">
        <v>1800</v>
      </c>
      <c r="G8" s="187">
        <f t="shared" si="10"/>
        <v>100</v>
      </c>
      <c r="H8" s="537"/>
      <c r="I8" s="188">
        <f t="shared" ref="I8:K9" si="18">AVERAGE(P8,U8,Z8,AE8,AJ8,AO8,AT8)</f>
        <v>18</v>
      </c>
      <c r="J8" s="188">
        <f t="shared" si="18"/>
        <v>1600.5068076409204</v>
      </c>
      <c r="K8" s="189">
        <f t="shared" si="18"/>
        <v>88.91704486894001</v>
      </c>
      <c r="L8" s="538"/>
      <c r="M8" s="188">
        <f>RANK(K8, K$7:$K$21)</f>
        <v>2</v>
      </c>
      <c r="N8" s="501"/>
      <c r="O8" s="501"/>
      <c r="P8" s="186">
        <v>18</v>
      </c>
      <c r="Q8" s="186">
        <v>1599.1247264770259</v>
      </c>
      <c r="R8" s="187">
        <f t="shared" si="11"/>
        <v>88.840262582056994</v>
      </c>
      <c r="S8" s="184">
        <f t="shared" ref="S8:S9" si="19">RANK(R8, R$7:R$21)</f>
        <v>2</v>
      </c>
      <c r="T8" s="537"/>
      <c r="U8" s="186">
        <v>18</v>
      </c>
      <c r="V8" s="186">
        <v>1599.349064279904</v>
      </c>
      <c r="W8" s="187">
        <f t="shared" si="12"/>
        <v>88.852725793328005</v>
      </c>
      <c r="X8" s="184">
        <f t="shared" ref="X8:X9" si="20">RANK(W8, W$7:W$21)</f>
        <v>2</v>
      </c>
      <c r="Y8" s="537"/>
      <c r="Z8" s="186">
        <v>18</v>
      </c>
      <c r="AA8" s="186">
        <v>1599.5285798467885</v>
      </c>
      <c r="AB8" s="187">
        <f t="shared" si="13"/>
        <v>88.862698880377138</v>
      </c>
      <c r="AC8" s="184">
        <f t="shared" ref="AC8:AC9" si="21">RANK(AB8, AB$7:AB$21)</f>
        <v>2</v>
      </c>
      <c r="AD8" s="537"/>
      <c r="AE8" s="186">
        <v>18</v>
      </c>
      <c r="AF8" s="186">
        <v>1600.4223864836363</v>
      </c>
      <c r="AG8" s="187">
        <f t="shared" si="14"/>
        <v>88.912354804646455</v>
      </c>
      <c r="AH8" s="184">
        <f t="shared" ref="AH8:AH9" si="22">RANK(AG8, AG$7:AG$21)</f>
        <v>2</v>
      </c>
      <c r="AI8" s="537"/>
      <c r="AJ8" s="186">
        <v>18</v>
      </c>
      <c r="AK8" s="186">
        <v>1601.5637216575446</v>
      </c>
      <c r="AL8" s="187">
        <f t="shared" si="15"/>
        <v>88.975762314308042</v>
      </c>
      <c r="AM8" s="184">
        <f t="shared" ref="AM8:AM9" si="23">RANK(AL8, AL$7:AL$21)</f>
        <v>2</v>
      </c>
      <c r="AN8" s="537"/>
      <c r="AO8" s="186">
        <v>18</v>
      </c>
      <c r="AP8" s="186">
        <v>1601.6570008285025</v>
      </c>
      <c r="AQ8" s="187">
        <f t="shared" si="16"/>
        <v>88.980944490472368</v>
      </c>
      <c r="AR8" s="184">
        <f t="shared" ref="AR8:AR9" si="24">RANK(AQ8, AQ$7:AQ$21)</f>
        <v>2</v>
      </c>
      <c r="AS8" s="537"/>
      <c r="AT8" s="186">
        <v>18</v>
      </c>
      <c r="AU8" s="186">
        <v>1601.9021739130401</v>
      </c>
      <c r="AV8" s="187">
        <f t="shared" si="17"/>
        <v>88.994565217391113</v>
      </c>
      <c r="AW8" s="184">
        <f t="shared" ref="AW8:AW9" si="25">RANK(AV8, AV$7:AV$21)</f>
        <v>2</v>
      </c>
      <c r="AX8" s="537"/>
    </row>
    <row r="9" spans="1:50" ht="14.25" customHeight="1">
      <c r="B9" s="501"/>
      <c r="C9" s="182">
        <v>3</v>
      </c>
      <c r="D9" s="185" t="s">
        <v>517</v>
      </c>
      <c r="E9" s="182">
        <v>19</v>
      </c>
      <c r="F9" s="182">
        <v>3600</v>
      </c>
      <c r="G9" s="187">
        <f t="shared" si="10"/>
        <v>189.47368421052633</v>
      </c>
      <c r="H9" s="537"/>
      <c r="I9" s="188">
        <f t="shared" si="18"/>
        <v>19</v>
      </c>
      <c r="J9" s="188">
        <f t="shared" si="18"/>
        <v>3184.5742078072035</v>
      </c>
      <c r="K9" s="189">
        <f t="shared" si="18"/>
        <v>167.60916883195804</v>
      </c>
      <c r="L9" s="538"/>
      <c r="M9" s="188">
        <f>RANK(K9, K$7:$K$21)</f>
        <v>1</v>
      </c>
      <c r="N9" s="501"/>
      <c r="O9" s="501"/>
      <c r="P9" s="186">
        <v>19</v>
      </c>
      <c r="Q9" s="186">
        <v>3182.7272727272725</v>
      </c>
      <c r="R9" s="187">
        <f t="shared" si="11"/>
        <v>167.51196172248802</v>
      </c>
      <c r="S9" s="184">
        <f t="shared" si="19"/>
        <v>1</v>
      </c>
      <c r="T9" s="537"/>
      <c r="U9" s="186">
        <v>19</v>
      </c>
      <c r="V9" s="186">
        <v>3183.5475578406426</v>
      </c>
      <c r="W9" s="187">
        <f t="shared" si="12"/>
        <v>167.55513462319172</v>
      </c>
      <c r="X9" s="184">
        <f t="shared" si="20"/>
        <v>1</v>
      </c>
      <c r="Y9" s="537"/>
      <c r="Z9" s="186">
        <v>19</v>
      </c>
      <c r="AA9" s="186">
        <v>3184.9624060150372</v>
      </c>
      <c r="AB9" s="187">
        <f t="shared" si="13"/>
        <v>167.62960031658091</v>
      </c>
      <c r="AC9" s="184">
        <f t="shared" si="21"/>
        <v>1</v>
      </c>
      <c r="AD9" s="537"/>
      <c r="AE9" s="186">
        <v>19</v>
      </c>
      <c r="AF9" s="186">
        <v>3181.9354838709955</v>
      </c>
      <c r="AG9" s="187">
        <f t="shared" si="14"/>
        <v>167.47028862478925</v>
      </c>
      <c r="AH9" s="184">
        <f t="shared" si="22"/>
        <v>1</v>
      </c>
      <c r="AI9" s="537"/>
      <c r="AJ9" s="186">
        <v>19</v>
      </c>
      <c r="AK9" s="186">
        <v>3180.1488833747098</v>
      </c>
      <c r="AL9" s="187">
        <f t="shared" si="15"/>
        <v>167.37625701972158</v>
      </c>
      <c r="AM9" s="184">
        <f t="shared" si="23"/>
        <v>1</v>
      </c>
      <c r="AN9" s="537"/>
      <c r="AO9" s="186">
        <v>19</v>
      </c>
      <c r="AP9" s="186">
        <v>3185.8407079646222</v>
      </c>
      <c r="AQ9" s="187">
        <f t="shared" si="16"/>
        <v>167.67582673498012</v>
      </c>
      <c r="AR9" s="184">
        <f t="shared" si="24"/>
        <v>1</v>
      </c>
      <c r="AS9" s="537"/>
      <c r="AT9" s="186">
        <v>19</v>
      </c>
      <c r="AU9" s="186">
        <v>3192.8571428571449</v>
      </c>
      <c r="AV9" s="187">
        <f t="shared" si="17"/>
        <v>168.045112781955</v>
      </c>
      <c r="AW9" s="184">
        <f t="shared" si="25"/>
        <v>1</v>
      </c>
      <c r="AX9" s="537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01"/>
      <c r="O10" s="501"/>
      <c r="P10" s="186"/>
      <c r="Q10" s="186"/>
      <c r="R10" s="187"/>
      <c r="S10" s="184"/>
      <c r="T10" s="537"/>
      <c r="U10" s="186"/>
      <c r="V10" s="186"/>
      <c r="W10" s="187"/>
      <c r="X10" s="184"/>
      <c r="Y10" s="537"/>
      <c r="Z10" s="186"/>
      <c r="AA10" s="186"/>
      <c r="AB10" s="187"/>
      <c r="AC10" s="184"/>
      <c r="AD10" s="537"/>
      <c r="AE10" s="186"/>
      <c r="AF10" s="186"/>
      <c r="AG10" s="187"/>
      <c r="AH10" s="184"/>
      <c r="AI10" s="537"/>
      <c r="AJ10" s="186"/>
      <c r="AK10" s="186"/>
      <c r="AL10" s="187"/>
      <c r="AM10" s="184"/>
      <c r="AN10" s="537"/>
      <c r="AO10" s="186"/>
      <c r="AP10" s="186"/>
      <c r="AQ10" s="187"/>
      <c r="AR10" s="184"/>
      <c r="AS10" s="537"/>
      <c r="AT10" s="186"/>
      <c r="AU10" s="186"/>
      <c r="AV10" s="187"/>
      <c r="AW10" s="184"/>
      <c r="AX10" s="537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01"/>
      <c r="O11" s="501"/>
      <c r="P11" s="186"/>
      <c r="Q11" s="186"/>
      <c r="R11" s="187"/>
      <c r="S11" s="184"/>
      <c r="T11" s="537"/>
      <c r="U11" s="186"/>
      <c r="V11" s="186"/>
      <c r="W11" s="187"/>
      <c r="X11" s="184"/>
      <c r="Y11" s="537"/>
      <c r="Z11" s="186"/>
      <c r="AA11" s="186"/>
      <c r="AB11" s="187"/>
      <c r="AC11" s="184"/>
      <c r="AD11" s="537"/>
      <c r="AE11" s="186"/>
      <c r="AF11" s="186"/>
      <c r="AG11" s="187"/>
      <c r="AH11" s="184"/>
      <c r="AI11" s="537"/>
      <c r="AJ11" s="186"/>
      <c r="AK11" s="186"/>
      <c r="AL11" s="187"/>
      <c r="AM11" s="184"/>
      <c r="AN11" s="537"/>
      <c r="AO11" s="186"/>
      <c r="AP11" s="186"/>
      <c r="AQ11" s="187"/>
      <c r="AR11" s="184"/>
      <c r="AS11" s="537"/>
      <c r="AT11" s="186"/>
      <c r="AU11" s="186"/>
      <c r="AV11" s="187"/>
      <c r="AW11" s="184"/>
      <c r="AX11" s="537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01"/>
      <c r="O12" s="501"/>
      <c r="P12" s="182"/>
      <c r="Q12" s="182"/>
      <c r="R12" s="187"/>
      <c r="S12" s="184"/>
      <c r="T12" s="537"/>
      <c r="U12" s="182"/>
      <c r="V12" s="182"/>
      <c r="W12" s="187"/>
      <c r="X12" s="184"/>
      <c r="Y12" s="537"/>
      <c r="Z12" s="182"/>
      <c r="AA12" s="182"/>
      <c r="AB12" s="187"/>
      <c r="AC12" s="184"/>
      <c r="AD12" s="537"/>
      <c r="AE12" s="182"/>
      <c r="AF12" s="182"/>
      <c r="AG12" s="187"/>
      <c r="AH12" s="184"/>
      <c r="AI12" s="537"/>
      <c r="AJ12" s="182"/>
      <c r="AK12" s="182"/>
      <c r="AL12" s="187"/>
      <c r="AM12" s="184"/>
      <c r="AN12" s="537"/>
      <c r="AO12" s="182"/>
      <c r="AP12" s="182"/>
      <c r="AQ12" s="187"/>
      <c r="AR12" s="184"/>
      <c r="AS12" s="537"/>
      <c r="AT12" s="182"/>
      <c r="AU12" s="182"/>
      <c r="AV12" s="187"/>
      <c r="AW12" s="184"/>
      <c r="AX12" s="537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01"/>
      <c r="O13" s="501"/>
      <c r="P13" s="182"/>
      <c r="Q13" s="182"/>
      <c r="R13" s="187"/>
      <c r="S13" s="184"/>
      <c r="T13" s="537"/>
      <c r="U13" s="182"/>
      <c r="V13" s="182"/>
      <c r="W13" s="187"/>
      <c r="X13" s="184"/>
      <c r="Y13" s="537"/>
      <c r="Z13" s="182"/>
      <c r="AA13" s="182"/>
      <c r="AB13" s="187"/>
      <c r="AC13" s="184"/>
      <c r="AD13" s="537"/>
      <c r="AE13" s="182"/>
      <c r="AF13" s="182"/>
      <c r="AG13" s="187"/>
      <c r="AH13" s="184"/>
      <c r="AI13" s="537"/>
      <c r="AJ13" s="182"/>
      <c r="AK13" s="182"/>
      <c r="AL13" s="187"/>
      <c r="AM13" s="184"/>
      <c r="AN13" s="537"/>
      <c r="AO13" s="182"/>
      <c r="AP13" s="182"/>
      <c r="AQ13" s="187"/>
      <c r="AR13" s="184"/>
      <c r="AS13" s="537"/>
      <c r="AT13" s="182"/>
      <c r="AU13" s="182"/>
      <c r="AV13" s="187"/>
      <c r="AW13" s="184"/>
      <c r="AX13" s="537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01"/>
      <c r="O14" s="501"/>
      <c r="P14" s="182"/>
      <c r="Q14" s="182"/>
      <c r="R14" s="187"/>
      <c r="S14" s="184"/>
      <c r="T14" s="537"/>
      <c r="U14" s="182"/>
      <c r="V14" s="182"/>
      <c r="W14" s="187"/>
      <c r="X14" s="184"/>
      <c r="Y14" s="537"/>
      <c r="Z14" s="182"/>
      <c r="AA14" s="182"/>
      <c r="AB14" s="187"/>
      <c r="AC14" s="184"/>
      <c r="AD14" s="537"/>
      <c r="AE14" s="182"/>
      <c r="AF14" s="182"/>
      <c r="AG14" s="187"/>
      <c r="AH14" s="184"/>
      <c r="AI14" s="537"/>
      <c r="AJ14" s="182"/>
      <c r="AK14" s="182"/>
      <c r="AL14" s="187"/>
      <c r="AM14" s="184"/>
      <c r="AN14" s="537"/>
      <c r="AO14" s="182"/>
      <c r="AP14" s="182"/>
      <c r="AQ14" s="187"/>
      <c r="AR14" s="184"/>
      <c r="AS14" s="537"/>
      <c r="AT14" s="182"/>
      <c r="AU14" s="182"/>
      <c r="AV14" s="187"/>
      <c r="AW14" s="184"/>
      <c r="AX14" s="537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01"/>
      <c r="O15" s="501"/>
      <c r="P15" s="182"/>
      <c r="Q15" s="182"/>
      <c r="R15" s="187"/>
      <c r="S15" s="184"/>
      <c r="T15" s="537"/>
      <c r="U15" s="182"/>
      <c r="V15" s="182"/>
      <c r="W15" s="187"/>
      <c r="X15" s="184"/>
      <c r="Y15" s="537"/>
      <c r="Z15" s="182"/>
      <c r="AA15" s="182"/>
      <c r="AB15" s="187"/>
      <c r="AC15" s="184"/>
      <c r="AD15" s="537"/>
      <c r="AE15" s="182"/>
      <c r="AF15" s="182"/>
      <c r="AG15" s="187"/>
      <c r="AH15" s="184"/>
      <c r="AI15" s="537"/>
      <c r="AJ15" s="182"/>
      <c r="AK15" s="182"/>
      <c r="AL15" s="187"/>
      <c r="AM15" s="184"/>
      <c r="AN15" s="537"/>
      <c r="AO15" s="182"/>
      <c r="AP15" s="182"/>
      <c r="AQ15" s="187"/>
      <c r="AR15" s="184"/>
      <c r="AS15" s="537"/>
      <c r="AT15" s="182"/>
      <c r="AU15" s="182"/>
      <c r="AV15" s="187"/>
      <c r="AW15" s="184"/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2"/>
      <c r="Q16" s="182"/>
      <c r="R16" s="187"/>
      <c r="S16" s="184"/>
      <c r="T16" s="537"/>
      <c r="U16" s="182"/>
      <c r="V16" s="182"/>
      <c r="W16" s="187"/>
      <c r="X16" s="184"/>
      <c r="Y16" s="537"/>
      <c r="Z16" s="182"/>
      <c r="AA16" s="182"/>
      <c r="AB16" s="187"/>
      <c r="AC16" s="184"/>
      <c r="AD16" s="537"/>
      <c r="AE16" s="182"/>
      <c r="AF16" s="182"/>
      <c r="AG16" s="187"/>
      <c r="AH16" s="184"/>
      <c r="AI16" s="537"/>
      <c r="AJ16" s="182"/>
      <c r="AK16" s="182"/>
      <c r="AL16" s="187"/>
      <c r="AM16" s="184"/>
      <c r="AN16" s="537"/>
      <c r="AO16" s="182"/>
      <c r="AP16" s="182"/>
      <c r="AQ16" s="187"/>
      <c r="AR16" s="184"/>
      <c r="AS16" s="537"/>
      <c r="AT16" s="182"/>
      <c r="AU16" s="182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2"/>
      <c r="Q17" s="182"/>
      <c r="R17" s="187"/>
      <c r="S17" s="184"/>
      <c r="T17" s="537"/>
      <c r="U17" s="182"/>
      <c r="V17" s="182"/>
      <c r="W17" s="187"/>
      <c r="X17" s="184"/>
      <c r="Y17" s="537"/>
      <c r="Z17" s="182"/>
      <c r="AA17" s="182"/>
      <c r="AB17" s="187"/>
      <c r="AC17" s="184"/>
      <c r="AD17" s="537"/>
      <c r="AE17" s="182"/>
      <c r="AF17" s="182"/>
      <c r="AG17" s="187"/>
      <c r="AH17" s="184"/>
      <c r="AI17" s="537"/>
      <c r="AJ17" s="182"/>
      <c r="AK17" s="182"/>
      <c r="AL17" s="187"/>
      <c r="AM17" s="184"/>
      <c r="AN17" s="537"/>
      <c r="AO17" s="182"/>
      <c r="AP17" s="182"/>
      <c r="AQ17" s="187"/>
      <c r="AR17" s="184"/>
      <c r="AS17" s="537"/>
      <c r="AT17" s="182"/>
      <c r="AU17" s="182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391</v>
      </c>
      <c r="C27" s="182">
        <v>1</v>
      </c>
      <c r="D27" s="185" t="s">
        <v>508</v>
      </c>
      <c r="E27" s="182">
        <v>19</v>
      </c>
      <c r="F27" s="182">
        <v>1800</v>
      </c>
      <c r="G27" s="187">
        <f t="shared" ref="G27:G29" si="36">F27/E27</f>
        <v>94.736842105263165</v>
      </c>
      <c r="H27" s="537">
        <f>AVERAGE(G27:G41)</f>
        <v>128.07017543859649</v>
      </c>
      <c r="I27" s="188">
        <f>AVERAGE(P27,U27,Z27,AE27,AJ27,AO27,AT27)</f>
        <v>19</v>
      </c>
      <c r="J27" s="188">
        <f>AVERAGE(Q27,V27,AA27,AF27,AK27,AP27,AU27)</f>
        <v>1603.5142314530353</v>
      </c>
      <c r="K27" s="189">
        <f>AVERAGE(R27,W27,AB27,AG27,AL27,AQ27,AV27)</f>
        <v>84.395485865949226</v>
      </c>
      <c r="L27" s="538">
        <f>IFERROR(AVERAGE(K27:K41),"-")</f>
        <v>113.92599511137412</v>
      </c>
      <c r="M27" s="188">
        <f>RANK(K27, K$27:$K$41)</f>
        <v>3</v>
      </c>
      <c r="N27" s="501"/>
      <c r="O27" s="501"/>
      <c r="P27" s="190">
        <v>19</v>
      </c>
      <c r="Q27" s="190">
        <v>1602.9585798816563</v>
      </c>
      <c r="R27" s="187">
        <f>IFERROR(Q27/P27,"")</f>
        <v>84.366241046402962</v>
      </c>
      <c r="S27" s="184">
        <f>RANK(R27, R$27:R$41)</f>
        <v>3</v>
      </c>
      <c r="T27" s="537">
        <f>AVERAGE(R27:R41)</f>
        <v>113.87457521362832</v>
      </c>
      <c r="U27" s="190">
        <v>19</v>
      </c>
      <c r="V27" s="190">
        <v>1603.2746623004505</v>
      </c>
      <c r="W27" s="187">
        <f t="shared" ref="W27:W29" si="37">IFERROR(V27/U27,"")</f>
        <v>84.382876963181602</v>
      </c>
      <c r="X27" s="184">
        <f>RANK(W27, W$27:W$41)</f>
        <v>3</v>
      </c>
      <c r="Y27" s="537">
        <f>AVERAGE(W27:W41)</f>
        <v>113.8866506539086</v>
      </c>
      <c r="Z27" s="190">
        <v>19</v>
      </c>
      <c r="AA27" s="190">
        <v>1603.3898305084738</v>
      </c>
      <c r="AB27" s="187">
        <f t="shared" ref="AB27:AB29" si="38">IFERROR(AA27/Z27,"")</f>
        <v>84.388938447814411</v>
      </c>
      <c r="AC27" s="184">
        <f>RANK(AB27, AB$27:AB$41)</f>
        <v>3</v>
      </c>
      <c r="AD27" s="537">
        <f>AVERAGE(AB27:AB41)</f>
        <v>113.92401472779693</v>
      </c>
      <c r="AE27" s="190">
        <v>19</v>
      </c>
      <c r="AF27" s="190">
        <v>1603.6363636363621</v>
      </c>
      <c r="AG27" s="187">
        <f>IFERROR(AF27/AE27,"")</f>
        <v>84.401913875598012</v>
      </c>
      <c r="AH27" s="184">
        <f>RANK(AG27, AG$27:AG$41)</f>
        <v>3</v>
      </c>
      <c r="AI27" s="537">
        <f>AVERAGE(AG27:AG41)</f>
        <v>113.97029497771631</v>
      </c>
      <c r="AJ27" s="190">
        <v>19</v>
      </c>
      <c r="AK27" s="190">
        <v>1603.6166365280287</v>
      </c>
      <c r="AL27" s="187">
        <f t="shared" ref="AL27:AL29" si="39">IFERROR(AK27/AJ27,"")</f>
        <v>84.400875606738353</v>
      </c>
      <c r="AM27" s="184">
        <f>RANK(AL27, AL$27:AL$41)</f>
        <v>3</v>
      </c>
      <c r="AN27" s="537">
        <f>AVERAGE(AL27:AL41)</f>
        <v>113.91803308756694</v>
      </c>
      <c r="AO27" s="190">
        <v>19</v>
      </c>
      <c r="AP27" s="190">
        <v>1603.7807183364853</v>
      </c>
      <c r="AQ27" s="187">
        <f t="shared" ref="AQ27:AQ29" si="40">IFERROR(AP27/AO27,"")</f>
        <v>84.409511491393957</v>
      </c>
      <c r="AR27" s="184">
        <f>RANK(AQ27, AQ$27:AQ$41)</f>
        <v>3</v>
      </c>
      <c r="AS27" s="537">
        <f>AVERAGE(AQ27:AQ41)</f>
        <v>113.95124208597234</v>
      </c>
      <c r="AT27" s="190">
        <v>19</v>
      </c>
      <c r="AU27" s="190">
        <v>1603.9428289797911</v>
      </c>
      <c r="AV27" s="187">
        <f t="shared" ref="AV27:AV29" si="41">IFERROR(AU27/AT27,"")</f>
        <v>84.418043630515328</v>
      </c>
      <c r="AW27" s="184">
        <f>RANK(AV27, AV$27:AV$41)</f>
        <v>3</v>
      </c>
      <c r="AX27" s="537">
        <f>AVERAGE(AV27:AV41)</f>
        <v>113.95715503302942</v>
      </c>
    </row>
    <row r="28" spans="2:50" ht="14.25" customHeight="1">
      <c r="B28" s="501"/>
      <c r="C28" s="182">
        <v>2</v>
      </c>
      <c r="D28" s="185" t="s">
        <v>515</v>
      </c>
      <c r="E28" s="182">
        <v>18</v>
      </c>
      <c r="F28" s="182">
        <v>1800</v>
      </c>
      <c r="G28" s="187">
        <f t="shared" si="36"/>
        <v>100</v>
      </c>
      <c r="H28" s="537"/>
      <c r="I28" s="188">
        <f t="shared" ref="I28:K29" si="42">AVERAGE(P28,U28,Z28,AE28,AJ28,AO28,AT28)</f>
        <v>18</v>
      </c>
      <c r="J28" s="188">
        <f t="shared" si="42"/>
        <v>1602.1541160446366</v>
      </c>
      <c r="K28" s="189">
        <f t="shared" si="42"/>
        <v>89.00856200247982</v>
      </c>
      <c r="L28" s="538"/>
      <c r="M28" s="188">
        <f>RANK(K28, K$27:$K$41)</f>
        <v>2</v>
      </c>
      <c r="N28" s="501"/>
      <c r="O28" s="501"/>
      <c r="P28" s="190">
        <v>18</v>
      </c>
      <c r="Q28" s="190">
        <v>1601.7057569296383</v>
      </c>
      <c r="R28" s="187">
        <f t="shared" ref="R28:R29" si="43">IFERROR(Q28/P28,"")</f>
        <v>88.983653162757676</v>
      </c>
      <c r="S28" s="184">
        <f t="shared" ref="S28:S29" si="44">RANK(R28, R$27:R$41)</f>
        <v>2</v>
      </c>
      <c r="T28" s="537"/>
      <c r="U28" s="190">
        <v>18</v>
      </c>
      <c r="V28" s="190">
        <v>1601.9452887537996</v>
      </c>
      <c r="W28" s="187">
        <f t="shared" si="37"/>
        <v>88.996960486322195</v>
      </c>
      <c r="X28" s="184">
        <f t="shared" ref="X28:X29" si="45">RANK(W28, W$27:W$41)</f>
        <v>2</v>
      </c>
      <c r="Y28" s="537"/>
      <c r="Z28" s="190">
        <v>18</v>
      </c>
      <c r="AA28" s="190">
        <v>1601.9559902200506</v>
      </c>
      <c r="AB28" s="187">
        <f t="shared" si="38"/>
        <v>88.997555012225035</v>
      </c>
      <c r="AC28" s="184">
        <f t="shared" ref="AC28:AC29" si="46">RANK(AB28, AB$27:AB$41)</f>
        <v>2</v>
      </c>
      <c r="AD28" s="537"/>
      <c r="AE28" s="190">
        <v>18</v>
      </c>
      <c r="AF28" s="190">
        <v>1602.6058631921824</v>
      </c>
      <c r="AG28" s="187">
        <f t="shared" ref="AG28:AG29" si="47">IFERROR(AF28/AE28,"")</f>
        <v>89.03365906623236</v>
      </c>
      <c r="AH28" s="184">
        <f t="shared" ref="AH28:AH29" si="48">RANK(AG28, AG$27:AG$41)</f>
        <v>2</v>
      </c>
      <c r="AI28" s="537"/>
      <c r="AJ28" s="190">
        <v>18</v>
      </c>
      <c r="AK28" s="190">
        <v>1601.4705882352932</v>
      </c>
      <c r="AL28" s="187">
        <f t="shared" si="39"/>
        <v>88.970588235294073</v>
      </c>
      <c r="AM28" s="184">
        <f t="shared" ref="AM28:AM29" si="49">RANK(AL28, AL$27:AL$41)</f>
        <v>2</v>
      </c>
      <c r="AN28" s="537"/>
      <c r="AO28" s="190">
        <v>18</v>
      </c>
      <c r="AP28" s="190">
        <v>1602.4169184290001</v>
      </c>
      <c r="AQ28" s="187">
        <f t="shared" si="40"/>
        <v>89.023162134944457</v>
      </c>
      <c r="AR28" s="184">
        <f t="shared" ref="AR28:AR29" si="50">RANK(AQ28, AQ$27:AQ$41)</f>
        <v>2</v>
      </c>
      <c r="AS28" s="537"/>
      <c r="AT28" s="190">
        <v>18</v>
      </c>
      <c r="AU28" s="190">
        <v>1602.9784065524921</v>
      </c>
      <c r="AV28" s="187">
        <f t="shared" si="41"/>
        <v>89.054355919582889</v>
      </c>
      <c r="AW28" s="184">
        <f t="shared" ref="AW28:AW29" si="51">RANK(AV28, AV$27:AV$41)</f>
        <v>2</v>
      </c>
      <c r="AX28" s="537"/>
    </row>
    <row r="29" spans="2:50" ht="14.25" customHeight="1">
      <c r="B29" s="501"/>
      <c r="C29" s="182">
        <v>3</v>
      </c>
      <c r="D29" s="185" t="s">
        <v>517</v>
      </c>
      <c r="E29" s="182">
        <v>19</v>
      </c>
      <c r="F29" s="182">
        <v>3600</v>
      </c>
      <c r="G29" s="187">
        <f t="shared" si="36"/>
        <v>189.47368421052633</v>
      </c>
      <c r="H29" s="537"/>
      <c r="I29" s="188">
        <f t="shared" si="42"/>
        <v>19</v>
      </c>
      <c r="J29" s="188">
        <f t="shared" si="42"/>
        <v>3199.1048118481735</v>
      </c>
      <c r="K29" s="189">
        <f t="shared" si="42"/>
        <v>168.37393746569336</v>
      </c>
      <c r="L29" s="538"/>
      <c r="M29" s="188">
        <f>RANK(K29, K$27:$K$41)</f>
        <v>1</v>
      </c>
      <c r="N29" s="501"/>
      <c r="O29" s="501"/>
      <c r="P29" s="190">
        <v>19</v>
      </c>
      <c r="Q29" s="190">
        <v>3197.2027972027622</v>
      </c>
      <c r="R29" s="187">
        <f t="shared" si="43"/>
        <v>168.27383143172432</v>
      </c>
      <c r="S29" s="184">
        <f t="shared" si="44"/>
        <v>1</v>
      </c>
      <c r="T29" s="537"/>
      <c r="U29" s="190">
        <v>19</v>
      </c>
      <c r="V29" s="190">
        <v>3197.3221757322185</v>
      </c>
      <c r="W29" s="187">
        <f t="shared" si="37"/>
        <v>168.28011451222201</v>
      </c>
      <c r="X29" s="184">
        <f t="shared" si="45"/>
        <v>1</v>
      </c>
      <c r="Y29" s="537"/>
      <c r="Z29" s="190">
        <v>19</v>
      </c>
      <c r="AA29" s="190">
        <v>3199.3254637436762</v>
      </c>
      <c r="AB29" s="187">
        <f t="shared" si="38"/>
        <v>168.38555072335137</v>
      </c>
      <c r="AC29" s="184">
        <f t="shared" si="46"/>
        <v>1</v>
      </c>
      <c r="AD29" s="537"/>
      <c r="AE29" s="190">
        <v>19</v>
      </c>
      <c r="AF29" s="190">
        <v>3201.0309278350524</v>
      </c>
      <c r="AG29" s="187">
        <f t="shared" si="47"/>
        <v>168.47531199131853</v>
      </c>
      <c r="AH29" s="184">
        <f t="shared" si="48"/>
        <v>1</v>
      </c>
      <c r="AI29" s="537"/>
      <c r="AJ29" s="190">
        <v>19</v>
      </c>
      <c r="AK29" s="190">
        <v>3199.2700729926996</v>
      </c>
      <c r="AL29" s="187">
        <f t="shared" si="39"/>
        <v>168.38263542066841</v>
      </c>
      <c r="AM29" s="184">
        <f t="shared" si="49"/>
        <v>1</v>
      </c>
      <c r="AN29" s="537"/>
      <c r="AO29" s="190">
        <v>19</v>
      </c>
      <c r="AP29" s="190">
        <v>3199.9999999999932</v>
      </c>
      <c r="AQ29" s="187">
        <f t="shared" si="40"/>
        <v>168.42105263157859</v>
      </c>
      <c r="AR29" s="184">
        <f t="shared" si="50"/>
        <v>1</v>
      </c>
      <c r="AS29" s="537"/>
      <c r="AT29" s="190">
        <v>19</v>
      </c>
      <c r="AU29" s="190">
        <v>3199.5822454308118</v>
      </c>
      <c r="AV29" s="187">
        <f t="shared" si="41"/>
        <v>168.39906554899008</v>
      </c>
      <c r="AW29" s="184">
        <f t="shared" si="51"/>
        <v>1</v>
      </c>
      <c r="AX29" s="537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01"/>
      <c r="O30" s="501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01"/>
      <c r="O31" s="501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01"/>
      <c r="O32" s="501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01"/>
      <c r="O33" s="501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01"/>
      <c r="O34" s="501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01"/>
      <c r="O35" s="501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7"/>
      <c r="N42" s="563" t="s">
        <v>383</v>
      </c>
      <c r="O42" s="563" t="s">
        <v>105</v>
      </c>
      <c r="P42" s="598">
        <f>AT22+1</f>
        <v>46035</v>
      </c>
      <c r="Q42" s="599"/>
      <c r="R42" s="599"/>
      <c r="S42" s="599"/>
      <c r="T42" s="599"/>
      <c r="U42" s="600">
        <f>P42+1</f>
        <v>46036</v>
      </c>
      <c r="V42" s="601"/>
      <c r="W42" s="601"/>
      <c r="X42" s="601"/>
      <c r="Y42" s="601"/>
      <c r="Z42" s="598">
        <f t="shared" ref="Z42" si="52">U42+1</f>
        <v>46037</v>
      </c>
      <c r="AA42" s="599"/>
      <c r="AB42" s="599"/>
      <c r="AC42" s="599"/>
      <c r="AD42" s="599"/>
      <c r="AE42" s="600">
        <f t="shared" ref="AE42" si="53">Z42+1</f>
        <v>46038</v>
      </c>
      <c r="AF42" s="601"/>
      <c r="AG42" s="601"/>
      <c r="AH42" s="601"/>
      <c r="AI42" s="601"/>
      <c r="AJ42" s="590">
        <f t="shared" ref="AJ42" si="54">AE42+1</f>
        <v>46039</v>
      </c>
      <c r="AK42" s="591"/>
      <c r="AL42" s="591"/>
      <c r="AM42" s="591"/>
      <c r="AN42" s="592"/>
      <c r="AO42" s="600">
        <f t="shared" ref="AO42" si="55">AJ42+1</f>
        <v>46040</v>
      </c>
      <c r="AP42" s="601"/>
      <c r="AQ42" s="601"/>
      <c r="AR42" s="601"/>
      <c r="AS42" s="601"/>
      <c r="AT42" s="590">
        <f t="shared" ref="AT42" si="56">AO42+1</f>
        <v>46041</v>
      </c>
      <c r="AU42" s="591"/>
      <c r="AV42" s="591"/>
      <c r="AW42" s="591"/>
      <c r="AX42" s="592"/>
    </row>
    <row r="43" spans="2:50" ht="14.25" customHeight="1">
      <c r="B43" s="548"/>
      <c r="C43" s="548"/>
      <c r="D43" s="548"/>
      <c r="E43" s="548"/>
      <c r="F43" s="548"/>
      <c r="G43" s="548"/>
      <c r="H43" s="548"/>
      <c r="I43" s="548"/>
      <c r="J43" s="548"/>
      <c r="K43" s="548"/>
      <c r="L43" s="548"/>
      <c r="M43" s="549"/>
      <c r="N43" s="565"/>
      <c r="O43" s="565"/>
      <c r="P43" s="593">
        <f>P42</f>
        <v>46035</v>
      </c>
      <c r="Q43" s="593"/>
      <c r="R43" s="593"/>
      <c r="S43" s="593"/>
      <c r="T43" s="593"/>
      <c r="U43" s="594">
        <f>U42</f>
        <v>46036</v>
      </c>
      <c r="V43" s="594"/>
      <c r="W43" s="594"/>
      <c r="X43" s="594"/>
      <c r="Y43" s="594"/>
      <c r="Z43" s="593">
        <f t="shared" ref="Z43" si="57">Z42</f>
        <v>46037</v>
      </c>
      <c r="AA43" s="593"/>
      <c r="AB43" s="593"/>
      <c r="AC43" s="593"/>
      <c r="AD43" s="593"/>
      <c r="AE43" s="594">
        <f t="shared" ref="AE43" si="58">AE42</f>
        <v>46038</v>
      </c>
      <c r="AF43" s="594"/>
      <c r="AG43" s="594"/>
      <c r="AH43" s="594"/>
      <c r="AI43" s="594"/>
      <c r="AJ43" s="595">
        <f t="shared" ref="AJ43" si="59">AJ42</f>
        <v>46039</v>
      </c>
      <c r="AK43" s="596"/>
      <c r="AL43" s="596"/>
      <c r="AM43" s="596"/>
      <c r="AN43" s="597"/>
      <c r="AO43" s="594">
        <f t="shared" ref="AO43" si="60">AO42</f>
        <v>46040</v>
      </c>
      <c r="AP43" s="594"/>
      <c r="AQ43" s="594"/>
      <c r="AR43" s="594"/>
      <c r="AS43" s="594"/>
      <c r="AT43" s="595">
        <f t="shared" ref="AT43" si="61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391</v>
      </c>
      <c r="C47" s="182">
        <v>1</v>
      </c>
      <c r="D47" s="185" t="s">
        <v>508</v>
      </c>
      <c r="E47" s="182">
        <v>19</v>
      </c>
      <c r="F47" s="182">
        <v>1800</v>
      </c>
      <c r="G47" s="187">
        <f t="shared" ref="G47:G49" si="62">F47/E47</f>
        <v>94.736842105263165</v>
      </c>
      <c r="H47" s="537">
        <f>AVERAGE(G47:G61)</f>
        <v>128.07017543859649</v>
      </c>
      <c r="I47" s="188">
        <f>AVERAGE(P47,U47,Z47,AE47,AJ47,AO47,AT47)</f>
        <v>19</v>
      </c>
      <c r="J47" s="188">
        <f>AVERAGE(Q47,V47,AA47,AF47,AK47,AP47,AU47)</f>
        <v>1604.3687775200619</v>
      </c>
      <c r="K47" s="189">
        <f>AVERAGE(R47,W47,AB47,AG47,AL47,AQ47,AV47)</f>
        <v>84.440461974740089</v>
      </c>
      <c r="L47" s="538">
        <f>IFERROR(AVERAGE(K47:K61),"-")</f>
        <v>114.01377977852071</v>
      </c>
      <c r="M47" s="188">
        <f>RANK(K47, K$47:$K$61)</f>
        <v>3</v>
      </c>
      <c r="N47" s="501"/>
      <c r="O47" s="501"/>
      <c r="P47" s="190">
        <v>19</v>
      </c>
      <c r="Q47" s="190">
        <v>1604.2849491162285</v>
      </c>
      <c r="R47" s="187">
        <f>IFERROR(Q47/P47,"")</f>
        <v>84.436049953485707</v>
      </c>
      <c r="S47" s="184">
        <f>RANK(R47, R$47:R$61)</f>
        <v>3</v>
      </c>
      <c r="T47" s="537">
        <f>AVERAGE(R47:R61)</f>
        <v>113.96415619359145</v>
      </c>
      <c r="U47" s="190">
        <v>19</v>
      </c>
      <c r="V47" s="190">
        <v>1604.4466902476033</v>
      </c>
      <c r="W47" s="187">
        <f t="shared" ref="W47:W49" si="63">IFERROR(V47/U47,"")</f>
        <v>84.444562644610698</v>
      </c>
      <c r="X47" s="184">
        <f>RANK(W47, W$47:W$61)</f>
        <v>3</v>
      </c>
      <c r="Y47" s="537">
        <f>AVERAGE(W47:W61)</f>
        <v>114.00057440428043</v>
      </c>
      <c r="Z47" s="190">
        <v>19</v>
      </c>
      <c r="AA47" s="190">
        <v>1604.2823686851796</v>
      </c>
      <c r="AB47" s="187">
        <f t="shared" ref="AB47:AB49" si="64">IFERROR(AA47/Z47,"")</f>
        <v>84.435914141325242</v>
      </c>
      <c r="AC47" s="184">
        <f>RANK(AB47, AB$47:AB$61)</f>
        <v>3</v>
      </c>
      <c r="AD47" s="537">
        <f>AVERAGE(AB47:AB61)</f>
        <v>114.01053382428721</v>
      </c>
      <c r="AE47" s="190">
        <v>19</v>
      </c>
      <c r="AF47" s="190">
        <v>1604.1034790365729</v>
      </c>
      <c r="AG47" s="187">
        <f>IFERROR(AF47/AE47,"")</f>
        <v>84.426498896661727</v>
      </c>
      <c r="AH47" s="184">
        <f>RANK(AG47, AG$47:AG$61)</f>
        <v>3</v>
      </c>
      <c r="AI47" s="537">
        <f>AVERAGE(AG47:AG61)</f>
        <v>114.01355479916212</v>
      </c>
      <c r="AJ47" s="190">
        <v>19</v>
      </c>
      <c r="AK47" s="190">
        <v>1604.4251284077436</v>
      </c>
      <c r="AL47" s="187">
        <f t="shared" ref="AL47:AL49" si="65">IFERROR(AK47/AJ47,"")</f>
        <v>84.443427810933869</v>
      </c>
      <c r="AM47" s="184">
        <f>RANK(AL47, AL$47:AL$61)</f>
        <v>3</v>
      </c>
      <c r="AN47" s="537">
        <f>AVERAGE(AL47:AL61)</f>
        <v>114.03268523710722</v>
      </c>
      <c r="AO47" s="190">
        <v>19</v>
      </c>
      <c r="AP47" s="190">
        <v>1604.4198895027632</v>
      </c>
      <c r="AQ47" s="187">
        <f t="shared" ref="AQ47:AQ49" si="66">IFERROR(AP47/AO47,"")</f>
        <v>84.443152079092798</v>
      </c>
      <c r="AR47" s="184">
        <f>RANK(AQ47, AQ$47:AQ$61)</f>
        <v>3</v>
      </c>
      <c r="AS47" s="537">
        <f>AVERAGE(AQ47:AQ61)</f>
        <v>114.03254139221649</v>
      </c>
      <c r="AT47" s="190">
        <v>19</v>
      </c>
      <c r="AU47" s="190">
        <v>1604.6189376443413</v>
      </c>
      <c r="AV47" s="187">
        <f t="shared" ref="AV47:AV49" si="67">IFERROR(AU47/AT47,"")</f>
        <v>84.453628297070594</v>
      </c>
      <c r="AW47" s="184">
        <f>RANK(AV47, AV$47:AV$61)</f>
        <v>3</v>
      </c>
      <c r="AX47" s="537">
        <f>AVERAGE(AV47:AV61)</f>
        <v>114.04241259900004</v>
      </c>
    </row>
    <row r="48" spans="2:50" ht="14.25" customHeight="1">
      <c r="B48" s="501"/>
      <c r="C48" s="182">
        <v>2</v>
      </c>
      <c r="D48" s="185" t="s">
        <v>515</v>
      </c>
      <c r="E48" s="182">
        <v>18</v>
      </c>
      <c r="F48" s="182">
        <v>1800</v>
      </c>
      <c r="G48" s="187">
        <f t="shared" si="62"/>
        <v>100</v>
      </c>
      <c r="H48" s="537"/>
      <c r="I48" s="188">
        <f t="shared" ref="I48:K49" si="68">AVERAGE(P48,U48,Z48,AE48,AJ48,AO48,AT48)</f>
        <v>18</v>
      </c>
      <c r="J48" s="188">
        <f t="shared" si="68"/>
        <v>1605.0645229199206</v>
      </c>
      <c r="K48" s="189">
        <f t="shared" si="68"/>
        <v>89.17025127332893</v>
      </c>
      <c r="L48" s="538"/>
      <c r="M48" s="188">
        <f>RANK(K48, K$47:$K$61)</f>
        <v>2</v>
      </c>
      <c r="N48" s="501"/>
      <c r="O48" s="501"/>
      <c r="P48" s="190">
        <v>18</v>
      </c>
      <c r="Q48" s="190">
        <v>1603.7478705281053</v>
      </c>
      <c r="R48" s="187">
        <f t="shared" ref="R48:R49" si="69">IFERROR(Q48/P48,"")</f>
        <v>89.097103918228072</v>
      </c>
      <c r="S48" s="184">
        <f t="shared" ref="S48:S49" si="70">RANK(R48, R$47:R$61)</f>
        <v>2</v>
      </c>
      <c r="T48" s="537"/>
      <c r="U48" s="190">
        <v>18</v>
      </c>
      <c r="V48" s="190">
        <v>1604.145077720209</v>
      </c>
      <c r="W48" s="187">
        <f t="shared" si="63"/>
        <v>89.119170984456048</v>
      </c>
      <c r="X48" s="184">
        <f t="shared" ref="X48:X49" si="71">RANK(W48, W$47:W$61)</f>
        <v>2</v>
      </c>
      <c r="Y48" s="537"/>
      <c r="Z48" s="190">
        <v>18</v>
      </c>
      <c r="AA48" s="190">
        <v>1604.5714285714268</v>
      </c>
      <c r="AB48" s="187">
        <f t="shared" si="64"/>
        <v>89.142857142857054</v>
      </c>
      <c r="AC48" s="184">
        <f t="shared" ref="AC48:AC49" si="72">RANK(AB48, AB$47:AB$61)</f>
        <v>2</v>
      </c>
      <c r="AD48" s="537"/>
      <c r="AE48" s="190">
        <v>18</v>
      </c>
      <c r="AF48" s="190">
        <v>1604.819277108435</v>
      </c>
      <c r="AG48" s="187">
        <f t="shared" ref="AG48:AG49" si="73">IFERROR(AF48/AE48,"")</f>
        <v>89.156626506024168</v>
      </c>
      <c r="AH48" s="184">
        <f t="shared" ref="AH48:AH49" si="74">RANK(AG48, AG$47:AG$61)</f>
        <v>2</v>
      </c>
      <c r="AI48" s="537"/>
      <c r="AJ48" s="190">
        <v>18</v>
      </c>
      <c r="AK48" s="190">
        <v>1605.6884292178406</v>
      </c>
      <c r="AL48" s="187">
        <f t="shared" si="65"/>
        <v>89.204912734324481</v>
      </c>
      <c r="AM48" s="184">
        <f t="shared" ref="AM48:AM49" si="75">RANK(AL48, AL$47:AL$61)</f>
        <v>2</v>
      </c>
      <c r="AN48" s="537"/>
      <c r="AO48" s="190">
        <v>18</v>
      </c>
      <c r="AP48" s="190">
        <v>1606.201550387598</v>
      </c>
      <c r="AQ48" s="187">
        <f t="shared" si="66"/>
        <v>89.233419465977661</v>
      </c>
      <c r="AR48" s="184">
        <f t="shared" ref="AR48:AR49" si="76">RANK(AQ48, AQ$47:AQ$61)</f>
        <v>2</v>
      </c>
      <c r="AS48" s="537"/>
      <c r="AT48" s="190">
        <v>18</v>
      </c>
      <c r="AU48" s="190">
        <v>1606.2780269058303</v>
      </c>
      <c r="AV48" s="187">
        <f t="shared" si="67"/>
        <v>89.23766816143501</v>
      </c>
      <c r="AW48" s="184">
        <f t="shared" ref="AW48:AW49" si="77">RANK(AV48, AV$47:AV$61)</f>
        <v>2</v>
      </c>
      <c r="AX48" s="537"/>
    </row>
    <row r="49" spans="2:50" ht="14.25" customHeight="1">
      <c r="B49" s="501"/>
      <c r="C49" s="182">
        <v>3</v>
      </c>
      <c r="D49" s="185" t="s">
        <v>517</v>
      </c>
      <c r="E49" s="182">
        <v>19</v>
      </c>
      <c r="F49" s="182">
        <v>3600</v>
      </c>
      <c r="G49" s="187">
        <f t="shared" si="62"/>
        <v>189.47368421052633</v>
      </c>
      <c r="H49" s="537"/>
      <c r="I49" s="188">
        <f t="shared" si="68"/>
        <v>19</v>
      </c>
      <c r="J49" s="188">
        <f t="shared" si="68"/>
        <v>3200.1818956623688</v>
      </c>
      <c r="K49" s="189">
        <f t="shared" si="68"/>
        <v>168.4306260874931</v>
      </c>
      <c r="L49" s="538"/>
      <c r="M49" s="188">
        <f>RANK(K49, K$47:$K$61)</f>
        <v>1</v>
      </c>
      <c r="N49" s="501"/>
      <c r="O49" s="501"/>
      <c r="P49" s="190">
        <v>19</v>
      </c>
      <c r="Q49" s="190">
        <v>3198.8269794721505</v>
      </c>
      <c r="R49" s="187">
        <f t="shared" si="69"/>
        <v>168.35931470906056</v>
      </c>
      <c r="S49" s="184">
        <f t="shared" si="70"/>
        <v>1</v>
      </c>
      <c r="T49" s="537"/>
      <c r="U49" s="190">
        <v>19</v>
      </c>
      <c r="V49" s="190">
        <v>3200.3218020917157</v>
      </c>
      <c r="W49" s="187">
        <f t="shared" si="63"/>
        <v>168.43798958377451</v>
      </c>
      <c r="X49" s="184">
        <f t="shared" si="71"/>
        <v>1</v>
      </c>
      <c r="Y49" s="537"/>
      <c r="Z49" s="190">
        <v>19</v>
      </c>
      <c r="AA49" s="190">
        <v>3200.6037735849072</v>
      </c>
      <c r="AB49" s="187">
        <f t="shared" si="64"/>
        <v>168.45283018867931</v>
      </c>
      <c r="AC49" s="184">
        <f t="shared" si="72"/>
        <v>1</v>
      </c>
      <c r="AD49" s="537"/>
      <c r="AE49" s="190">
        <v>19</v>
      </c>
      <c r="AF49" s="190">
        <v>3200.6932409012093</v>
      </c>
      <c r="AG49" s="187">
        <f t="shared" si="73"/>
        <v>168.4575389948005</v>
      </c>
      <c r="AH49" s="184">
        <f t="shared" si="74"/>
        <v>1</v>
      </c>
      <c r="AI49" s="537"/>
      <c r="AJ49" s="190">
        <v>19</v>
      </c>
      <c r="AK49" s="190">
        <v>3200.5445881552023</v>
      </c>
      <c r="AL49" s="187">
        <f t="shared" si="65"/>
        <v>168.44971516606327</v>
      </c>
      <c r="AM49" s="184">
        <f t="shared" si="75"/>
        <v>1</v>
      </c>
      <c r="AN49" s="537"/>
      <c r="AO49" s="190">
        <v>19</v>
      </c>
      <c r="AP49" s="190">
        <v>3200.0000000000014</v>
      </c>
      <c r="AQ49" s="187">
        <f t="shared" si="66"/>
        <v>168.42105263157902</v>
      </c>
      <c r="AR49" s="184">
        <f t="shared" si="76"/>
        <v>1</v>
      </c>
      <c r="AS49" s="537"/>
      <c r="AT49" s="190">
        <v>19</v>
      </c>
      <c r="AU49" s="190">
        <v>3200.2828854313962</v>
      </c>
      <c r="AV49" s="187">
        <f t="shared" si="67"/>
        <v>168.43594133849453</v>
      </c>
      <c r="AW49" s="184">
        <f t="shared" si="77"/>
        <v>1</v>
      </c>
      <c r="AX49" s="537"/>
    </row>
    <row r="50" spans="2:50" ht="14.25" customHeight="1">
      <c r="B50" s="501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01"/>
      <c r="O50" s="501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01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01"/>
      <c r="O51" s="501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01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01"/>
      <c r="O52" s="501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01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01"/>
      <c r="O53" s="501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01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01"/>
      <c r="O54" s="501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6"/>
      <c r="D62" s="546"/>
      <c r="E62" s="546"/>
      <c r="F62" s="546"/>
      <c r="G62" s="546"/>
      <c r="H62" s="546"/>
      <c r="I62" s="546"/>
      <c r="J62" s="546"/>
      <c r="K62" s="546"/>
      <c r="L62" s="546"/>
      <c r="M62" s="547"/>
      <c r="N62" s="563" t="s">
        <v>383</v>
      </c>
      <c r="O62" s="563" t="s">
        <v>105</v>
      </c>
      <c r="P62" s="598">
        <f>AT42+1</f>
        <v>46042</v>
      </c>
      <c r="Q62" s="599"/>
      <c r="R62" s="599"/>
      <c r="S62" s="599"/>
      <c r="T62" s="599"/>
      <c r="U62" s="600">
        <f>P62+1</f>
        <v>46043</v>
      </c>
      <c r="V62" s="601"/>
      <c r="W62" s="601"/>
      <c r="X62" s="601"/>
      <c r="Y62" s="601"/>
      <c r="Z62" s="598">
        <f t="shared" ref="Z62" si="78">U62+1</f>
        <v>46044</v>
      </c>
      <c r="AA62" s="599"/>
      <c r="AB62" s="599"/>
      <c r="AC62" s="599"/>
      <c r="AD62" s="599"/>
      <c r="AE62" s="600">
        <f t="shared" ref="AE62" si="79">Z62+1</f>
        <v>46045</v>
      </c>
      <c r="AF62" s="601"/>
      <c r="AG62" s="601"/>
      <c r="AH62" s="601"/>
      <c r="AI62" s="601"/>
      <c r="AJ62" s="590">
        <f t="shared" ref="AJ62" si="80">AE62+1</f>
        <v>46046</v>
      </c>
      <c r="AK62" s="591"/>
      <c r="AL62" s="591"/>
      <c r="AM62" s="591"/>
      <c r="AN62" s="592"/>
      <c r="AO62" s="600">
        <f t="shared" ref="AO62" si="81">AJ62+1</f>
        <v>46047</v>
      </c>
      <c r="AP62" s="601"/>
      <c r="AQ62" s="601"/>
      <c r="AR62" s="601"/>
      <c r="AS62" s="601"/>
      <c r="AT62" s="590">
        <f t="shared" ref="AT62" si="82">AO62+1</f>
        <v>46048</v>
      </c>
      <c r="AU62" s="591"/>
      <c r="AV62" s="591"/>
      <c r="AW62" s="591"/>
      <c r="AX62" s="592"/>
    </row>
    <row r="63" spans="2:50" ht="14.25" customHeight="1"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8"/>
      <c r="M63" s="549"/>
      <c r="N63" s="565"/>
      <c r="O63" s="565"/>
      <c r="P63" s="593">
        <f>P62</f>
        <v>46042</v>
      </c>
      <c r="Q63" s="593"/>
      <c r="R63" s="593"/>
      <c r="S63" s="593"/>
      <c r="T63" s="593"/>
      <c r="U63" s="594">
        <f>U62</f>
        <v>46043</v>
      </c>
      <c r="V63" s="594"/>
      <c r="W63" s="594"/>
      <c r="X63" s="594"/>
      <c r="Y63" s="594"/>
      <c r="Z63" s="593">
        <f t="shared" ref="Z63" si="83">Z62</f>
        <v>46044</v>
      </c>
      <c r="AA63" s="593"/>
      <c r="AB63" s="593"/>
      <c r="AC63" s="593"/>
      <c r="AD63" s="593"/>
      <c r="AE63" s="594">
        <f t="shared" ref="AE63" si="84">AE62</f>
        <v>46045</v>
      </c>
      <c r="AF63" s="594"/>
      <c r="AG63" s="594"/>
      <c r="AH63" s="594"/>
      <c r="AI63" s="594"/>
      <c r="AJ63" s="595">
        <f t="shared" ref="AJ63" si="85">AJ62</f>
        <v>46046</v>
      </c>
      <c r="AK63" s="596"/>
      <c r="AL63" s="596"/>
      <c r="AM63" s="596"/>
      <c r="AN63" s="597"/>
      <c r="AO63" s="594">
        <f t="shared" ref="AO63" si="86">AO62</f>
        <v>46047</v>
      </c>
      <c r="AP63" s="594"/>
      <c r="AQ63" s="594"/>
      <c r="AR63" s="594"/>
      <c r="AS63" s="594"/>
      <c r="AT63" s="595">
        <f t="shared" ref="AT63" si="87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391</v>
      </c>
      <c r="C67" s="182">
        <v>1</v>
      </c>
      <c r="D67" s="185" t="s">
        <v>508</v>
      </c>
      <c r="E67" s="182">
        <v>19</v>
      </c>
      <c r="F67" s="182">
        <v>1800</v>
      </c>
      <c r="G67" s="187">
        <f t="shared" ref="G67:G70" si="88">F67/E67</f>
        <v>94.736842105263165</v>
      </c>
      <c r="H67" s="537">
        <f>AVERAGE(G67:G81)</f>
        <v>119.73684210526316</v>
      </c>
      <c r="I67" s="188">
        <f>AVERAGE(P67,U67,Z67,AE67,AJ67,AO67,AT67)</f>
        <v>19</v>
      </c>
      <c r="J67" s="188">
        <f>AVERAGE(Q67,V67,AA67,AF67,AK67,AP67,AU67)</f>
        <v>1605.5246758602807</v>
      </c>
      <c r="K67" s="189">
        <f>AVERAGE(R67,W67,AB67,AG67,AL67,AQ67,AV67)</f>
        <v>84.501298729488454</v>
      </c>
      <c r="L67" s="538">
        <f>IFERROR(AVERAGE(K67:K81),"-")</f>
        <v>105.82455968563619</v>
      </c>
      <c r="M67" s="188">
        <f>RANK(K67, K$67:$K$81)</f>
        <v>3</v>
      </c>
      <c r="N67" s="501"/>
      <c r="O67" s="501"/>
      <c r="P67" s="190">
        <v>19</v>
      </c>
      <c r="Q67" s="190">
        <v>1604.9493813273343</v>
      </c>
      <c r="R67" s="187">
        <f>IFERROR(Q67/P67,"")</f>
        <v>84.471020069859705</v>
      </c>
      <c r="S67" s="184">
        <f>RANK(R67, R$67:R$81)</f>
        <v>3</v>
      </c>
      <c r="T67" s="537">
        <f>AVERAGE(R67:R81)</f>
        <v>104.82230962761932</v>
      </c>
      <c r="U67" s="190">
        <v>19</v>
      </c>
      <c r="V67" s="190">
        <v>1605.135322692573</v>
      </c>
      <c r="W67" s="187">
        <f t="shared" ref="W67:W70" si="89">IFERROR(V67/U67,"")</f>
        <v>84.480806457503846</v>
      </c>
      <c r="X67" s="184">
        <f>RANK(W67, W$67:W$81)</f>
        <v>3</v>
      </c>
      <c r="Y67" s="537">
        <f>AVERAGE(W67:W81)</f>
        <v>105.16490855217491</v>
      </c>
      <c r="Z67" s="190">
        <v>19</v>
      </c>
      <c r="AA67" s="190">
        <v>1604.9647769204969</v>
      </c>
      <c r="AB67" s="187">
        <f t="shared" ref="AB67:AB70" si="90">IFERROR(AA67/Z67,"")</f>
        <v>84.471830364236681</v>
      </c>
      <c r="AC67" s="184">
        <f>RANK(AB67, AB$67:AB$81)</f>
        <v>3</v>
      </c>
      <c r="AD67" s="537">
        <f>AVERAGE(AB67:AB81)</f>
        <v>105.53019430582674</v>
      </c>
      <c r="AE67" s="190">
        <v>19</v>
      </c>
      <c r="AF67" s="190">
        <v>1605.6420233463023</v>
      </c>
      <c r="AG67" s="187">
        <f>IFERROR(AF67/AE67,"")</f>
        <v>84.507474912963275</v>
      </c>
      <c r="AH67" s="184">
        <f>RANK(AG67, AG$67:AG$81)</f>
        <v>3</v>
      </c>
      <c r="AI67" s="537">
        <f>AVERAGE(AG67:AG81)</f>
        <v>105.88113278161791</v>
      </c>
      <c r="AJ67" s="190">
        <v>19</v>
      </c>
      <c r="AK67" s="190">
        <v>1605.8355437665757</v>
      </c>
      <c r="AL67" s="187">
        <f t="shared" ref="AL67:AL70" si="91">IFERROR(AK67/AJ67,"")</f>
        <v>84.517660198240833</v>
      </c>
      <c r="AM67" s="184">
        <f>RANK(AL67, AL$67:AL$81)</f>
        <v>3</v>
      </c>
      <c r="AN67" s="537">
        <f>AVERAGE(AL67:AL81)</f>
        <v>106.20383144474431</v>
      </c>
      <c r="AO67" s="190">
        <v>19</v>
      </c>
      <c r="AP67" s="190">
        <v>1606.1823802163865</v>
      </c>
      <c r="AQ67" s="187">
        <f t="shared" ref="AQ67:AQ70" si="92">IFERROR(AP67/AO67,"")</f>
        <v>84.535914748230866</v>
      </c>
      <c r="AR67" s="184">
        <f>RANK(AQ67, AQ$67:AQ$81)</f>
        <v>3</v>
      </c>
      <c r="AS67" s="537">
        <f>AVERAGE(AQ67:AQ81)</f>
        <v>106.51651695541277</v>
      </c>
      <c r="AT67" s="190">
        <v>19</v>
      </c>
      <c r="AU67" s="190">
        <v>1605.9633027522959</v>
      </c>
      <c r="AV67" s="187">
        <f t="shared" ref="AV67:AV70" si="93">IFERROR(AU67/AT67,"")</f>
        <v>84.524384355384001</v>
      </c>
      <c r="AW67" s="184">
        <f>RANK(AV67, AV$67:AV$81)</f>
        <v>3</v>
      </c>
      <c r="AX67" s="537">
        <f>AVERAGE(AV67:AV81)</f>
        <v>106.65302413205738</v>
      </c>
    </row>
    <row r="68" spans="2:50" ht="14.25" customHeight="1">
      <c r="B68" s="501"/>
      <c r="C68" s="182">
        <v>2</v>
      </c>
      <c r="D68" s="185" t="s">
        <v>515</v>
      </c>
      <c r="E68" s="182">
        <v>18</v>
      </c>
      <c r="F68" s="182">
        <v>1800</v>
      </c>
      <c r="G68" s="187">
        <f t="shared" si="88"/>
        <v>100</v>
      </c>
      <c r="H68" s="537"/>
      <c r="I68" s="188">
        <f t="shared" ref="I68:K70" si="94">AVERAGE(P68,U68,Z68,AE68,AJ68,AO68,AT68)</f>
        <v>18</v>
      </c>
      <c r="J68" s="188">
        <f t="shared" si="94"/>
        <v>1605.9607358626006</v>
      </c>
      <c r="K68" s="189">
        <f t="shared" si="94"/>
        <v>89.220040881255599</v>
      </c>
      <c r="L68" s="538"/>
      <c r="M68" s="188">
        <f>RANK(K68, K$67:$K$81)</f>
        <v>2</v>
      </c>
      <c r="N68" s="501"/>
      <c r="O68" s="501"/>
      <c r="P68" s="190">
        <v>18</v>
      </c>
      <c r="Q68" s="190">
        <v>1606.4020486555719</v>
      </c>
      <c r="R68" s="187">
        <f t="shared" ref="R68:R70" si="95">IFERROR(Q68/P68,"")</f>
        <v>89.244558258642883</v>
      </c>
      <c r="S68" s="184">
        <f t="shared" ref="S68:S70" si="96">RANK(R68, R$67:R$81)</f>
        <v>2</v>
      </c>
      <c r="T68" s="537"/>
      <c r="U68" s="190">
        <v>18</v>
      </c>
      <c r="V68" s="190">
        <v>1606.4999999999975</v>
      </c>
      <c r="W68" s="187">
        <f t="shared" si="89"/>
        <v>89.249999999999858</v>
      </c>
      <c r="X68" s="184">
        <f t="shared" ref="X68:X70" si="97">RANK(W68, W$67:W$81)</f>
        <v>2</v>
      </c>
      <c r="Y68" s="537"/>
      <c r="Z68" s="190">
        <v>18</v>
      </c>
      <c r="AA68" s="190">
        <v>1606.7186562687464</v>
      </c>
      <c r="AB68" s="187">
        <f t="shared" si="90"/>
        <v>89.262147570485908</v>
      </c>
      <c r="AC68" s="184">
        <f t="shared" ref="AC68:AC70" si="98">RANK(AB68, AB$67:AB$81)</f>
        <v>2</v>
      </c>
      <c r="AD68" s="537"/>
      <c r="AE68" s="190">
        <v>18</v>
      </c>
      <c r="AF68" s="190">
        <v>1605.9765208111003</v>
      </c>
      <c r="AG68" s="187">
        <f t="shared" ref="AG68:AG70" si="99">IFERROR(AF68/AE68,"")</f>
        <v>89.220917822838899</v>
      </c>
      <c r="AH68" s="184">
        <f t="shared" ref="AH68:AH70" si="100">RANK(AG68, AG$67:AG$81)</f>
        <v>2</v>
      </c>
      <c r="AI68" s="537"/>
      <c r="AJ68" s="190">
        <v>18</v>
      </c>
      <c r="AK68" s="190">
        <v>1605.7971014492725</v>
      </c>
      <c r="AL68" s="187">
        <f t="shared" si="91"/>
        <v>89.210950080515147</v>
      </c>
      <c r="AM68" s="184">
        <f t="shared" ref="AM68:AM70" si="101">RANK(AL68, AL$67:AL$81)</f>
        <v>2</v>
      </c>
      <c r="AN68" s="537"/>
      <c r="AO68" s="190">
        <v>18</v>
      </c>
      <c r="AP68" s="190">
        <v>1605.4527750730297</v>
      </c>
      <c r="AQ68" s="187">
        <f t="shared" si="92"/>
        <v>89.191820837390537</v>
      </c>
      <c r="AR68" s="184">
        <f t="shared" ref="AR68:AR70" si="102">RANK(AQ68, AQ$67:AQ$81)</f>
        <v>2</v>
      </c>
      <c r="AS68" s="537"/>
      <c r="AT68" s="190">
        <v>18</v>
      </c>
      <c r="AU68" s="190">
        <v>1604.8780487804872</v>
      </c>
      <c r="AV68" s="187">
        <f t="shared" si="93"/>
        <v>89.159891598915962</v>
      </c>
      <c r="AW68" s="184">
        <f t="shared" ref="AW68:AW70" si="103">RANK(AV68, AV$67:AV$81)</f>
        <v>2</v>
      </c>
      <c r="AX68" s="537"/>
    </row>
    <row r="69" spans="2:50" ht="14.25" customHeight="1">
      <c r="B69" s="501"/>
      <c r="C69" s="182">
        <v>3</v>
      </c>
      <c r="D69" s="185" t="s">
        <v>517</v>
      </c>
      <c r="E69" s="182">
        <v>19</v>
      </c>
      <c r="F69" s="182">
        <v>3600</v>
      </c>
      <c r="G69" s="187">
        <f t="shared" si="88"/>
        <v>189.47368421052633</v>
      </c>
      <c r="H69" s="537"/>
      <c r="I69" s="188">
        <f t="shared" si="94"/>
        <v>19</v>
      </c>
      <c r="J69" s="188">
        <f t="shared" si="94"/>
        <v>3201.6029523646748</v>
      </c>
      <c r="K69" s="189">
        <f t="shared" si="94"/>
        <v>168.5054185455092</v>
      </c>
      <c r="L69" s="538"/>
      <c r="M69" s="188">
        <f>RANK(K69, K$67:$K$81)</f>
        <v>1</v>
      </c>
      <c r="N69" s="501"/>
      <c r="O69" s="501"/>
      <c r="P69" s="190">
        <v>19</v>
      </c>
      <c r="Q69" s="190">
        <v>3199.2640294388261</v>
      </c>
      <c r="R69" s="187">
        <f t="shared" si="95"/>
        <v>168.3823173388856</v>
      </c>
      <c r="S69" s="184">
        <f t="shared" si="96"/>
        <v>1</v>
      </c>
      <c r="T69" s="537"/>
      <c r="U69" s="190">
        <v>19</v>
      </c>
      <c r="V69" s="190">
        <v>3199.999999999995</v>
      </c>
      <c r="W69" s="187">
        <f t="shared" si="89"/>
        <v>168.42105263157868</v>
      </c>
      <c r="X69" s="184">
        <f t="shared" si="97"/>
        <v>1</v>
      </c>
      <c r="Y69" s="537"/>
      <c r="Z69" s="190">
        <v>19</v>
      </c>
      <c r="AA69" s="190">
        <v>3201.7021276595756</v>
      </c>
      <c r="AB69" s="187">
        <f t="shared" si="90"/>
        <v>168.51063829787239</v>
      </c>
      <c r="AC69" s="184">
        <f t="shared" si="98"/>
        <v>1</v>
      </c>
      <c r="AD69" s="537"/>
      <c r="AE69" s="190">
        <v>19</v>
      </c>
      <c r="AF69" s="190">
        <v>3202.7932960893854</v>
      </c>
      <c r="AG69" s="187">
        <f t="shared" si="99"/>
        <v>168.56806821523082</v>
      </c>
      <c r="AH69" s="184">
        <f t="shared" si="100"/>
        <v>1</v>
      </c>
      <c r="AI69" s="537"/>
      <c r="AJ69" s="190">
        <v>19</v>
      </c>
      <c r="AK69" s="190">
        <v>3202.3430962343064</v>
      </c>
      <c r="AL69" s="187">
        <f t="shared" si="91"/>
        <v>168.54437348601613</v>
      </c>
      <c r="AM69" s="184">
        <f t="shared" si="101"/>
        <v>1</v>
      </c>
      <c r="AN69" s="537"/>
      <c r="AO69" s="190">
        <v>19</v>
      </c>
      <c r="AP69" s="190">
        <v>3202.6641294005767</v>
      </c>
      <c r="AQ69" s="187">
        <f t="shared" si="92"/>
        <v>168.5612699684514</v>
      </c>
      <c r="AR69" s="184">
        <f t="shared" si="102"/>
        <v>1</v>
      </c>
      <c r="AS69" s="537"/>
      <c r="AT69" s="190">
        <v>19</v>
      </c>
      <c r="AU69" s="190">
        <v>3202.453987730059</v>
      </c>
      <c r="AV69" s="187">
        <f t="shared" si="93"/>
        <v>168.55020988052942</v>
      </c>
      <c r="AW69" s="184">
        <f t="shared" si="103"/>
        <v>1</v>
      </c>
      <c r="AX69" s="537"/>
    </row>
    <row r="70" spans="2:50" ht="14.25" customHeight="1">
      <c r="B70" s="501"/>
      <c r="C70" s="182">
        <v>4</v>
      </c>
      <c r="D70" s="185" t="s">
        <v>742</v>
      </c>
      <c r="E70" s="182">
        <v>19</v>
      </c>
      <c r="F70" s="182">
        <v>1800</v>
      </c>
      <c r="G70" s="187">
        <f t="shared" si="88"/>
        <v>94.736842105263165</v>
      </c>
      <c r="H70" s="537"/>
      <c r="I70" s="188">
        <f t="shared" si="94"/>
        <v>19</v>
      </c>
      <c r="J70" s="188">
        <f t="shared" si="94"/>
        <v>1540.358131139538</v>
      </c>
      <c r="K70" s="189">
        <f t="shared" si="94"/>
        <v>81.0714805862915</v>
      </c>
      <c r="L70" s="538"/>
      <c r="M70" s="188">
        <f>RANK(K70, K$67:$K$81)</f>
        <v>4</v>
      </c>
      <c r="N70" s="501"/>
      <c r="O70" s="501"/>
      <c r="P70" s="190">
        <v>19</v>
      </c>
      <c r="Q70" s="190">
        <v>1466.6355140186915</v>
      </c>
      <c r="R70" s="187">
        <f t="shared" si="95"/>
        <v>77.191342843089032</v>
      </c>
      <c r="S70" s="184">
        <f t="shared" si="96"/>
        <v>4</v>
      </c>
      <c r="T70" s="537"/>
      <c r="U70" s="190">
        <v>19</v>
      </c>
      <c r="V70" s="190">
        <v>1491.6477272727273</v>
      </c>
      <c r="W70" s="187">
        <f t="shared" si="89"/>
        <v>78.507775119617222</v>
      </c>
      <c r="X70" s="184">
        <f t="shared" si="97"/>
        <v>4</v>
      </c>
      <c r="Y70" s="537"/>
      <c r="Z70" s="190">
        <v>19</v>
      </c>
      <c r="AA70" s="190">
        <v>1517.6470588235277</v>
      </c>
      <c r="AB70" s="187">
        <f t="shared" si="90"/>
        <v>79.876160990711981</v>
      </c>
      <c r="AC70" s="184">
        <f t="shared" si="98"/>
        <v>4</v>
      </c>
      <c r="AD70" s="537"/>
      <c r="AE70" s="190">
        <v>19</v>
      </c>
      <c r="AF70" s="190">
        <v>1543.3333333333342</v>
      </c>
      <c r="AG70" s="187">
        <f t="shared" si="99"/>
        <v>81.228070175438646</v>
      </c>
      <c r="AH70" s="184">
        <f t="shared" si="100"/>
        <v>4</v>
      </c>
      <c r="AI70" s="537"/>
      <c r="AJ70" s="190">
        <v>19</v>
      </c>
      <c r="AK70" s="190">
        <v>1568.3044982698975</v>
      </c>
      <c r="AL70" s="187">
        <f t="shared" si="91"/>
        <v>82.542342014205133</v>
      </c>
      <c r="AM70" s="184">
        <f t="shared" si="101"/>
        <v>4</v>
      </c>
      <c r="AN70" s="537"/>
      <c r="AO70" s="190">
        <v>19</v>
      </c>
      <c r="AP70" s="190">
        <v>1591.7641830839871</v>
      </c>
      <c r="AQ70" s="187">
        <f t="shared" si="92"/>
        <v>83.777062267578273</v>
      </c>
      <c r="AR70" s="184">
        <f t="shared" si="102"/>
        <v>4</v>
      </c>
      <c r="AS70" s="537"/>
      <c r="AT70" s="190">
        <v>19</v>
      </c>
      <c r="AU70" s="190">
        <v>1603.1746031746034</v>
      </c>
      <c r="AV70" s="187">
        <f t="shared" si="93"/>
        <v>84.377610693400172</v>
      </c>
      <c r="AW70" s="184">
        <f t="shared" si="103"/>
        <v>4</v>
      </c>
      <c r="AX70" s="537"/>
    </row>
    <row r="71" spans="2:50" ht="14.25" customHeight="1">
      <c r="B71" s="501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01"/>
      <c r="O71" s="501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3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01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01"/>
      <c r="O72" s="501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3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01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01"/>
      <c r="O73" s="501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3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01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01"/>
      <c r="O74" s="501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3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01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01"/>
      <c r="O75" s="501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3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3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3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3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3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3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37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104">U82+1</f>
        <v>46051</v>
      </c>
      <c r="AA82" s="599"/>
      <c r="AB82" s="599"/>
      <c r="AC82" s="599"/>
      <c r="AD82" s="599"/>
      <c r="AE82" s="600">
        <f t="shared" ref="AE82" si="105">Z82+1</f>
        <v>46052</v>
      </c>
      <c r="AF82" s="601"/>
      <c r="AG82" s="601"/>
      <c r="AH82" s="601"/>
      <c r="AI82" s="601"/>
      <c r="AJ82" s="590">
        <f t="shared" ref="AJ82" si="106">AE82+1</f>
        <v>46053</v>
      </c>
      <c r="AK82" s="591"/>
      <c r="AL82" s="591"/>
      <c r="AM82" s="591"/>
      <c r="AN82" s="592"/>
      <c r="AO82" s="600">
        <f t="shared" ref="AO82" si="107">AJ82+1</f>
        <v>46054</v>
      </c>
      <c r="AP82" s="601"/>
      <c r="AQ82" s="601"/>
      <c r="AR82" s="601"/>
      <c r="AS82" s="601"/>
      <c r="AT82" s="590">
        <f t="shared" ref="AT82" si="108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109">Z82</f>
        <v>46051</v>
      </c>
      <c r="AA83" s="593"/>
      <c r="AB83" s="593"/>
      <c r="AC83" s="593"/>
      <c r="AD83" s="593"/>
      <c r="AE83" s="594">
        <f t="shared" ref="AE83" si="110">AE82</f>
        <v>46052</v>
      </c>
      <c r="AF83" s="594"/>
      <c r="AG83" s="594"/>
      <c r="AH83" s="594"/>
      <c r="AI83" s="594"/>
      <c r="AJ83" s="595">
        <f t="shared" ref="AJ83" si="111">AJ82</f>
        <v>46053</v>
      </c>
      <c r="AK83" s="596"/>
      <c r="AL83" s="596"/>
      <c r="AM83" s="596"/>
      <c r="AN83" s="597"/>
      <c r="AO83" s="594">
        <f t="shared" ref="AO83" si="112">AO82</f>
        <v>46054</v>
      </c>
      <c r="AP83" s="594"/>
      <c r="AQ83" s="594"/>
      <c r="AR83" s="594"/>
      <c r="AS83" s="594"/>
      <c r="AT83" s="595">
        <f t="shared" ref="AT83" si="113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 t="s">
        <v>386</v>
      </c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391</v>
      </c>
      <c r="C87" s="182">
        <v>1</v>
      </c>
      <c r="D87" s="185"/>
      <c r="E87" s="182"/>
      <c r="F87" s="182"/>
      <c r="G87" s="187" t="e">
        <f t="shared" ref="G87:G101" si="114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5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116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17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18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19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20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21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4"/>
        <v>#DIV/0!</v>
      </c>
      <c r="H88" s="537"/>
      <c r="I88" s="188" t="e">
        <f t="shared" ref="I88:I101" si="122">AVERAGE(P88,U88,Z88,AE88,AJ88,AO88,AT88)</f>
        <v>#DIV/0!</v>
      </c>
      <c r="J88" s="188" t="e">
        <f t="shared" ref="J88:J101" si="123">AVERAGE(Q88,V88,AA88,AF88,AK88,AP88,AU88)</f>
        <v>#DIV/0!</v>
      </c>
      <c r="K88" s="189" t="e">
        <f t="shared" ref="K88:K101" si="124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115"/>
        <v>#DIV/0!</v>
      </c>
      <c r="S88" s="184" t="e">
        <f t="shared" ref="S88:S101" si="125">RANK(R88, R$47:R$61)</f>
        <v>#DIV/0!</v>
      </c>
      <c r="T88" s="537"/>
      <c r="U88" s="182"/>
      <c r="V88" s="182"/>
      <c r="W88" s="187" t="e">
        <f t="shared" si="116"/>
        <v>#DIV/0!</v>
      </c>
      <c r="X88" s="184" t="e">
        <f t="shared" ref="X88:X101" si="126">RANK(W88, W$47:W$61)</f>
        <v>#DIV/0!</v>
      </c>
      <c r="Y88" s="537"/>
      <c r="Z88" s="182"/>
      <c r="AA88" s="182"/>
      <c r="AB88" s="187" t="e">
        <f t="shared" si="117"/>
        <v>#DIV/0!</v>
      </c>
      <c r="AC88" s="184" t="e">
        <f t="shared" ref="AC88:AC101" si="127">RANK(AB88, AB$47:AB$61)</f>
        <v>#DIV/0!</v>
      </c>
      <c r="AD88" s="537"/>
      <c r="AE88" s="182"/>
      <c r="AF88" s="182"/>
      <c r="AG88" s="187" t="e">
        <f t="shared" si="118"/>
        <v>#DIV/0!</v>
      </c>
      <c r="AH88" s="184" t="e">
        <f t="shared" ref="AH88:AH101" si="128">RANK(AG88, AG$47:AG$61)</f>
        <v>#DIV/0!</v>
      </c>
      <c r="AI88" s="537"/>
      <c r="AJ88" s="182"/>
      <c r="AK88" s="182"/>
      <c r="AL88" s="187" t="e">
        <f t="shared" si="119"/>
        <v>#DIV/0!</v>
      </c>
      <c r="AM88" s="184" t="e">
        <f t="shared" ref="AM88:AM101" si="129">RANK(AL88, AL$47:AL$61)</f>
        <v>#DIV/0!</v>
      </c>
      <c r="AN88" s="537"/>
      <c r="AO88" s="182"/>
      <c r="AP88" s="182"/>
      <c r="AQ88" s="187" t="e">
        <f t="shared" si="120"/>
        <v>#DIV/0!</v>
      </c>
      <c r="AR88" s="184" t="e">
        <f t="shared" ref="AR88:AR101" si="130">RANK(AQ88, AQ$47:AQ$61)</f>
        <v>#DIV/0!</v>
      </c>
      <c r="AS88" s="537"/>
      <c r="AT88" s="182"/>
      <c r="AU88" s="182"/>
      <c r="AV88" s="187" t="e">
        <f t="shared" si="121"/>
        <v>#DIV/0!</v>
      </c>
      <c r="AW88" s="184" t="e">
        <f t="shared" ref="AW88:AW101" si="131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4"/>
        <v>#DIV/0!</v>
      </c>
      <c r="H89" s="537"/>
      <c r="I89" s="188" t="e">
        <f t="shared" si="122"/>
        <v>#DIV/0!</v>
      </c>
      <c r="J89" s="188" t="e">
        <f t="shared" si="123"/>
        <v>#DIV/0!</v>
      </c>
      <c r="K89" s="189" t="e">
        <f t="shared" si="124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115"/>
        <v>#DIV/0!</v>
      </c>
      <c r="S89" s="184" t="e">
        <f t="shared" si="125"/>
        <v>#DIV/0!</v>
      </c>
      <c r="T89" s="537"/>
      <c r="U89" s="182"/>
      <c r="V89" s="182"/>
      <c r="W89" s="187" t="e">
        <f t="shared" si="116"/>
        <v>#DIV/0!</v>
      </c>
      <c r="X89" s="184" t="e">
        <f t="shared" si="126"/>
        <v>#DIV/0!</v>
      </c>
      <c r="Y89" s="537"/>
      <c r="Z89" s="182"/>
      <c r="AA89" s="182"/>
      <c r="AB89" s="187" t="e">
        <f t="shared" si="117"/>
        <v>#DIV/0!</v>
      </c>
      <c r="AC89" s="184" t="e">
        <f t="shared" si="127"/>
        <v>#DIV/0!</v>
      </c>
      <c r="AD89" s="537"/>
      <c r="AE89" s="182"/>
      <c r="AF89" s="182"/>
      <c r="AG89" s="187" t="e">
        <f t="shared" si="118"/>
        <v>#DIV/0!</v>
      </c>
      <c r="AH89" s="184" t="e">
        <f t="shared" si="128"/>
        <v>#DIV/0!</v>
      </c>
      <c r="AI89" s="537"/>
      <c r="AJ89" s="182"/>
      <c r="AK89" s="182"/>
      <c r="AL89" s="187" t="e">
        <f t="shared" si="119"/>
        <v>#DIV/0!</v>
      </c>
      <c r="AM89" s="184" t="e">
        <f t="shared" si="129"/>
        <v>#DIV/0!</v>
      </c>
      <c r="AN89" s="537"/>
      <c r="AO89" s="182"/>
      <c r="AP89" s="182"/>
      <c r="AQ89" s="187" t="e">
        <f t="shared" si="120"/>
        <v>#DIV/0!</v>
      </c>
      <c r="AR89" s="184" t="e">
        <f t="shared" si="130"/>
        <v>#DIV/0!</v>
      </c>
      <c r="AS89" s="537"/>
      <c r="AT89" s="182"/>
      <c r="AU89" s="182"/>
      <c r="AV89" s="187" t="e">
        <f t="shared" si="121"/>
        <v>#DIV/0!</v>
      </c>
      <c r="AW89" s="184" t="e">
        <f t="shared" si="131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4"/>
        <v>#DIV/0!</v>
      </c>
      <c r="H90" s="537"/>
      <c r="I90" s="188" t="e">
        <f t="shared" si="122"/>
        <v>#DIV/0!</v>
      </c>
      <c r="J90" s="188" t="e">
        <f t="shared" si="123"/>
        <v>#DIV/0!</v>
      </c>
      <c r="K90" s="189" t="e">
        <f t="shared" si="124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115"/>
        <v>#DIV/0!</v>
      </c>
      <c r="S90" s="184" t="e">
        <f t="shared" si="125"/>
        <v>#DIV/0!</v>
      </c>
      <c r="T90" s="537"/>
      <c r="U90" s="182"/>
      <c r="V90" s="182"/>
      <c r="W90" s="187" t="e">
        <f t="shared" si="116"/>
        <v>#DIV/0!</v>
      </c>
      <c r="X90" s="184" t="e">
        <f t="shared" si="126"/>
        <v>#DIV/0!</v>
      </c>
      <c r="Y90" s="537"/>
      <c r="Z90" s="182"/>
      <c r="AA90" s="182"/>
      <c r="AB90" s="187" t="e">
        <f t="shared" si="117"/>
        <v>#DIV/0!</v>
      </c>
      <c r="AC90" s="184" t="e">
        <f t="shared" si="127"/>
        <v>#DIV/0!</v>
      </c>
      <c r="AD90" s="537"/>
      <c r="AE90" s="182"/>
      <c r="AF90" s="182"/>
      <c r="AG90" s="187" t="e">
        <f t="shared" si="118"/>
        <v>#DIV/0!</v>
      </c>
      <c r="AH90" s="184" t="e">
        <f t="shared" si="128"/>
        <v>#DIV/0!</v>
      </c>
      <c r="AI90" s="537"/>
      <c r="AJ90" s="182"/>
      <c r="AK90" s="182"/>
      <c r="AL90" s="187" t="e">
        <f t="shared" si="119"/>
        <v>#DIV/0!</v>
      </c>
      <c r="AM90" s="184" t="e">
        <f t="shared" si="129"/>
        <v>#DIV/0!</v>
      </c>
      <c r="AN90" s="537"/>
      <c r="AO90" s="182"/>
      <c r="AP90" s="182"/>
      <c r="AQ90" s="187" t="e">
        <f t="shared" si="120"/>
        <v>#DIV/0!</v>
      </c>
      <c r="AR90" s="184" t="e">
        <f t="shared" si="130"/>
        <v>#DIV/0!</v>
      </c>
      <c r="AS90" s="537"/>
      <c r="AT90" s="182"/>
      <c r="AU90" s="182"/>
      <c r="AV90" s="187" t="e">
        <f t="shared" si="121"/>
        <v>#DIV/0!</v>
      </c>
      <c r="AW90" s="184" t="e">
        <f t="shared" si="131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4"/>
        <v>#DIV/0!</v>
      </c>
      <c r="H91" s="537"/>
      <c r="I91" s="188" t="e">
        <f t="shared" si="122"/>
        <v>#DIV/0!</v>
      </c>
      <c r="J91" s="188" t="e">
        <f t="shared" si="123"/>
        <v>#DIV/0!</v>
      </c>
      <c r="K91" s="189" t="e">
        <f t="shared" si="124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115"/>
        <v>#DIV/0!</v>
      </c>
      <c r="S91" s="184" t="e">
        <f t="shared" si="125"/>
        <v>#DIV/0!</v>
      </c>
      <c r="T91" s="537"/>
      <c r="U91" s="182"/>
      <c r="V91" s="182"/>
      <c r="W91" s="187" t="e">
        <f t="shared" si="116"/>
        <v>#DIV/0!</v>
      </c>
      <c r="X91" s="184" t="e">
        <f t="shared" si="126"/>
        <v>#DIV/0!</v>
      </c>
      <c r="Y91" s="537"/>
      <c r="Z91" s="182"/>
      <c r="AA91" s="182"/>
      <c r="AB91" s="187" t="e">
        <f t="shared" si="117"/>
        <v>#DIV/0!</v>
      </c>
      <c r="AC91" s="184" t="e">
        <f t="shared" si="127"/>
        <v>#DIV/0!</v>
      </c>
      <c r="AD91" s="537"/>
      <c r="AE91" s="182"/>
      <c r="AF91" s="182"/>
      <c r="AG91" s="187" t="e">
        <f t="shared" si="118"/>
        <v>#DIV/0!</v>
      </c>
      <c r="AH91" s="184" t="e">
        <f t="shared" si="128"/>
        <v>#DIV/0!</v>
      </c>
      <c r="AI91" s="537"/>
      <c r="AJ91" s="182"/>
      <c r="AK91" s="182"/>
      <c r="AL91" s="187" t="e">
        <f t="shared" si="119"/>
        <v>#DIV/0!</v>
      </c>
      <c r="AM91" s="184" t="e">
        <f t="shared" si="129"/>
        <v>#DIV/0!</v>
      </c>
      <c r="AN91" s="537"/>
      <c r="AO91" s="182"/>
      <c r="AP91" s="182"/>
      <c r="AQ91" s="187" t="e">
        <f t="shared" si="120"/>
        <v>#DIV/0!</v>
      </c>
      <c r="AR91" s="184" t="e">
        <f t="shared" si="130"/>
        <v>#DIV/0!</v>
      </c>
      <c r="AS91" s="537"/>
      <c r="AT91" s="182"/>
      <c r="AU91" s="182"/>
      <c r="AV91" s="187" t="e">
        <f t="shared" si="121"/>
        <v>#DIV/0!</v>
      </c>
      <c r="AW91" s="184" t="e">
        <f t="shared" si="131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4"/>
        <v>#DIV/0!</v>
      </c>
      <c r="H92" s="537"/>
      <c r="I92" s="188" t="e">
        <f t="shared" si="122"/>
        <v>#DIV/0!</v>
      </c>
      <c r="J92" s="188" t="e">
        <f t="shared" si="123"/>
        <v>#DIV/0!</v>
      </c>
      <c r="K92" s="189" t="e">
        <f t="shared" si="124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115"/>
        <v>#DIV/0!</v>
      </c>
      <c r="S92" s="184" t="e">
        <f t="shared" si="125"/>
        <v>#DIV/0!</v>
      </c>
      <c r="T92" s="537"/>
      <c r="U92" s="182"/>
      <c r="V92" s="182"/>
      <c r="W92" s="187" t="e">
        <f t="shared" si="116"/>
        <v>#DIV/0!</v>
      </c>
      <c r="X92" s="184" t="e">
        <f t="shared" si="126"/>
        <v>#DIV/0!</v>
      </c>
      <c r="Y92" s="537"/>
      <c r="Z92" s="182"/>
      <c r="AA92" s="182"/>
      <c r="AB92" s="187" t="e">
        <f t="shared" si="117"/>
        <v>#DIV/0!</v>
      </c>
      <c r="AC92" s="184" t="e">
        <f t="shared" si="127"/>
        <v>#DIV/0!</v>
      </c>
      <c r="AD92" s="537"/>
      <c r="AE92" s="182"/>
      <c r="AF92" s="182"/>
      <c r="AG92" s="187" t="e">
        <f t="shared" si="118"/>
        <v>#DIV/0!</v>
      </c>
      <c r="AH92" s="184" t="e">
        <f t="shared" si="128"/>
        <v>#DIV/0!</v>
      </c>
      <c r="AI92" s="537"/>
      <c r="AJ92" s="182"/>
      <c r="AK92" s="182"/>
      <c r="AL92" s="187" t="e">
        <f t="shared" si="119"/>
        <v>#DIV/0!</v>
      </c>
      <c r="AM92" s="184" t="e">
        <f t="shared" si="129"/>
        <v>#DIV/0!</v>
      </c>
      <c r="AN92" s="537"/>
      <c r="AO92" s="182"/>
      <c r="AP92" s="182"/>
      <c r="AQ92" s="187" t="e">
        <f t="shared" si="120"/>
        <v>#DIV/0!</v>
      </c>
      <c r="AR92" s="184" t="e">
        <f t="shared" si="130"/>
        <v>#DIV/0!</v>
      </c>
      <c r="AS92" s="537"/>
      <c r="AT92" s="182"/>
      <c r="AU92" s="182"/>
      <c r="AV92" s="187" t="e">
        <f t="shared" si="121"/>
        <v>#DIV/0!</v>
      </c>
      <c r="AW92" s="184" t="e">
        <f t="shared" si="131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4"/>
        <v>#DIV/0!</v>
      </c>
      <c r="H93" s="537"/>
      <c r="I93" s="188" t="e">
        <f t="shared" si="122"/>
        <v>#DIV/0!</v>
      </c>
      <c r="J93" s="188" t="e">
        <f t="shared" si="123"/>
        <v>#DIV/0!</v>
      </c>
      <c r="K93" s="189" t="e">
        <f t="shared" si="124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115"/>
        <v>#DIV/0!</v>
      </c>
      <c r="S93" s="184" t="e">
        <f t="shared" si="125"/>
        <v>#DIV/0!</v>
      </c>
      <c r="T93" s="537"/>
      <c r="U93" s="182"/>
      <c r="V93" s="182"/>
      <c r="W93" s="187" t="e">
        <f t="shared" si="116"/>
        <v>#DIV/0!</v>
      </c>
      <c r="X93" s="184" t="e">
        <f t="shared" si="126"/>
        <v>#DIV/0!</v>
      </c>
      <c r="Y93" s="537"/>
      <c r="Z93" s="182"/>
      <c r="AA93" s="182"/>
      <c r="AB93" s="187" t="e">
        <f t="shared" si="117"/>
        <v>#DIV/0!</v>
      </c>
      <c r="AC93" s="184" t="e">
        <f t="shared" si="127"/>
        <v>#DIV/0!</v>
      </c>
      <c r="AD93" s="537"/>
      <c r="AE93" s="182"/>
      <c r="AF93" s="182"/>
      <c r="AG93" s="187" t="e">
        <f t="shared" si="118"/>
        <v>#DIV/0!</v>
      </c>
      <c r="AH93" s="184" t="e">
        <f t="shared" si="128"/>
        <v>#DIV/0!</v>
      </c>
      <c r="AI93" s="537"/>
      <c r="AJ93" s="182"/>
      <c r="AK93" s="182"/>
      <c r="AL93" s="187" t="e">
        <f t="shared" si="119"/>
        <v>#DIV/0!</v>
      </c>
      <c r="AM93" s="184" t="e">
        <f t="shared" si="129"/>
        <v>#DIV/0!</v>
      </c>
      <c r="AN93" s="537"/>
      <c r="AO93" s="182"/>
      <c r="AP93" s="182"/>
      <c r="AQ93" s="187" t="e">
        <f t="shared" si="120"/>
        <v>#DIV/0!</v>
      </c>
      <c r="AR93" s="184" t="e">
        <f t="shared" si="130"/>
        <v>#DIV/0!</v>
      </c>
      <c r="AS93" s="537"/>
      <c r="AT93" s="182"/>
      <c r="AU93" s="182"/>
      <c r="AV93" s="187" t="e">
        <f t="shared" si="121"/>
        <v>#DIV/0!</v>
      </c>
      <c r="AW93" s="184" t="e">
        <f t="shared" si="131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4"/>
        <v>#DIV/0!</v>
      </c>
      <c r="H94" s="537"/>
      <c r="I94" s="188" t="e">
        <f t="shared" si="122"/>
        <v>#DIV/0!</v>
      </c>
      <c r="J94" s="188" t="e">
        <f t="shared" si="123"/>
        <v>#DIV/0!</v>
      </c>
      <c r="K94" s="189" t="e">
        <f t="shared" si="124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115"/>
        <v>#DIV/0!</v>
      </c>
      <c r="S94" s="184" t="e">
        <f t="shared" si="125"/>
        <v>#DIV/0!</v>
      </c>
      <c r="T94" s="537"/>
      <c r="U94" s="182"/>
      <c r="V94" s="182"/>
      <c r="W94" s="187" t="e">
        <f t="shared" si="116"/>
        <v>#DIV/0!</v>
      </c>
      <c r="X94" s="184" t="e">
        <f t="shared" si="126"/>
        <v>#DIV/0!</v>
      </c>
      <c r="Y94" s="537"/>
      <c r="Z94" s="182"/>
      <c r="AA94" s="182"/>
      <c r="AB94" s="187" t="e">
        <f t="shared" si="117"/>
        <v>#DIV/0!</v>
      </c>
      <c r="AC94" s="184" t="e">
        <f t="shared" si="127"/>
        <v>#DIV/0!</v>
      </c>
      <c r="AD94" s="537"/>
      <c r="AE94" s="182"/>
      <c r="AF94" s="182"/>
      <c r="AG94" s="187" t="e">
        <f t="shared" si="118"/>
        <v>#DIV/0!</v>
      </c>
      <c r="AH94" s="184" t="e">
        <f t="shared" si="128"/>
        <v>#DIV/0!</v>
      </c>
      <c r="AI94" s="537"/>
      <c r="AJ94" s="182"/>
      <c r="AK94" s="182"/>
      <c r="AL94" s="187" t="e">
        <f t="shared" si="119"/>
        <v>#DIV/0!</v>
      </c>
      <c r="AM94" s="184" t="e">
        <f t="shared" si="129"/>
        <v>#DIV/0!</v>
      </c>
      <c r="AN94" s="537"/>
      <c r="AO94" s="182"/>
      <c r="AP94" s="182"/>
      <c r="AQ94" s="187" t="e">
        <f t="shared" si="120"/>
        <v>#DIV/0!</v>
      </c>
      <c r="AR94" s="184" t="e">
        <f t="shared" si="130"/>
        <v>#DIV/0!</v>
      </c>
      <c r="AS94" s="537"/>
      <c r="AT94" s="182"/>
      <c r="AU94" s="182"/>
      <c r="AV94" s="187" t="e">
        <f t="shared" si="121"/>
        <v>#DIV/0!</v>
      </c>
      <c r="AW94" s="184" t="e">
        <f t="shared" si="131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4"/>
        <v>#DIV/0!</v>
      </c>
      <c r="H95" s="537"/>
      <c r="I95" s="188" t="e">
        <f t="shared" si="122"/>
        <v>#DIV/0!</v>
      </c>
      <c r="J95" s="188" t="e">
        <f t="shared" si="123"/>
        <v>#DIV/0!</v>
      </c>
      <c r="K95" s="189" t="e">
        <f t="shared" si="124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115"/>
        <v>#DIV/0!</v>
      </c>
      <c r="S95" s="184" t="e">
        <f t="shared" si="125"/>
        <v>#DIV/0!</v>
      </c>
      <c r="T95" s="537"/>
      <c r="U95" s="182"/>
      <c r="V95" s="182"/>
      <c r="W95" s="187" t="e">
        <f t="shared" si="116"/>
        <v>#DIV/0!</v>
      </c>
      <c r="X95" s="184" t="e">
        <f t="shared" si="126"/>
        <v>#DIV/0!</v>
      </c>
      <c r="Y95" s="537"/>
      <c r="Z95" s="182"/>
      <c r="AA95" s="182"/>
      <c r="AB95" s="187" t="e">
        <f t="shared" si="117"/>
        <v>#DIV/0!</v>
      </c>
      <c r="AC95" s="184" t="e">
        <f t="shared" si="127"/>
        <v>#DIV/0!</v>
      </c>
      <c r="AD95" s="537"/>
      <c r="AE95" s="182"/>
      <c r="AF95" s="182"/>
      <c r="AG95" s="187" t="e">
        <f t="shared" si="118"/>
        <v>#DIV/0!</v>
      </c>
      <c r="AH95" s="184" t="e">
        <f t="shared" si="128"/>
        <v>#DIV/0!</v>
      </c>
      <c r="AI95" s="537"/>
      <c r="AJ95" s="182"/>
      <c r="AK95" s="182"/>
      <c r="AL95" s="187" t="e">
        <f t="shared" si="119"/>
        <v>#DIV/0!</v>
      </c>
      <c r="AM95" s="184" t="e">
        <f t="shared" si="129"/>
        <v>#DIV/0!</v>
      </c>
      <c r="AN95" s="537"/>
      <c r="AO95" s="182"/>
      <c r="AP95" s="182"/>
      <c r="AQ95" s="187" t="e">
        <f t="shared" si="120"/>
        <v>#DIV/0!</v>
      </c>
      <c r="AR95" s="184" t="e">
        <f t="shared" si="130"/>
        <v>#DIV/0!</v>
      </c>
      <c r="AS95" s="537"/>
      <c r="AT95" s="182"/>
      <c r="AU95" s="182"/>
      <c r="AV95" s="187" t="e">
        <f t="shared" si="121"/>
        <v>#DIV/0!</v>
      </c>
      <c r="AW95" s="184" t="e">
        <f t="shared" si="131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4"/>
        <v>#DIV/0!</v>
      </c>
      <c r="H96" s="537"/>
      <c r="I96" s="188" t="e">
        <f t="shared" si="122"/>
        <v>#DIV/0!</v>
      </c>
      <c r="J96" s="188" t="e">
        <f t="shared" si="123"/>
        <v>#DIV/0!</v>
      </c>
      <c r="K96" s="189" t="e">
        <f t="shared" si="124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115"/>
        <v>#DIV/0!</v>
      </c>
      <c r="S96" s="184" t="e">
        <f t="shared" si="125"/>
        <v>#DIV/0!</v>
      </c>
      <c r="T96" s="537"/>
      <c r="U96" s="182"/>
      <c r="V96" s="182"/>
      <c r="W96" s="187" t="e">
        <f t="shared" si="116"/>
        <v>#DIV/0!</v>
      </c>
      <c r="X96" s="184" t="e">
        <f t="shared" si="126"/>
        <v>#DIV/0!</v>
      </c>
      <c r="Y96" s="537"/>
      <c r="Z96" s="182"/>
      <c r="AA96" s="182"/>
      <c r="AB96" s="187" t="e">
        <f t="shared" si="117"/>
        <v>#DIV/0!</v>
      </c>
      <c r="AC96" s="184" t="e">
        <f t="shared" si="127"/>
        <v>#DIV/0!</v>
      </c>
      <c r="AD96" s="537"/>
      <c r="AE96" s="182"/>
      <c r="AF96" s="182"/>
      <c r="AG96" s="187" t="e">
        <f t="shared" si="118"/>
        <v>#DIV/0!</v>
      </c>
      <c r="AH96" s="184" t="e">
        <f t="shared" si="128"/>
        <v>#DIV/0!</v>
      </c>
      <c r="AI96" s="537"/>
      <c r="AJ96" s="182"/>
      <c r="AK96" s="182"/>
      <c r="AL96" s="187" t="e">
        <f t="shared" si="119"/>
        <v>#DIV/0!</v>
      </c>
      <c r="AM96" s="184" t="e">
        <f t="shared" si="129"/>
        <v>#DIV/0!</v>
      </c>
      <c r="AN96" s="537"/>
      <c r="AO96" s="182"/>
      <c r="AP96" s="182"/>
      <c r="AQ96" s="187" t="e">
        <f t="shared" si="120"/>
        <v>#DIV/0!</v>
      </c>
      <c r="AR96" s="184" t="e">
        <f t="shared" si="130"/>
        <v>#DIV/0!</v>
      </c>
      <c r="AS96" s="537"/>
      <c r="AT96" s="182"/>
      <c r="AU96" s="182"/>
      <c r="AV96" s="187" t="e">
        <f t="shared" si="121"/>
        <v>#DIV/0!</v>
      </c>
      <c r="AW96" s="184" t="e">
        <f t="shared" si="131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4"/>
        <v>#DIV/0!</v>
      </c>
      <c r="H97" s="537"/>
      <c r="I97" s="188" t="e">
        <f t="shared" si="122"/>
        <v>#DIV/0!</v>
      </c>
      <c r="J97" s="188" t="e">
        <f t="shared" si="123"/>
        <v>#DIV/0!</v>
      </c>
      <c r="K97" s="189" t="e">
        <f t="shared" si="124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115"/>
        <v>#DIV/0!</v>
      </c>
      <c r="S97" s="184" t="e">
        <f t="shared" si="125"/>
        <v>#DIV/0!</v>
      </c>
      <c r="T97" s="537"/>
      <c r="U97" s="182"/>
      <c r="V97" s="182"/>
      <c r="W97" s="187" t="e">
        <f t="shared" si="116"/>
        <v>#DIV/0!</v>
      </c>
      <c r="X97" s="184" t="e">
        <f t="shared" si="126"/>
        <v>#DIV/0!</v>
      </c>
      <c r="Y97" s="537"/>
      <c r="Z97" s="182"/>
      <c r="AA97" s="182"/>
      <c r="AB97" s="187" t="e">
        <f t="shared" si="117"/>
        <v>#DIV/0!</v>
      </c>
      <c r="AC97" s="184" t="e">
        <f t="shared" si="127"/>
        <v>#DIV/0!</v>
      </c>
      <c r="AD97" s="537"/>
      <c r="AE97" s="182"/>
      <c r="AF97" s="182"/>
      <c r="AG97" s="187" t="e">
        <f t="shared" si="118"/>
        <v>#DIV/0!</v>
      </c>
      <c r="AH97" s="184" t="e">
        <f t="shared" si="128"/>
        <v>#DIV/0!</v>
      </c>
      <c r="AI97" s="537"/>
      <c r="AJ97" s="182"/>
      <c r="AK97" s="182"/>
      <c r="AL97" s="187" t="e">
        <f t="shared" si="119"/>
        <v>#DIV/0!</v>
      </c>
      <c r="AM97" s="184" t="e">
        <f t="shared" si="129"/>
        <v>#DIV/0!</v>
      </c>
      <c r="AN97" s="537"/>
      <c r="AO97" s="182"/>
      <c r="AP97" s="182"/>
      <c r="AQ97" s="187" t="e">
        <f t="shared" si="120"/>
        <v>#DIV/0!</v>
      </c>
      <c r="AR97" s="184" t="e">
        <f t="shared" si="130"/>
        <v>#DIV/0!</v>
      </c>
      <c r="AS97" s="537"/>
      <c r="AT97" s="182"/>
      <c r="AU97" s="182"/>
      <c r="AV97" s="187" t="e">
        <f t="shared" si="121"/>
        <v>#DIV/0!</v>
      </c>
      <c r="AW97" s="184" t="e">
        <f t="shared" si="131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4"/>
        <v>#DIV/0!</v>
      </c>
      <c r="H98" s="537"/>
      <c r="I98" s="188" t="e">
        <f t="shared" si="122"/>
        <v>#DIV/0!</v>
      </c>
      <c r="J98" s="188" t="e">
        <f t="shared" si="123"/>
        <v>#DIV/0!</v>
      </c>
      <c r="K98" s="189" t="e">
        <f t="shared" si="124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115"/>
        <v>#DIV/0!</v>
      </c>
      <c r="S98" s="184" t="e">
        <f t="shared" si="125"/>
        <v>#DIV/0!</v>
      </c>
      <c r="T98" s="537"/>
      <c r="U98" s="182"/>
      <c r="V98" s="182"/>
      <c r="W98" s="187" t="e">
        <f t="shared" si="116"/>
        <v>#DIV/0!</v>
      </c>
      <c r="X98" s="184" t="e">
        <f t="shared" si="126"/>
        <v>#DIV/0!</v>
      </c>
      <c r="Y98" s="537"/>
      <c r="Z98" s="182"/>
      <c r="AA98" s="182"/>
      <c r="AB98" s="187" t="e">
        <f t="shared" si="117"/>
        <v>#DIV/0!</v>
      </c>
      <c r="AC98" s="184" t="e">
        <f t="shared" si="127"/>
        <v>#DIV/0!</v>
      </c>
      <c r="AD98" s="537"/>
      <c r="AE98" s="182"/>
      <c r="AF98" s="182"/>
      <c r="AG98" s="187" t="e">
        <f t="shared" si="118"/>
        <v>#DIV/0!</v>
      </c>
      <c r="AH98" s="184" t="e">
        <f t="shared" si="128"/>
        <v>#DIV/0!</v>
      </c>
      <c r="AI98" s="537"/>
      <c r="AJ98" s="182"/>
      <c r="AK98" s="182"/>
      <c r="AL98" s="187" t="e">
        <f t="shared" si="119"/>
        <v>#DIV/0!</v>
      </c>
      <c r="AM98" s="184" t="e">
        <f t="shared" si="129"/>
        <v>#DIV/0!</v>
      </c>
      <c r="AN98" s="537"/>
      <c r="AO98" s="182"/>
      <c r="AP98" s="182"/>
      <c r="AQ98" s="187" t="e">
        <f t="shared" si="120"/>
        <v>#DIV/0!</v>
      </c>
      <c r="AR98" s="184" t="e">
        <f t="shared" si="130"/>
        <v>#DIV/0!</v>
      </c>
      <c r="AS98" s="537"/>
      <c r="AT98" s="182"/>
      <c r="AU98" s="182"/>
      <c r="AV98" s="187" t="e">
        <f t="shared" si="121"/>
        <v>#DIV/0!</v>
      </c>
      <c r="AW98" s="184" t="e">
        <f t="shared" si="131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4"/>
        <v>#DIV/0!</v>
      </c>
      <c r="H99" s="537"/>
      <c r="I99" s="188" t="e">
        <f t="shared" si="122"/>
        <v>#DIV/0!</v>
      </c>
      <c r="J99" s="188" t="e">
        <f t="shared" si="123"/>
        <v>#DIV/0!</v>
      </c>
      <c r="K99" s="189" t="e">
        <f t="shared" si="124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115"/>
        <v>#DIV/0!</v>
      </c>
      <c r="S99" s="184" t="e">
        <f t="shared" si="125"/>
        <v>#DIV/0!</v>
      </c>
      <c r="T99" s="537"/>
      <c r="U99" s="182"/>
      <c r="V99" s="182"/>
      <c r="W99" s="187" t="e">
        <f t="shared" si="116"/>
        <v>#DIV/0!</v>
      </c>
      <c r="X99" s="184" t="e">
        <f t="shared" si="126"/>
        <v>#DIV/0!</v>
      </c>
      <c r="Y99" s="537"/>
      <c r="Z99" s="182"/>
      <c r="AA99" s="182"/>
      <c r="AB99" s="187" t="e">
        <f t="shared" si="117"/>
        <v>#DIV/0!</v>
      </c>
      <c r="AC99" s="184" t="e">
        <f t="shared" si="127"/>
        <v>#DIV/0!</v>
      </c>
      <c r="AD99" s="537"/>
      <c r="AE99" s="182"/>
      <c r="AF99" s="182"/>
      <c r="AG99" s="187" t="e">
        <f t="shared" si="118"/>
        <v>#DIV/0!</v>
      </c>
      <c r="AH99" s="184" t="e">
        <f t="shared" si="128"/>
        <v>#DIV/0!</v>
      </c>
      <c r="AI99" s="537"/>
      <c r="AJ99" s="182"/>
      <c r="AK99" s="182"/>
      <c r="AL99" s="187" t="e">
        <f t="shared" si="119"/>
        <v>#DIV/0!</v>
      </c>
      <c r="AM99" s="184" t="e">
        <f t="shared" si="129"/>
        <v>#DIV/0!</v>
      </c>
      <c r="AN99" s="537"/>
      <c r="AO99" s="182"/>
      <c r="AP99" s="182"/>
      <c r="AQ99" s="187" t="e">
        <f t="shared" si="120"/>
        <v>#DIV/0!</v>
      </c>
      <c r="AR99" s="184" t="e">
        <f t="shared" si="130"/>
        <v>#DIV/0!</v>
      </c>
      <c r="AS99" s="537"/>
      <c r="AT99" s="182"/>
      <c r="AU99" s="182"/>
      <c r="AV99" s="187" t="e">
        <f t="shared" si="121"/>
        <v>#DIV/0!</v>
      </c>
      <c r="AW99" s="184" t="e">
        <f t="shared" si="131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4"/>
        <v>#DIV/0!</v>
      </c>
      <c r="H100" s="537"/>
      <c r="I100" s="188" t="e">
        <f t="shared" si="122"/>
        <v>#DIV/0!</v>
      </c>
      <c r="J100" s="188" t="e">
        <f t="shared" si="123"/>
        <v>#DIV/0!</v>
      </c>
      <c r="K100" s="189" t="e">
        <f t="shared" si="124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5"/>
        <v>#DIV/0!</v>
      </c>
      <c r="S100" s="184" t="e">
        <f t="shared" si="125"/>
        <v>#DIV/0!</v>
      </c>
      <c r="T100" s="537"/>
      <c r="U100" s="182"/>
      <c r="V100" s="182"/>
      <c r="W100" s="187" t="e">
        <f t="shared" si="116"/>
        <v>#DIV/0!</v>
      </c>
      <c r="X100" s="184" t="e">
        <f t="shared" si="126"/>
        <v>#DIV/0!</v>
      </c>
      <c r="Y100" s="537"/>
      <c r="Z100" s="182"/>
      <c r="AA100" s="182"/>
      <c r="AB100" s="187" t="e">
        <f t="shared" si="117"/>
        <v>#DIV/0!</v>
      </c>
      <c r="AC100" s="184" t="e">
        <f t="shared" si="127"/>
        <v>#DIV/0!</v>
      </c>
      <c r="AD100" s="537"/>
      <c r="AE100" s="182"/>
      <c r="AF100" s="182"/>
      <c r="AG100" s="187" t="e">
        <f t="shared" si="118"/>
        <v>#DIV/0!</v>
      </c>
      <c r="AH100" s="184" t="e">
        <f t="shared" si="128"/>
        <v>#DIV/0!</v>
      </c>
      <c r="AI100" s="537"/>
      <c r="AJ100" s="182"/>
      <c r="AK100" s="182"/>
      <c r="AL100" s="187" t="e">
        <f t="shared" si="119"/>
        <v>#DIV/0!</v>
      </c>
      <c r="AM100" s="184" t="e">
        <f t="shared" si="129"/>
        <v>#DIV/0!</v>
      </c>
      <c r="AN100" s="537"/>
      <c r="AO100" s="182"/>
      <c r="AP100" s="182"/>
      <c r="AQ100" s="187" t="e">
        <f t="shared" si="120"/>
        <v>#DIV/0!</v>
      </c>
      <c r="AR100" s="184" t="e">
        <f t="shared" si="130"/>
        <v>#DIV/0!</v>
      </c>
      <c r="AS100" s="537"/>
      <c r="AT100" s="182"/>
      <c r="AU100" s="182"/>
      <c r="AV100" s="187" t="e">
        <f t="shared" si="121"/>
        <v>#DIV/0!</v>
      </c>
      <c r="AW100" s="184" t="e">
        <f t="shared" si="131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4"/>
        <v>#DIV/0!</v>
      </c>
      <c r="H101" s="537"/>
      <c r="I101" s="188" t="e">
        <f t="shared" si="122"/>
        <v>#DIV/0!</v>
      </c>
      <c r="J101" s="188" t="e">
        <f t="shared" si="123"/>
        <v>#DIV/0!</v>
      </c>
      <c r="K101" s="189" t="e">
        <f t="shared" si="124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5"/>
        <v>#DIV/0!</v>
      </c>
      <c r="T101" s="537"/>
      <c r="U101" s="182"/>
      <c r="V101" s="186"/>
      <c r="W101" s="187" t="e">
        <f>V101/U101</f>
        <v>#DIV/0!</v>
      </c>
      <c r="X101" s="184" t="e">
        <f t="shared" si="126"/>
        <v>#DIV/0!</v>
      </c>
      <c r="Y101" s="537"/>
      <c r="Z101" s="182"/>
      <c r="AA101" s="186"/>
      <c r="AB101" s="187" t="e">
        <f>AA101/Z101</f>
        <v>#DIV/0!</v>
      </c>
      <c r="AC101" s="184" t="e">
        <f t="shared" si="127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28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29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30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31"/>
        <v>#DIV/0!</v>
      </c>
      <c r="AX101" s="537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conditionalFormatting sqref="A4:A21">
    <cfRule type="expression" dxfId="10" priority="1">
      <formula>A4&lt;0</formula>
    </cfRule>
    <cfRule type="expression" dxfId="9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pane xSplit="13" ySplit="1" topLeftCell="AK51" activePane="bottomRight" state="frozen"/>
      <selection activeCell="L95" sqref="L95"/>
      <selection pane="topRight" activeCell="L95" sqref="L95"/>
      <selection pane="bottomLeft" activeCell="L95" sqref="L95"/>
      <selection pane="bottomRight" activeCell="AX67" sqref="AX67:AX8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9" bestFit="1" customWidth="1"/>
    <col min="4" max="4" width="26.453125" style="178" customWidth="1"/>
    <col min="5" max="5" width="7.7265625" style="179" customWidth="1"/>
    <col min="6" max="7" width="8.7265625" style="179" customWidth="1"/>
    <col min="8" max="8" width="10.7265625" style="179" customWidth="1"/>
    <col min="9" max="9" width="7.7265625" style="180" customWidth="1"/>
    <col min="10" max="11" width="8.7265625" style="180" customWidth="1"/>
    <col min="12" max="12" width="10.7265625" style="180" customWidth="1"/>
    <col min="13" max="13" width="5.7265625" style="180" customWidth="1"/>
    <col min="14" max="14" width="9.81640625" style="179" customWidth="1"/>
    <col min="15" max="15" width="7.1796875" style="179" customWidth="1"/>
    <col min="16" max="16" width="7.7265625" style="179" customWidth="1"/>
    <col min="17" max="18" width="8.7265625" style="179" customWidth="1"/>
    <col min="19" max="19" width="5.7265625" style="180" customWidth="1"/>
    <col min="20" max="20" width="10.7265625" style="179" customWidth="1"/>
    <col min="21" max="21" width="7.7265625" style="78" customWidth="1"/>
    <col min="22" max="23" width="8.7265625" style="78" customWidth="1"/>
    <col min="24" max="24" width="5.453125" style="180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80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80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80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81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81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37" t="s">
        <v>609</v>
      </c>
      <c r="C1" s="177">
        <f>AVERAGE(L7,L27,L47,L67,L87)</f>
        <v>76.091630725565281</v>
      </c>
    </row>
    <row r="2" spans="1:50" ht="14.25" customHeight="1" collapsed="1">
      <c r="B2" s="545" t="s">
        <v>522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63" t="s">
        <v>383</v>
      </c>
      <c r="O2" s="563" t="s">
        <v>105</v>
      </c>
      <c r="P2" s="598">
        <v>46021</v>
      </c>
      <c r="Q2" s="599"/>
      <c r="R2" s="599"/>
      <c r="S2" s="599"/>
      <c r="T2" s="599"/>
      <c r="U2" s="600">
        <f>P2+1</f>
        <v>46022</v>
      </c>
      <c r="V2" s="601"/>
      <c r="W2" s="601"/>
      <c r="X2" s="601"/>
      <c r="Y2" s="601"/>
      <c r="Z2" s="598">
        <f t="shared" ref="Z2" si="0">U2+1</f>
        <v>46023</v>
      </c>
      <c r="AA2" s="599"/>
      <c r="AB2" s="599"/>
      <c r="AC2" s="599"/>
      <c r="AD2" s="599"/>
      <c r="AE2" s="600">
        <f t="shared" ref="AE2" si="1">Z2+1</f>
        <v>46024</v>
      </c>
      <c r="AF2" s="601"/>
      <c r="AG2" s="601"/>
      <c r="AH2" s="601"/>
      <c r="AI2" s="601"/>
      <c r="AJ2" s="590">
        <f t="shared" ref="AJ2" si="2">AE2+1</f>
        <v>46025</v>
      </c>
      <c r="AK2" s="591"/>
      <c r="AL2" s="591"/>
      <c r="AM2" s="591"/>
      <c r="AN2" s="592"/>
      <c r="AO2" s="600">
        <f t="shared" ref="AO2" si="3">AJ2+1</f>
        <v>46026</v>
      </c>
      <c r="AP2" s="601"/>
      <c r="AQ2" s="601"/>
      <c r="AR2" s="601"/>
      <c r="AS2" s="601"/>
      <c r="AT2" s="590">
        <f t="shared" ref="AT2" si="4">AO2+1</f>
        <v>46027</v>
      </c>
      <c r="AU2" s="591"/>
      <c r="AV2" s="591"/>
      <c r="AW2" s="591"/>
      <c r="AX2" s="592"/>
    </row>
    <row r="3" spans="1:50" ht="14.25" customHeight="1"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9"/>
      <c r="N3" s="565"/>
      <c r="O3" s="565"/>
      <c r="P3" s="593">
        <f>P2</f>
        <v>46021</v>
      </c>
      <c r="Q3" s="593"/>
      <c r="R3" s="593"/>
      <c r="S3" s="593"/>
      <c r="T3" s="593"/>
      <c r="U3" s="594">
        <f>U2</f>
        <v>46022</v>
      </c>
      <c r="V3" s="594"/>
      <c r="W3" s="594"/>
      <c r="X3" s="594"/>
      <c r="Y3" s="594"/>
      <c r="Z3" s="593">
        <f t="shared" ref="Z3" si="5">Z2</f>
        <v>46023</v>
      </c>
      <c r="AA3" s="593"/>
      <c r="AB3" s="593"/>
      <c r="AC3" s="593"/>
      <c r="AD3" s="593"/>
      <c r="AE3" s="594">
        <f t="shared" ref="AE3" si="6">AE2</f>
        <v>46024</v>
      </c>
      <c r="AF3" s="594"/>
      <c r="AG3" s="594"/>
      <c r="AH3" s="594"/>
      <c r="AI3" s="594"/>
      <c r="AJ3" s="595">
        <f t="shared" ref="AJ3" si="7">AJ2</f>
        <v>46025</v>
      </c>
      <c r="AK3" s="596"/>
      <c r="AL3" s="596"/>
      <c r="AM3" s="596"/>
      <c r="AN3" s="597"/>
      <c r="AO3" s="594">
        <f t="shared" ref="AO3" si="8">AO2</f>
        <v>46026</v>
      </c>
      <c r="AP3" s="594"/>
      <c r="AQ3" s="594"/>
      <c r="AR3" s="594"/>
      <c r="AS3" s="594"/>
      <c r="AT3" s="595">
        <f t="shared" ref="AT3" si="9">AT2</f>
        <v>46027</v>
      </c>
      <c r="AU3" s="596"/>
      <c r="AV3" s="596"/>
      <c r="AW3" s="596"/>
      <c r="AX3" s="597"/>
    </row>
    <row r="4" spans="1:50" ht="14.25" customHeight="1">
      <c r="B4" s="501" t="s">
        <v>164</v>
      </c>
      <c r="C4" s="501" t="s">
        <v>159</v>
      </c>
      <c r="D4" s="501"/>
      <c r="E4" s="501" t="s">
        <v>160</v>
      </c>
      <c r="F4" s="501"/>
      <c r="G4" s="501"/>
      <c r="H4" s="501" t="s">
        <v>165</v>
      </c>
      <c r="I4" s="522" t="s">
        <v>384</v>
      </c>
      <c r="J4" s="522"/>
      <c r="K4" s="522"/>
      <c r="L4" s="522" t="s">
        <v>165</v>
      </c>
      <c r="M4" s="522" t="s">
        <v>167</v>
      </c>
      <c r="N4" s="501"/>
      <c r="O4" s="501" t="s">
        <v>166</v>
      </c>
      <c r="P4" s="501" t="s">
        <v>162</v>
      </c>
      <c r="Q4" s="501"/>
      <c r="R4" s="501"/>
      <c r="S4" s="501"/>
      <c r="T4" s="501" t="s">
        <v>165</v>
      </c>
      <c r="U4" s="501" t="s">
        <v>162</v>
      </c>
      <c r="V4" s="501"/>
      <c r="W4" s="501"/>
      <c r="X4" s="501"/>
      <c r="Y4" s="501" t="s">
        <v>165</v>
      </c>
      <c r="Z4" s="501" t="s">
        <v>162</v>
      </c>
      <c r="AA4" s="501"/>
      <c r="AB4" s="501"/>
      <c r="AC4" s="501"/>
      <c r="AD4" s="501" t="s">
        <v>165</v>
      </c>
      <c r="AE4" s="501" t="s">
        <v>162</v>
      </c>
      <c r="AF4" s="501"/>
      <c r="AG4" s="501"/>
      <c r="AH4" s="501"/>
      <c r="AI4" s="501" t="s">
        <v>165</v>
      </c>
      <c r="AJ4" s="501" t="s">
        <v>162</v>
      </c>
      <c r="AK4" s="501"/>
      <c r="AL4" s="501"/>
      <c r="AM4" s="501"/>
      <c r="AN4" s="501" t="s">
        <v>165</v>
      </c>
      <c r="AO4" s="501" t="s">
        <v>162</v>
      </c>
      <c r="AP4" s="501"/>
      <c r="AQ4" s="501"/>
      <c r="AR4" s="501"/>
      <c r="AS4" s="501" t="s">
        <v>165</v>
      </c>
      <c r="AT4" s="501" t="s">
        <v>162</v>
      </c>
      <c r="AU4" s="501"/>
      <c r="AV4" s="501"/>
      <c r="AW4" s="501"/>
      <c r="AX4" s="501" t="s">
        <v>165</v>
      </c>
    </row>
    <row r="5" spans="1:50" ht="14.25" customHeight="1">
      <c r="B5" s="501"/>
      <c r="C5" s="501"/>
      <c r="D5" s="501"/>
      <c r="E5" s="501" t="s">
        <v>385</v>
      </c>
      <c r="F5" s="501"/>
      <c r="G5" s="501"/>
      <c r="H5" s="501"/>
      <c r="I5" s="522" t="s">
        <v>385</v>
      </c>
      <c r="J5" s="522"/>
      <c r="K5" s="522"/>
      <c r="L5" s="522"/>
      <c r="M5" s="522"/>
      <c r="N5" s="501"/>
      <c r="O5" s="501"/>
      <c r="P5" s="501" t="s">
        <v>386</v>
      </c>
      <c r="Q5" s="501"/>
      <c r="R5" s="501"/>
      <c r="S5" s="501"/>
      <c r="T5" s="501"/>
      <c r="U5" s="501" t="s">
        <v>386</v>
      </c>
      <c r="V5" s="501"/>
      <c r="W5" s="501"/>
      <c r="X5" s="501"/>
      <c r="Y5" s="501"/>
      <c r="Z5" s="501" t="s">
        <v>386</v>
      </c>
      <c r="AA5" s="501"/>
      <c r="AB5" s="501"/>
      <c r="AC5" s="501"/>
      <c r="AD5" s="501"/>
      <c r="AE5" s="501" t="s">
        <v>386</v>
      </c>
      <c r="AF5" s="501"/>
      <c r="AG5" s="501"/>
      <c r="AH5" s="501"/>
      <c r="AI5" s="501"/>
      <c r="AJ5" s="501" t="s">
        <v>386</v>
      </c>
      <c r="AK5" s="501"/>
      <c r="AL5" s="501"/>
      <c r="AM5" s="501"/>
      <c r="AN5" s="501"/>
      <c r="AO5" s="501" t="s">
        <v>386</v>
      </c>
      <c r="AP5" s="501"/>
      <c r="AQ5" s="501"/>
      <c r="AR5" s="501"/>
      <c r="AS5" s="501"/>
      <c r="AT5" s="501" t="s">
        <v>386</v>
      </c>
      <c r="AU5" s="501"/>
      <c r="AV5" s="501"/>
      <c r="AW5" s="501"/>
      <c r="AX5" s="501"/>
    </row>
    <row r="6" spans="1:50" ht="14.25" customHeight="1">
      <c r="B6" s="501"/>
      <c r="C6" s="501"/>
      <c r="D6" s="501"/>
      <c r="E6" s="182" t="s">
        <v>161</v>
      </c>
      <c r="F6" s="182" t="s">
        <v>387</v>
      </c>
      <c r="G6" s="182" t="s">
        <v>163</v>
      </c>
      <c r="H6" s="501"/>
      <c r="I6" s="183" t="s">
        <v>161</v>
      </c>
      <c r="J6" s="183" t="s">
        <v>387</v>
      </c>
      <c r="K6" s="183" t="s">
        <v>163</v>
      </c>
      <c r="L6" s="522"/>
      <c r="M6" s="522"/>
      <c r="N6" s="501"/>
      <c r="O6" s="501"/>
      <c r="P6" s="182" t="s">
        <v>161</v>
      </c>
      <c r="Q6" s="182" t="s">
        <v>387</v>
      </c>
      <c r="R6" s="182" t="s">
        <v>163</v>
      </c>
      <c r="S6" s="184" t="s">
        <v>167</v>
      </c>
      <c r="T6" s="501"/>
      <c r="U6" s="182" t="s">
        <v>161</v>
      </c>
      <c r="V6" s="182" t="s">
        <v>387</v>
      </c>
      <c r="W6" s="182" t="s">
        <v>163</v>
      </c>
      <c r="X6" s="184" t="s">
        <v>167</v>
      </c>
      <c r="Y6" s="501"/>
      <c r="Z6" s="182" t="s">
        <v>161</v>
      </c>
      <c r="AA6" s="182" t="s">
        <v>387</v>
      </c>
      <c r="AB6" s="182" t="s">
        <v>163</v>
      </c>
      <c r="AC6" s="184" t="s">
        <v>167</v>
      </c>
      <c r="AD6" s="501"/>
      <c r="AE6" s="182" t="s">
        <v>161</v>
      </c>
      <c r="AF6" s="182" t="s">
        <v>387</v>
      </c>
      <c r="AG6" s="182" t="s">
        <v>163</v>
      </c>
      <c r="AH6" s="184" t="s">
        <v>167</v>
      </c>
      <c r="AI6" s="501"/>
      <c r="AJ6" s="182" t="s">
        <v>161</v>
      </c>
      <c r="AK6" s="182" t="s">
        <v>387</v>
      </c>
      <c r="AL6" s="182" t="s">
        <v>163</v>
      </c>
      <c r="AM6" s="184" t="s">
        <v>167</v>
      </c>
      <c r="AN6" s="501"/>
      <c r="AO6" s="182" t="s">
        <v>161</v>
      </c>
      <c r="AP6" s="182" t="s">
        <v>387</v>
      </c>
      <c r="AQ6" s="182" t="s">
        <v>163</v>
      </c>
      <c r="AR6" s="184" t="s">
        <v>167</v>
      </c>
      <c r="AS6" s="501"/>
      <c r="AT6" s="182" t="s">
        <v>161</v>
      </c>
      <c r="AU6" s="182" t="s">
        <v>387</v>
      </c>
      <c r="AV6" s="182" t="s">
        <v>163</v>
      </c>
      <c r="AW6" s="184" t="s">
        <v>167</v>
      </c>
      <c r="AX6" s="501"/>
    </row>
    <row r="7" spans="1:50" ht="14.25" customHeight="1">
      <c r="B7" s="501" t="s">
        <v>144</v>
      </c>
      <c r="C7" s="182">
        <v>1</v>
      </c>
      <c r="D7" s="185" t="s">
        <v>370</v>
      </c>
      <c r="E7" s="182">
        <v>13</v>
      </c>
      <c r="F7" s="182">
        <v>1200</v>
      </c>
      <c r="G7" s="187">
        <f t="shared" ref="G7:G9" si="10">F7/E7</f>
        <v>92.307692307692307</v>
      </c>
      <c r="H7" s="537">
        <f>AVERAGE(G7:G21)</f>
        <v>85.31468531468532</v>
      </c>
      <c r="I7" s="188">
        <f>AVERAGE(P7,U7,Z7,AE7,AJ7,AO7,AT7)</f>
        <v>13</v>
      </c>
      <c r="J7" s="188">
        <f>AVERAGE(Q7,V7,AA7,AF7,AK7,AP7,AU7)</f>
        <v>1077.5297379436659</v>
      </c>
      <c r="K7" s="189">
        <f>AVERAGE(R7,W7,AB7,AG7,AL7,AQ7,AV7)</f>
        <v>82.886902918743544</v>
      </c>
      <c r="L7" s="538">
        <f>IFERROR(AVERAGE(K7:K21),"-")</f>
        <v>76.002730962661062</v>
      </c>
      <c r="M7" s="188">
        <f>RANK(K7, K$7:$K$21)</f>
        <v>1</v>
      </c>
      <c r="N7" s="501"/>
      <c r="O7" s="501"/>
      <c r="P7" s="186">
        <v>13</v>
      </c>
      <c r="Q7" s="186">
        <v>1077.4436749364427</v>
      </c>
      <c r="R7" s="187">
        <f t="shared" ref="R7:R9" si="11">Q7/P7</f>
        <v>82.880282687418671</v>
      </c>
      <c r="S7" s="184">
        <f>RANK(R7, R$7:R$21)</f>
        <v>1</v>
      </c>
      <c r="T7" s="537">
        <f>AVERAGE(R7:R21)</f>
        <v>76.000076751050472</v>
      </c>
      <c r="U7" s="186">
        <v>13</v>
      </c>
      <c r="V7" s="186">
        <v>1077.4498229043686</v>
      </c>
      <c r="W7" s="187">
        <f t="shared" ref="W7:W9" si="12">V7/U7</f>
        <v>82.880755608028352</v>
      </c>
      <c r="X7" s="184">
        <f>RANK(W7, W$7:W$21)</f>
        <v>1</v>
      </c>
      <c r="Y7" s="537">
        <f>AVERAGE(W7:W21)</f>
        <v>75.997382759201471</v>
      </c>
      <c r="Z7" s="186">
        <v>13</v>
      </c>
      <c r="AA7" s="186">
        <v>1077.5057736720553</v>
      </c>
      <c r="AB7" s="187">
        <f t="shared" ref="AB7:AB9" si="13">AA7/Z7</f>
        <v>82.885059513235021</v>
      </c>
      <c r="AC7" s="184">
        <f>RANK(AB7, AB$7:AB$21)</f>
        <v>1</v>
      </c>
      <c r="AD7" s="537">
        <f>AVERAGE(AB7:AB21)</f>
        <v>76.001746713778729</v>
      </c>
      <c r="AE7" s="186">
        <v>13</v>
      </c>
      <c r="AF7" s="186">
        <v>1077.5308641975307</v>
      </c>
      <c r="AG7" s="187">
        <f t="shared" ref="AG7:AG9" si="14">AF7/AE7</f>
        <v>82.886989553656207</v>
      </c>
      <c r="AH7" s="184">
        <f>RANK(AG7, AG$7:AG$21)</f>
        <v>1</v>
      </c>
      <c r="AI7" s="537">
        <f>AVERAGE(AG7:AG21)</f>
        <v>75.998679563214182</v>
      </c>
      <c r="AJ7" s="186">
        <v>13</v>
      </c>
      <c r="AK7" s="186">
        <v>1077.5654219347252</v>
      </c>
      <c r="AL7" s="187">
        <f t="shared" ref="AL7:AL9" si="15">AK7/AJ7</f>
        <v>82.889647841132714</v>
      </c>
      <c r="AM7" s="184">
        <f>RANK(AL7, AL$7:AL$21)</f>
        <v>1</v>
      </c>
      <c r="AN7" s="537">
        <f>AVERAGE(AL7:AL21)</f>
        <v>76.003204876851427</v>
      </c>
      <c r="AO7" s="186">
        <v>13</v>
      </c>
      <c r="AP7" s="186">
        <v>1077.6053215077607</v>
      </c>
      <c r="AQ7" s="187">
        <f t="shared" ref="AQ7:AQ9" si="16">AP7/AO7</f>
        <v>82.89271703905851</v>
      </c>
      <c r="AR7" s="184">
        <f>RANK(AQ7, AQ$7:AQ$21)</f>
        <v>1</v>
      </c>
      <c r="AS7" s="537">
        <f>AVERAGE(AQ7:AQ21)</f>
        <v>76.008658830055808</v>
      </c>
      <c r="AT7" s="186">
        <v>13</v>
      </c>
      <c r="AU7" s="186">
        <v>1077.6072864527778</v>
      </c>
      <c r="AV7" s="187">
        <f t="shared" ref="AV7:AV9" si="17">AU7/AT7</f>
        <v>82.892868188675209</v>
      </c>
      <c r="AW7" s="184">
        <f>RANK(AV7, AV$7:AV$21)</f>
        <v>1</v>
      </c>
      <c r="AX7" s="537">
        <f>AVERAGE(AV7:AV21)</f>
        <v>76.009367244475285</v>
      </c>
    </row>
    <row r="8" spans="1:50" ht="14.25" customHeight="1">
      <c r="B8" s="501"/>
      <c r="C8" s="182">
        <v>2</v>
      </c>
      <c r="D8" s="185" t="s">
        <v>481</v>
      </c>
      <c r="E8" s="182">
        <v>22</v>
      </c>
      <c r="F8" s="182">
        <v>1800</v>
      </c>
      <c r="G8" s="187">
        <f t="shared" si="10"/>
        <v>81.818181818181813</v>
      </c>
      <c r="H8" s="537"/>
      <c r="I8" s="188">
        <f t="shared" ref="I8:K9" si="18">AVERAGE(P8,U8,Z8,AE8,AJ8,AO8,AT8)</f>
        <v>22</v>
      </c>
      <c r="J8" s="188">
        <f t="shared" si="18"/>
        <v>1597.1389088160445</v>
      </c>
      <c r="K8" s="189">
        <f t="shared" si="18"/>
        <v>72.597223128002014</v>
      </c>
      <c r="L8" s="538"/>
      <c r="M8" s="188">
        <f>RANK(K8, K$7:$K$21)</f>
        <v>2</v>
      </c>
      <c r="N8" s="501"/>
      <c r="O8" s="501"/>
      <c r="P8" s="186">
        <v>22</v>
      </c>
      <c r="Q8" s="186">
        <v>1597.1404541631616</v>
      </c>
      <c r="R8" s="187">
        <f t="shared" si="11"/>
        <v>72.5972933710528</v>
      </c>
      <c r="S8" s="184">
        <f t="shared" ref="S8:S9" si="19">RANK(R8, R$7:R$21)</f>
        <v>2</v>
      </c>
      <c r="T8" s="537"/>
      <c r="U8" s="186">
        <v>22</v>
      </c>
      <c r="V8" s="186">
        <v>1597.0669110907443</v>
      </c>
      <c r="W8" s="187">
        <f t="shared" si="12"/>
        <v>72.593950504124734</v>
      </c>
      <c r="X8" s="184">
        <f t="shared" ref="X8:X9" si="20">RANK(W8, W$7:W$21)</f>
        <v>2</v>
      </c>
      <c r="Y8" s="537"/>
      <c r="Z8" s="186">
        <v>22</v>
      </c>
      <c r="AA8" s="186">
        <v>1597.2843450479224</v>
      </c>
      <c r="AB8" s="187">
        <f t="shared" si="13"/>
        <v>72.60383386581465</v>
      </c>
      <c r="AC8" s="184">
        <f t="shared" ref="AC8:AC9" si="21">RANK(AB8, AB$7:AB$21)</f>
        <v>2</v>
      </c>
      <c r="AD8" s="537"/>
      <c r="AE8" s="186">
        <v>22</v>
      </c>
      <c r="AF8" s="186">
        <v>1596.8871595330727</v>
      </c>
      <c r="AG8" s="187">
        <f t="shared" si="14"/>
        <v>72.585779978776031</v>
      </c>
      <c r="AH8" s="184">
        <f t="shared" ref="AH8:AH9" si="22">RANK(AG8, AG$7:AG$21)</f>
        <v>2</v>
      </c>
      <c r="AI8" s="537"/>
      <c r="AJ8" s="186">
        <v>22</v>
      </c>
      <c r="AK8" s="186">
        <v>1597.0425138632168</v>
      </c>
      <c r="AL8" s="187">
        <f t="shared" si="15"/>
        <v>72.592841539237128</v>
      </c>
      <c r="AM8" s="184">
        <f t="shared" ref="AM8:AM9" si="23">RANK(AL8, AL$7:AL$21)</f>
        <v>2</v>
      </c>
      <c r="AN8" s="537"/>
      <c r="AO8" s="186">
        <v>22</v>
      </c>
      <c r="AP8" s="186">
        <v>1597.286295793758</v>
      </c>
      <c r="AQ8" s="187">
        <f t="shared" si="16"/>
        <v>72.603922536079907</v>
      </c>
      <c r="AR8" s="184">
        <f t="shared" ref="AR8:AR9" si="24">RANK(AQ8, AQ$7:AQ$21)</f>
        <v>2</v>
      </c>
      <c r="AS8" s="537"/>
      <c r="AT8" s="186">
        <v>22</v>
      </c>
      <c r="AU8" s="186">
        <v>1597.2646822204354</v>
      </c>
      <c r="AV8" s="187">
        <f t="shared" si="17"/>
        <v>72.602940100928876</v>
      </c>
      <c r="AW8" s="184">
        <f t="shared" ref="AW8:AW9" si="25">RANK(AV8, AV$7:AV$21)</f>
        <v>2</v>
      </c>
      <c r="AX8" s="537"/>
    </row>
    <row r="9" spans="1:50" ht="14.25" customHeight="1">
      <c r="B9" s="501"/>
      <c r="C9" s="182">
        <v>3</v>
      </c>
      <c r="D9" s="185" t="s">
        <v>499</v>
      </c>
      <c r="E9" s="182">
        <v>22</v>
      </c>
      <c r="F9" s="182">
        <v>1800</v>
      </c>
      <c r="G9" s="187">
        <f t="shared" si="10"/>
        <v>81.818181818181813</v>
      </c>
      <c r="H9" s="537"/>
      <c r="I9" s="188">
        <f t="shared" si="18"/>
        <v>22</v>
      </c>
      <c r="J9" s="188">
        <f t="shared" si="18"/>
        <v>1595.5294705072276</v>
      </c>
      <c r="K9" s="189">
        <f t="shared" si="18"/>
        <v>72.524066841237627</v>
      </c>
      <c r="L9" s="538"/>
      <c r="M9" s="188">
        <f>RANK(K9, K$7:$K$21)</f>
        <v>3</v>
      </c>
      <c r="N9" s="501"/>
      <c r="O9" s="501"/>
      <c r="P9" s="186">
        <v>22</v>
      </c>
      <c r="Q9" s="186">
        <v>1595.4983922829588</v>
      </c>
      <c r="R9" s="187">
        <f t="shared" si="11"/>
        <v>72.522654194679944</v>
      </c>
      <c r="S9" s="184">
        <f t="shared" si="19"/>
        <v>3</v>
      </c>
      <c r="T9" s="537"/>
      <c r="U9" s="186">
        <v>22</v>
      </c>
      <c r="V9" s="186">
        <v>1595.3837276399299</v>
      </c>
      <c r="W9" s="187">
        <f t="shared" si="12"/>
        <v>72.517442165451357</v>
      </c>
      <c r="X9" s="184">
        <f t="shared" si="20"/>
        <v>3</v>
      </c>
      <c r="Y9" s="537"/>
      <c r="Z9" s="186">
        <v>22</v>
      </c>
      <c r="AA9" s="186">
        <v>1595.3596287703033</v>
      </c>
      <c r="AB9" s="187">
        <f t="shared" si="13"/>
        <v>72.516346762286517</v>
      </c>
      <c r="AC9" s="184">
        <f t="shared" si="21"/>
        <v>3</v>
      </c>
      <c r="AD9" s="537"/>
      <c r="AE9" s="186">
        <v>22</v>
      </c>
      <c r="AF9" s="186">
        <v>1595.5119214586266</v>
      </c>
      <c r="AG9" s="187">
        <f t="shared" si="14"/>
        <v>72.523269157210294</v>
      </c>
      <c r="AH9" s="184">
        <f t="shared" si="22"/>
        <v>3</v>
      </c>
      <c r="AI9" s="537"/>
      <c r="AJ9" s="186">
        <v>22</v>
      </c>
      <c r="AK9" s="186">
        <v>1595.5967555040575</v>
      </c>
      <c r="AL9" s="187">
        <f t="shared" si="15"/>
        <v>72.527125250184426</v>
      </c>
      <c r="AM9" s="184">
        <f t="shared" si="23"/>
        <v>3</v>
      </c>
      <c r="AN9" s="537"/>
      <c r="AO9" s="186">
        <v>22</v>
      </c>
      <c r="AP9" s="186">
        <v>1595.6454121306381</v>
      </c>
      <c r="AQ9" s="187">
        <f t="shared" si="16"/>
        <v>72.529336915029006</v>
      </c>
      <c r="AR9" s="184">
        <f t="shared" si="24"/>
        <v>3</v>
      </c>
      <c r="AS9" s="537"/>
      <c r="AT9" s="186">
        <v>22</v>
      </c>
      <c r="AU9" s="186">
        <v>1595.7104557640789</v>
      </c>
      <c r="AV9" s="187">
        <f t="shared" si="17"/>
        <v>72.532293443821771</v>
      </c>
      <c r="AW9" s="184">
        <f t="shared" si="25"/>
        <v>3</v>
      </c>
      <c r="AX9" s="537"/>
    </row>
    <row r="10" spans="1:50" ht="14.25" customHeight="1">
      <c r="B10" s="501"/>
      <c r="C10" s="182">
        <v>4</v>
      </c>
      <c r="D10" s="185"/>
      <c r="E10" s="182"/>
      <c r="F10" s="182"/>
      <c r="G10" s="187"/>
      <c r="H10" s="537"/>
      <c r="I10" s="188"/>
      <c r="J10" s="188"/>
      <c r="K10" s="189"/>
      <c r="L10" s="538"/>
      <c r="M10" s="188"/>
      <c r="N10" s="501"/>
      <c r="O10" s="501"/>
      <c r="P10" s="186"/>
      <c r="Q10" s="186"/>
      <c r="R10" s="187"/>
      <c r="S10" s="184"/>
      <c r="T10" s="537"/>
      <c r="U10" s="186"/>
      <c r="V10" s="186"/>
      <c r="W10" s="187"/>
      <c r="X10" s="184"/>
      <c r="Y10" s="537"/>
      <c r="Z10" s="186"/>
      <c r="AA10" s="186"/>
      <c r="AB10" s="187"/>
      <c r="AC10" s="184"/>
      <c r="AD10" s="537"/>
      <c r="AE10" s="186"/>
      <c r="AF10" s="186"/>
      <c r="AG10" s="187"/>
      <c r="AH10" s="184"/>
      <c r="AI10" s="537"/>
      <c r="AJ10" s="186"/>
      <c r="AK10" s="186"/>
      <c r="AL10" s="187"/>
      <c r="AM10" s="184"/>
      <c r="AN10" s="537"/>
      <c r="AO10" s="186"/>
      <c r="AP10" s="186"/>
      <c r="AQ10" s="187"/>
      <c r="AR10" s="184"/>
      <c r="AS10" s="537"/>
      <c r="AT10" s="186"/>
      <c r="AU10" s="186"/>
      <c r="AV10" s="187"/>
      <c r="AW10" s="184"/>
      <c r="AX10" s="537"/>
    </row>
    <row r="11" spans="1:50" ht="14.25" customHeight="1">
      <c r="B11" s="501"/>
      <c r="C11" s="182">
        <v>5</v>
      </c>
      <c r="D11" s="185"/>
      <c r="E11" s="182"/>
      <c r="F11" s="182"/>
      <c r="G11" s="187"/>
      <c r="H11" s="537"/>
      <c r="I11" s="188"/>
      <c r="J11" s="188"/>
      <c r="K11" s="189"/>
      <c r="L11" s="538"/>
      <c r="M11" s="188"/>
      <c r="N11" s="501"/>
      <c r="O11" s="501"/>
      <c r="P11" s="186"/>
      <c r="Q11" s="186"/>
      <c r="R11" s="187"/>
      <c r="S11" s="184"/>
      <c r="T11" s="537"/>
      <c r="U11" s="186"/>
      <c r="V11" s="186"/>
      <c r="W11" s="187"/>
      <c r="X11" s="184"/>
      <c r="Y11" s="537"/>
      <c r="Z11" s="186"/>
      <c r="AA11" s="186"/>
      <c r="AB11" s="187"/>
      <c r="AC11" s="184"/>
      <c r="AD11" s="537"/>
      <c r="AE11" s="186"/>
      <c r="AF11" s="186"/>
      <c r="AG11" s="187"/>
      <c r="AH11" s="184"/>
      <c r="AI11" s="537"/>
      <c r="AJ11" s="186"/>
      <c r="AK11" s="186"/>
      <c r="AL11" s="187"/>
      <c r="AM11" s="184"/>
      <c r="AN11" s="537"/>
      <c r="AO11" s="186"/>
      <c r="AP11" s="186"/>
      <c r="AQ11" s="187"/>
      <c r="AR11" s="184"/>
      <c r="AS11" s="537"/>
      <c r="AT11" s="186"/>
      <c r="AU11" s="186"/>
      <c r="AV11" s="187"/>
      <c r="AW11" s="184"/>
      <c r="AX11" s="537"/>
    </row>
    <row r="12" spans="1:50" ht="14.25" customHeight="1">
      <c r="B12" s="501"/>
      <c r="C12" s="182">
        <v>6</v>
      </c>
      <c r="D12" s="185"/>
      <c r="E12" s="182"/>
      <c r="F12" s="182"/>
      <c r="G12" s="187"/>
      <c r="H12" s="537"/>
      <c r="I12" s="188"/>
      <c r="J12" s="188"/>
      <c r="K12" s="189"/>
      <c r="L12" s="538"/>
      <c r="M12" s="188"/>
      <c r="N12" s="501"/>
      <c r="O12" s="501"/>
      <c r="P12" s="182"/>
      <c r="Q12" s="182"/>
      <c r="R12" s="187"/>
      <c r="S12" s="184"/>
      <c r="T12" s="537"/>
      <c r="U12" s="182"/>
      <c r="V12" s="182"/>
      <c r="W12" s="187"/>
      <c r="X12" s="184"/>
      <c r="Y12" s="537"/>
      <c r="Z12" s="182"/>
      <c r="AA12" s="182"/>
      <c r="AB12" s="187"/>
      <c r="AC12" s="184"/>
      <c r="AD12" s="537"/>
      <c r="AE12" s="182"/>
      <c r="AF12" s="182"/>
      <c r="AG12" s="187"/>
      <c r="AH12" s="184"/>
      <c r="AI12" s="537"/>
      <c r="AJ12" s="182"/>
      <c r="AK12" s="182"/>
      <c r="AL12" s="187"/>
      <c r="AM12" s="184"/>
      <c r="AN12" s="537"/>
      <c r="AO12" s="182"/>
      <c r="AP12" s="182"/>
      <c r="AQ12" s="187"/>
      <c r="AR12" s="184"/>
      <c r="AS12" s="537"/>
      <c r="AT12" s="182"/>
      <c r="AU12" s="182"/>
      <c r="AV12" s="187"/>
      <c r="AW12" s="184"/>
      <c r="AX12" s="537"/>
    </row>
    <row r="13" spans="1:50" ht="14.25" customHeight="1">
      <c r="B13" s="501"/>
      <c r="C13" s="182">
        <v>7</v>
      </c>
      <c r="D13" s="185"/>
      <c r="E13" s="182"/>
      <c r="F13" s="182"/>
      <c r="G13" s="187"/>
      <c r="H13" s="537"/>
      <c r="I13" s="188"/>
      <c r="J13" s="188"/>
      <c r="K13" s="189"/>
      <c r="L13" s="538"/>
      <c r="M13" s="188"/>
      <c r="N13" s="501"/>
      <c r="O13" s="501"/>
      <c r="P13" s="182"/>
      <c r="Q13" s="182"/>
      <c r="R13" s="187"/>
      <c r="S13" s="184"/>
      <c r="T13" s="537"/>
      <c r="U13" s="182"/>
      <c r="V13" s="182"/>
      <c r="W13" s="187"/>
      <c r="X13" s="184"/>
      <c r="Y13" s="537"/>
      <c r="Z13" s="182"/>
      <c r="AA13" s="182"/>
      <c r="AB13" s="187"/>
      <c r="AC13" s="184"/>
      <c r="AD13" s="537"/>
      <c r="AE13" s="182"/>
      <c r="AF13" s="182"/>
      <c r="AG13" s="187"/>
      <c r="AH13" s="184"/>
      <c r="AI13" s="537"/>
      <c r="AJ13" s="182"/>
      <c r="AK13" s="182"/>
      <c r="AL13" s="187"/>
      <c r="AM13" s="184"/>
      <c r="AN13" s="537"/>
      <c r="AO13" s="182"/>
      <c r="AP13" s="182"/>
      <c r="AQ13" s="187"/>
      <c r="AR13" s="184"/>
      <c r="AS13" s="537"/>
      <c r="AT13" s="182"/>
      <c r="AU13" s="182"/>
      <c r="AV13" s="187"/>
      <c r="AW13" s="184"/>
      <c r="AX13" s="537"/>
    </row>
    <row r="14" spans="1:50" ht="14.25" customHeight="1">
      <c r="B14" s="501"/>
      <c r="C14" s="182">
        <v>8</v>
      </c>
      <c r="D14" s="185"/>
      <c r="E14" s="182"/>
      <c r="F14" s="182"/>
      <c r="G14" s="187"/>
      <c r="H14" s="537"/>
      <c r="I14" s="188"/>
      <c r="J14" s="188"/>
      <c r="K14" s="189"/>
      <c r="L14" s="538"/>
      <c r="M14" s="188"/>
      <c r="N14" s="501"/>
      <c r="O14" s="501"/>
      <c r="P14" s="182"/>
      <c r="Q14" s="182"/>
      <c r="R14" s="187"/>
      <c r="S14" s="184"/>
      <c r="T14" s="537"/>
      <c r="U14" s="182"/>
      <c r="V14" s="182"/>
      <c r="W14" s="187"/>
      <c r="X14" s="184"/>
      <c r="Y14" s="537"/>
      <c r="Z14" s="182"/>
      <c r="AA14" s="182"/>
      <c r="AB14" s="187"/>
      <c r="AC14" s="184"/>
      <c r="AD14" s="537"/>
      <c r="AE14" s="182"/>
      <c r="AF14" s="182"/>
      <c r="AG14" s="187"/>
      <c r="AH14" s="184"/>
      <c r="AI14" s="537"/>
      <c r="AJ14" s="182"/>
      <c r="AK14" s="182"/>
      <c r="AL14" s="187"/>
      <c r="AM14" s="184"/>
      <c r="AN14" s="537"/>
      <c r="AO14" s="182"/>
      <c r="AP14" s="182"/>
      <c r="AQ14" s="187"/>
      <c r="AR14" s="184"/>
      <c r="AS14" s="537"/>
      <c r="AT14" s="182"/>
      <c r="AU14" s="182"/>
      <c r="AV14" s="187"/>
      <c r="AW14" s="184"/>
      <c r="AX14" s="537"/>
    </row>
    <row r="15" spans="1:50" ht="14.25" customHeight="1">
      <c r="B15" s="501"/>
      <c r="C15" s="182">
        <v>9</v>
      </c>
      <c r="D15" s="185"/>
      <c r="E15" s="182"/>
      <c r="F15" s="182"/>
      <c r="G15" s="187"/>
      <c r="H15" s="537"/>
      <c r="I15" s="188"/>
      <c r="J15" s="188"/>
      <c r="K15" s="189"/>
      <c r="L15" s="538"/>
      <c r="M15" s="188"/>
      <c r="N15" s="501"/>
      <c r="O15" s="501"/>
      <c r="P15" s="182"/>
      <c r="Q15" s="182"/>
      <c r="R15" s="187"/>
      <c r="S15" s="184"/>
      <c r="T15" s="537"/>
      <c r="U15" s="182"/>
      <c r="V15" s="182"/>
      <c r="W15" s="187"/>
      <c r="X15" s="184"/>
      <c r="Y15" s="537"/>
      <c r="Z15" s="182"/>
      <c r="AA15" s="182"/>
      <c r="AB15" s="187"/>
      <c r="AC15" s="184"/>
      <c r="AD15" s="537"/>
      <c r="AE15" s="182"/>
      <c r="AF15" s="182"/>
      <c r="AG15" s="187"/>
      <c r="AH15" s="184"/>
      <c r="AI15" s="537"/>
      <c r="AJ15" s="182"/>
      <c r="AK15" s="182"/>
      <c r="AL15" s="187"/>
      <c r="AM15" s="184"/>
      <c r="AN15" s="537"/>
      <c r="AO15" s="182"/>
      <c r="AP15" s="182"/>
      <c r="AQ15" s="187"/>
      <c r="AR15" s="184"/>
      <c r="AS15" s="537"/>
      <c r="AT15" s="182"/>
      <c r="AU15" s="182"/>
      <c r="AV15" s="187"/>
      <c r="AW15" s="184"/>
      <c r="AX15" s="537"/>
    </row>
    <row r="16" spans="1:50" ht="14.25" customHeight="1">
      <c r="B16" s="501"/>
      <c r="C16" s="182">
        <v>10</v>
      </c>
      <c r="D16" s="185"/>
      <c r="E16" s="182"/>
      <c r="F16" s="182"/>
      <c r="G16" s="187"/>
      <c r="H16" s="537"/>
      <c r="I16" s="188"/>
      <c r="J16" s="188"/>
      <c r="K16" s="189"/>
      <c r="L16" s="538"/>
      <c r="M16" s="188"/>
      <c r="N16" s="501"/>
      <c r="O16" s="501"/>
      <c r="P16" s="182"/>
      <c r="Q16" s="182"/>
      <c r="R16" s="187"/>
      <c r="S16" s="184"/>
      <c r="T16" s="537"/>
      <c r="U16" s="182"/>
      <c r="V16" s="182"/>
      <c r="W16" s="187"/>
      <c r="X16" s="184"/>
      <c r="Y16" s="537"/>
      <c r="Z16" s="182"/>
      <c r="AA16" s="182"/>
      <c r="AB16" s="187"/>
      <c r="AC16" s="184"/>
      <c r="AD16" s="537"/>
      <c r="AE16" s="182"/>
      <c r="AF16" s="182"/>
      <c r="AG16" s="187"/>
      <c r="AH16" s="184"/>
      <c r="AI16" s="537"/>
      <c r="AJ16" s="182"/>
      <c r="AK16" s="182"/>
      <c r="AL16" s="187"/>
      <c r="AM16" s="184"/>
      <c r="AN16" s="537"/>
      <c r="AO16" s="182"/>
      <c r="AP16" s="182"/>
      <c r="AQ16" s="187"/>
      <c r="AR16" s="184"/>
      <c r="AS16" s="537"/>
      <c r="AT16" s="182"/>
      <c r="AU16" s="182"/>
      <c r="AV16" s="187"/>
      <c r="AW16" s="184"/>
      <c r="AX16" s="537"/>
    </row>
    <row r="17" spans="2:50" ht="14.25" customHeight="1">
      <c r="B17" s="501"/>
      <c r="C17" s="182">
        <v>11</v>
      </c>
      <c r="D17" s="185"/>
      <c r="E17" s="182"/>
      <c r="F17" s="182"/>
      <c r="G17" s="187"/>
      <c r="H17" s="537"/>
      <c r="I17" s="188"/>
      <c r="J17" s="188"/>
      <c r="K17" s="189"/>
      <c r="L17" s="538"/>
      <c r="M17" s="188"/>
      <c r="N17" s="501"/>
      <c r="O17" s="501"/>
      <c r="P17" s="182"/>
      <c r="Q17" s="182"/>
      <c r="R17" s="187"/>
      <c r="S17" s="184"/>
      <c r="T17" s="537"/>
      <c r="U17" s="182"/>
      <c r="V17" s="182"/>
      <c r="W17" s="187"/>
      <c r="X17" s="184"/>
      <c r="Y17" s="537"/>
      <c r="Z17" s="182"/>
      <c r="AA17" s="182"/>
      <c r="AB17" s="187"/>
      <c r="AC17" s="184"/>
      <c r="AD17" s="537"/>
      <c r="AE17" s="182"/>
      <c r="AF17" s="182"/>
      <c r="AG17" s="187"/>
      <c r="AH17" s="184"/>
      <c r="AI17" s="537"/>
      <c r="AJ17" s="182"/>
      <c r="AK17" s="182"/>
      <c r="AL17" s="187"/>
      <c r="AM17" s="184"/>
      <c r="AN17" s="537"/>
      <c r="AO17" s="182"/>
      <c r="AP17" s="182"/>
      <c r="AQ17" s="187"/>
      <c r="AR17" s="184"/>
      <c r="AS17" s="537"/>
      <c r="AT17" s="182"/>
      <c r="AU17" s="182"/>
      <c r="AV17" s="187"/>
      <c r="AW17" s="184"/>
      <c r="AX17" s="537"/>
    </row>
    <row r="18" spans="2:50" ht="14.25" customHeight="1">
      <c r="B18" s="501"/>
      <c r="C18" s="182">
        <v>12</v>
      </c>
      <c r="D18" s="185"/>
      <c r="E18" s="182"/>
      <c r="F18" s="182"/>
      <c r="G18" s="187"/>
      <c r="H18" s="537"/>
      <c r="I18" s="188"/>
      <c r="J18" s="188"/>
      <c r="K18" s="189"/>
      <c r="L18" s="538"/>
      <c r="M18" s="188"/>
      <c r="N18" s="501"/>
      <c r="O18" s="501"/>
      <c r="P18" s="182"/>
      <c r="Q18" s="182"/>
      <c r="R18" s="187"/>
      <c r="S18" s="184"/>
      <c r="T18" s="537"/>
      <c r="U18" s="182"/>
      <c r="V18" s="182"/>
      <c r="W18" s="187"/>
      <c r="X18" s="184"/>
      <c r="Y18" s="537"/>
      <c r="Z18" s="182"/>
      <c r="AA18" s="182"/>
      <c r="AB18" s="187"/>
      <c r="AC18" s="184"/>
      <c r="AD18" s="537"/>
      <c r="AE18" s="182"/>
      <c r="AF18" s="182"/>
      <c r="AG18" s="187"/>
      <c r="AH18" s="184"/>
      <c r="AI18" s="537"/>
      <c r="AJ18" s="182"/>
      <c r="AK18" s="182"/>
      <c r="AL18" s="187"/>
      <c r="AM18" s="184"/>
      <c r="AN18" s="537"/>
      <c r="AO18" s="182"/>
      <c r="AP18" s="182"/>
      <c r="AQ18" s="187"/>
      <c r="AR18" s="184"/>
      <c r="AS18" s="537"/>
      <c r="AT18" s="182"/>
      <c r="AU18" s="182"/>
      <c r="AV18" s="187"/>
      <c r="AW18" s="184"/>
      <c r="AX18" s="537"/>
    </row>
    <row r="19" spans="2:50" ht="14.25" customHeight="1">
      <c r="B19" s="501"/>
      <c r="C19" s="182">
        <v>13</v>
      </c>
      <c r="D19" s="185"/>
      <c r="E19" s="182"/>
      <c r="F19" s="182"/>
      <c r="G19" s="187"/>
      <c r="H19" s="537"/>
      <c r="I19" s="188"/>
      <c r="J19" s="188"/>
      <c r="K19" s="189"/>
      <c r="L19" s="538"/>
      <c r="M19" s="188"/>
      <c r="N19" s="501"/>
      <c r="O19" s="501"/>
      <c r="P19" s="182"/>
      <c r="Q19" s="182"/>
      <c r="R19" s="187"/>
      <c r="S19" s="184"/>
      <c r="T19" s="537"/>
      <c r="U19" s="182"/>
      <c r="V19" s="182"/>
      <c r="W19" s="187"/>
      <c r="X19" s="184"/>
      <c r="Y19" s="537"/>
      <c r="Z19" s="182"/>
      <c r="AA19" s="182"/>
      <c r="AB19" s="187"/>
      <c r="AC19" s="184"/>
      <c r="AD19" s="537"/>
      <c r="AE19" s="182"/>
      <c r="AF19" s="182"/>
      <c r="AG19" s="187"/>
      <c r="AH19" s="184"/>
      <c r="AI19" s="537"/>
      <c r="AJ19" s="182"/>
      <c r="AK19" s="182"/>
      <c r="AL19" s="187"/>
      <c r="AM19" s="184"/>
      <c r="AN19" s="537"/>
      <c r="AO19" s="182"/>
      <c r="AP19" s="182"/>
      <c r="AQ19" s="187"/>
      <c r="AR19" s="184"/>
      <c r="AS19" s="537"/>
      <c r="AT19" s="182"/>
      <c r="AU19" s="182"/>
      <c r="AV19" s="187"/>
      <c r="AW19" s="184"/>
      <c r="AX19" s="537"/>
    </row>
    <row r="20" spans="2:50" ht="14.25" customHeight="1">
      <c r="B20" s="501"/>
      <c r="C20" s="182">
        <v>14</v>
      </c>
      <c r="D20" s="185"/>
      <c r="E20" s="182"/>
      <c r="F20" s="182"/>
      <c r="G20" s="187"/>
      <c r="H20" s="537"/>
      <c r="I20" s="188"/>
      <c r="J20" s="188"/>
      <c r="K20" s="189"/>
      <c r="L20" s="538"/>
      <c r="M20" s="188"/>
      <c r="N20" s="501"/>
      <c r="O20" s="501"/>
      <c r="P20" s="182"/>
      <c r="Q20" s="182"/>
      <c r="R20" s="187"/>
      <c r="S20" s="184"/>
      <c r="T20" s="537"/>
      <c r="U20" s="182"/>
      <c r="V20" s="182"/>
      <c r="W20" s="187"/>
      <c r="X20" s="184"/>
      <c r="Y20" s="537"/>
      <c r="Z20" s="182"/>
      <c r="AA20" s="182"/>
      <c r="AB20" s="187"/>
      <c r="AC20" s="184"/>
      <c r="AD20" s="537"/>
      <c r="AE20" s="182"/>
      <c r="AF20" s="182"/>
      <c r="AG20" s="187"/>
      <c r="AH20" s="184"/>
      <c r="AI20" s="537"/>
      <c r="AJ20" s="182"/>
      <c r="AK20" s="182"/>
      <c r="AL20" s="187"/>
      <c r="AM20" s="184"/>
      <c r="AN20" s="537"/>
      <c r="AO20" s="182"/>
      <c r="AP20" s="182"/>
      <c r="AQ20" s="187"/>
      <c r="AR20" s="184"/>
      <c r="AS20" s="537"/>
      <c r="AT20" s="182"/>
      <c r="AU20" s="182"/>
      <c r="AV20" s="187"/>
      <c r="AW20" s="184"/>
      <c r="AX20" s="537"/>
    </row>
    <row r="21" spans="2:50" ht="14.25" customHeight="1">
      <c r="B21" s="501"/>
      <c r="C21" s="182">
        <v>15</v>
      </c>
      <c r="D21" s="185"/>
      <c r="E21" s="182"/>
      <c r="F21" s="182"/>
      <c r="G21" s="187"/>
      <c r="H21" s="537"/>
      <c r="I21" s="188"/>
      <c r="J21" s="188"/>
      <c r="K21" s="189"/>
      <c r="L21" s="538"/>
      <c r="M21" s="188"/>
      <c r="N21" s="501"/>
      <c r="O21" s="501"/>
      <c r="P21" s="182"/>
      <c r="Q21" s="186"/>
      <c r="R21" s="187"/>
      <c r="S21" s="184"/>
      <c r="T21" s="537"/>
      <c r="U21" s="182"/>
      <c r="V21" s="186"/>
      <c r="W21" s="187"/>
      <c r="X21" s="184"/>
      <c r="Y21" s="537"/>
      <c r="Z21" s="182"/>
      <c r="AA21" s="186"/>
      <c r="AB21" s="187"/>
      <c r="AC21" s="184"/>
      <c r="AD21" s="537"/>
      <c r="AE21" s="182"/>
      <c r="AF21" s="186"/>
      <c r="AG21" s="187"/>
      <c r="AH21" s="184"/>
      <c r="AI21" s="537"/>
      <c r="AJ21" s="182"/>
      <c r="AK21" s="186"/>
      <c r="AL21" s="187"/>
      <c r="AM21" s="184"/>
      <c r="AN21" s="537"/>
      <c r="AO21" s="182"/>
      <c r="AP21" s="186"/>
      <c r="AQ21" s="187"/>
      <c r="AR21" s="184"/>
      <c r="AS21" s="537"/>
      <c r="AT21" s="182"/>
      <c r="AU21" s="186"/>
      <c r="AV21" s="187"/>
      <c r="AW21" s="184"/>
      <c r="AX21" s="537"/>
    </row>
    <row r="22" spans="2:50" ht="14.25" customHeight="1" collapsed="1">
      <c r="B22" s="545" t="s">
        <v>601</v>
      </c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7"/>
      <c r="N22" s="563" t="s">
        <v>383</v>
      </c>
      <c r="O22" s="563" t="s">
        <v>105</v>
      </c>
      <c r="P22" s="598">
        <f>AT2+1</f>
        <v>46028</v>
      </c>
      <c r="Q22" s="599"/>
      <c r="R22" s="599"/>
      <c r="S22" s="599"/>
      <c r="T22" s="599"/>
      <c r="U22" s="600">
        <f>P22+1</f>
        <v>46029</v>
      </c>
      <c r="V22" s="601"/>
      <c r="W22" s="601"/>
      <c r="X22" s="601"/>
      <c r="Y22" s="601"/>
      <c r="Z22" s="598">
        <f t="shared" ref="Z22" si="26">U22+1</f>
        <v>46030</v>
      </c>
      <c r="AA22" s="599"/>
      <c r="AB22" s="599"/>
      <c r="AC22" s="599"/>
      <c r="AD22" s="599"/>
      <c r="AE22" s="600">
        <f t="shared" ref="AE22" si="27">Z22+1</f>
        <v>46031</v>
      </c>
      <c r="AF22" s="601"/>
      <c r="AG22" s="601"/>
      <c r="AH22" s="601"/>
      <c r="AI22" s="601"/>
      <c r="AJ22" s="590">
        <f t="shared" ref="AJ22" si="28">AE22+1</f>
        <v>46032</v>
      </c>
      <c r="AK22" s="591"/>
      <c r="AL22" s="591"/>
      <c r="AM22" s="591"/>
      <c r="AN22" s="592"/>
      <c r="AO22" s="600">
        <f t="shared" ref="AO22" si="29">AJ22+1</f>
        <v>46033</v>
      </c>
      <c r="AP22" s="601"/>
      <c r="AQ22" s="601"/>
      <c r="AR22" s="601"/>
      <c r="AS22" s="601"/>
      <c r="AT22" s="590">
        <f t="shared" ref="AT22" si="30">AO22+1</f>
        <v>46034</v>
      </c>
      <c r="AU22" s="591"/>
      <c r="AV22" s="591"/>
      <c r="AW22" s="591"/>
      <c r="AX22" s="592"/>
    </row>
    <row r="23" spans="2:50" ht="14.25" customHeight="1"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9"/>
      <c r="N23" s="565"/>
      <c r="O23" s="565"/>
      <c r="P23" s="593">
        <f>P22</f>
        <v>46028</v>
      </c>
      <c r="Q23" s="593"/>
      <c r="R23" s="593"/>
      <c r="S23" s="593"/>
      <c r="T23" s="593"/>
      <c r="U23" s="594">
        <f>U22</f>
        <v>46029</v>
      </c>
      <c r="V23" s="594"/>
      <c r="W23" s="594"/>
      <c r="X23" s="594"/>
      <c r="Y23" s="594"/>
      <c r="Z23" s="593">
        <f t="shared" ref="Z23" si="31">Z22</f>
        <v>46030</v>
      </c>
      <c r="AA23" s="593"/>
      <c r="AB23" s="593"/>
      <c r="AC23" s="593"/>
      <c r="AD23" s="593"/>
      <c r="AE23" s="594">
        <f t="shared" ref="AE23" si="32">AE22</f>
        <v>46031</v>
      </c>
      <c r="AF23" s="594"/>
      <c r="AG23" s="594"/>
      <c r="AH23" s="594"/>
      <c r="AI23" s="594"/>
      <c r="AJ23" s="595">
        <f t="shared" ref="AJ23" si="33">AJ22</f>
        <v>46032</v>
      </c>
      <c r="AK23" s="596"/>
      <c r="AL23" s="596"/>
      <c r="AM23" s="596"/>
      <c r="AN23" s="597"/>
      <c r="AO23" s="594">
        <f t="shared" ref="AO23" si="34">AO22</f>
        <v>46033</v>
      </c>
      <c r="AP23" s="594"/>
      <c r="AQ23" s="594"/>
      <c r="AR23" s="594"/>
      <c r="AS23" s="594"/>
      <c r="AT23" s="595">
        <f t="shared" ref="AT23" si="35">AT22</f>
        <v>46034</v>
      </c>
      <c r="AU23" s="596"/>
      <c r="AV23" s="596"/>
      <c r="AW23" s="596"/>
      <c r="AX23" s="597"/>
    </row>
    <row r="24" spans="2:50" ht="14.25" customHeight="1">
      <c r="B24" s="501" t="s">
        <v>164</v>
      </c>
      <c r="C24" s="501" t="s">
        <v>159</v>
      </c>
      <c r="D24" s="501"/>
      <c r="E24" s="501" t="s">
        <v>160</v>
      </c>
      <c r="F24" s="501"/>
      <c r="G24" s="501"/>
      <c r="H24" s="501" t="s">
        <v>165</v>
      </c>
      <c r="I24" s="522" t="s">
        <v>384</v>
      </c>
      <c r="J24" s="522"/>
      <c r="K24" s="522"/>
      <c r="L24" s="522" t="s">
        <v>165</v>
      </c>
      <c r="M24" s="522" t="s">
        <v>167</v>
      </c>
      <c r="N24" s="501"/>
      <c r="O24" s="501" t="s">
        <v>166</v>
      </c>
      <c r="P24" s="501" t="s">
        <v>162</v>
      </c>
      <c r="Q24" s="501"/>
      <c r="R24" s="501"/>
      <c r="S24" s="501"/>
      <c r="T24" s="501" t="s">
        <v>165</v>
      </c>
      <c r="U24" s="501" t="s">
        <v>162</v>
      </c>
      <c r="V24" s="501"/>
      <c r="W24" s="501"/>
      <c r="X24" s="501"/>
      <c r="Y24" s="501" t="s">
        <v>165</v>
      </c>
      <c r="Z24" s="501" t="s">
        <v>162</v>
      </c>
      <c r="AA24" s="501"/>
      <c r="AB24" s="501"/>
      <c r="AC24" s="501"/>
      <c r="AD24" s="501" t="s">
        <v>165</v>
      </c>
      <c r="AE24" s="501" t="s">
        <v>162</v>
      </c>
      <c r="AF24" s="501"/>
      <c r="AG24" s="501"/>
      <c r="AH24" s="501"/>
      <c r="AI24" s="501" t="s">
        <v>165</v>
      </c>
      <c r="AJ24" s="501" t="s">
        <v>162</v>
      </c>
      <c r="AK24" s="501"/>
      <c r="AL24" s="501"/>
      <c r="AM24" s="501"/>
      <c r="AN24" s="501" t="s">
        <v>165</v>
      </c>
      <c r="AO24" s="501" t="s">
        <v>162</v>
      </c>
      <c r="AP24" s="501"/>
      <c r="AQ24" s="501"/>
      <c r="AR24" s="501"/>
      <c r="AS24" s="501" t="s">
        <v>165</v>
      </c>
      <c r="AT24" s="501" t="s">
        <v>162</v>
      </c>
      <c r="AU24" s="501"/>
      <c r="AV24" s="501"/>
      <c r="AW24" s="501"/>
      <c r="AX24" s="501" t="s">
        <v>165</v>
      </c>
    </row>
    <row r="25" spans="2:50" ht="14.25" customHeight="1">
      <c r="B25" s="501"/>
      <c r="C25" s="501"/>
      <c r="D25" s="501"/>
      <c r="E25" s="501" t="s">
        <v>385</v>
      </c>
      <c r="F25" s="501"/>
      <c r="G25" s="501"/>
      <c r="H25" s="501"/>
      <c r="I25" s="522" t="s">
        <v>385</v>
      </c>
      <c r="J25" s="522"/>
      <c r="K25" s="522"/>
      <c r="L25" s="522"/>
      <c r="M25" s="522"/>
      <c r="N25" s="501"/>
      <c r="O25" s="501"/>
      <c r="P25" s="501" t="s">
        <v>386</v>
      </c>
      <c r="Q25" s="501"/>
      <c r="R25" s="501"/>
      <c r="S25" s="501"/>
      <c r="T25" s="501"/>
      <c r="U25" s="501" t="s">
        <v>386</v>
      </c>
      <c r="V25" s="501"/>
      <c r="W25" s="501"/>
      <c r="X25" s="501"/>
      <c r="Y25" s="501"/>
      <c r="Z25" s="501" t="s">
        <v>386</v>
      </c>
      <c r="AA25" s="501"/>
      <c r="AB25" s="501"/>
      <c r="AC25" s="501"/>
      <c r="AD25" s="501"/>
      <c r="AE25" s="501" t="s">
        <v>386</v>
      </c>
      <c r="AF25" s="501"/>
      <c r="AG25" s="501"/>
      <c r="AH25" s="501"/>
      <c r="AI25" s="501"/>
      <c r="AJ25" s="501" t="s">
        <v>386</v>
      </c>
      <c r="AK25" s="501"/>
      <c r="AL25" s="501"/>
      <c r="AM25" s="501"/>
      <c r="AN25" s="501"/>
      <c r="AO25" s="501" t="s">
        <v>386</v>
      </c>
      <c r="AP25" s="501"/>
      <c r="AQ25" s="501"/>
      <c r="AR25" s="501"/>
      <c r="AS25" s="501"/>
      <c r="AT25" s="501" t="s">
        <v>386</v>
      </c>
      <c r="AU25" s="501"/>
      <c r="AV25" s="501"/>
      <c r="AW25" s="501"/>
      <c r="AX25" s="501"/>
    </row>
    <row r="26" spans="2:50" ht="14.25" customHeight="1">
      <c r="B26" s="501"/>
      <c r="C26" s="501"/>
      <c r="D26" s="501"/>
      <c r="E26" s="182" t="s">
        <v>161</v>
      </c>
      <c r="F26" s="182" t="s">
        <v>387</v>
      </c>
      <c r="G26" s="182" t="s">
        <v>163</v>
      </c>
      <c r="H26" s="501"/>
      <c r="I26" s="183" t="s">
        <v>161</v>
      </c>
      <c r="J26" s="183" t="s">
        <v>387</v>
      </c>
      <c r="K26" s="183" t="s">
        <v>163</v>
      </c>
      <c r="L26" s="522"/>
      <c r="M26" s="522"/>
      <c r="N26" s="501"/>
      <c r="O26" s="501"/>
      <c r="P26" s="182" t="s">
        <v>161</v>
      </c>
      <c r="Q26" s="182" t="s">
        <v>387</v>
      </c>
      <c r="R26" s="182" t="s">
        <v>163</v>
      </c>
      <c r="S26" s="184" t="s">
        <v>167</v>
      </c>
      <c r="T26" s="501"/>
      <c r="U26" s="182" t="s">
        <v>161</v>
      </c>
      <c r="V26" s="182" t="s">
        <v>387</v>
      </c>
      <c r="W26" s="182" t="s">
        <v>163</v>
      </c>
      <c r="X26" s="184" t="s">
        <v>167</v>
      </c>
      <c r="Y26" s="501"/>
      <c r="Z26" s="182" t="s">
        <v>161</v>
      </c>
      <c r="AA26" s="182" t="s">
        <v>387</v>
      </c>
      <c r="AB26" s="182" t="s">
        <v>163</v>
      </c>
      <c r="AC26" s="184" t="s">
        <v>167</v>
      </c>
      <c r="AD26" s="501"/>
      <c r="AE26" s="182" t="s">
        <v>161</v>
      </c>
      <c r="AF26" s="182" t="s">
        <v>387</v>
      </c>
      <c r="AG26" s="182" t="s">
        <v>163</v>
      </c>
      <c r="AH26" s="184" t="s">
        <v>167</v>
      </c>
      <c r="AI26" s="501"/>
      <c r="AJ26" s="182" t="s">
        <v>161</v>
      </c>
      <c r="AK26" s="182" t="s">
        <v>387</v>
      </c>
      <c r="AL26" s="182" t="s">
        <v>163</v>
      </c>
      <c r="AM26" s="184" t="s">
        <v>167</v>
      </c>
      <c r="AN26" s="501"/>
      <c r="AO26" s="182" t="s">
        <v>161</v>
      </c>
      <c r="AP26" s="182" t="s">
        <v>387</v>
      </c>
      <c r="AQ26" s="182" t="s">
        <v>163</v>
      </c>
      <c r="AR26" s="184" t="s">
        <v>167</v>
      </c>
      <c r="AS26" s="501"/>
      <c r="AT26" s="182" t="s">
        <v>161</v>
      </c>
      <c r="AU26" s="182" t="s">
        <v>387</v>
      </c>
      <c r="AV26" s="182" t="s">
        <v>163</v>
      </c>
      <c r="AW26" s="184" t="s">
        <v>167</v>
      </c>
      <c r="AX26" s="501"/>
    </row>
    <row r="27" spans="2:50" ht="14.25" customHeight="1">
      <c r="B27" s="501" t="s">
        <v>144</v>
      </c>
      <c r="C27" s="182">
        <v>1</v>
      </c>
      <c r="D27" s="185" t="s">
        <v>370</v>
      </c>
      <c r="E27" s="182">
        <v>13</v>
      </c>
      <c r="F27" s="182">
        <v>1200</v>
      </c>
      <c r="G27" s="187">
        <f t="shared" ref="G27:G29" si="36">F27/E27</f>
        <v>92.307692307692307</v>
      </c>
      <c r="H27" s="537">
        <f>AVERAGE(G27:G41)</f>
        <v>85.31468531468532</v>
      </c>
      <c r="I27" s="188">
        <f>AVERAGE(P27,U27,Z27,AE27,AJ27,AO27,AT27)</f>
        <v>13</v>
      </c>
      <c r="J27" s="188">
        <f>AVERAGE(Q27,V27,AA27,AF27,AK27,AP27,AU27)</f>
        <v>1077.6860989850131</v>
      </c>
      <c r="K27" s="189">
        <f>AVERAGE(R27,W27,AB27,AG27,AL27,AQ27,AV27)</f>
        <v>82.898930691154845</v>
      </c>
      <c r="L27" s="538">
        <f>IFERROR(AVERAGE(K27:K41),"-")</f>
        <v>76.061200469145604</v>
      </c>
      <c r="M27" s="188">
        <f>RANK(K27, K$27:$K$41)</f>
        <v>1</v>
      </c>
      <c r="N27" s="501"/>
      <c r="O27" s="501"/>
      <c r="P27" s="190">
        <v>13</v>
      </c>
      <c r="Q27" s="190">
        <v>1077.6053215077604</v>
      </c>
      <c r="R27" s="187">
        <f>IFERROR(Q27/P27,"")</f>
        <v>82.892717039058496</v>
      </c>
      <c r="S27" s="184">
        <f>RANK(R27, R$27:R$41)</f>
        <v>1</v>
      </c>
      <c r="T27" s="537">
        <f>AVERAGE(R27:R41)</f>
        <v>76.012776443462315</v>
      </c>
      <c r="U27" s="190">
        <v>13</v>
      </c>
      <c r="V27" s="190">
        <v>1077.6851631340799</v>
      </c>
      <c r="W27" s="187">
        <f t="shared" ref="W27:W29" si="37">IFERROR(V27/U27,"")</f>
        <v>82.898858702621524</v>
      </c>
      <c r="X27" s="184">
        <f>RANK(W27, W$27:W$41)</f>
        <v>1</v>
      </c>
      <c r="Y27" s="537">
        <f>AVERAGE(W27:W41)</f>
        <v>76.075112503254545</v>
      </c>
      <c r="Z27" s="190">
        <v>13</v>
      </c>
      <c r="AA27" s="190">
        <v>1077.7104784978801</v>
      </c>
      <c r="AB27" s="187">
        <f t="shared" ref="AB27:AB29" si="38">IFERROR(AA27/Z27,"")</f>
        <v>82.90080603829847</v>
      </c>
      <c r="AC27" s="184">
        <f>RANK(AB27, AB$27:AB$41)</f>
        <v>1</v>
      </c>
      <c r="AD27" s="537">
        <f>AVERAGE(AB27:AB41)</f>
        <v>76.069659135757604</v>
      </c>
      <c r="AE27" s="190">
        <v>13</v>
      </c>
      <c r="AF27" s="190">
        <v>1077.7025720363565</v>
      </c>
      <c r="AG27" s="187">
        <f>IFERROR(AF27/AE27,"")</f>
        <v>82.900197848950498</v>
      </c>
      <c r="AH27" s="184" t="e">
        <f>RANK(AG27, AG$7:AG$21)</f>
        <v>#N/A</v>
      </c>
      <c r="AI27" s="537">
        <f>AVERAGE(AG27:AG41)</f>
        <v>76.058527257810525</v>
      </c>
      <c r="AJ27" s="190">
        <v>13</v>
      </c>
      <c r="AK27" s="190">
        <v>1077.7321281840591</v>
      </c>
      <c r="AL27" s="187">
        <f t="shared" ref="AL27:AL29" si="39">IFERROR(AK27/AJ27,"")</f>
        <v>82.90247139877377</v>
      </c>
      <c r="AM27" s="184">
        <f>RANK(AL27, AL$27:AL$41)</f>
        <v>1</v>
      </c>
      <c r="AN27" s="537">
        <f>AVERAGE(AL27:AL41)</f>
        <v>76.059874453255603</v>
      </c>
      <c r="AO27" s="190">
        <v>13</v>
      </c>
      <c r="AP27" s="190">
        <v>1077.6865405212425</v>
      </c>
      <c r="AQ27" s="187">
        <f t="shared" ref="AQ27:AQ29" si="40">IFERROR(AP27/AO27,"")</f>
        <v>82.898964655480185</v>
      </c>
      <c r="AR27" s="184">
        <f>RANK(AQ27, AQ$27:AQ$41)</f>
        <v>1</v>
      </c>
      <c r="AS27" s="537">
        <f>AVERAGE(AQ27:AQ41)</f>
        <v>76.076581465394426</v>
      </c>
      <c r="AT27" s="190">
        <v>13</v>
      </c>
      <c r="AU27" s="190">
        <v>1077.6804890137123</v>
      </c>
      <c r="AV27" s="187">
        <f t="shared" ref="AV27:AV29" si="41">IFERROR(AU27/AT27,"")</f>
        <v>82.898499154900946</v>
      </c>
      <c r="AW27" s="184">
        <f>RANK(AV27, AV$27:AV$41)</f>
        <v>1</v>
      </c>
      <c r="AX27" s="537">
        <f>AVERAGE(AV27:AV41)</f>
        <v>76.075872025084252</v>
      </c>
    </row>
    <row r="28" spans="2:50" ht="14.25" customHeight="1">
      <c r="B28" s="501"/>
      <c r="C28" s="182">
        <v>2</v>
      </c>
      <c r="D28" s="185" t="s">
        <v>481</v>
      </c>
      <c r="E28" s="182">
        <v>22</v>
      </c>
      <c r="F28" s="182">
        <v>1800</v>
      </c>
      <c r="G28" s="187">
        <f t="shared" si="36"/>
        <v>81.818181818181813</v>
      </c>
      <c r="H28" s="537"/>
      <c r="I28" s="188">
        <f t="shared" ref="I28:K29" si="42">AVERAGE(P28,U28,Z28,AE28,AJ28,AO28,AT28)</f>
        <v>22</v>
      </c>
      <c r="J28" s="188">
        <f t="shared" si="42"/>
        <v>1597.9958154221699</v>
      </c>
      <c r="K28" s="189">
        <f t="shared" si="42"/>
        <v>72.636173428280458</v>
      </c>
      <c r="L28" s="538"/>
      <c r="M28" s="188">
        <f>RANK(K28, K$27:$K$41)</f>
        <v>3</v>
      </c>
      <c r="N28" s="501"/>
      <c r="O28" s="501"/>
      <c r="P28" s="190">
        <v>22</v>
      </c>
      <c r="Q28" s="190">
        <v>1597.7701543739299</v>
      </c>
      <c r="R28" s="187">
        <f t="shared" ref="R28:R29" si="43">IFERROR(Q28/P28,"")</f>
        <v>72.625916107905908</v>
      </c>
      <c r="S28" s="184">
        <f t="shared" ref="S28:S29" si="44">RANK(R28, R$27:R$41)</f>
        <v>2</v>
      </c>
      <c r="T28" s="537"/>
      <c r="U28" s="190">
        <v>22</v>
      </c>
      <c r="V28" s="190">
        <v>1598.2636148382026</v>
      </c>
      <c r="W28" s="187">
        <f t="shared" si="37"/>
        <v>72.648346129009212</v>
      </c>
      <c r="X28" s="184">
        <f t="shared" ref="X28:X29" si="45">RANK(W28, W$27:W$41)</f>
        <v>3</v>
      </c>
      <c r="Y28" s="537"/>
      <c r="Z28" s="190">
        <v>22</v>
      </c>
      <c r="AA28" s="190">
        <v>1598.0421686746934</v>
      </c>
      <c r="AB28" s="187">
        <f t="shared" si="38"/>
        <v>72.638280394304246</v>
      </c>
      <c r="AC28" s="184">
        <f t="shared" ref="AC28:AC29" si="46">RANK(AB28, AB$27:AB$41)</f>
        <v>3</v>
      </c>
      <c r="AD28" s="537"/>
      <c r="AE28" s="190">
        <v>22</v>
      </c>
      <c r="AF28" s="190">
        <v>1597.7181973759291</v>
      </c>
      <c r="AG28" s="187">
        <f t="shared" ref="AG28:AG29" si="47">IFERROR(AF28/AE28,"")</f>
        <v>72.6235544261786</v>
      </c>
      <c r="AH28" s="184" t="e">
        <f t="shared" ref="AH28:AH29" si="48">RANK(AG28, AG$7:AG$21)</f>
        <v>#N/A</v>
      </c>
      <c r="AI28" s="537"/>
      <c r="AJ28" s="190">
        <v>22</v>
      </c>
      <c r="AK28" s="190">
        <v>1597.5107707036809</v>
      </c>
      <c r="AL28" s="187">
        <f t="shared" si="39"/>
        <v>72.614125941076409</v>
      </c>
      <c r="AM28" s="184">
        <f t="shared" ref="AM28:AM29" si="49">RANK(AL28, AL$27:AL$41)</f>
        <v>3</v>
      </c>
      <c r="AN28" s="537"/>
      <c r="AO28" s="190">
        <v>22</v>
      </c>
      <c r="AP28" s="190">
        <v>1598.2222222222222</v>
      </c>
      <c r="AQ28" s="187">
        <f t="shared" si="40"/>
        <v>72.646464646464651</v>
      </c>
      <c r="AR28" s="184">
        <f t="shared" ref="AR28:AR29" si="50">RANK(AQ28, AQ$27:AQ$41)</f>
        <v>3</v>
      </c>
      <c r="AS28" s="537"/>
      <c r="AT28" s="190">
        <v>22</v>
      </c>
      <c r="AU28" s="190">
        <v>1598.4435797665324</v>
      </c>
      <c r="AV28" s="187">
        <f t="shared" si="41"/>
        <v>72.656526353024205</v>
      </c>
      <c r="AW28" s="184">
        <f t="shared" ref="AW28:AW29" si="51">RANK(AV28, AV$27:AV$41)</f>
        <v>3</v>
      </c>
      <c r="AX28" s="537"/>
    </row>
    <row r="29" spans="2:50" ht="14.25" customHeight="1">
      <c r="B29" s="501"/>
      <c r="C29" s="182">
        <v>3</v>
      </c>
      <c r="D29" s="185" t="s">
        <v>499</v>
      </c>
      <c r="E29" s="182">
        <v>22</v>
      </c>
      <c r="F29" s="182">
        <v>1800</v>
      </c>
      <c r="G29" s="187">
        <f t="shared" si="36"/>
        <v>81.818181818181813</v>
      </c>
      <c r="H29" s="537"/>
      <c r="I29" s="188">
        <f t="shared" si="42"/>
        <v>22</v>
      </c>
      <c r="J29" s="188">
        <f t="shared" si="42"/>
        <v>1598.2669403360335</v>
      </c>
      <c r="K29" s="189">
        <f t="shared" si="42"/>
        <v>72.648497288001522</v>
      </c>
      <c r="L29" s="538"/>
      <c r="M29" s="188">
        <f>RANK(K29, K$27:$K$41)</f>
        <v>2</v>
      </c>
      <c r="N29" s="501"/>
      <c r="O29" s="501"/>
      <c r="P29" s="190">
        <v>22</v>
      </c>
      <c r="Q29" s="190">
        <v>1595.4333160352955</v>
      </c>
      <c r="R29" s="187">
        <f t="shared" si="43"/>
        <v>72.519696183422525</v>
      </c>
      <c r="S29" s="184">
        <f t="shared" si="44"/>
        <v>3</v>
      </c>
      <c r="T29" s="537"/>
      <c r="U29" s="190">
        <v>22</v>
      </c>
      <c r="V29" s="190">
        <v>1598.9189189189244</v>
      </c>
      <c r="W29" s="187">
        <f t="shared" si="37"/>
        <v>72.678132678132926</v>
      </c>
      <c r="X29" s="184">
        <f t="shared" si="45"/>
        <v>2</v>
      </c>
      <c r="Y29" s="537"/>
      <c r="Z29" s="190">
        <v>22</v>
      </c>
      <c r="AA29" s="190">
        <v>1598.7376014427423</v>
      </c>
      <c r="AB29" s="187">
        <f t="shared" si="38"/>
        <v>72.66989097467011</v>
      </c>
      <c r="AC29" s="184">
        <f t="shared" si="46"/>
        <v>2</v>
      </c>
      <c r="AD29" s="537"/>
      <c r="AE29" s="190">
        <v>22</v>
      </c>
      <c r="AF29" s="190">
        <v>1598.3402489626551</v>
      </c>
      <c r="AG29" s="187">
        <f t="shared" si="47"/>
        <v>72.651829498302504</v>
      </c>
      <c r="AH29" s="184" t="e">
        <f t="shared" si="48"/>
        <v>#N/A</v>
      </c>
      <c r="AI29" s="537"/>
      <c r="AJ29" s="190">
        <v>22</v>
      </c>
      <c r="AK29" s="190">
        <v>1598.5865724381656</v>
      </c>
      <c r="AL29" s="187">
        <f t="shared" si="39"/>
        <v>72.663026019916614</v>
      </c>
      <c r="AM29" s="184">
        <f t="shared" si="49"/>
        <v>2</v>
      </c>
      <c r="AN29" s="537"/>
      <c r="AO29" s="190">
        <v>22</v>
      </c>
      <c r="AP29" s="190">
        <v>1599.054932073245</v>
      </c>
      <c r="AQ29" s="187">
        <f t="shared" si="40"/>
        <v>72.684315094238414</v>
      </c>
      <c r="AR29" s="184">
        <f t="shared" si="50"/>
        <v>2</v>
      </c>
      <c r="AS29" s="537"/>
      <c r="AT29" s="190">
        <v>22</v>
      </c>
      <c r="AU29" s="190">
        <v>1598.7969924812066</v>
      </c>
      <c r="AV29" s="187">
        <f t="shared" si="41"/>
        <v>72.672590567327575</v>
      </c>
      <c r="AW29" s="184">
        <f t="shared" si="51"/>
        <v>2</v>
      </c>
      <c r="AX29" s="537"/>
    </row>
    <row r="30" spans="2:50" ht="14.25" customHeight="1">
      <c r="B30" s="501"/>
      <c r="C30" s="182">
        <v>4</v>
      </c>
      <c r="D30" s="185"/>
      <c r="E30" s="182"/>
      <c r="F30" s="182"/>
      <c r="G30" s="187"/>
      <c r="H30" s="537"/>
      <c r="I30" s="188"/>
      <c r="J30" s="188"/>
      <c r="K30" s="189"/>
      <c r="L30" s="538"/>
      <c r="M30" s="188"/>
      <c r="N30" s="501"/>
      <c r="O30" s="501"/>
      <c r="P30" s="190"/>
      <c r="Q30" s="190"/>
      <c r="R30" s="187"/>
      <c r="S30" s="184"/>
      <c r="T30" s="537"/>
      <c r="U30" s="190"/>
      <c r="V30" s="190"/>
      <c r="W30" s="187"/>
      <c r="X30" s="184"/>
      <c r="Y30" s="537"/>
      <c r="Z30" s="190"/>
      <c r="AA30" s="190"/>
      <c r="AB30" s="187"/>
      <c r="AC30" s="184"/>
      <c r="AD30" s="537"/>
      <c r="AE30" s="190"/>
      <c r="AF30" s="190"/>
      <c r="AG30" s="187"/>
      <c r="AH30" s="184"/>
      <c r="AI30" s="537"/>
      <c r="AJ30" s="190"/>
      <c r="AK30" s="190"/>
      <c r="AL30" s="187"/>
      <c r="AM30" s="184"/>
      <c r="AN30" s="537"/>
      <c r="AO30" s="190"/>
      <c r="AP30" s="190"/>
      <c r="AQ30" s="187"/>
      <c r="AR30" s="184"/>
      <c r="AS30" s="537"/>
      <c r="AT30" s="190"/>
      <c r="AU30" s="190"/>
      <c r="AV30" s="187"/>
      <c r="AW30" s="184"/>
      <c r="AX30" s="537"/>
    </row>
    <row r="31" spans="2:50" ht="14.25" customHeight="1">
      <c r="B31" s="501"/>
      <c r="C31" s="182">
        <v>5</v>
      </c>
      <c r="D31" s="185"/>
      <c r="E31" s="182"/>
      <c r="F31" s="182"/>
      <c r="G31" s="187"/>
      <c r="H31" s="537"/>
      <c r="I31" s="188"/>
      <c r="J31" s="188"/>
      <c r="K31" s="189"/>
      <c r="L31" s="538"/>
      <c r="M31" s="188"/>
      <c r="N31" s="501"/>
      <c r="O31" s="501"/>
      <c r="P31" s="190"/>
      <c r="Q31" s="190"/>
      <c r="R31" s="187"/>
      <c r="S31" s="184"/>
      <c r="T31" s="537"/>
      <c r="U31" s="190"/>
      <c r="V31" s="190"/>
      <c r="W31" s="187"/>
      <c r="X31" s="184"/>
      <c r="Y31" s="537"/>
      <c r="Z31" s="190"/>
      <c r="AA31" s="190"/>
      <c r="AB31" s="187"/>
      <c r="AC31" s="184"/>
      <c r="AD31" s="537"/>
      <c r="AE31" s="190"/>
      <c r="AF31" s="190"/>
      <c r="AG31" s="187"/>
      <c r="AH31" s="184"/>
      <c r="AI31" s="537"/>
      <c r="AJ31" s="190"/>
      <c r="AK31" s="190"/>
      <c r="AL31" s="187"/>
      <c r="AM31" s="184"/>
      <c r="AN31" s="537"/>
      <c r="AO31" s="190"/>
      <c r="AP31" s="190"/>
      <c r="AQ31" s="187"/>
      <c r="AR31" s="184"/>
      <c r="AS31" s="537"/>
      <c r="AT31" s="190"/>
      <c r="AU31" s="190"/>
      <c r="AV31" s="187"/>
      <c r="AW31" s="184"/>
      <c r="AX31" s="537"/>
    </row>
    <row r="32" spans="2:50" ht="14.25" customHeight="1">
      <c r="B32" s="501"/>
      <c r="C32" s="182">
        <v>6</v>
      </c>
      <c r="D32" s="185"/>
      <c r="E32" s="182"/>
      <c r="F32" s="182"/>
      <c r="G32" s="187"/>
      <c r="H32" s="537"/>
      <c r="I32" s="188"/>
      <c r="J32" s="188"/>
      <c r="K32" s="189"/>
      <c r="L32" s="538"/>
      <c r="M32" s="188"/>
      <c r="N32" s="501"/>
      <c r="O32" s="501"/>
      <c r="P32" s="190"/>
      <c r="Q32" s="190"/>
      <c r="R32" s="187"/>
      <c r="S32" s="184"/>
      <c r="T32" s="537"/>
      <c r="U32" s="190"/>
      <c r="V32" s="190"/>
      <c r="W32" s="187"/>
      <c r="X32" s="184"/>
      <c r="Y32" s="537"/>
      <c r="Z32" s="190"/>
      <c r="AA32" s="190"/>
      <c r="AB32" s="187"/>
      <c r="AC32" s="184"/>
      <c r="AD32" s="537"/>
      <c r="AE32" s="190"/>
      <c r="AF32" s="190"/>
      <c r="AG32" s="187"/>
      <c r="AH32" s="184"/>
      <c r="AI32" s="537"/>
      <c r="AJ32" s="190"/>
      <c r="AK32" s="190"/>
      <c r="AL32" s="187"/>
      <c r="AM32" s="184"/>
      <c r="AN32" s="537"/>
      <c r="AO32" s="190"/>
      <c r="AP32" s="190"/>
      <c r="AQ32" s="187"/>
      <c r="AR32" s="184"/>
      <c r="AS32" s="537"/>
      <c r="AT32" s="190"/>
      <c r="AU32" s="190"/>
      <c r="AV32" s="187"/>
      <c r="AW32" s="184"/>
      <c r="AX32" s="537"/>
    </row>
    <row r="33" spans="2:50" ht="14.25" customHeight="1">
      <c r="B33" s="501"/>
      <c r="C33" s="182">
        <v>7</v>
      </c>
      <c r="D33" s="185"/>
      <c r="E33" s="182"/>
      <c r="F33" s="182"/>
      <c r="G33" s="187"/>
      <c r="H33" s="537"/>
      <c r="I33" s="188"/>
      <c r="J33" s="188"/>
      <c r="K33" s="189"/>
      <c r="L33" s="538"/>
      <c r="M33" s="188"/>
      <c r="N33" s="501"/>
      <c r="O33" s="501"/>
      <c r="P33" s="190"/>
      <c r="Q33" s="190"/>
      <c r="R33" s="187"/>
      <c r="S33" s="184"/>
      <c r="T33" s="537"/>
      <c r="U33" s="190"/>
      <c r="V33" s="190"/>
      <c r="W33" s="187"/>
      <c r="X33" s="184"/>
      <c r="Y33" s="537"/>
      <c r="Z33" s="190"/>
      <c r="AA33" s="190"/>
      <c r="AB33" s="187"/>
      <c r="AC33" s="184"/>
      <c r="AD33" s="537"/>
      <c r="AE33" s="190"/>
      <c r="AF33" s="190"/>
      <c r="AG33" s="187"/>
      <c r="AH33" s="184"/>
      <c r="AI33" s="537"/>
      <c r="AJ33" s="190"/>
      <c r="AK33" s="190"/>
      <c r="AL33" s="187"/>
      <c r="AM33" s="184"/>
      <c r="AN33" s="537"/>
      <c r="AO33" s="190"/>
      <c r="AP33" s="190"/>
      <c r="AQ33" s="187"/>
      <c r="AR33" s="184"/>
      <c r="AS33" s="537"/>
      <c r="AT33" s="190"/>
      <c r="AU33" s="190"/>
      <c r="AV33" s="187"/>
      <c r="AW33" s="184"/>
      <c r="AX33" s="537"/>
    </row>
    <row r="34" spans="2:50" ht="14.25" customHeight="1">
      <c r="B34" s="501"/>
      <c r="C34" s="182">
        <v>8</v>
      </c>
      <c r="D34" s="185"/>
      <c r="E34" s="182"/>
      <c r="F34" s="182"/>
      <c r="G34" s="187"/>
      <c r="H34" s="537"/>
      <c r="I34" s="188"/>
      <c r="J34" s="188"/>
      <c r="K34" s="189"/>
      <c r="L34" s="538"/>
      <c r="M34" s="188"/>
      <c r="N34" s="501"/>
      <c r="O34" s="501"/>
      <c r="P34" s="190"/>
      <c r="Q34" s="190"/>
      <c r="R34" s="187"/>
      <c r="S34" s="184"/>
      <c r="T34" s="537"/>
      <c r="U34" s="190"/>
      <c r="V34" s="190"/>
      <c r="W34" s="187"/>
      <c r="X34" s="184"/>
      <c r="Y34" s="537"/>
      <c r="Z34" s="190"/>
      <c r="AA34" s="190"/>
      <c r="AB34" s="187"/>
      <c r="AC34" s="184"/>
      <c r="AD34" s="537"/>
      <c r="AE34" s="190"/>
      <c r="AF34" s="190"/>
      <c r="AG34" s="187"/>
      <c r="AH34" s="184"/>
      <c r="AI34" s="537"/>
      <c r="AJ34" s="190"/>
      <c r="AK34" s="190"/>
      <c r="AL34" s="187"/>
      <c r="AM34" s="184"/>
      <c r="AN34" s="537"/>
      <c r="AO34" s="190"/>
      <c r="AP34" s="190"/>
      <c r="AQ34" s="187"/>
      <c r="AR34" s="184"/>
      <c r="AS34" s="537"/>
      <c r="AT34" s="190"/>
      <c r="AU34" s="190"/>
      <c r="AV34" s="187"/>
      <c r="AW34" s="184"/>
      <c r="AX34" s="537"/>
    </row>
    <row r="35" spans="2:50" ht="14.25" customHeight="1">
      <c r="B35" s="501"/>
      <c r="C35" s="182">
        <v>9</v>
      </c>
      <c r="D35" s="185"/>
      <c r="E35" s="182"/>
      <c r="F35" s="182"/>
      <c r="G35" s="187"/>
      <c r="H35" s="537"/>
      <c r="I35" s="188"/>
      <c r="J35" s="188"/>
      <c r="K35" s="189"/>
      <c r="L35" s="538"/>
      <c r="M35" s="188"/>
      <c r="N35" s="501"/>
      <c r="O35" s="501"/>
      <c r="P35" s="190"/>
      <c r="Q35" s="190"/>
      <c r="R35" s="187"/>
      <c r="S35" s="184"/>
      <c r="T35" s="537"/>
      <c r="U35" s="190"/>
      <c r="V35" s="190"/>
      <c r="W35" s="187"/>
      <c r="X35" s="184"/>
      <c r="Y35" s="537"/>
      <c r="Z35" s="190"/>
      <c r="AA35" s="190"/>
      <c r="AB35" s="187"/>
      <c r="AC35" s="184"/>
      <c r="AD35" s="537"/>
      <c r="AE35" s="190"/>
      <c r="AF35" s="190"/>
      <c r="AG35" s="187"/>
      <c r="AH35" s="184"/>
      <c r="AI35" s="537"/>
      <c r="AJ35" s="190"/>
      <c r="AK35" s="190"/>
      <c r="AL35" s="187"/>
      <c r="AM35" s="184"/>
      <c r="AN35" s="537"/>
      <c r="AO35" s="190"/>
      <c r="AP35" s="190"/>
      <c r="AQ35" s="187"/>
      <c r="AR35" s="184"/>
      <c r="AS35" s="537"/>
      <c r="AT35" s="190"/>
      <c r="AU35" s="190"/>
      <c r="AV35" s="187"/>
      <c r="AW35" s="184"/>
      <c r="AX35" s="537"/>
    </row>
    <row r="36" spans="2:50" ht="14.25" customHeight="1">
      <c r="B36" s="501"/>
      <c r="C36" s="182">
        <v>10</v>
      </c>
      <c r="D36" s="185"/>
      <c r="E36" s="182"/>
      <c r="F36" s="182"/>
      <c r="G36" s="187"/>
      <c r="H36" s="537"/>
      <c r="I36" s="188"/>
      <c r="J36" s="188"/>
      <c r="K36" s="189"/>
      <c r="L36" s="538"/>
      <c r="M36" s="188"/>
      <c r="N36" s="501"/>
      <c r="O36" s="501"/>
      <c r="P36" s="190"/>
      <c r="Q36" s="190"/>
      <c r="R36" s="187"/>
      <c r="S36" s="184"/>
      <c r="T36" s="537"/>
      <c r="U36" s="190"/>
      <c r="V36" s="190"/>
      <c r="W36" s="187"/>
      <c r="X36" s="184"/>
      <c r="Y36" s="537"/>
      <c r="Z36" s="190"/>
      <c r="AA36" s="190"/>
      <c r="AB36" s="187"/>
      <c r="AC36" s="184"/>
      <c r="AD36" s="537"/>
      <c r="AE36" s="190"/>
      <c r="AF36" s="190"/>
      <c r="AG36" s="187"/>
      <c r="AH36" s="184"/>
      <c r="AI36" s="537"/>
      <c r="AJ36" s="190"/>
      <c r="AK36" s="190"/>
      <c r="AL36" s="187"/>
      <c r="AM36" s="184"/>
      <c r="AN36" s="537"/>
      <c r="AO36" s="190"/>
      <c r="AP36" s="190"/>
      <c r="AQ36" s="187"/>
      <c r="AR36" s="184"/>
      <c r="AS36" s="537"/>
      <c r="AT36" s="190"/>
      <c r="AU36" s="190"/>
      <c r="AV36" s="187"/>
      <c r="AW36" s="184"/>
      <c r="AX36" s="537"/>
    </row>
    <row r="37" spans="2:50" ht="14.25" customHeight="1">
      <c r="B37" s="501"/>
      <c r="C37" s="182">
        <v>11</v>
      </c>
      <c r="D37" s="185"/>
      <c r="E37" s="182"/>
      <c r="F37" s="182"/>
      <c r="G37" s="187"/>
      <c r="H37" s="537"/>
      <c r="I37" s="188"/>
      <c r="J37" s="188"/>
      <c r="K37" s="189"/>
      <c r="L37" s="538"/>
      <c r="M37" s="188"/>
      <c r="N37" s="501"/>
      <c r="O37" s="501"/>
      <c r="P37" s="190"/>
      <c r="Q37" s="190"/>
      <c r="R37" s="187"/>
      <c r="S37" s="184"/>
      <c r="T37" s="537"/>
      <c r="U37" s="190"/>
      <c r="V37" s="190"/>
      <c r="W37" s="187"/>
      <c r="X37" s="184"/>
      <c r="Y37" s="537"/>
      <c r="Z37" s="190"/>
      <c r="AA37" s="190"/>
      <c r="AB37" s="187"/>
      <c r="AC37" s="184"/>
      <c r="AD37" s="537"/>
      <c r="AE37" s="190"/>
      <c r="AF37" s="190"/>
      <c r="AG37" s="187"/>
      <c r="AH37" s="184"/>
      <c r="AI37" s="537"/>
      <c r="AJ37" s="190"/>
      <c r="AK37" s="190"/>
      <c r="AL37" s="187"/>
      <c r="AM37" s="184"/>
      <c r="AN37" s="537"/>
      <c r="AO37" s="190"/>
      <c r="AP37" s="190"/>
      <c r="AQ37" s="187"/>
      <c r="AR37" s="184"/>
      <c r="AS37" s="537"/>
      <c r="AT37" s="190"/>
      <c r="AU37" s="190"/>
      <c r="AV37" s="187"/>
      <c r="AW37" s="184"/>
      <c r="AX37" s="537"/>
    </row>
    <row r="38" spans="2:50" ht="14.25" customHeight="1">
      <c r="B38" s="501"/>
      <c r="C38" s="182">
        <v>12</v>
      </c>
      <c r="D38" s="185"/>
      <c r="E38" s="182"/>
      <c r="F38" s="182"/>
      <c r="G38" s="187"/>
      <c r="H38" s="537"/>
      <c r="I38" s="188"/>
      <c r="J38" s="188"/>
      <c r="K38" s="189"/>
      <c r="L38" s="538"/>
      <c r="M38" s="188"/>
      <c r="N38" s="501"/>
      <c r="O38" s="501"/>
      <c r="P38" s="190"/>
      <c r="Q38" s="190"/>
      <c r="R38" s="187"/>
      <c r="S38" s="184"/>
      <c r="T38" s="537"/>
      <c r="U38" s="190"/>
      <c r="V38" s="190"/>
      <c r="W38" s="187"/>
      <c r="X38" s="184"/>
      <c r="Y38" s="537"/>
      <c r="Z38" s="190"/>
      <c r="AA38" s="190"/>
      <c r="AB38" s="187"/>
      <c r="AC38" s="184"/>
      <c r="AD38" s="537"/>
      <c r="AE38" s="190"/>
      <c r="AF38" s="190"/>
      <c r="AG38" s="187"/>
      <c r="AH38" s="184"/>
      <c r="AI38" s="537"/>
      <c r="AJ38" s="190"/>
      <c r="AK38" s="190"/>
      <c r="AL38" s="187"/>
      <c r="AM38" s="184"/>
      <c r="AN38" s="537"/>
      <c r="AO38" s="190"/>
      <c r="AP38" s="190"/>
      <c r="AQ38" s="187"/>
      <c r="AR38" s="184"/>
      <c r="AS38" s="537"/>
      <c r="AT38" s="190"/>
      <c r="AU38" s="190"/>
      <c r="AV38" s="187"/>
      <c r="AW38" s="184"/>
      <c r="AX38" s="537"/>
    </row>
    <row r="39" spans="2:50" ht="14.25" customHeight="1">
      <c r="B39" s="501"/>
      <c r="C39" s="182">
        <v>13</v>
      </c>
      <c r="D39" s="185"/>
      <c r="E39" s="182"/>
      <c r="F39" s="182"/>
      <c r="G39" s="187"/>
      <c r="H39" s="537"/>
      <c r="I39" s="188"/>
      <c r="J39" s="188"/>
      <c r="K39" s="189"/>
      <c r="L39" s="538"/>
      <c r="M39" s="188"/>
      <c r="N39" s="501"/>
      <c r="O39" s="501"/>
      <c r="P39" s="190"/>
      <c r="Q39" s="190"/>
      <c r="R39" s="187"/>
      <c r="S39" s="184"/>
      <c r="T39" s="537"/>
      <c r="U39" s="190"/>
      <c r="V39" s="190"/>
      <c r="W39" s="187"/>
      <c r="X39" s="184"/>
      <c r="Y39" s="537"/>
      <c r="Z39" s="190"/>
      <c r="AA39" s="190"/>
      <c r="AB39" s="187"/>
      <c r="AC39" s="184"/>
      <c r="AD39" s="537"/>
      <c r="AE39" s="190"/>
      <c r="AF39" s="190"/>
      <c r="AG39" s="187"/>
      <c r="AH39" s="184"/>
      <c r="AI39" s="537"/>
      <c r="AJ39" s="190"/>
      <c r="AK39" s="190"/>
      <c r="AL39" s="187"/>
      <c r="AM39" s="184"/>
      <c r="AN39" s="537"/>
      <c r="AO39" s="190"/>
      <c r="AP39" s="190"/>
      <c r="AQ39" s="187"/>
      <c r="AR39" s="184"/>
      <c r="AS39" s="537"/>
      <c r="AT39" s="190"/>
      <c r="AU39" s="190"/>
      <c r="AV39" s="187"/>
      <c r="AW39" s="184"/>
      <c r="AX39" s="537"/>
    </row>
    <row r="40" spans="2:50" ht="14.25" customHeight="1">
      <c r="B40" s="501"/>
      <c r="C40" s="182">
        <v>14</v>
      </c>
      <c r="D40" s="185"/>
      <c r="E40" s="182"/>
      <c r="F40" s="182"/>
      <c r="G40" s="187"/>
      <c r="H40" s="537"/>
      <c r="I40" s="188"/>
      <c r="J40" s="188"/>
      <c r="K40" s="189"/>
      <c r="L40" s="538"/>
      <c r="M40" s="188"/>
      <c r="N40" s="501"/>
      <c r="O40" s="501"/>
      <c r="P40" s="190"/>
      <c r="Q40" s="190"/>
      <c r="R40" s="187"/>
      <c r="S40" s="184"/>
      <c r="T40" s="537"/>
      <c r="U40" s="190"/>
      <c r="V40" s="190"/>
      <c r="W40" s="187"/>
      <c r="X40" s="184"/>
      <c r="Y40" s="537"/>
      <c r="Z40" s="190"/>
      <c r="AA40" s="190"/>
      <c r="AB40" s="187"/>
      <c r="AC40" s="184"/>
      <c r="AD40" s="537"/>
      <c r="AE40" s="190"/>
      <c r="AF40" s="190"/>
      <c r="AG40" s="187"/>
      <c r="AH40" s="184"/>
      <c r="AI40" s="537"/>
      <c r="AJ40" s="190"/>
      <c r="AK40" s="190"/>
      <c r="AL40" s="187"/>
      <c r="AM40" s="184"/>
      <c r="AN40" s="537"/>
      <c r="AO40" s="190"/>
      <c r="AP40" s="190"/>
      <c r="AQ40" s="187"/>
      <c r="AR40" s="184"/>
      <c r="AS40" s="537"/>
      <c r="AT40" s="190"/>
      <c r="AU40" s="190"/>
      <c r="AV40" s="187"/>
      <c r="AW40" s="184"/>
      <c r="AX40" s="537"/>
    </row>
    <row r="41" spans="2:50" ht="14.25" customHeight="1">
      <c r="B41" s="501"/>
      <c r="C41" s="182">
        <v>15</v>
      </c>
      <c r="D41" s="185"/>
      <c r="E41" s="182"/>
      <c r="F41" s="182"/>
      <c r="G41" s="187"/>
      <c r="H41" s="537"/>
      <c r="I41" s="188"/>
      <c r="J41" s="188"/>
      <c r="K41" s="189"/>
      <c r="L41" s="538"/>
      <c r="M41" s="188"/>
      <c r="N41" s="501"/>
      <c r="O41" s="501"/>
      <c r="P41" s="190"/>
      <c r="Q41" s="190"/>
      <c r="R41" s="187"/>
      <c r="S41" s="184"/>
      <c r="T41" s="537"/>
      <c r="U41" s="190"/>
      <c r="V41" s="190"/>
      <c r="W41" s="187"/>
      <c r="X41" s="184"/>
      <c r="Y41" s="537"/>
      <c r="Z41" s="190"/>
      <c r="AA41" s="190"/>
      <c r="AB41" s="187"/>
      <c r="AC41" s="184"/>
      <c r="AD41" s="537"/>
      <c r="AE41" s="190"/>
      <c r="AF41" s="190"/>
      <c r="AG41" s="187"/>
      <c r="AH41" s="184"/>
      <c r="AI41" s="537"/>
      <c r="AJ41" s="190"/>
      <c r="AK41" s="190"/>
      <c r="AL41" s="187"/>
      <c r="AM41" s="184"/>
      <c r="AN41" s="537"/>
      <c r="AO41" s="190"/>
      <c r="AP41" s="190"/>
      <c r="AQ41" s="187"/>
      <c r="AR41" s="184"/>
      <c r="AS41" s="537"/>
      <c r="AT41" s="190"/>
      <c r="AU41" s="190"/>
      <c r="AV41" s="187"/>
      <c r="AW41" s="184"/>
      <c r="AX41" s="537"/>
    </row>
    <row r="42" spans="2:50" ht="14.25" customHeight="1" collapsed="1">
      <c r="B42" s="545" t="s">
        <v>602</v>
      </c>
      <c r="C42" s="545"/>
      <c r="D42" s="545"/>
      <c r="E42" s="545"/>
      <c r="F42" s="545"/>
      <c r="G42" s="545"/>
      <c r="H42" s="545"/>
      <c r="I42" s="545"/>
      <c r="J42" s="545"/>
      <c r="K42" s="545"/>
      <c r="L42" s="545"/>
      <c r="M42" s="557"/>
      <c r="N42" s="563" t="s">
        <v>383</v>
      </c>
      <c r="O42" s="563" t="s">
        <v>105</v>
      </c>
      <c r="P42" s="590">
        <f>AT22+1</f>
        <v>46035</v>
      </c>
      <c r="Q42" s="591"/>
      <c r="R42" s="591"/>
      <c r="S42" s="591"/>
      <c r="T42" s="592"/>
      <c r="U42" s="602">
        <f>P42+1</f>
        <v>46036</v>
      </c>
      <c r="V42" s="603"/>
      <c r="W42" s="603"/>
      <c r="X42" s="603"/>
      <c r="Y42" s="604"/>
      <c r="Z42" s="590">
        <f t="shared" ref="Z42" si="52">U42+1</f>
        <v>46037</v>
      </c>
      <c r="AA42" s="591"/>
      <c r="AB42" s="591"/>
      <c r="AC42" s="591"/>
      <c r="AD42" s="592"/>
      <c r="AE42" s="602">
        <f t="shared" ref="AE42" si="53">Z42+1</f>
        <v>46038</v>
      </c>
      <c r="AF42" s="603"/>
      <c r="AG42" s="603"/>
      <c r="AH42" s="603"/>
      <c r="AI42" s="604"/>
      <c r="AJ42" s="590">
        <f t="shared" ref="AJ42" si="54">AE42+1</f>
        <v>46039</v>
      </c>
      <c r="AK42" s="591"/>
      <c r="AL42" s="591"/>
      <c r="AM42" s="591"/>
      <c r="AN42" s="592"/>
      <c r="AO42" s="602">
        <f t="shared" ref="AO42" si="55">AJ42+1</f>
        <v>46040</v>
      </c>
      <c r="AP42" s="603"/>
      <c r="AQ42" s="603"/>
      <c r="AR42" s="603"/>
      <c r="AS42" s="604"/>
      <c r="AT42" s="590">
        <f t="shared" ref="AT42" si="56">AO42+1</f>
        <v>46041</v>
      </c>
      <c r="AU42" s="591"/>
      <c r="AV42" s="591"/>
      <c r="AW42" s="591"/>
      <c r="AX42" s="592"/>
    </row>
    <row r="43" spans="2:50" ht="14.25" customHeight="1"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9"/>
      <c r="N43" s="565"/>
      <c r="O43" s="565"/>
      <c r="P43" s="595">
        <f>P42</f>
        <v>46035</v>
      </c>
      <c r="Q43" s="596"/>
      <c r="R43" s="596"/>
      <c r="S43" s="596"/>
      <c r="T43" s="597"/>
      <c r="U43" s="605">
        <f>U42</f>
        <v>46036</v>
      </c>
      <c r="V43" s="606"/>
      <c r="W43" s="606"/>
      <c r="X43" s="606"/>
      <c r="Y43" s="607"/>
      <c r="Z43" s="595">
        <f t="shared" ref="Z43" si="57">Z42</f>
        <v>46037</v>
      </c>
      <c r="AA43" s="596"/>
      <c r="AB43" s="596"/>
      <c r="AC43" s="596"/>
      <c r="AD43" s="597"/>
      <c r="AE43" s="605">
        <f t="shared" ref="AE43" si="58">AE42</f>
        <v>46038</v>
      </c>
      <c r="AF43" s="606"/>
      <c r="AG43" s="606"/>
      <c r="AH43" s="606"/>
      <c r="AI43" s="607"/>
      <c r="AJ43" s="595">
        <f t="shared" ref="AJ43" si="59">AJ42</f>
        <v>46039</v>
      </c>
      <c r="AK43" s="596"/>
      <c r="AL43" s="596"/>
      <c r="AM43" s="596"/>
      <c r="AN43" s="597"/>
      <c r="AO43" s="605">
        <f t="shared" ref="AO43" si="60">AO42</f>
        <v>46040</v>
      </c>
      <c r="AP43" s="606"/>
      <c r="AQ43" s="606"/>
      <c r="AR43" s="606"/>
      <c r="AS43" s="607"/>
      <c r="AT43" s="595">
        <f t="shared" ref="AT43" si="61">AT42</f>
        <v>46041</v>
      </c>
      <c r="AU43" s="596"/>
      <c r="AV43" s="596"/>
      <c r="AW43" s="596"/>
      <c r="AX43" s="597"/>
    </row>
    <row r="44" spans="2:50" ht="14.25" customHeight="1">
      <c r="B44" s="501" t="s">
        <v>164</v>
      </c>
      <c r="C44" s="501" t="s">
        <v>159</v>
      </c>
      <c r="D44" s="501"/>
      <c r="E44" s="501" t="s">
        <v>160</v>
      </c>
      <c r="F44" s="501"/>
      <c r="G44" s="501"/>
      <c r="H44" s="501" t="s">
        <v>165</v>
      </c>
      <c r="I44" s="522" t="s">
        <v>384</v>
      </c>
      <c r="J44" s="522"/>
      <c r="K44" s="522"/>
      <c r="L44" s="522" t="s">
        <v>165</v>
      </c>
      <c r="M44" s="522" t="s">
        <v>167</v>
      </c>
      <c r="N44" s="501"/>
      <c r="O44" s="501" t="s">
        <v>166</v>
      </c>
      <c r="P44" s="501" t="s">
        <v>162</v>
      </c>
      <c r="Q44" s="501"/>
      <c r="R44" s="501"/>
      <c r="S44" s="501"/>
      <c r="T44" s="501" t="s">
        <v>165</v>
      </c>
      <c r="U44" s="501" t="s">
        <v>162</v>
      </c>
      <c r="V44" s="501"/>
      <c r="W44" s="501"/>
      <c r="X44" s="501"/>
      <c r="Y44" s="501" t="s">
        <v>165</v>
      </c>
      <c r="Z44" s="501" t="s">
        <v>162</v>
      </c>
      <c r="AA44" s="501"/>
      <c r="AB44" s="501"/>
      <c r="AC44" s="501"/>
      <c r="AD44" s="501" t="s">
        <v>165</v>
      </c>
      <c r="AE44" s="501" t="s">
        <v>162</v>
      </c>
      <c r="AF44" s="501"/>
      <c r="AG44" s="501"/>
      <c r="AH44" s="501"/>
      <c r="AI44" s="501" t="s">
        <v>165</v>
      </c>
      <c r="AJ44" s="501" t="s">
        <v>162</v>
      </c>
      <c r="AK44" s="501"/>
      <c r="AL44" s="501"/>
      <c r="AM44" s="501"/>
      <c r="AN44" s="501" t="s">
        <v>165</v>
      </c>
      <c r="AO44" s="501" t="s">
        <v>162</v>
      </c>
      <c r="AP44" s="501"/>
      <c r="AQ44" s="501"/>
      <c r="AR44" s="501"/>
      <c r="AS44" s="501" t="s">
        <v>165</v>
      </c>
      <c r="AT44" s="501" t="s">
        <v>162</v>
      </c>
      <c r="AU44" s="501"/>
      <c r="AV44" s="501"/>
      <c r="AW44" s="501"/>
      <c r="AX44" s="501" t="s">
        <v>165</v>
      </c>
    </row>
    <row r="45" spans="2:50" ht="14.25" customHeight="1">
      <c r="B45" s="501"/>
      <c r="C45" s="501"/>
      <c r="D45" s="501"/>
      <c r="E45" s="501" t="s">
        <v>385</v>
      </c>
      <c r="F45" s="501"/>
      <c r="G45" s="501"/>
      <c r="H45" s="501"/>
      <c r="I45" s="522" t="s">
        <v>385</v>
      </c>
      <c r="J45" s="522"/>
      <c r="K45" s="522"/>
      <c r="L45" s="522"/>
      <c r="M45" s="522"/>
      <c r="N45" s="501"/>
      <c r="O45" s="501"/>
      <c r="P45" s="501" t="s">
        <v>386</v>
      </c>
      <c r="Q45" s="501"/>
      <c r="R45" s="501"/>
      <c r="S45" s="501"/>
      <c r="T45" s="501"/>
      <c r="U45" s="501" t="s">
        <v>386</v>
      </c>
      <c r="V45" s="501"/>
      <c r="W45" s="501"/>
      <c r="X45" s="501"/>
      <c r="Y45" s="501"/>
      <c r="Z45" s="501" t="s">
        <v>386</v>
      </c>
      <c r="AA45" s="501"/>
      <c r="AB45" s="501"/>
      <c r="AC45" s="501"/>
      <c r="AD45" s="501"/>
      <c r="AE45" s="501" t="s">
        <v>386</v>
      </c>
      <c r="AF45" s="501"/>
      <c r="AG45" s="501"/>
      <c r="AH45" s="501"/>
      <c r="AI45" s="501"/>
      <c r="AJ45" s="501" t="s">
        <v>386</v>
      </c>
      <c r="AK45" s="501"/>
      <c r="AL45" s="501"/>
      <c r="AM45" s="501"/>
      <c r="AN45" s="501"/>
      <c r="AO45" s="501" t="s">
        <v>386</v>
      </c>
      <c r="AP45" s="501"/>
      <c r="AQ45" s="501"/>
      <c r="AR45" s="501"/>
      <c r="AS45" s="501"/>
      <c r="AT45" s="501" t="s">
        <v>386</v>
      </c>
      <c r="AU45" s="501"/>
      <c r="AV45" s="501"/>
      <c r="AW45" s="501"/>
      <c r="AX45" s="501"/>
    </row>
    <row r="46" spans="2:50" ht="14.25" customHeight="1">
      <c r="B46" s="501"/>
      <c r="C46" s="501"/>
      <c r="D46" s="501"/>
      <c r="E46" s="182" t="s">
        <v>161</v>
      </c>
      <c r="F46" s="182" t="s">
        <v>387</v>
      </c>
      <c r="G46" s="182" t="s">
        <v>163</v>
      </c>
      <c r="H46" s="501"/>
      <c r="I46" s="183" t="s">
        <v>161</v>
      </c>
      <c r="J46" s="183" t="s">
        <v>387</v>
      </c>
      <c r="K46" s="183" t="s">
        <v>163</v>
      </c>
      <c r="L46" s="522"/>
      <c r="M46" s="522"/>
      <c r="N46" s="501"/>
      <c r="O46" s="501"/>
      <c r="P46" s="182" t="s">
        <v>161</v>
      </c>
      <c r="Q46" s="182" t="s">
        <v>387</v>
      </c>
      <c r="R46" s="182" t="s">
        <v>163</v>
      </c>
      <c r="S46" s="184" t="s">
        <v>167</v>
      </c>
      <c r="T46" s="501"/>
      <c r="U46" s="182" t="s">
        <v>161</v>
      </c>
      <c r="V46" s="182" t="s">
        <v>387</v>
      </c>
      <c r="W46" s="182" t="s">
        <v>163</v>
      </c>
      <c r="X46" s="184" t="s">
        <v>167</v>
      </c>
      <c r="Y46" s="501"/>
      <c r="Z46" s="182" t="s">
        <v>161</v>
      </c>
      <c r="AA46" s="182" t="s">
        <v>387</v>
      </c>
      <c r="AB46" s="182" t="s">
        <v>163</v>
      </c>
      <c r="AC46" s="184" t="s">
        <v>167</v>
      </c>
      <c r="AD46" s="501"/>
      <c r="AE46" s="182" t="s">
        <v>161</v>
      </c>
      <c r="AF46" s="182" t="s">
        <v>387</v>
      </c>
      <c r="AG46" s="182" t="s">
        <v>163</v>
      </c>
      <c r="AH46" s="184" t="s">
        <v>167</v>
      </c>
      <c r="AI46" s="501"/>
      <c r="AJ46" s="182" t="s">
        <v>161</v>
      </c>
      <c r="AK46" s="182" t="s">
        <v>387</v>
      </c>
      <c r="AL46" s="182" t="s">
        <v>163</v>
      </c>
      <c r="AM46" s="184" t="s">
        <v>167</v>
      </c>
      <c r="AN46" s="501"/>
      <c r="AO46" s="182" t="s">
        <v>161</v>
      </c>
      <c r="AP46" s="182" t="s">
        <v>387</v>
      </c>
      <c r="AQ46" s="182" t="s">
        <v>163</v>
      </c>
      <c r="AR46" s="184" t="s">
        <v>167</v>
      </c>
      <c r="AS46" s="501"/>
      <c r="AT46" s="182" t="s">
        <v>161</v>
      </c>
      <c r="AU46" s="182" t="s">
        <v>387</v>
      </c>
      <c r="AV46" s="182" t="s">
        <v>163</v>
      </c>
      <c r="AW46" s="184" t="s">
        <v>167</v>
      </c>
      <c r="AX46" s="501"/>
    </row>
    <row r="47" spans="2:50" ht="14.25" customHeight="1">
      <c r="B47" s="501" t="s">
        <v>144</v>
      </c>
      <c r="C47" s="182">
        <v>1</v>
      </c>
      <c r="D47" s="185" t="s">
        <v>370</v>
      </c>
      <c r="E47" s="182">
        <v>13</v>
      </c>
      <c r="F47" s="182">
        <v>1200</v>
      </c>
      <c r="G47" s="187">
        <f t="shared" ref="G47:G49" si="62">F47/E47</f>
        <v>92.307692307692307</v>
      </c>
      <c r="H47" s="537">
        <f>AVERAGE(G47:G61)</f>
        <v>85.31468531468532</v>
      </c>
      <c r="I47" s="188">
        <f>AVERAGE(P47,U47,Z47,AE47,AJ47,AO47,AT47)</f>
        <v>13</v>
      </c>
      <c r="J47" s="188">
        <f>AVERAGE(Q47,V47,AA47,AF47,AK47,AP47,AU47)</f>
        <v>1077.8880333912746</v>
      </c>
      <c r="K47" s="189">
        <f>AVERAGE(R47,W47,AB47,AG47,AL47,AQ47,AV47)</f>
        <v>82.914464107021118</v>
      </c>
      <c r="L47" s="538">
        <f>IFERROR(AVERAGE(K47:K61),"-")</f>
        <v>76.118816986580583</v>
      </c>
      <c r="M47" s="188">
        <f>RANK(K47, K$47:$K$61)</f>
        <v>1</v>
      </c>
      <c r="N47" s="501"/>
      <c r="O47" s="501"/>
      <c r="P47" s="190">
        <v>13</v>
      </c>
      <c r="Q47" s="190">
        <v>1077.683324064511</v>
      </c>
      <c r="R47" s="187">
        <f>IFERROR(Q47/P47,"")</f>
        <v>82.89871723573161</v>
      </c>
      <c r="S47" s="184">
        <f>RANK(R47, R$47:R$61)</f>
        <v>1</v>
      </c>
      <c r="T47" s="537">
        <f>AVERAGE(R47:R61)</f>
        <v>76.083902944405793</v>
      </c>
      <c r="U47" s="190">
        <v>13</v>
      </c>
      <c r="V47" s="190">
        <v>1077.7377461248432</v>
      </c>
      <c r="W47" s="187">
        <f t="shared" ref="W47:W49" si="63">IFERROR(V47/U47,"")</f>
        <v>82.902903548064856</v>
      </c>
      <c r="X47" s="184">
        <f>RANK(W47, W$47:W$61)</f>
        <v>1</v>
      </c>
      <c r="Y47" s="537">
        <f>AVERAGE(W47:W61)</f>
        <v>76.105230039469177</v>
      </c>
      <c r="Z47" s="190">
        <v>13</v>
      </c>
      <c r="AA47" s="190">
        <v>1077.7585610515396</v>
      </c>
      <c r="AB47" s="187">
        <f t="shared" ref="AB47:AB49" si="64">IFERROR(AA47/Z47,"")</f>
        <v>82.904504696272269</v>
      </c>
      <c r="AC47" s="184">
        <f>RANK(AB47, AB$47:AB$61)</f>
        <v>1</v>
      </c>
      <c r="AD47" s="537">
        <f>AVERAGE(AB47:AB61)</f>
        <v>76.108194561585876</v>
      </c>
      <c r="AE47" s="190">
        <v>13</v>
      </c>
      <c r="AF47" s="190">
        <v>1077.8173419305167</v>
      </c>
      <c r="AG47" s="187">
        <f>IFERROR(AF47/AE47,"")</f>
        <v>82.909026302347442</v>
      </c>
      <c r="AH47" s="184">
        <f>RANK(AG47, AG$47:AG$61)</f>
        <v>1</v>
      </c>
      <c r="AI47" s="537">
        <f>AVERAGE(AG47:AG61)</f>
        <v>76.111170554074889</v>
      </c>
      <c r="AJ47" s="190">
        <v>13</v>
      </c>
      <c r="AK47" s="190">
        <v>1078.051096970273</v>
      </c>
      <c r="AL47" s="187">
        <f t="shared" ref="AL47:AL49" si="65">IFERROR(AK47/AJ47,"")</f>
        <v>82.927007459251769</v>
      </c>
      <c r="AM47" s="184">
        <f>RANK(AL47, AL$47:AL$61)</f>
        <v>1</v>
      </c>
      <c r="AN47" s="537">
        <f>AVERAGE(AL47:AL61)</f>
        <v>76.123587333827814</v>
      </c>
      <c r="AO47" s="190">
        <v>13</v>
      </c>
      <c r="AP47" s="190">
        <v>1078.0712472976788</v>
      </c>
      <c r="AQ47" s="187">
        <f t="shared" ref="AQ47:AQ49" si="66">IFERROR(AP47/AO47,"")</f>
        <v>82.928557484436837</v>
      </c>
      <c r="AR47" s="184">
        <f>RANK(AQ47, AQ$47:AQ$61)</f>
        <v>1</v>
      </c>
      <c r="AS47" s="537">
        <f>AVERAGE(AQ47:AQ61)</f>
        <v>76.13660265411869</v>
      </c>
      <c r="AT47" s="190">
        <v>13</v>
      </c>
      <c r="AU47" s="190">
        <v>1078.0969162995593</v>
      </c>
      <c r="AV47" s="187">
        <f t="shared" ref="AV47:AV49" si="67">IFERROR(AU47/AT47,"")</f>
        <v>82.930532023043028</v>
      </c>
      <c r="AW47" s="184">
        <f>RANK(AV47, AV$47:AV$61)</f>
        <v>1</v>
      </c>
      <c r="AX47" s="537">
        <f>AVERAGE(AV47:AV61)</f>
        <v>76.163030818581746</v>
      </c>
    </row>
    <row r="48" spans="2:50" ht="14.25" customHeight="1">
      <c r="B48" s="501"/>
      <c r="C48" s="182">
        <v>2</v>
      </c>
      <c r="D48" s="185" t="s">
        <v>481</v>
      </c>
      <c r="E48" s="182">
        <v>22</v>
      </c>
      <c r="F48" s="182">
        <v>1800</v>
      </c>
      <c r="G48" s="187">
        <f t="shared" si="62"/>
        <v>81.818181818181813</v>
      </c>
      <c r="H48" s="537"/>
      <c r="I48" s="188">
        <f t="shared" ref="I48:K49" si="68">AVERAGE(P48,U48,Z48,AE48,AJ48,AO48,AT48)</f>
        <v>22</v>
      </c>
      <c r="J48" s="188">
        <f t="shared" si="68"/>
        <v>1598.8886501140944</v>
      </c>
      <c r="K48" s="189">
        <f t="shared" si="68"/>
        <v>72.676756823367924</v>
      </c>
      <c r="L48" s="538"/>
      <c r="M48" s="188">
        <f>RANK(K48, K$47:$K$61)</f>
        <v>3</v>
      </c>
      <c r="N48" s="501"/>
      <c r="O48" s="501"/>
      <c r="P48" s="190">
        <v>22</v>
      </c>
      <c r="Q48" s="190">
        <v>1598.4313725490169</v>
      </c>
      <c r="R48" s="187">
        <f t="shared" ref="R48:R49" si="69">IFERROR(Q48/P48,"")</f>
        <v>72.655971479500764</v>
      </c>
      <c r="S48" s="184">
        <f t="shared" ref="S48:S49" si="70">RANK(R48, R$47:R$61)</f>
        <v>3</v>
      </c>
      <c r="T48" s="537"/>
      <c r="U48" s="190">
        <v>22</v>
      </c>
      <c r="V48" s="190">
        <v>1599.0813045475438</v>
      </c>
      <c r="W48" s="187">
        <f t="shared" si="63"/>
        <v>72.685513843070169</v>
      </c>
      <c r="X48" s="184">
        <f t="shared" ref="X48:X49" si="71">RANK(W48, W$47:W$61)</f>
        <v>3</v>
      </c>
      <c r="Y48" s="537"/>
      <c r="Z48" s="190">
        <v>22</v>
      </c>
      <c r="AA48" s="190">
        <v>1598.7915407855037</v>
      </c>
      <c r="AB48" s="187">
        <f t="shared" si="64"/>
        <v>72.672342762977436</v>
      </c>
      <c r="AC48" s="184">
        <f t="shared" ref="AC48:AC49" si="72">RANK(AB48, AB$47:AB$61)</f>
        <v>3</v>
      </c>
      <c r="AD48" s="537"/>
      <c r="AE48" s="190">
        <v>22</v>
      </c>
      <c r="AF48" s="190">
        <v>1598.7146529563013</v>
      </c>
      <c r="AG48" s="187">
        <f t="shared" ref="AG48:AG49" si="73">IFERROR(AF48/AE48,"")</f>
        <v>72.668847861650065</v>
      </c>
      <c r="AH48" s="184">
        <f t="shared" ref="AH48:AH49" si="74">RANK(AG48, AG$47:AG$61)</f>
        <v>3</v>
      </c>
      <c r="AI48" s="537"/>
      <c r="AJ48" s="190">
        <v>22</v>
      </c>
      <c r="AK48" s="190">
        <v>1598.7460815047007</v>
      </c>
      <c r="AL48" s="187">
        <f t="shared" si="65"/>
        <v>72.670276432031855</v>
      </c>
      <c r="AM48" s="184">
        <f t="shared" ref="AM48:AM49" si="75">RANK(AL48, AL$47:AL$61)</f>
        <v>3</v>
      </c>
      <c r="AN48" s="537"/>
      <c r="AO48" s="190">
        <v>22</v>
      </c>
      <c r="AP48" s="190">
        <v>1598.4555984555966</v>
      </c>
      <c r="AQ48" s="187">
        <f t="shared" si="66"/>
        <v>72.657072657072575</v>
      </c>
      <c r="AR48" s="184">
        <f t="shared" ref="AR48:AR49" si="76">RANK(AQ48, AQ$47:AQ$61)</f>
        <v>3</v>
      </c>
      <c r="AS48" s="537"/>
      <c r="AT48" s="190">
        <v>22</v>
      </c>
      <c r="AU48" s="190">
        <v>1599.9999999999964</v>
      </c>
      <c r="AV48" s="187">
        <f t="shared" si="67"/>
        <v>72.727272727272563</v>
      </c>
      <c r="AW48" s="184">
        <f t="shared" ref="AW48:AW49" si="77">RANK(AV48, AV$47:AV$61)</f>
        <v>3</v>
      </c>
      <c r="AX48" s="537"/>
    </row>
    <row r="49" spans="2:50" ht="14.25" customHeight="1">
      <c r="B49" s="501"/>
      <c r="C49" s="182">
        <v>3</v>
      </c>
      <c r="D49" s="185" t="s">
        <v>499</v>
      </c>
      <c r="E49" s="182">
        <v>22</v>
      </c>
      <c r="F49" s="182">
        <v>1800</v>
      </c>
      <c r="G49" s="187">
        <f t="shared" si="62"/>
        <v>81.818181818181813</v>
      </c>
      <c r="H49" s="537"/>
      <c r="I49" s="188">
        <f t="shared" si="68"/>
        <v>22</v>
      </c>
      <c r="J49" s="188">
        <f t="shared" si="68"/>
        <v>1600.8350606457589</v>
      </c>
      <c r="K49" s="189">
        <f t="shared" si="68"/>
        <v>72.765230029352693</v>
      </c>
      <c r="L49" s="538"/>
      <c r="M49" s="188">
        <f>RANK(K49, K$47:$K$61)</f>
        <v>2</v>
      </c>
      <c r="N49" s="501"/>
      <c r="O49" s="501"/>
      <c r="P49" s="190">
        <v>22</v>
      </c>
      <c r="Q49" s="190">
        <v>1599.3344425956705</v>
      </c>
      <c r="R49" s="187">
        <f t="shared" si="69"/>
        <v>72.697020117985019</v>
      </c>
      <c r="S49" s="184">
        <f t="shared" si="70"/>
        <v>2</v>
      </c>
      <c r="T49" s="537"/>
      <c r="U49" s="190">
        <v>22</v>
      </c>
      <c r="V49" s="190">
        <v>1599.9999999999959</v>
      </c>
      <c r="W49" s="187">
        <f t="shared" si="63"/>
        <v>72.727272727272535</v>
      </c>
      <c r="X49" s="184">
        <f t="shared" si="71"/>
        <v>2</v>
      </c>
      <c r="Y49" s="537"/>
      <c r="Z49" s="190">
        <v>22</v>
      </c>
      <c r="AA49" s="190">
        <v>1600.4501969611736</v>
      </c>
      <c r="AB49" s="187">
        <f t="shared" si="64"/>
        <v>72.747736225507893</v>
      </c>
      <c r="AC49" s="184">
        <f t="shared" si="72"/>
        <v>2</v>
      </c>
      <c r="AD49" s="537"/>
      <c r="AE49" s="190">
        <v>22</v>
      </c>
      <c r="AF49" s="190">
        <v>1600.6240249609978</v>
      </c>
      <c r="AG49" s="187">
        <f t="shared" si="73"/>
        <v>72.755637498227173</v>
      </c>
      <c r="AH49" s="184">
        <f t="shared" si="74"/>
        <v>2</v>
      </c>
      <c r="AI49" s="537"/>
      <c r="AJ49" s="190">
        <v>22</v>
      </c>
      <c r="AK49" s="190">
        <v>1601.0165184243967</v>
      </c>
      <c r="AL49" s="187">
        <f t="shared" si="65"/>
        <v>72.773478110199846</v>
      </c>
      <c r="AM49" s="184">
        <f t="shared" si="75"/>
        <v>2</v>
      </c>
      <c r="AN49" s="537"/>
      <c r="AO49" s="190">
        <v>22</v>
      </c>
      <c r="AP49" s="190">
        <v>1602.1319120586263</v>
      </c>
      <c r="AQ49" s="187">
        <f t="shared" si="66"/>
        <v>72.824177820846657</v>
      </c>
      <c r="AR49" s="184">
        <f t="shared" si="76"/>
        <v>2</v>
      </c>
      <c r="AS49" s="537"/>
      <c r="AT49" s="190">
        <v>22</v>
      </c>
      <c r="AU49" s="190">
        <v>1602.2883295194522</v>
      </c>
      <c r="AV49" s="187">
        <f t="shared" si="67"/>
        <v>72.831287705429645</v>
      </c>
      <c r="AW49" s="184">
        <f t="shared" si="77"/>
        <v>2</v>
      </c>
      <c r="AX49" s="537"/>
    </row>
    <row r="50" spans="2:50" ht="14.25" customHeight="1">
      <c r="B50" s="501"/>
      <c r="C50" s="182">
        <v>4</v>
      </c>
      <c r="D50" s="185"/>
      <c r="E50" s="182"/>
      <c r="F50" s="182"/>
      <c r="G50" s="187"/>
      <c r="H50" s="537"/>
      <c r="I50" s="188"/>
      <c r="J50" s="188"/>
      <c r="K50" s="189"/>
      <c r="L50" s="538"/>
      <c r="M50" s="188"/>
      <c r="N50" s="501"/>
      <c r="O50" s="501"/>
      <c r="P50" s="190"/>
      <c r="Q50" s="190"/>
      <c r="R50" s="187"/>
      <c r="S50" s="184"/>
      <c r="T50" s="537"/>
      <c r="U50" s="190"/>
      <c r="V50" s="190"/>
      <c r="W50" s="187"/>
      <c r="X50" s="184"/>
      <c r="Y50" s="537"/>
      <c r="Z50" s="190"/>
      <c r="AA50" s="190"/>
      <c r="AB50" s="187"/>
      <c r="AC50" s="184"/>
      <c r="AD50" s="537"/>
      <c r="AE50" s="190"/>
      <c r="AF50" s="190"/>
      <c r="AG50" s="187"/>
      <c r="AH50" s="184"/>
      <c r="AI50" s="537"/>
      <c r="AJ50" s="190"/>
      <c r="AK50" s="190"/>
      <c r="AL50" s="187"/>
      <c r="AM50" s="184"/>
      <c r="AN50" s="537"/>
      <c r="AO50" s="190"/>
      <c r="AP50" s="190"/>
      <c r="AQ50" s="187"/>
      <c r="AR50" s="184"/>
      <c r="AS50" s="537"/>
      <c r="AT50" s="190"/>
      <c r="AU50" s="190"/>
      <c r="AV50" s="187"/>
      <c r="AW50" s="184"/>
      <c r="AX50" s="537"/>
    </row>
    <row r="51" spans="2:50" ht="14.25" customHeight="1">
      <c r="B51" s="501"/>
      <c r="C51" s="182">
        <v>5</v>
      </c>
      <c r="D51" s="185"/>
      <c r="E51" s="182"/>
      <c r="F51" s="182"/>
      <c r="G51" s="187"/>
      <c r="H51" s="537"/>
      <c r="I51" s="188"/>
      <c r="J51" s="188"/>
      <c r="K51" s="189"/>
      <c r="L51" s="538"/>
      <c r="M51" s="188"/>
      <c r="N51" s="501"/>
      <c r="O51" s="501"/>
      <c r="P51" s="190"/>
      <c r="Q51" s="190"/>
      <c r="R51" s="187"/>
      <c r="S51" s="184"/>
      <c r="T51" s="537"/>
      <c r="U51" s="190"/>
      <c r="V51" s="190"/>
      <c r="W51" s="187"/>
      <c r="X51" s="184"/>
      <c r="Y51" s="537"/>
      <c r="Z51" s="190"/>
      <c r="AA51" s="190"/>
      <c r="AB51" s="187"/>
      <c r="AC51" s="184"/>
      <c r="AD51" s="537"/>
      <c r="AE51" s="190"/>
      <c r="AF51" s="190"/>
      <c r="AG51" s="187"/>
      <c r="AH51" s="184"/>
      <c r="AI51" s="537"/>
      <c r="AJ51" s="190"/>
      <c r="AK51" s="190"/>
      <c r="AL51" s="187"/>
      <c r="AM51" s="184"/>
      <c r="AN51" s="537"/>
      <c r="AO51" s="190"/>
      <c r="AP51" s="190"/>
      <c r="AQ51" s="187"/>
      <c r="AR51" s="184"/>
      <c r="AS51" s="537"/>
      <c r="AT51" s="190"/>
      <c r="AU51" s="190"/>
      <c r="AV51" s="187"/>
      <c r="AW51" s="184"/>
      <c r="AX51" s="537"/>
    </row>
    <row r="52" spans="2:50" ht="14.25" customHeight="1">
      <c r="B52" s="501"/>
      <c r="C52" s="182">
        <v>6</v>
      </c>
      <c r="D52" s="185"/>
      <c r="E52" s="182"/>
      <c r="F52" s="182"/>
      <c r="G52" s="187"/>
      <c r="H52" s="537"/>
      <c r="I52" s="188"/>
      <c r="J52" s="188"/>
      <c r="K52" s="189"/>
      <c r="L52" s="538"/>
      <c r="M52" s="188"/>
      <c r="N52" s="501"/>
      <c r="O52" s="501"/>
      <c r="P52" s="190"/>
      <c r="Q52" s="190"/>
      <c r="R52" s="187"/>
      <c r="S52" s="184"/>
      <c r="T52" s="537"/>
      <c r="U52" s="190"/>
      <c r="V52" s="190"/>
      <c r="W52" s="187"/>
      <c r="X52" s="184"/>
      <c r="Y52" s="537"/>
      <c r="Z52" s="190"/>
      <c r="AA52" s="190"/>
      <c r="AB52" s="187"/>
      <c r="AC52" s="184"/>
      <c r="AD52" s="537"/>
      <c r="AE52" s="190"/>
      <c r="AF52" s="190"/>
      <c r="AG52" s="187"/>
      <c r="AH52" s="184"/>
      <c r="AI52" s="537"/>
      <c r="AJ52" s="190"/>
      <c r="AK52" s="190"/>
      <c r="AL52" s="187"/>
      <c r="AM52" s="184"/>
      <c r="AN52" s="537"/>
      <c r="AO52" s="190"/>
      <c r="AP52" s="190"/>
      <c r="AQ52" s="187"/>
      <c r="AR52" s="184"/>
      <c r="AS52" s="537"/>
      <c r="AT52" s="190"/>
      <c r="AU52" s="190"/>
      <c r="AV52" s="187"/>
      <c r="AW52" s="184"/>
      <c r="AX52" s="537"/>
    </row>
    <row r="53" spans="2:50" ht="14.25" customHeight="1">
      <c r="B53" s="501"/>
      <c r="C53" s="182">
        <v>7</v>
      </c>
      <c r="D53" s="185"/>
      <c r="E53" s="182"/>
      <c r="F53" s="182"/>
      <c r="G53" s="187"/>
      <c r="H53" s="537"/>
      <c r="I53" s="188"/>
      <c r="J53" s="188"/>
      <c r="K53" s="189"/>
      <c r="L53" s="538"/>
      <c r="M53" s="188"/>
      <c r="N53" s="501"/>
      <c r="O53" s="501"/>
      <c r="P53" s="190"/>
      <c r="Q53" s="190"/>
      <c r="R53" s="187"/>
      <c r="S53" s="184"/>
      <c r="T53" s="537"/>
      <c r="U53" s="190"/>
      <c r="V53" s="190"/>
      <c r="W53" s="187"/>
      <c r="X53" s="184"/>
      <c r="Y53" s="537"/>
      <c r="Z53" s="190"/>
      <c r="AA53" s="190"/>
      <c r="AB53" s="187"/>
      <c r="AC53" s="184"/>
      <c r="AD53" s="537"/>
      <c r="AE53" s="190"/>
      <c r="AF53" s="190"/>
      <c r="AG53" s="187"/>
      <c r="AH53" s="184"/>
      <c r="AI53" s="537"/>
      <c r="AJ53" s="190"/>
      <c r="AK53" s="190"/>
      <c r="AL53" s="187"/>
      <c r="AM53" s="184"/>
      <c r="AN53" s="537"/>
      <c r="AO53" s="190"/>
      <c r="AP53" s="190"/>
      <c r="AQ53" s="187"/>
      <c r="AR53" s="184"/>
      <c r="AS53" s="537"/>
      <c r="AT53" s="190"/>
      <c r="AU53" s="190"/>
      <c r="AV53" s="187"/>
      <c r="AW53" s="184"/>
      <c r="AX53" s="537"/>
    </row>
    <row r="54" spans="2:50" ht="14.25" customHeight="1">
      <c r="B54" s="501"/>
      <c r="C54" s="182">
        <v>8</v>
      </c>
      <c r="D54" s="185"/>
      <c r="E54" s="182"/>
      <c r="F54" s="182"/>
      <c r="G54" s="187"/>
      <c r="H54" s="537"/>
      <c r="I54" s="188"/>
      <c r="J54" s="188"/>
      <c r="K54" s="189"/>
      <c r="L54" s="538"/>
      <c r="M54" s="188"/>
      <c r="N54" s="501"/>
      <c r="O54" s="501"/>
      <c r="P54" s="190"/>
      <c r="Q54" s="190"/>
      <c r="R54" s="187"/>
      <c r="S54" s="184"/>
      <c r="T54" s="537"/>
      <c r="U54" s="190"/>
      <c r="V54" s="190"/>
      <c r="W54" s="187"/>
      <c r="X54" s="184"/>
      <c r="Y54" s="537"/>
      <c r="Z54" s="190"/>
      <c r="AA54" s="190"/>
      <c r="AB54" s="187"/>
      <c r="AC54" s="184"/>
      <c r="AD54" s="537"/>
      <c r="AE54" s="190"/>
      <c r="AF54" s="190"/>
      <c r="AG54" s="187"/>
      <c r="AH54" s="184"/>
      <c r="AI54" s="537"/>
      <c r="AJ54" s="190"/>
      <c r="AK54" s="190"/>
      <c r="AL54" s="187"/>
      <c r="AM54" s="184"/>
      <c r="AN54" s="537"/>
      <c r="AO54" s="190"/>
      <c r="AP54" s="190"/>
      <c r="AQ54" s="187"/>
      <c r="AR54" s="184"/>
      <c r="AS54" s="537"/>
      <c r="AT54" s="190"/>
      <c r="AU54" s="190"/>
      <c r="AV54" s="187"/>
      <c r="AW54" s="184"/>
      <c r="AX54" s="537"/>
    </row>
    <row r="55" spans="2:50" ht="14.25" customHeight="1">
      <c r="B55" s="501"/>
      <c r="C55" s="182">
        <v>9</v>
      </c>
      <c r="D55" s="185"/>
      <c r="E55" s="182"/>
      <c r="F55" s="182"/>
      <c r="G55" s="187"/>
      <c r="H55" s="537"/>
      <c r="I55" s="188"/>
      <c r="J55" s="188"/>
      <c r="K55" s="189"/>
      <c r="L55" s="538"/>
      <c r="M55" s="188"/>
      <c r="N55" s="501"/>
      <c r="O55" s="501"/>
      <c r="P55" s="190"/>
      <c r="Q55" s="190"/>
      <c r="R55" s="187"/>
      <c r="S55" s="184"/>
      <c r="T55" s="537"/>
      <c r="U55" s="190"/>
      <c r="V55" s="190"/>
      <c r="W55" s="187"/>
      <c r="X55" s="184"/>
      <c r="Y55" s="537"/>
      <c r="Z55" s="190"/>
      <c r="AA55" s="190"/>
      <c r="AB55" s="187"/>
      <c r="AC55" s="184"/>
      <c r="AD55" s="537"/>
      <c r="AE55" s="190"/>
      <c r="AF55" s="190"/>
      <c r="AG55" s="187"/>
      <c r="AH55" s="184"/>
      <c r="AI55" s="537"/>
      <c r="AJ55" s="190"/>
      <c r="AK55" s="190"/>
      <c r="AL55" s="187"/>
      <c r="AM55" s="184"/>
      <c r="AN55" s="537"/>
      <c r="AO55" s="190"/>
      <c r="AP55" s="190"/>
      <c r="AQ55" s="187"/>
      <c r="AR55" s="184"/>
      <c r="AS55" s="537"/>
      <c r="AT55" s="190"/>
      <c r="AU55" s="190"/>
      <c r="AV55" s="187"/>
      <c r="AW55" s="184"/>
      <c r="AX55" s="537"/>
    </row>
    <row r="56" spans="2:50" ht="14.25" customHeight="1">
      <c r="B56" s="501"/>
      <c r="C56" s="182">
        <v>10</v>
      </c>
      <c r="D56" s="185"/>
      <c r="E56" s="182"/>
      <c r="F56" s="182"/>
      <c r="G56" s="187"/>
      <c r="H56" s="537"/>
      <c r="I56" s="188"/>
      <c r="J56" s="188"/>
      <c r="K56" s="189"/>
      <c r="L56" s="538"/>
      <c r="M56" s="188"/>
      <c r="N56" s="501"/>
      <c r="O56" s="501"/>
      <c r="P56" s="190"/>
      <c r="Q56" s="190"/>
      <c r="R56" s="187"/>
      <c r="S56" s="184"/>
      <c r="T56" s="537"/>
      <c r="U56" s="190"/>
      <c r="V56" s="190"/>
      <c r="W56" s="187"/>
      <c r="X56" s="184"/>
      <c r="Y56" s="537"/>
      <c r="Z56" s="190"/>
      <c r="AA56" s="190"/>
      <c r="AB56" s="187"/>
      <c r="AC56" s="184"/>
      <c r="AD56" s="537"/>
      <c r="AE56" s="190"/>
      <c r="AF56" s="190"/>
      <c r="AG56" s="187"/>
      <c r="AH56" s="184"/>
      <c r="AI56" s="537"/>
      <c r="AJ56" s="190"/>
      <c r="AK56" s="190"/>
      <c r="AL56" s="187"/>
      <c r="AM56" s="184"/>
      <c r="AN56" s="537"/>
      <c r="AO56" s="190"/>
      <c r="AP56" s="190"/>
      <c r="AQ56" s="187"/>
      <c r="AR56" s="184"/>
      <c r="AS56" s="537"/>
      <c r="AT56" s="190"/>
      <c r="AU56" s="190"/>
      <c r="AV56" s="187"/>
      <c r="AW56" s="184"/>
      <c r="AX56" s="537"/>
    </row>
    <row r="57" spans="2:50" ht="14.25" customHeight="1">
      <c r="B57" s="501"/>
      <c r="C57" s="182">
        <v>11</v>
      </c>
      <c r="D57" s="185"/>
      <c r="E57" s="182"/>
      <c r="F57" s="182"/>
      <c r="G57" s="187"/>
      <c r="H57" s="537"/>
      <c r="I57" s="188"/>
      <c r="J57" s="188"/>
      <c r="K57" s="189"/>
      <c r="L57" s="538"/>
      <c r="M57" s="188"/>
      <c r="N57" s="501"/>
      <c r="O57" s="501"/>
      <c r="P57" s="190"/>
      <c r="Q57" s="190"/>
      <c r="R57" s="187"/>
      <c r="S57" s="184"/>
      <c r="T57" s="537"/>
      <c r="U57" s="190"/>
      <c r="V57" s="190"/>
      <c r="W57" s="187"/>
      <c r="X57" s="184"/>
      <c r="Y57" s="537"/>
      <c r="Z57" s="190"/>
      <c r="AA57" s="190"/>
      <c r="AB57" s="187"/>
      <c r="AC57" s="184"/>
      <c r="AD57" s="537"/>
      <c r="AE57" s="190"/>
      <c r="AF57" s="190"/>
      <c r="AG57" s="187"/>
      <c r="AH57" s="184"/>
      <c r="AI57" s="537"/>
      <c r="AJ57" s="190"/>
      <c r="AK57" s="190"/>
      <c r="AL57" s="187"/>
      <c r="AM57" s="184"/>
      <c r="AN57" s="537"/>
      <c r="AO57" s="190"/>
      <c r="AP57" s="190"/>
      <c r="AQ57" s="187"/>
      <c r="AR57" s="184"/>
      <c r="AS57" s="537"/>
      <c r="AT57" s="190"/>
      <c r="AU57" s="190"/>
      <c r="AV57" s="187"/>
      <c r="AW57" s="184"/>
      <c r="AX57" s="537"/>
    </row>
    <row r="58" spans="2:50" ht="14.25" customHeight="1">
      <c r="B58" s="501"/>
      <c r="C58" s="182">
        <v>12</v>
      </c>
      <c r="D58" s="185"/>
      <c r="E58" s="182"/>
      <c r="F58" s="182"/>
      <c r="G58" s="187"/>
      <c r="H58" s="537"/>
      <c r="I58" s="188"/>
      <c r="J58" s="188"/>
      <c r="K58" s="189"/>
      <c r="L58" s="538"/>
      <c r="M58" s="188"/>
      <c r="N58" s="501"/>
      <c r="O58" s="501"/>
      <c r="P58" s="190"/>
      <c r="Q58" s="190"/>
      <c r="R58" s="187"/>
      <c r="S58" s="184"/>
      <c r="T58" s="537"/>
      <c r="U58" s="190"/>
      <c r="V58" s="190"/>
      <c r="W58" s="187"/>
      <c r="X58" s="184"/>
      <c r="Y58" s="537"/>
      <c r="Z58" s="190"/>
      <c r="AA58" s="190"/>
      <c r="AB58" s="187"/>
      <c r="AC58" s="184"/>
      <c r="AD58" s="537"/>
      <c r="AE58" s="190"/>
      <c r="AF58" s="190"/>
      <c r="AG58" s="187"/>
      <c r="AH58" s="184"/>
      <c r="AI58" s="537"/>
      <c r="AJ58" s="190"/>
      <c r="AK58" s="190"/>
      <c r="AL58" s="187"/>
      <c r="AM58" s="184"/>
      <c r="AN58" s="537"/>
      <c r="AO58" s="190"/>
      <c r="AP58" s="190"/>
      <c r="AQ58" s="187"/>
      <c r="AR58" s="184"/>
      <c r="AS58" s="537"/>
      <c r="AT58" s="190"/>
      <c r="AU58" s="190"/>
      <c r="AV58" s="187"/>
      <c r="AW58" s="184"/>
      <c r="AX58" s="537"/>
    </row>
    <row r="59" spans="2:50" ht="14.25" customHeight="1">
      <c r="B59" s="501"/>
      <c r="C59" s="182">
        <v>13</v>
      </c>
      <c r="D59" s="185"/>
      <c r="E59" s="182"/>
      <c r="F59" s="182"/>
      <c r="G59" s="187"/>
      <c r="H59" s="537"/>
      <c r="I59" s="188"/>
      <c r="J59" s="188"/>
      <c r="K59" s="189"/>
      <c r="L59" s="538"/>
      <c r="M59" s="188"/>
      <c r="N59" s="501"/>
      <c r="O59" s="501"/>
      <c r="P59" s="190"/>
      <c r="Q59" s="190"/>
      <c r="R59" s="187"/>
      <c r="S59" s="184"/>
      <c r="T59" s="537"/>
      <c r="U59" s="190"/>
      <c r="V59" s="190"/>
      <c r="W59" s="187"/>
      <c r="X59" s="184"/>
      <c r="Y59" s="537"/>
      <c r="Z59" s="190"/>
      <c r="AA59" s="190"/>
      <c r="AB59" s="187"/>
      <c r="AC59" s="184"/>
      <c r="AD59" s="537"/>
      <c r="AE59" s="190"/>
      <c r="AF59" s="190"/>
      <c r="AG59" s="187"/>
      <c r="AH59" s="184"/>
      <c r="AI59" s="537"/>
      <c r="AJ59" s="190"/>
      <c r="AK59" s="190"/>
      <c r="AL59" s="187"/>
      <c r="AM59" s="184"/>
      <c r="AN59" s="537"/>
      <c r="AO59" s="190"/>
      <c r="AP59" s="190"/>
      <c r="AQ59" s="187"/>
      <c r="AR59" s="184"/>
      <c r="AS59" s="537"/>
      <c r="AT59" s="190"/>
      <c r="AU59" s="190"/>
      <c r="AV59" s="187"/>
      <c r="AW59" s="184"/>
      <c r="AX59" s="537"/>
    </row>
    <row r="60" spans="2:50" ht="14.25" customHeight="1">
      <c r="B60" s="501"/>
      <c r="C60" s="182">
        <v>14</v>
      </c>
      <c r="D60" s="185"/>
      <c r="E60" s="182"/>
      <c r="F60" s="182"/>
      <c r="G60" s="187"/>
      <c r="H60" s="537"/>
      <c r="I60" s="188"/>
      <c r="J60" s="188"/>
      <c r="K60" s="189"/>
      <c r="L60" s="538"/>
      <c r="M60" s="188"/>
      <c r="N60" s="501"/>
      <c r="O60" s="501"/>
      <c r="P60" s="190"/>
      <c r="Q60" s="190"/>
      <c r="R60" s="187"/>
      <c r="S60" s="184"/>
      <c r="T60" s="537"/>
      <c r="U60" s="190"/>
      <c r="V60" s="190"/>
      <c r="W60" s="187"/>
      <c r="X60" s="184"/>
      <c r="Y60" s="537"/>
      <c r="Z60" s="190"/>
      <c r="AA60" s="190"/>
      <c r="AB60" s="187"/>
      <c r="AC60" s="184"/>
      <c r="AD60" s="537"/>
      <c r="AE60" s="190"/>
      <c r="AF60" s="190"/>
      <c r="AG60" s="187"/>
      <c r="AH60" s="184"/>
      <c r="AI60" s="537"/>
      <c r="AJ60" s="190"/>
      <c r="AK60" s="190"/>
      <c r="AL60" s="187"/>
      <c r="AM60" s="184"/>
      <c r="AN60" s="537"/>
      <c r="AO60" s="190"/>
      <c r="AP60" s="190"/>
      <c r="AQ60" s="187"/>
      <c r="AR60" s="184"/>
      <c r="AS60" s="537"/>
      <c r="AT60" s="190"/>
      <c r="AU60" s="190"/>
      <c r="AV60" s="187"/>
      <c r="AW60" s="184"/>
      <c r="AX60" s="537"/>
    </row>
    <row r="61" spans="2:50" ht="14.25" customHeight="1">
      <c r="B61" s="501"/>
      <c r="C61" s="182">
        <v>15</v>
      </c>
      <c r="D61" s="185"/>
      <c r="E61" s="182"/>
      <c r="F61" s="182"/>
      <c r="G61" s="187"/>
      <c r="H61" s="537"/>
      <c r="I61" s="188"/>
      <c r="J61" s="188"/>
      <c r="K61" s="189"/>
      <c r="L61" s="538"/>
      <c r="M61" s="188"/>
      <c r="N61" s="501"/>
      <c r="O61" s="501"/>
      <c r="P61" s="190"/>
      <c r="Q61" s="190"/>
      <c r="R61" s="187"/>
      <c r="S61" s="184"/>
      <c r="T61" s="537"/>
      <c r="U61" s="190"/>
      <c r="V61" s="190"/>
      <c r="W61" s="187"/>
      <c r="X61" s="184"/>
      <c r="Y61" s="537"/>
      <c r="Z61" s="190"/>
      <c r="AA61" s="190"/>
      <c r="AB61" s="187"/>
      <c r="AC61" s="184"/>
      <c r="AD61" s="537"/>
      <c r="AE61" s="190"/>
      <c r="AF61" s="190"/>
      <c r="AG61" s="187"/>
      <c r="AH61" s="184"/>
      <c r="AI61" s="537"/>
      <c r="AJ61" s="190"/>
      <c r="AK61" s="190"/>
      <c r="AL61" s="187"/>
      <c r="AM61" s="184"/>
      <c r="AN61" s="537"/>
      <c r="AO61" s="190"/>
      <c r="AP61" s="190"/>
      <c r="AQ61" s="187"/>
      <c r="AR61" s="184"/>
      <c r="AS61" s="537"/>
      <c r="AT61" s="190"/>
      <c r="AU61" s="190"/>
      <c r="AV61" s="187"/>
      <c r="AW61" s="184"/>
      <c r="AX61" s="537"/>
    </row>
    <row r="62" spans="2:50" ht="14.25" customHeight="1" collapsed="1">
      <c r="B62" s="545" t="s">
        <v>604</v>
      </c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57"/>
      <c r="N62" s="563" t="s">
        <v>383</v>
      </c>
      <c r="O62" s="563" t="s">
        <v>105</v>
      </c>
      <c r="P62" s="590">
        <f>AT42+1</f>
        <v>46042</v>
      </c>
      <c r="Q62" s="591"/>
      <c r="R62" s="591"/>
      <c r="S62" s="591"/>
      <c r="T62" s="592"/>
      <c r="U62" s="602">
        <f>P62+1</f>
        <v>46043</v>
      </c>
      <c r="V62" s="603"/>
      <c r="W62" s="603"/>
      <c r="X62" s="603"/>
      <c r="Y62" s="604"/>
      <c r="Z62" s="590">
        <f t="shared" ref="Z62" si="78">U62+1</f>
        <v>46044</v>
      </c>
      <c r="AA62" s="591"/>
      <c r="AB62" s="591"/>
      <c r="AC62" s="591"/>
      <c r="AD62" s="592"/>
      <c r="AE62" s="602">
        <f t="shared" ref="AE62" si="79">Z62+1</f>
        <v>46045</v>
      </c>
      <c r="AF62" s="603"/>
      <c r="AG62" s="603"/>
      <c r="AH62" s="603"/>
      <c r="AI62" s="604"/>
      <c r="AJ62" s="590">
        <f t="shared" ref="AJ62" si="80">AE62+1</f>
        <v>46046</v>
      </c>
      <c r="AK62" s="591"/>
      <c r="AL62" s="591"/>
      <c r="AM62" s="591"/>
      <c r="AN62" s="592"/>
      <c r="AO62" s="602">
        <f t="shared" ref="AO62" si="81">AJ62+1</f>
        <v>46047</v>
      </c>
      <c r="AP62" s="603"/>
      <c r="AQ62" s="603"/>
      <c r="AR62" s="603"/>
      <c r="AS62" s="604"/>
      <c r="AT62" s="590">
        <f t="shared" ref="AT62" si="82">AO62+1</f>
        <v>46048</v>
      </c>
      <c r="AU62" s="591"/>
      <c r="AV62" s="591"/>
      <c r="AW62" s="591"/>
      <c r="AX62" s="592"/>
    </row>
    <row r="63" spans="2:50" ht="14.25" customHeight="1"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9"/>
      <c r="N63" s="565"/>
      <c r="O63" s="565"/>
      <c r="P63" s="595">
        <f>P62</f>
        <v>46042</v>
      </c>
      <c r="Q63" s="596"/>
      <c r="R63" s="596"/>
      <c r="S63" s="596"/>
      <c r="T63" s="597"/>
      <c r="U63" s="605">
        <f>U62</f>
        <v>46043</v>
      </c>
      <c r="V63" s="606"/>
      <c r="W63" s="606"/>
      <c r="X63" s="606"/>
      <c r="Y63" s="607"/>
      <c r="Z63" s="595">
        <f t="shared" ref="Z63" si="83">Z62</f>
        <v>46044</v>
      </c>
      <c r="AA63" s="596"/>
      <c r="AB63" s="596"/>
      <c r="AC63" s="596"/>
      <c r="AD63" s="597"/>
      <c r="AE63" s="605">
        <f t="shared" ref="AE63" si="84">AE62</f>
        <v>46045</v>
      </c>
      <c r="AF63" s="606"/>
      <c r="AG63" s="606"/>
      <c r="AH63" s="606"/>
      <c r="AI63" s="607"/>
      <c r="AJ63" s="595">
        <f t="shared" ref="AJ63" si="85">AJ62</f>
        <v>46046</v>
      </c>
      <c r="AK63" s="596"/>
      <c r="AL63" s="596"/>
      <c r="AM63" s="596"/>
      <c r="AN63" s="597"/>
      <c r="AO63" s="605">
        <f t="shared" ref="AO63" si="86">AO62</f>
        <v>46047</v>
      </c>
      <c r="AP63" s="606"/>
      <c r="AQ63" s="606"/>
      <c r="AR63" s="606"/>
      <c r="AS63" s="607"/>
      <c r="AT63" s="595">
        <f t="shared" ref="AT63" si="87">AT62</f>
        <v>46048</v>
      </c>
      <c r="AU63" s="596"/>
      <c r="AV63" s="596"/>
      <c r="AW63" s="596"/>
      <c r="AX63" s="597"/>
    </row>
    <row r="64" spans="2:50" ht="14.25" customHeight="1">
      <c r="B64" s="501" t="s">
        <v>164</v>
      </c>
      <c r="C64" s="501" t="s">
        <v>159</v>
      </c>
      <c r="D64" s="501"/>
      <c r="E64" s="501" t="s">
        <v>160</v>
      </c>
      <c r="F64" s="501"/>
      <c r="G64" s="501"/>
      <c r="H64" s="501" t="s">
        <v>165</v>
      </c>
      <c r="I64" s="522" t="s">
        <v>384</v>
      </c>
      <c r="J64" s="522"/>
      <c r="K64" s="522"/>
      <c r="L64" s="522" t="s">
        <v>165</v>
      </c>
      <c r="M64" s="522" t="s">
        <v>167</v>
      </c>
      <c r="N64" s="501"/>
      <c r="O64" s="501" t="s">
        <v>166</v>
      </c>
      <c r="P64" s="501" t="s">
        <v>162</v>
      </c>
      <c r="Q64" s="501"/>
      <c r="R64" s="501"/>
      <c r="S64" s="501"/>
      <c r="T64" s="501" t="s">
        <v>165</v>
      </c>
      <c r="U64" s="501" t="s">
        <v>162</v>
      </c>
      <c r="V64" s="501"/>
      <c r="W64" s="501"/>
      <c r="X64" s="501"/>
      <c r="Y64" s="501" t="s">
        <v>165</v>
      </c>
      <c r="Z64" s="501" t="s">
        <v>162</v>
      </c>
      <c r="AA64" s="501"/>
      <c r="AB64" s="501"/>
      <c r="AC64" s="501"/>
      <c r="AD64" s="501" t="s">
        <v>165</v>
      </c>
      <c r="AE64" s="501" t="s">
        <v>162</v>
      </c>
      <c r="AF64" s="501"/>
      <c r="AG64" s="501"/>
      <c r="AH64" s="501"/>
      <c r="AI64" s="501" t="s">
        <v>165</v>
      </c>
      <c r="AJ64" s="501" t="s">
        <v>162</v>
      </c>
      <c r="AK64" s="501"/>
      <c r="AL64" s="501"/>
      <c r="AM64" s="501"/>
      <c r="AN64" s="501" t="s">
        <v>165</v>
      </c>
      <c r="AO64" s="501" t="s">
        <v>162</v>
      </c>
      <c r="AP64" s="501"/>
      <c r="AQ64" s="501"/>
      <c r="AR64" s="501"/>
      <c r="AS64" s="501" t="s">
        <v>165</v>
      </c>
      <c r="AT64" s="501" t="s">
        <v>162</v>
      </c>
      <c r="AU64" s="501"/>
      <c r="AV64" s="501"/>
      <c r="AW64" s="501"/>
      <c r="AX64" s="501" t="s">
        <v>165</v>
      </c>
    </row>
    <row r="65" spans="2:50" ht="14.25" customHeight="1">
      <c r="B65" s="501"/>
      <c r="C65" s="501"/>
      <c r="D65" s="501"/>
      <c r="E65" s="501" t="s">
        <v>385</v>
      </c>
      <c r="F65" s="501"/>
      <c r="G65" s="501"/>
      <c r="H65" s="501"/>
      <c r="I65" s="522" t="s">
        <v>385</v>
      </c>
      <c r="J65" s="522"/>
      <c r="K65" s="522"/>
      <c r="L65" s="522"/>
      <c r="M65" s="522"/>
      <c r="N65" s="501"/>
      <c r="O65" s="501"/>
      <c r="P65" s="501" t="s">
        <v>386</v>
      </c>
      <c r="Q65" s="501"/>
      <c r="R65" s="501"/>
      <c r="S65" s="501"/>
      <c r="T65" s="501"/>
      <c r="U65" s="501" t="s">
        <v>386</v>
      </c>
      <c r="V65" s="501"/>
      <c r="W65" s="501"/>
      <c r="X65" s="501"/>
      <c r="Y65" s="501"/>
      <c r="Z65" s="501" t="s">
        <v>386</v>
      </c>
      <c r="AA65" s="501"/>
      <c r="AB65" s="501"/>
      <c r="AC65" s="501"/>
      <c r="AD65" s="501"/>
      <c r="AE65" s="501" t="s">
        <v>386</v>
      </c>
      <c r="AF65" s="501"/>
      <c r="AG65" s="501"/>
      <c r="AH65" s="501"/>
      <c r="AI65" s="501"/>
      <c r="AJ65" s="501" t="s">
        <v>386</v>
      </c>
      <c r="AK65" s="501"/>
      <c r="AL65" s="501"/>
      <c r="AM65" s="501"/>
      <c r="AN65" s="501"/>
      <c r="AO65" s="501" t="s">
        <v>386</v>
      </c>
      <c r="AP65" s="501"/>
      <c r="AQ65" s="501"/>
      <c r="AR65" s="501"/>
      <c r="AS65" s="501"/>
      <c r="AT65" s="501" t="s">
        <v>386</v>
      </c>
      <c r="AU65" s="501"/>
      <c r="AV65" s="501"/>
      <c r="AW65" s="501"/>
      <c r="AX65" s="501"/>
    </row>
    <row r="66" spans="2:50" ht="14.25" customHeight="1">
      <c r="B66" s="501"/>
      <c r="C66" s="501"/>
      <c r="D66" s="501"/>
      <c r="E66" s="182" t="s">
        <v>161</v>
      </c>
      <c r="F66" s="182" t="s">
        <v>387</v>
      </c>
      <c r="G66" s="182" t="s">
        <v>163</v>
      </c>
      <c r="H66" s="501"/>
      <c r="I66" s="183" t="s">
        <v>161</v>
      </c>
      <c r="J66" s="183" t="s">
        <v>387</v>
      </c>
      <c r="K66" s="183" t="s">
        <v>163</v>
      </c>
      <c r="L66" s="522"/>
      <c r="M66" s="522"/>
      <c r="N66" s="501"/>
      <c r="O66" s="501"/>
      <c r="P66" s="182" t="s">
        <v>161</v>
      </c>
      <c r="Q66" s="182" t="s">
        <v>387</v>
      </c>
      <c r="R66" s="182" t="s">
        <v>163</v>
      </c>
      <c r="S66" s="184" t="s">
        <v>167</v>
      </c>
      <c r="T66" s="501"/>
      <c r="U66" s="182" t="s">
        <v>161</v>
      </c>
      <c r="V66" s="182" t="s">
        <v>387</v>
      </c>
      <c r="W66" s="182" t="s">
        <v>163</v>
      </c>
      <c r="X66" s="184" t="s">
        <v>167</v>
      </c>
      <c r="Y66" s="501"/>
      <c r="Z66" s="182" t="s">
        <v>161</v>
      </c>
      <c r="AA66" s="182" t="s">
        <v>387</v>
      </c>
      <c r="AB66" s="182" t="s">
        <v>163</v>
      </c>
      <c r="AC66" s="184" t="s">
        <v>167</v>
      </c>
      <c r="AD66" s="501"/>
      <c r="AE66" s="182" t="s">
        <v>161</v>
      </c>
      <c r="AF66" s="182" t="s">
        <v>387</v>
      </c>
      <c r="AG66" s="182" t="s">
        <v>163</v>
      </c>
      <c r="AH66" s="184" t="s">
        <v>167</v>
      </c>
      <c r="AI66" s="501"/>
      <c r="AJ66" s="182" t="s">
        <v>161</v>
      </c>
      <c r="AK66" s="182" t="s">
        <v>387</v>
      </c>
      <c r="AL66" s="182" t="s">
        <v>163</v>
      </c>
      <c r="AM66" s="184" t="s">
        <v>167</v>
      </c>
      <c r="AN66" s="501"/>
      <c r="AO66" s="182" t="s">
        <v>161</v>
      </c>
      <c r="AP66" s="182" t="s">
        <v>387</v>
      </c>
      <c r="AQ66" s="182" t="s">
        <v>163</v>
      </c>
      <c r="AR66" s="184" t="s">
        <v>167</v>
      </c>
      <c r="AS66" s="501"/>
      <c r="AT66" s="182" t="s">
        <v>161</v>
      </c>
      <c r="AU66" s="182" t="s">
        <v>387</v>
      </c>
      <c r="AV66" s="182" t="s">
        <v>163</v>
      </c>
      <c r="AW66" s="184" t="s">
        <v>167</v>
      </c>
      <c r="AX66" s="501"/>
    </row>
    <row r="67" spans="2:50" ht="14.25" customHeight="1">
      <c r="B67" s="501" t="s">
        <v>144</v>
      </c>
      <c r="C67" s="182">
        <v>1</v>
      </c>
      <c r="D67" s="185" t="s">
        <v>370</v>
      </c>
      <c r="E67" s="182">
        <v>13</v>
      </c>
      <c r="F67" s="182">
        <v>1200</v>
      </c>
      <c r="G67" s="187">
        <f t="shared" ref="G67:G69" si="88">F67/E67</f>
        <v>92.307692307692307</v>
      </c>
      <c r="H67" s="537">
        <f>AVERAGE(G67:G81)</f>
        <v>85.31468531468532</v>
      </c>
      <c r="I67" s="188">
        <f>AVERAGE(P67,U67,Z67,AE67,AJ67,AO67,AT67)</f>
        <v>13</v>
      </c>
      <c r="J67" s="188">
        <f>AVERAGE(Q67,V67,AA67,AF67,AK67,AP67,AU67)</f>
        <v>1078.265573871922</v>
      </c>
      <c r="K67" s="189">
        <f>AVERAGE(R67,W67,AB67,AG67,AL67,AQ67,AV67)</f>
        <v>82.943505682455552</v>
      </c>
      <c r="L67" s="538">
        <f>IFERROR(AVERAGE(K67:K81),"-")</f>
        <v>76.183774483873847</v>
      </c>
      <c r="M67" s="188">
        <f>RANK(K67, K$67:$K$81)</f>
        <v>1</v>
      </c>
      <c r="N67" s="501"/>
      <c r="O67" s="501"/>
      <c r="P67" s="190">
        <v>13</v>
      </c>
      <c r="Q67" s="190">
        <v>1078.1758378522536</v>
      </c>
      <c r="R67" s="187">
        <f>IFERROR(Q67/P67,"")</f>
        <v>82.936602911711816</v>
      </c>
      <c r="S67" s="184">
        <f>RANK(R67, R$67:R$81)</f>
        <v>1</v>
      </c>
      <c r="T67" s="537">
        <f>AVERAGE(R67:R81)</f>
        <v>76.166929722957647</v>
      </c>
      <c r="U67" s="190">
        <v>13</v>
      </c>
      <c r="V67" s="190">
        <v>1078.3192726677041</v>
      </c>
      <c r="W67" s="187">
        <f t="shared" ref="W67:W69" si="89">IFERROR(V67/U67,"")</f>
        <v>82.947636359054158</v>
      </c>
      <c r="X67" s="184">
        <f>RANK(W67, W$67:W$81)</f>
        <v>1</v>
      </c>
      <c r="Y67" s="537">
        <f>AVERAGE(W67:W81)</f>
        <v>76.17331780618521</v>
      </c>
      <c r="Z67" s="190">
        <v>13</v>
      </c>
      <c r="AA67" s="190">
        <v>1078.3048482734566</v>
      </c>
      <c r="AB67" s="187">
        <f t="shared" ref="AB67:AB69" si="90">IFERROR(AA67/Z67,"")</f>
        <v>82.946526790265892</v>
      </c>
      <c r="AC67" s="184">
        <f>RANK(AB67, AB$67:AB$81)</f>
        <v>1</v>
      </c>
      <c r="AD67" s="537">
        <f>AVERAGE(AB67:AB81)</f>
        <v>76.173367164490671</v>
      </c>
      <c r="AE67" s="190">
        <v>13</v>
      </c>
      <c r="AF67" s="190">
        <v>1078.2867340868531</v>
      </c>
      <c r="AG67" s="187">
        <f>IFERROR(AF67/AE67,"")</f>
        <v>82.945133391296395</v>
      </c>
      <c r="AH67" s="184">
        <f>RANK(AG67, AG$67:AG$81)</f>
        <v>1</v>
      </c>
      <c r="AI67" s="537">
        <f>AVERAGE(AG67:AG81)</f>
        <v>76.191610822588743</v>
      </c>
      <c r="AJ67" s="190">
        <v>13</v>
      </c>
      <c r="AK67" s="190">
        <v>1078.2626181379446</v>
      </c>
      <c r="AL67" s="187">
        <f t="shared" ref="AL67:AL69" si="91">IFERROR(AK67/AJ67,"")</f>
        <v>82.943278318303427</v>
      </c>
      <c r="AM67" s="184">
        <f>RANK(AL67, AL$67:AL$81)</f>
        <v>1</v>
      </c>
      <c r="AN67" s="566">
        <f>AVERAGE(AL67:AL81)</f>
        <v>76.190615339726847</v>
      </c>
      <c r="AO67" s="190">
        <v>13</v>
      </c>
      <c r="AP67" s="190">
        <v>1078.2683057188672</v>
      </c>
      <c r="AQ67" s="187">
        <f t="shared" ref="AQ67:AQ69" si="92">IFERROR(AP67/AO67,"")</f>
        <v>82.94371582452824</v>
      </c>
      <c r="AR67" s="184">
        <f>RANK(AQ67, AQ$67:AQ$81)</f>
        <v>1</v>
      </c>
      <c r="AS67" s="537">
        <f>AVERAGE(AQ67:AQ81)</f>
        <v>76.185250780823921</v>
      </c>
      <c r="AT67" s="190">
        <v>13</v>
      </c>
      <c r="AU67" s="190">
        <v>1078.2414003663748</v>
      </c>
      <c r="AV67" s="187">
        <f t="shared" ref="AV67:AV69" si="93">IFERROR(AU67/AT67,"")</f>
        <v>82.941646182028833</v>
      </c>
      <c r="AW67" s="184">
        <f>RANK(AV67, AV$67:AV$81)</f>
        <v>1</v>
      </c>
      <c r="AX67" s="537">
        <f>AVERAGE(AV67:AV81)</f>
        <v>76.205329750343935</v>
      </c>
    </row>
    <row r="68" spans="2:50" ht="14.25" customHeight="1">
      <c r="B68" s="501"/>
      <c r="C68" s="182">
        <v>2</v>
      </c>
      <c r="D68" s="185" t="s">
        <v>481</v>
      </c>
      <c r="E68" s="182">
        <v>22</v>
      </c>
      <c r="F68" s="182">
        <v>1800</v>
      </c>
      <c r="G68" s="187">
        <f t="shared" si="88"/>
        <v>81.818181818181813</v>
      </c>
      <c r="H68" s="537"/>
      <c r="I68" s="188">
        <f t="shared" ref="I68:K69" si="94">AVERAGE(P68,U68,Z68,AE68,AJ68,AO68,AT68)</f>
        <v>22</v>
      </c>
      <c r="J68" s="188">
        <f t="shared" si="94"/>
        <v>1600.8297550077455</v>
      </c>
      <c r="K68" s="189">
        <f t="shared" si="94"/>
        <v>72.764988863988421</v>
      </c>
      <c r="L68" s="538"/>
      <c r="M68" s="188">
        <f>RANK(K68, K$67:$K$81)</f>
        <v>3</v>
      </c>
      <c r="N68" s="501"/>
      <c r="O68" s="501"/>
      <c r="P68" s="190">
        <v>22</v>
      </c>
      <c r="Q68" s="190">
        <v>1600.2065049044922</v>
      </c>
      <c r="R68" s="187">
        <f t="shared" ref="R68:R69" si="95">IFERROR(Q68/P68,"")</f>
        <v>72.736659313840562</v>
      </c>
      <c r="S68" s="184">
        <f t="shared" ref="S68:S69" si="96">RANK(R68, R$67:R$81)</f>
        <v>3</v>
      </c>
      <c r="T68" s="537"/>
      <c r="U68" s="190">
        <v>22</v>
      </c>
      <c r="V68" s="190">
        <v>1600.3775365738541</v>
      </c>
      <c r="W68" s="187">
        <f t="shared" si="89"/>
        <v>72.744433480629723</v>
      </c>
      <c r="X68" s="184">
        <f t="shared" ref="X68:X69" si="97">RANK(W68, W$67:W$81)</f>
        <v>3</v>
      </c>
      <c r="Y68" s="537"/>
      <c r="Z68" s="190">
        <v>22</v>
      </c>
      <c r="AA68" s="190">
        <v>1600.1973359644805</v>
      </c>
      <c r="AB68" s="187">
        <f t="shared" si="90"/>
        <v>72.736242543840021</v>
      </c>
      <c r="AC68" s="184">
        <f t="shared" ref="AC68:AC69" si="98">RANK(AB68, AB$67:AB$81)</f>
        <v>3</v>
      </c>
      <c r="AD68" s="537"/>
      <c r="AE68" s="190">
        <v>22</v>
      </c>
      <c r="AF68" s="190">
        <v>1601.1552346570406</v>
      </c>
      <c r="AG68" s="187">
        <f t="shared" ref="AG68:AG69" si="99">IFERROR(AF68/AE68,"")</f>
        <v>72.779783393501845</v>
      </c>
      <c r="AH68" s="184">
        <f t="shared" ref="AH68:AH69" si="100">RANK(AG68, AG$67:AG$81)</f>
        <v>3</v>
      </c>
      <c r="AI68" s="537"/>
      <c r="AJ68" s="190">
        <v>22</v>
      </c>
      <c r="AK68" s="190">
        <v>1601.0781671158998</v>
      </c>
      <c r="AL68" s="187">
        <f t="shared" si="91"/>
        <v>72.776280323449996</v>
      </c>
      <c r="AM68" s="184">
        <f t="shared" ref="AM68:AM69" si="101">RANK(AL68, AL$67:AL$81)</f>
        <v>3</v>
      </c>
      <c r="AN68" s="567"/>
      <c r="AO68" s="190">
        <v>22</v>
      </c>
      <c r="AP68" s="190">
        <v>1600.7380073800737</v>
      </c>
      <c r="AQ68" s="187">
        <f t="shared" si="92"/>
        <v>72.760818517276078</v>
      </c>
      <c r="AR68" s="184">
        <f t="shared" ref="AR68:AR69" si="102">RANK(AQ68, AQ$67:AQ$81)</f>
        <v>3</v>
      </c>
      <c r="AS68" s="537"/>
      <c r="AT68" s="190">
        <v>22</v>
      </c>
      <c r="AU68" s="190">
        <v>1602.055498458376</v>
      </c>
      <c r="AV68" s="187">
        <f t="shared" si="93"/>
        <v>72.820704475380722</v>
      </c>
      <c r="AW68" s="184">
        <f t="shared" ref="AW68:AW69" si="103">RANK(AV68, AV$67:AV$81)</f>
        <v>3</v>
      </c>
      <c r="AX68" s="537"/>
    </row>
    <row r="69" spans="2:50" ht="14.25" customHeight="1">
      <c r="B69" s="501"/>
      <c r="C69" s="182">
        <v>3</v>
      </c>
      <c r="D69" s="185" t="s">
        <v>499</v>
      </c>
      <c r="E69" s="182">
        <v>22</v>
      </c>
      <c r="F69" s="182">
        <v>1800</v>
      </c>
      <c r="G69" s="187">
        <f t="shared" si="88"/>
        <v>81.818181818181813</v>
      </c>
      <c r="H69" s="537"/>
      <c r="I69" s="188">
        <f t="shared" si="94"/>
        <v>22</v>
      </c>
      <c r="J69" s="188">
        <f t="shared" si="94"/>
        <v>1602.5422359139068</v>
      </c>
      <c r="K69" s="189">
        <f t="shared" si="94"/>
        <v>72.842828905177583</v>
      </c>
      <c r="L69" s="538"/>
      <c r="M69" s="188">
        <f>RANK(K69, K$67:$K$81)</f>
        <v>2</v>
      </c>
      <c r="N69" s="501"/>
      <c r="O69" s="501"/>
      <c r="P69" s="190">
        <v>22</v>
      </c>
      <c r="Q69" s="190">
        <v>1602.2055927530519</v>
      </c>
      <c r="R69" s="187">
        <f t="shared" si="95"/>
        <v>72.827526943320535</v>
      </c>
      <c r="S69" s="184">
        <f t="shared" si="96"/>
        <v>2</v>
      </c>
      <c r="T69" s="537"/>
      <c r="U69" s="190">
        <v>22</v>
      </c>
      <c r="V69" s="190">
        <v>1602.2134387351784</v>
      </c>
      <c r="W69" s="187">
        <f t="shared" si="89"/>
        <v>72.827883578871749</v>
      </c>
      <c r="X69" s="184">
        <f t="shared" si="97"/>
        <v>2</v>
      </c>
      <c r="Y69" s="537"/>
      <c r="Z69" s="190">
        <v>22</v>
      </c>
      <c r="AA69" s="190">
        <v>1602.4213075060541</v>
      </c>
      <c r="AB69" s="187">
        <f t="shared" si="90"/>
        <v>72.837332159366099</v>
      </c>
      <c r="AC69" s="184">
        <f t="shared" si="98"/>
        <v>2</v>
      </c>
      <c r="AD69" s="537"/>
      <c r="AE69" s="190">
        <v>22</v>
      </c>
      <c r="AF69" s="190">
        <v>1602.6981450252952</v>
      </c>
      <c r="AG69" s="187">
        <f t="shared" si="99"/>
        <v>72.849915682967961</v>
      </c>
      <c r="AH69" s="184">
        <f t="shared" si="100"/>
        <v>2</v>
      </c>
      <c r="AI69" s="537"/>
      <c r="AJ69" s="190">
        <v>22</v>
      </c>
      <c r="AK69" s="190">
        <v>1602.7503223033964</v>
      </c>
      <c r="AL69" s="187">
        <f t="shared" si="91"/>
        <v>72.852287377427103</v>
      </c>
      <c r="AM69" s="184">
        <f t="shared" si="101"/>
        <v>2</v>
      </c>
      <c r="AN69" s="567"/>
      <c r="AO69" s="190">
        <v>22</v>
      </c>
      <c r="AP69" s="190">
        <v>1602.7267960146835</v>
      </c>
      <c r="AQ69" s="187">
        <f t="shared" si="92"/>
        <v>72.85121800066743</v>
      </c>
      <c r="AR69" s="184">
        <f t="shared" si="102"/>
        <v>2</v>
      </c>
      <c r="AS69" s="537"/>
      <c r="AT69" s="190">
        <v>22</v>
      </c>
      <c r="AU69" s="190">
        <v>1602.780049059689</v>
      </c>
      <c r="AV69" s="187">
        <f t="shared" si="93"/>
        <v>72.853638593622222</v>
      </c>
      <c r="AW69" s="184">
        <f t="shared" si="103"/>
        <v>2</v>
      </c>
      <c r="AX69" s="537"/>
    </row>
    <row r="70" spans="2:50" ht="14.25" customHeight="1">
      <c r="B70" s="501"/>
      <c r="C70" s="182">
        <v>4</v>
      </c>
      <c r="D70" s="185"/>
      <c r="E70" s="182"/>
      <c r="F70" s="182"/>
      <c r="G70" s="187"/>
      <c r="H70" s="537"/>
      <c r="I70" s="188"/>
      <c r="J70" s="188"/>
      <c r="K70" s="189"/>
      <c r="L70" s="538"/>
      <c r="M70" s="188"/>
      <c r="N70" s="501"/>
      <c r="O70" s="501"/>
      <c r="P70" s="190"/>
      <c r="Q70" s="190"/>
      <c r="R70" s="187"/>
      <c r="S70" s="184"/>
      <c r="T70" s="537"/>
      <c r="U70" s="190"/>
      <c r="V70" s="190"/>
      <c r="W70" s="187"/>
      <c r="X70" s="184"/>
      <c r="Y70" s="537"/>
      <c r="Z70" s="190"/>
      <c r="AA70" s="190"/>
      <c r="AB70" s="187"/>
      <c r="AC70" s="184"/>
      <c r="AD70" s="537"/>
      <c r="AE70" s="190"/>
      <c r="AF70" s="190"/>
      <c r="AG70" s="187"/>
      <c r="AH70" s="184"/>
      <c r="AI70" s="537"/>
      <c r="AJ70" s="190"/>
      <c r="AK70" s="190"/>
      <c r="AL70" s="187"/>
      <c r="AM70" s="184"/>
      <c r="AN70" s="567"/>
      <c r="AO70" s="190"/>
      <c r="AP70" s="190"/>
      <c r="AQ70" s="187"/>
      <c r="AR70" s="184"/>
      <c r="AS70" s="537"/>
      <c r="AT70" s="190"/>
      <c r="AU70" s="190"/>
      <c r="AV70" s="187"/>
      <c r="AW70" s="184"/>
      <c r="AX70" s="537"/>
    </row>
    <row r="71" spans="2:50" ht="14.25" customHeight="1">
      <c r="B71" s="501"/>
      <c r="C71" s="182">
        <v>5</v>
      </c>
      <c r="D71" s="185"/>
      <c r="E71" s="182"/>
      <c r="F71" s="182"/>
      <c r="G71" s="187"/>
      <c r="H71" s="537"/>
      <c r="I71" s="188"/>
      <c r="J71" s="188"/>
      <c r="K71" s="189"/>
      <c r="L71" s="538"/>
      <c r="M71" s="188"/>
      <c r="N71" s="501"/>
      <c r="O71" s="501"/>
      <c r="P71" s="190"/>
      <c r="Q71" s="190"/>
      <c r="R71" s="187"/>
      <c r="S71" s="184"/>
      <c r="T71" s="537"/>
      <c r="U71" s="190"/>
      <c r="V71" s="190"/>
      <c r="W71" s="187"/>
      <c r="X71" s="184"/>
      <c r="Y71" s="537"/>
      <c r="Z71" s="190"/>
      <c r="AA71" s="190"/>
      <c r="AB71" s="187"/>
      <c r="AC71" s="184"/>
      <c r="AD71" s="537"/>
      <c r="AE71" s="190"/>
      <c r="AF71" s="190"/>
      <c r="AG71" s="187"/>
      <c r="AH71" s="184"/>
      <c r="AI71" s="537"/>
      <c r="AJ71" s="190"/>
      <c r="AK71" s="190"/>
      <c r="AL71" s="187"/>
      <c r="AM71" s="184"/>
      <c r="AN71" s="567"/>
      <c r="AO71" s="190"/>
      <c r="AP71" s="190"/>
      <c r="AQ71" s="187"/>
      <c r="AR71" s="184"/>
      <c r="AS71" s="537"/>
      <c r="AT71" s="190"/>
      <c r="AU71" s="190"/>
      <c r="AV71" s="187"/>
      <c r="AW71" s="184"/>
      <c r="AX71" s="537"/>
    </row>
    <row r="72" spans="2:50" ht="14.25" customHeight="1">
      <c r="B72" s="501"/>
      <c r="C72" s="182">
        <v>6</v>
      </c>
      <c r="D72" s="185"/>
      <c r="E72" s="182"/>
      <c r="F72" s="182"/>
      <c r="G72" s="187"/>
      <c r="H72" s="537"/>
      <c r="I72" s="188"/>
      <c r="J72" s="188"/>
      <c r="K72" s="189"/>
      <c r="L72" s="538"/>
      <c r="M72" s="188"/>
      <c r="N72" s="501"/>
      <c r="O72" s="501"/>
      <c r="P72" s="190"/>
      <c r="Q72" s="190"/>
      <c r="R72" s="187"/>
      <c r="S72" s="184"/>
      <c r="T72" s="537"/>
      <c r="U72" s="190"/>
      <c r="V72" s="190"/>
      <c r="W72" s="187"/>
      <c r="X72" s="184"/>
      <c r="Y72" s="537"/>
      <c r="Z72" s="190"/>
      <c r="AA72" s="190"/>
      <c r="AB72" s="187"/>
      <c r="AC72" s="184"/>
      <c r="AD72" s="537"/>
      <c r="AE72" s="190"/>
      <c r="AF72" s="190"/>
      <c r="AG72" s="187"/>
      <c r="AH72" s="184"/>
      <c r="AI72" s="537"/>
      <c r="AJ72" s="190"/>
      <c r="AK72" s="190"/>
      <c r="AL72" s="187"/>
      <c r="AM72" s="184"/>
      <c r="AN72" s="567"/>
      <c r="AO72" s="190"/>
      <c r="AP72" s="190"/>
      <c r="AQ72" s="187"/>
      <c r="AR72" s="184"/>
      <c r="AS72" s="537"/>
      <c r="AT72" s="190"/>
      <c r="AU72" s="190"/>
      <c r="AV72" s="187"/>
      <c r="AW72" s="184"/>
      <c r="AX72" s="537"/>
    </row>
    <row r="73" spans="2:50" ht="14.25" customHeight="1">
      <c r="B73" s="501"/>
      <c r="C73" s="182">
        <v>7</v>
      </c>
      <c r="D73" s="185"/>
      <c r="E73" s="182"/>
      <c r="F73" s="182"/>
      <c r="G73" s="187"/>
      <c r="H73" s="537"/>
      <c r="I73" s="188"/>
      <c r="J73" s="188"/>
      <c r="K73" s="189"/>
      <c r="L73" s="538"/>
      <c r="M73" s="188"/>
      <c r="N73" s="501"/>
      <c r="O73" s="501"/>
      <c r="P73" s="190"/>
      <c r="Q73" s="190"/>
      <c r="R73" s="187"/>
      <c r="S73" s="184"/>
      <c r="T73" s="537"/>
      <c r="U73" s="190"/>
      <c r="V73" s="190"/>
      <c r="W73" s="187"/>
      <c r="X73" s="184"/>
      <c r="Y73" s="537"/>
      <c r="Z73" s="190"/>
      <c r="AA73" s="190"/>
      <c r="AB73" s="187"/>
      <c r="AC73" s="184"/>
      <c r="AD73" s="537"/>
      <c r="AE73" s="190"/>
      <c r="AF73" s="190"/>
      <c r="AG73" s="187"/>
      <c r="AH73" s="184"/>
      <c r="AI73" s="537"/>
      <c r="AJ73" s="190"/>
      <c r="AK73" s="190"/>
      <c r="AL73" s="187"/>
      <c r="AM73" s="184"/>
      <c r="AN73" s="567"/>
      <c r="AO73" s="190"/>
      <c r="AP73" s="190"/>
      <c r="AQ73" s="187"/>
      <c r="AR73" s="184"/>
      <c r="AS73" s="537"/>
      <c r="AT73" s="190"/>
      <c r="AU73" s="190"/>
      <c r="AV73" s="187"/>
      <c r="AW73" s="184"/>
      <c r="AX73" s="537"/>
    </row>
    <row r="74" spans="2:50" ht="14.25" customHeight="1">
      <c r="B74" s="501"/>
      <c r="C74" s="182">
        <v>8</v>
      </c>
      <c r="D74" s="185"/>
      <c r="E74" s="182"/>
      <c r="F74" s="182"/>
      <c r="G74" s="187"/>
      <c r="H74" s="537"/>
      <c r="I74" s="188"/>
      <c r="J74" s="188"/>
      <c r="K74" s="189"/>
      <c r="L74" s="538"/>
      <c r="M74" s="188"/>
      <c r="N74" s="501"/>
      <c r="O74" s="501"/>
      <c r="P74" s="190"/>
      <c r="Q74" s="190"/>
      <c r="R74" s="187"/>
      <c r="S74" s="184"/>
      <c r="T74" s="537"/>
      <c r="U74" s="190"/>
      <c r="V74" s="190"/>
      <c r="W74" s="187"/>
      <c r="X74" s="184"/>
      <c r="Y74" s="537"/>
      <c r="Z74" s="190"/>
      <c r="AA74" s="190"/>
      <c r="AB74" s="187"/>
      <c r="AC74" s="184"/>
      <c r="AD74" s="537"/>
      <c r="AE74" s="190"/>
      <c r="AF74" s="190"/>
      <c r="AG74" s="187"/>
      <c r="AH74" s="184"/>
      <c r="AI74" s="537"/>
      <c r="AJ74" s="190"/>
      <c r="AK74" s="190"/>
      <c r="AL74" s="187"/>
      <c r="AM74" s="184"/>
      <c r="AN74" s="567"/>
      <c r="AO74" s="190"/>
      <c r="AP74" s="190"/>
      <c r="AQ74" s="187"/>
      <c r="AR74" s="184"/>
      <c r="AS74" s="537"/>
      <c r="AT74" s="190"/>
      <c r="AU74" s="190"/>
      <c r="AV74" s="187"/>
      <c r="AW74" s="184"/>
      <c r="AX74" s="537"/>
    </row>
    <row r="75" spans="2:50" ht="14.25" customHeight="1">
      <c r="B75" s="501"/>
      <c r="C75" s="182">
        <v>9</v>
      </c>
      <c r="D75" s="185"/>
      <c r="E75" s="182"/>
      <c r="F75" s="182"/>
      <c r="G75" s="187"/>
      <c r="H75" s="537"/>
      <c r="I75" s="188"/>
      <c r="J75" s="188"/>
      <c r="K75" s="189"/>
      <c r="L75" s="538"/>
      <c r="M75" s="188"/>
      <c r="N75" s="501"/>
      <c r="O75" s="501"/>
      <c r="P75" s="190"/>
      <c r="Q75" s="190"/>
      <c r="R75" s="187"/>
      <c r="S75" s="184"/>
      <c r="T75" s="537"/>
      <c r="U75" s="190"/>
      <c r="V75" s="190"/>
      <c r="W75" s="187"/>
      <c r="X75" s="184"/>
      <c r="Y75" s="537"/>
      <c r="Z75" s="190"/>
      <c r="AA75" s="190"/>
      <c r="AB75" s="187"/>
      <c r="AC75" s="184"/>
      <c r="AD75" s="537"/>
      <c r="AE75" s="190"/>
      <c r="AF75" s="190"/>
      <c r="AG75" s="187"/>
      <c r="AH75" s="184"/>
      <c r="AI75" s="537"/>
      <c r="AJ75" s="190"/>
      <c r="AK75" s="190"/>
      <c r="AL75" s="187"/>
      <c r="AM75" s="184"/>
      <c r="AN75" s="567"/>
      <c r="AO75" s="190"/>
      <c r="AP75" s="190"/>
      <c r="AQ75" s="187"/>
      <c r="AR75" s="184"/>
      <c r="AS75" s="537"/>
      <c r="AT75" s="190"/>
      <c r="AU75" s="190"/>
      <c r="AV75" s="187"/>
      <c r="AW75" s="184"/>
      <c r="AX75" s="537"/>
    </row>
    <row r="76" spans="2:50" ht="14.25" customHeight="1">
      <c r="B76" s="501"/>
      <c r="C76" s="182">
        <v>10</v>
      </c>
      <c r="D76" s="185"/>
      <c r="E76" s="182"/>
      <c r="F76" s="182"/>
      <c r="G76" s="187"/>
      <c r="H76" s="537"/>
      <c r="I76" s="188"/>
      <c r="J76" s="188"/>
      <c r="K76" s="189"/>
      <c r="L76" s="538"/>
      <c r="M76" s="188"/>
      <c r="N76" s="501"/>
      <c r="O76" s="501"/>
      <c r="P76" s="190"/>
      <c r="Q76" s="190"/>
      <c r="R76" s="187"/>
      <c r="S76" s="184"/>
      <c r="T76" s="537"/>
      <c r="U76" s="190"/>
      <c r="V76" s="190"/>
      <c r="W76" s="187"/>
      <c r="X76" s="184"/>
      <c r="Y76" s="537"/>
      <c r="Z76" s="190"/>
      <c r="AA76" s="190"/>
      <c r="AB76" s="187"/>
      <c r="AC76" s="184"/>
      <c r="AD76" s="537"/>
      <c r="AE76" s="190"/>
      <c r="AF76" s="190"/>
      <c r="AG76" s="187"/>
      <c r="AH76" s="184"/>
      <c r="AI76" s="537"/>
      <c r="AJ76" s="190"/>
      <c r="AK76" s="190"/>
      <c r="AL76" s="187"/>
      <c r="AM76" s="184"/>
      <c r="AN76" s="567"/>
      <c r="AO76" s="190"/>
      <c r="AP76" s="190"/>
      <c r="AQ76" s="187"/>
      <c r="AR76" s="184"/>
      <c r="AS76" s="537"/>
      <c r="AT76" s="190"/>
      <c r="AU76" s="190"/>
      <c r="AV76" s="187"/>
      <c r="AW76" s="184"/>
      <c r="AX76" s="537"/>
    </row>
    <row r="77" spans="2:50" ht="14.25" customHeight="1">
      <c r="B77" s="501"/>
      <c r="C77" s="182">
        <v>11</v>
      </c>
      <c r="D77" s="185"/>
      <c r="E77" s="182"/>
      <c r="F77" s="182"/>
      <c r="G77" s="187"/>
      <c r="H77" s="537"/>
      <c r="I77" s="188"/>
      <c r="J77" s="188"/>
      <c r="K77" s="189"/>
      <c r="L77" s="538"/>
      <c r="M77" s="188"/>
      <c r="N77" s="501"/>
      <c r="O77" s="501"/>
      <c r="P77" s="190"/>
      <c r="Q77" s="190"/>
      <c r="R77" s="187"/>
      <c r="S77" s="184"/>
      <c r="T77" s="537"/>
      <c r="U77" s="190"/>
      <c r="V77" s="190"/>
      <c r="W77" s="187"/>
      <c r="X77" s="184"/>
      <c r="Y77" s="537"/>
      <c r="Z77" s="190"/>
      <c r="AA77" s="190"/>
      <c r="AB77" s="187"/>
      <c r="AC77" s="184"/>
      <c r="AD77" s="537"/>
      <c r="AE77" s="190"/>
      <c r="AF77" s="190"/>
      <c r="AG77" s="187"/>
      <c r="AH77" s="184"/>
      <c r="AI77" s="537"/>
      <c r="AJ77" s="190"/>
      <c r="AK77" s="190"/>
      <c r="AL77" s="187"/>
      <c r="AM77" s="184"/>
      <c r="AN77" s="567"/>
      <c r="AO77" s="190"/>
      <c r="AP77" s="190"/>
      <c r="AQ77" s="187"/>
      <c r="AR77" s="184"/>
      <c r="AS77" s="537"/>
      <c r="AT77" s="190"/>
      <c r="AU77" s="190"/>
      <c r="AV77" s="187"/>
      <c r="AW77" s="184"/>
      <c r="AX77" s="537"/>
    </row>
    <row r="78" spans="2:50" ht="14.25" customHeight="1">
      <c r="B78" s="501"/>
      <c r="C78" s="182">
        <v>12</v>
      </c>
      <c r="D78" s="185"/>
      <c r="E78" s="182"/>
      <c r="F78" s="182"/>
      <c r="G78" s="187"/>
      <c r="H78" s="537"/>
      <c r="I78" s="188"/>
      <c r="J78" s="188"/>
      <c r="K78" s="189"/>
      <c r="L78" s="538"/>
      <c r="M78" s="188"/>
      <c r="N78" s="501"/>
      <c r="O78" s="501"/>
      <c r="P78" s="190"/>
      <c r="Q78" s="190"/>
      <c r="R78" s="187"/>
      <c r="S78" s="184"/>
      <c r="T78" s="537"/>
      <c r="U78" s="190"/>
      <c r="V78" s="190"/>
      <c r="W78" s="187"/>
      <c r="X78" s="184"/>
      <c r="Y78" s="537"/>
      <c r="Z78" s="190"/>
      <c r="AA78" s="190"/>
      <c r="AB78" s="187"/>
      <c r="AC78" s="184"/>
      <c r="AD78" s="537"/>
      <c r="AE78" s="190"/>
      <c r="AF78" s="190"/>
      <c r="AG78" s="187"/>
      <c r="AH78" s="184"/>
      <c r="AI78" s="537"/>
      <c r="AJ78" s="190"/>
      <c r="AK78" s="190"/>
      <c r="AL78" s="187"/>
      <c r="AM78" s="184"/>
      <c r="AN78" s="567"/>
      <c r="AO78" s="190"/>
      <c r="AP78" s="190"/>
      <c r="AQ78" s="187"/>
      <c r="AR78" s="184"/>
      <c r="AS78" s="537"/>
      <c r="AT78" s="190"/>
      <c r="AU78" s="190"/>
      <c r="AV78" s="187"/>
      <c r="AW78" s="184"/>
      <c r="AX78" s="537"/>
    </row>
    <row r="79" spans="2:50" ht="14.25" customHeight="1">
      <c r="B79" s="501"/>
      <c r="C79" s="182">
        <v>13</v>
      </c>
      <c r="D79" s="185"/>
      <c r="E79" s="182"/>
      <c r="F79" s="182"/>
      <c r="G79" s="187"/>
      <c r="H79" s="537"/>
      <c r="I79" s="188"/>
      <c r="J79" s="188"/>
      <c r="K79" s="189"/>
      <c r="L79" s="538"/>
      <c r="M79" s="188"/>
      <c r="N79" s="501"/>
      <c r="O79" s="501"/>
      <c r="P79" s="190"/>
      <c r="Q79" s="190"/>
      <c r="R79" s="187"/>
      <c r="S79" s="184"/>
      <c r="T79" s="537"/>
      <c r="U79" s="190"/>
      <c r="V79" s="190"/>
      <c r="W79" s="187"/>
      <c r="X79" s="184"/>
      <c r="Y79" s="537"/>
      <c r="Z79" s="190"/>
      <c r="AA79" s="190"/>
      <c r="AB79" s="187"/>
      <c r="AC79" s="184"/>
      <c r="AD79" s="537"/>
      <c r="AE79" s="190"/>
      <c r="AF79" s="190"/>
      <c r="AG79" s="187"/>
      <c r="AH79" s="184"/>
      <c r="AI79" s="537"/>
      <c r="AJ79" s="190"/>
      <c r="AK79" s="190"/>
      <c r="AL79" s="187"/>
      <c r="AM79" s="184"/>
      <c r="AN79" s="567"/>
      <c r="AO79" s="190"/>
      <c r="AP79" s="190"/>
      <c r="AQ79" s="187"/>
      <c r="AR79" s="184"/>
      <c r="AS79" s="537"/>
      <c r="AT79" s="190"/>
      <c r="AU79" s="190"/>
      <c r="AV79" s="187"/>
      <c r="AW79" s="184"/>
      <c r="AX79" s="537"/>
    </row>
    <row r="80" spans="2:50" ht="14.25" customHeight="1">
      <c r="B80" s="501"/>
      <c r="C80" s="182">
        <v>14</v>
      </c>
      <c r="D80" s="185"/>
      <c r="E80" s="182"/>
      <c r="F80" s="182"/>
      <c r="G80" s="187"/>
      <c r="H80" s="537"/>
      <c r="I80" s="188"/>
      <c r="J80" s="188"/>
      <c r="K80" s="189"/>
      <c r="L80" s="538"/>
      <c r="M80" s="188"/>
      <c r="N80" s="501"/>
      <c r="O80" s="501"/>
      <c r="P80" s="190"/>
      <c r="Q80" s="190"/>
      <c r="R80" s="187"/>
      <c r="S80" s="184"/>
      <c r="T80" s="537"/>
      <c r="U80" s="190"/>
      <c r="V80" s="190"/>
      <c r="W80" s="187"/>
      <c r="X80" s="184"/>
      <c r="Y80" s="537"/>
      <c r="Z80" s="190"/>
      <c r="AA80" s="190"/>
      <c r="AB80" s="187"/>
      <c r="AC80" s="184"/>
      <c r="AD80" s="537"/>
      <c r="AE80" s="190"/>
      <c r="AF80" s="190"/>
      <c r="AG80" s="187"/>
      <c r="AH80" s="184"/>
      <c r="AI80" s="537"/>
      <c r="AJ80" s="190"/>
      <c r="AK80" s="190"/>
      <c r="AL80" s="187"/>
      <c r="AM80" s="184"/>
      <c r="AN80" s="567"/>
      <c r="AO80" s="190"/>
      <c r="AP80" s="190"/>
      <c r="AQ80" s="187"/>
      <c r="AR80" s="184"/>
      <c r="AS80" s="537"/>
      <c r="AT80" s="190"/>
      <c r="AU80" s="190"/>
      <c r="AV80" s="187"/>
      <c r="AW80" s="184"/>
      <c r="AX80" s="537"/>
    </row>
    <row r="81" spans="2:50" ht="14.25" customHeight="1">
      <c r="B81" s="501"/>
      <c r="C81" s="182">
        <v>15</v>
      </c>
      <c r="D81" s="185"/>
      <c r="E81" s="182"/>
      <c r="F81" s="182"/>
      <c r="G81" s="187"/>
      <c r="H81" s="537"/>
      <c r="I81" s="188"/>
      <c r="J81" s="188"/>
      <c r="K81" s="189"/>
      <c r="L81" s="538"/>
      <c r="M81" s="188"/>
      <c r="N81" s="501"/>
      <c r="O81" s="501"/>
      <c r="P81" s="190"/>
      <c r="Q81" s="190"/>
      <c r="R81" s="187"/>
      <c r="S81" s="184"/>
      <c r="T81" s="537"/>
      <c r="U81" s="190"/>
      <c r="V81" s="190"/>
      <c r="W81" s="187"/>
      <c r="X81" s="184"/>
      <c r="Y81" s="537"/>
      <c r="Z81" s="190"/>
      <c r="AA81" s="190"/>
      <c r="AB81" s="187"/>
      <c r="AC81" s="184"/>
      <c r="AD81" s="537"/>
      <c r="AE81" s="190"/>
      <c r="AF81" s="190"/>
      <c r="AG81" s="187"/>
      <c r="AH81" s="184"/>
      <c r="AI81" s="537"/>
      <c r="AJ81" s="190"/>
      <c r="AK81" s="190"/>
      <c r="AL81" s="187"/>
      <c r="AM81" s="184"/>
      <c r="AN81" s="568"/>
      <c r="AO81" s="190"/>
      <c r="AP81" s="190"/>
      <c r="AQ81" s="187"/>
      <c r="AR81" s="184"/>
      <c r="AS81" s="537"/>
      <c r="AT81" s="190"/>
      <c r="AU81" s="190"/>
      <c r="AV81" s="187"/>
      <c r="AW81" s="184"/>
      <c r="AX81" s="537"/>
    </row>
    <row r="82" spans="2:50" ht="14.25" customHeight="1" collapsed="1">
      <c r="B82" s="545" t="s">
        <v>605</v>
      </c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7"/>
      <c r="N82" s="563" t="s">
        <v>383</v>
      </c>
      <c r="O82" s="563" t="s">
        <v>105</v>
      </c>
      <c r="P82" s="598">
        <f>AT62+1</f>
        <v>46049</v>
      </c>
      <c r="Q82" s="599"/>
      <c r="R82" s="599"/>
      <c r="S82" s="599"/>
      <c r="T82" s="599"/>
      <c r="U82" s="600">
        <f>P82+1</f>
        <v>46050</v>
      </c>
      <c r="V82" s="601"/>
      <c r="W82" s="601"/>
      <c r="X82" s="601"/>
      <c r="Y82" s="601"/>
      <c r="Z82" s="598">
        <f t="shared" ref="Z82" si="104">U82+1</f>
        <v>46051</v>
      </c>
      <c r="AA82" s="599"/>
      <c r="AB82" s="599"/>
      <c r="AC82" s="599"/>
      <c r="AD82" s="599"/>
      <c r="AE82" s="600">
        <f t="shared" ref="AE82" si="105">Z82+1</f>
        <v>46052</v>
      </c>
      <c r="AF82" s="601"/>
      <c r="AG82" s="601"/>
      <c r="AH82" s="601"/>
      <c r="AI82" s="601"/>
      <c r="AJ82" s="590">
        <f t="shared" ref="AJ82" si="106">AE82+1</f>
        <v>46053</v>
      </c>
      <c r="AK82" s="591"/>
      <c r="AL82" s="591"/>
      <c r="AM82" s="591"/>
      <c r="AN82" s="592"/>
      <c r="AO82" s="600">
        <f t="shared" ref="AO82" si="107">AJ82+1</f>
        <v>46054</v>
      </c>
      <c r="AP82" s="601"/>
      <c r="AQ82" s="601"/>
      <c r="AR82" s="601"/>
      <c r="AS82" s="601"/>
      <c r="AT82" s="590">
        <f t="shared" ref="AT82" si="108">AO82+1</f>
        <v>46055</v>
      </c>
      <c r="AU82" s="591"/>
      <c r="AV82" s="591"/>
      <c r="AW82" s="591"/>
      <c r="AX82" s="592"/>
    </row>
    <row r="83" spans="2:50" ht="14.25" customHeight="1">
      <c r="B83" s="548"/>
      <c r="C83" s="548"/>
      <c r="D83" s="548"/>
      <c r="E83" s="548"/>
      <c r="F83" s="548"/>
      <c r="G83" s="548"/>
      <c r="H83" s="548"/>
      <c r="I83" s="548"/>
      <c r="J83" s="548"/>
      <c r="K83" s="548"/>
      <c r="L83" s="548"/>
      <c r="M83" s="549"/>
      <c r="N83" s="565"/>
      <c r="O83" s="565"/>
      <c r="P83" s="593">
        <f>P82</f>
        <v>46049</v>
      </c>
      <c r="Q83" s="593"/>
      <c r="R83" s="593"/>
      <c r="S83" s="593"/>
      <c r="T83" s="593"/>
      <c r="U83" s="594">
        <f>U82</f>
        <v>46050</v>
      </c>
      <c r="V83" s="594"/>
      <c r="W83" s="594"/>
      <c r="X83" s="594"/>
      <c r="Y83" s="594"/>
      <c r="Z83" s="593">
        <f t="shared" ref="Z83" si="109">Z82</f>
        <v>46051</v>
      </c>
      <c r="AA83" s="593"/>
      <c r="AB83" s="593"/>
      <c r="AC83" s="593"/>
      <c r="AD83" s="593"/>
      <c r="AE83" s="594">
        <f t="shared" ref="AE83" si="110">AE82</f>
        <v>46052</v>
      </c>
      <c r="AF83" s="594"/>
      <c r="AG83" s="594"/>
      <c r="AH83" s="594"/>
      <c r="AI83" s="594"/>
      <c r="AJ83" s="595">
        <f t="shared" ref="AJ83" si="111">AJ82</f>
        <v>46053</v>
      </c>
      <c r="AK83" s="596"/>
      <c r="AL83" s="596"/>
      <c r="AM83" s="596"/>
      <c r="AN83" s="597"/>
      <c r="AO83" s="594">
        <f t="shared" ref="AO83" si="112">AO82</f>
        <v>46054</v>
      </c>
      <c r="AP83" s="594"/>
      <c r="AQ83" s="594"/>
      <c r="AR83" s="594"/>
      <c r="AS83" s="594"/>
      <c r="AT83" s="595">
        <f t="shared" ref="AT83" si="113">AT82</f>
        <v>46055</v>
      </c>
      <c r="AU83" s="596"/>
      <c r="AV83" s="596"/>
      <c r="AW83" s="596"/>
      <c r="AX83" s="597"/>
    </row>
    <row r="84" spans="2:50" ht="14.25" customHeight="1">
      <c r="B84" s="501" t="s">
        <v>164</v>
      </c>
      <c r="C84" s="501" t="s">
        <v>159</v>
      </c>
      <c r="D84" s="501"/>
      <c r="E84" s="501" t="s">
        <v>160</v>
      </c>
      <c r="F84" s="501"/>
      <c r="G84" s="501"/>
      <c r="H84" s="501" t="s">
        <v>165</v>
      </c>
      <c r="I84" s="522" t="s">
        <v>384</v>
      </c>
      <c r="J84" s="522"/>
      <c r="K84" s="522"/>
      <c r="L84" s="522" t="s">
        <v>165</v>
      </c>
      <c r="M84" s="522" t="s">
        <v>167</v>
      </c>
      <c r="N84" s="501"/>
      <c r="O84" s="501" t="s">
        <v>166</v>
      </c>
      <c r="P84" s="501" t="s">
        <v>162</v>
      </c>
      <c r="Q84" s="501"/>
      <c r="R84" s="501"/>
      <c r="S84" s="501"/>
      <c r="T84" s="501" t="s">
        <v>165</v>
      </c>
      <c r="U84" s="501" t="s">
        <v>162</v>
      </c>
      <c r="V84" s="501"/>
      <c r="W84" s="501"/>
      <c r="X84" s="501"/>
      <c r="Y84" s="501" t="s">
        <v>165</v>
      </c>
      <c r="Z84" s="501" t="s">
        <v>162</v>
      </c>
      <c r="AA84" s="501"/>
      <c r="AB84" s="501"/>
      <c r="AC84" s="501"/>
      <c r="AD84" s="501" t="s">
        <v>165</v>
      </c>
      <c r="AE84" s="501" t="s">
        <v>162</v>
      </c>
      <c r="AF84" s="501"/>
      <c r="AG84" s="501"/>
      <c r="AH84" s="501"/>
      <c r="AI84" s="501" t="s">
        <v>165</v>
      </c>
      <c r="AJ84" s="501" t="s">
        <v>162</v>
      </c>
      <c r="AK84" s="501"/>
      <c r="AL84" s="501"/>
      <c r="AM84" s="501"/>
      <c r="AN84" s="501" t="s">
        <v>165</v>
      </c>
      <c r="AO84" s="501" t="s">
        <v>162</v>
      </c>
      <c r="AP84" s="501"/>
      <c r="AQ84" s="501"/>
      <c r="AR84" s="501"/>
      <c r="AS84" s="501" t="s">
        <v>165</v>
      </c>
      <c r="AT84" s="501" t="s">
        <v>162</v>
      </c>
      <c r="AU84" s="501"/>
      <c r="AV84" s="501"/>
      <c r="AW84" s="501"/>
      <c r="AX84" s="501" t="s">
        <v>165</v>
      </c>
    </row>
    <row r="85" spans="2:50" ht="14.25" customHeight="1">
      <c r="B85" s="501"/>
      <c r="C85" s="501"/>
      <c r="D85" s="501"/>
      <c r="E85" s="501" t="s">
        <v>385</v>
      </c>
      <c r="F85" s="501"/>
      <c r="G85" s="501"/>
      <c r="H85" s="501"/>
      <c r="I85" s="522" t="s">
        <v>385</v>
      </c>
      <c r="J85" s="522"/>
      <c r="K85" s="522"/>
      <c r="L85" s="522"/>
      <c r="M85" s="522"/>
      <c r="N85" s="501"/>
      <c r="O85" s="501"/>
      <c r="P85" s="501" t="s">
        <v>386</v>
      </c>
      <c r="Q85" s="501"/>
      <c r="R85" s="501"/>
      <c r="S85" s="501"/>
      <c r="T85" s="501"/>
      <c r="U85" s="501" t="s">
        <v>386</v>
      </c>
      <c r="V85" s="501"/>
      <c r="W85" s="501"/>
      <c r="X85" s="501"/>
      <c r="Y85" s="501"/>
      <c r="Z85" s="501"/>
      <c r="AA85" s="501"/>
      <c r="AB85" s="501"/>
      <c r="AC85" s="501"/>
      <c r="AD85" s="501"/>
      <c r="AE85" s="501" t="s">
        <v>386</v>
      </c>
      <c r="AF85" s="501"/>
      <c r="AG85" s="501"/>
      <c r="AH85" s="501"/>
      <c r="AI85" s="501"/>
      <c r="AJ85" s="501" t="s">
        <v>386</v>
      </c>
      <c r="AK85" s="501"/>
      <c r="AL85" s="501"/>
      <c r="AM85" s="501"/>
      <c r="AN85" s="501"/>
      <c r="AO85" s="501" t="s">
        <v>386</v>
      </c>
      <c r="AP85" s="501"/>
      <c r="AQ85" s="501"/>
      <c r="AR85" s="501"/>
      <c r="AS85" s="501"/>
      <c r="AT85" s="501" t="s">
        <v>386</v>
      </c>
      <c r="AU85" s="501"/>
      <c r="AV85" s="501"/>
      <c r="AW85" s="501"/>
      <c r="AX85" s="501"/>
    </row>
    <row r="86" spans="2:50" ht="14.25" customHeight="1">
      <c r="B86" s="501"/>
      <c r="C86" s="501"/>
      <c r="D86" s="501"/>
      <c r="E86" s="182" t="s">
        <v>161</v>
      </c>
      <c r="F86" s="182" t="s">
        <v>387</v>
      </c>
      <c r="G86" s="182" t="s">
        <v>163</v>
      </c>
      <c r="H86" s="501"/>
      <c r="I86" s="183" t="s">
        <v>161</v>
      </c>
      <c r="J86" s="183" t="s">
        <v>387</v>
      </c>
      <c r="K86" s="183" t="s">
        <v>163</v>
      </c>
      <c r="L86" s="522"/>
      <c r="M86" s="522"/>
      <c r="N86" s="501"/>
      <c r="O86" s="501"/>
      <c r="P86" s="182" t="s">
        <v>161</v>
      </c>
      <c r="Q86" s="182" t="s">
        <v>387</v>
      </c>
      <c r="R86" s="182" t="s">
        <v>163</v>
      </c>
      <c r="S86" s="184" t="s">
        <v>167</v>
      </c>
      <c r="T86" s="501"/>
      <c r="U86" s="182" t="s">
        <v>161</v>
      </c>
      <c r="V86" s="182" t="s">
        <v>387</v>
      </c>
      <c r="W86" s="182" t="s">
        <v>163</v>
      </c>
      <c r="X86" s="184" t="s">
        <v>167</v>
      </c>
      <c r="Y86" s="501"/>
      <c r="Z86" s="182" t="s">
        <v>161</v>
      </c>
      <c r="AA86" s="182" t="s">
        <v>387</v>
      </c>
      <c r="AB86" s="182" t="s">
        <v>163</v>
      </c>
      <c r="AC86" s="184" t="s">
        <v>167</v>
      </c>
      <c r="AD86" s="501"/>
      <c r="AE86" s="182" t="s">
        <v>161</v>
      </c>
      <c r="AF86" s="182" t="s">
        <v>387</v>
      </c>
      <c r="AG86" s="182" t="s">
        <v>163</v>
      </c>
      <c r="AH86" s="184" t="s">
        <v>167</v>
      </c>
      <c r="AI86" s="501"/>
      <c r="AJ86" s="182" t="s">
        <v>161</v>
      </c>
      <c r="AK86" s="182" t="s">
        <v>387</v>
      </c>
      <c r="AL86" s="182" t="s">
        <v>163</v>
      </c>
      <c r="AM86" s="184" t="s">
        <v>167</v>
      </c>
      <c r="AN86" s="501"/>
      <c r="AO86" s="182" t="s">
        <v>161</v>
      </c>
      <c r="AP86" s="182" t="s">
        <v>387</v>
      </c>
      <c r="AQ86" s="182" t="s">
        <v>163</v>
      </c>
      <c r="AR86" s="184" t="s">
        <v>167</v>
      </c>
      <c r="AS86" s="501"/>
      <c r="AT86" s="182" t="s">
        <v>161</v>
      </c>
      <c r="AU86" s="182" t="s">
        <v>387</v>
      </c>
      <c r="AV86" s="182" t="s">
        <v>163</v>
      </c>
      <c r="AW86" s="184" t="s">
        <v>167</v>
      </c>
      <c r="AX86" s="501"/>
    </row>
    <row r="87" spans="2:50" ht="14.25" customHeight="1">
      <c r="B87" s="501" t="s">
        <v>144</v>
      </c>
      <c r="C87" s="182">
        <v>1</v>
      </c>
      <c r="D87" s="185"/>
      <c r="E87" s="182"/>
      <c r="F87" s="182"/>
      <c r="G87" s="187" t="e">
        <f t="shared" ref="G87:G101" si="114">F87/E87</f>
        <v>#DIV/0!</v>
      </c>
      <c r="H87" s="537" t="e">
        <f>AVERAGE(G87:G101)</f>
        <v>#DIV/0!</v>
      </c>
      <c r="I87" s="188" t="e">
        <f>AVERAGE(P87,U87,Z87,AE87,AJ87,AO87,AT87)</f>
        <v>#DIV/0!</v>
      </c>
      <c r="J87" s="188" t="e">
        <f>AVERAGE(Q87,V87,AA87,AF87,AK87,AP87,AU87)</f>
        <v>#DIV/0!</v>
      </c>
      <c r="K87" s="189" t="e">
        <f>AVERAGE(R87,W87,AB87,AG87,AL87,AQ87,AV87)</f>
        <v>#DIV/0!</v>
      </c>
      <c r="L87" s="538" t="str">
        <f>IFERROR(AVERAGE(K87:K101),"-")</f>
        <v>-</v>
      </c>
      <c r="M87" s="188" t="e">
        <f>RANK(K87, K$47:$K$61)</f>
        <v>#DIV/0!</v>
      </c>
      <c r="N87" s="501"/>
      <c r="O87" s="501"/>
      <c r="P87" s="182"/>
      <c r="Q87" s="182"/>
      <c r="R87" s="187" t="e">
        <f t="shared" ref="R87:R100" si="115">Q87/P87</f>
        <v>#DIV/0!</v>
      </c>
      <c r="S87" s="184" t="e">
        <f>RANK(R87, R$47:R$61)</f>
        <v>#DIV/0!</v>
      </c>
      <c r="T87" s="537" t="e">
        <f>AVERAGE(R87:R101)</f>
        <v>#DIV/0!</v>
      </c>
      <c r="U87" s="182"/>
      <c r="V87" s="182"/>
      <c r="W87" s="187" t="e">
        <f t="shared" ref="W87:W100" si="116">V87/U87</f>
        <v>#DIV/0!</v>
      </c>
      <c r="X87" s="184" t="e">
        <f>RANK(W87, W$47:W$61)</f>
        <v>#DIV/0!</v>
      </c>
      <c r="Y87" s="537" t="e">
        <f>AVERAGE(W87:W101)</f>
        <v>#DIV/0!</v>
      </c>
      <c r="Z87" s="182"/>
      <c r="AA87" s="182"/>
      <c r="AB87" s="187" t="e">
        <f t="shared" ref="AB87:AB100" si="117">AA87/Z87</f>
        <v>#DIV/0!</v>
      </c>
      <c r="AC87" s="184" t="e">
        <f>RANK(AB87, AB$47:AB$61)</f>
        <v>#DIV/0!</v>
      </c>
      <c r="AD87" s="537" t="e">
        <f>AVERAGE(AB87:AB101)</f>
        <v>#DIV/0!</v>
      </c>
      <c r="AE87" s="182"/>
      <c r="AF87" s="182"/>
      <c r="AG87" s="187" t="e">
        <f t="shared" ref="AG87:AG100" si="118">AF87/AE87</f>
        <v>#DIV/0!</v>
      </c>
      <c r="AH87" s="184" t="e">
        <f>RANK(AG87, AG$47:AG$61)</f>
        <v>#DIV/0!</v>
      </c>
      <c r="AI87" s="537" t="e">
        <f>AVERAGE(AG87:AG101)</f>
        <v>#DIV/0!</v>
      </c>
      <c r="AJ87" s="182"/>
      <c r="AK87" s="182"/>
      <c r="AL87" s="187" t="e">
        <f t="shared" ref="AL87:AL100" si="119">AK87/AJ87</f>
        <v>#DIV/0!</v>
      </c>
      <c r="AM87" s="184" t="e">
        <f>RANK(AL87, AL$47:AL$61)</f>
        <v>#DIV/0!</v>
      </c>
      <c r="AN87" s="537" t="e">
        <f>AVERAGE(AL87:AL101)</f>
        <v>#DIV/0!</v>
      </c>
      <c r="AO87" s="182"/>
      <c r="AP87" s="182"/>
      <c r="AQ87" s="187" t="e">
        <f t="shared" ref="AQ87:AQ100" si="120">AP87/AO87</f>
        <v>#DIV/0!</v>
      </c>
      <c r="AR87" s="184" t="e">
        <f>RANK(AQ87, AQ$47:AQ$61)</f>
        <v>#DIV/0!</v>
      </c>
      <c r="AS87" s="537" t="e">
        <f>AVERAGE(AQ87:AQ101)</f>
        <v>#DIV/0!</v>
      </c>
      <c r="AT87" s="182"/>
      <c r="AU87" s="182"/>
      <c r="AV87" s="187" t="e">
        <f t="shared" ref="AV87:AV100" si="121">AU87/AT87</f>
        <v>#DIV/0!</v>
      </c>
      <c r="AW87" s="184" t="e">
        <f>RANK(AV87, AV$47:AV$61)</f>
        <v>#DIV/0!</v>
      </c>
      <c r="AX87" s="537" t="e">
        <f>AVERAGE(AV87:AV101)</f>
        <v>#DIV/0!</v>
      </c>
    </row>
    <row r="88" spans="2:50" ht="14.25" customHeight="1">
      <c r="B88" s="501"/>
      <c r="C88" s="182">
        <v>2</v>
      </c>
      <c r="D88" s="185"/>
      <c r="E88" s="182"/>
      <c r="F88" s="182"/>
      <c r="G88" s="187" t="e">
        <f t="shared" si="114"/>
        <v>#DIV/0!</v>
      </c>
      <c r="H88" s="537"/>
      <c r="I88" s="188" t="e">
        <f t="shared" ref="I88:I101" si="122">AVERAGE(P88,U88,Z88,AE88,AJ88,AO88,AT88)</f>
        <v>#DIV/0!</v>
      </c>
      <c r="J88" s="188" t="e">
        <f t="shared" ref="J88:J101" si="123">AVERAGE(Q88,V88,AA88,AF88,AK88,AP88,AU88)</f>
        <v>#DIV/0!</v>
      </c>
      <c r="K88" s="189" t="e">
        <f t="shared" ref="K88:K101" si="124">AVERAGE(R88,W88,AB88,AG88,AL88,AQ88,AV88)</f>
        <v>#DIV/0!</v>
      </c>
      <c r="L88" s="538"/>
      <c r="M88" s="188" t="e">
        <f>RANK(K88, K$47:$K$61)</f>
        <v>#DIV/0!</v>
      </c>
      <c r="N88" s="501"/>
      <c r="O88" s="501"/>
      <c r="P88" s="182"/>
      <c r="Q88" s="182"/>
      <c r="R88" s="187" t="e">
        <f t="shared" si="115"/>
        <v>#DIV/0!</v>
      </c>
      <c r="S88" s="184" t="e">
        <f t="shared" ref="S88:S101" si="125">RANK(R88, R$47:R$61)</f>
        <v>#DIV/0!</v>
      </c>
      <c r="T88" s="537"/>
      <c r="U88" s="182"/>
      <c r="V88" s="182"/>
      <c r="W88" s="187" t="e">
        <f t="shared" si="116"/>
        <v>#DIV/0!</v>
      </c>
      <c r="X88" s="184" t="e">
        <f t="shared" ref="X88:X101" si="126">RANK(W88, W$47:W$61)</f>
        <v>#DIV/0!</v>
      </c>
      <c r="Y88" s="537"/>
      <c r="Z88" s="182"/>
      <c r="AA88" s="182"/>
      <c r="AB88" s="187" t="e">
        <f t="shared" si="117"/>
        <v>#DIV/0!</v>
      </c>
      <c r="AC88" s="184" t="e">
        <f t="shared" ref="AC88:AC101" si="127">RANK(AB88, AB$47:AB$61)</f>
        <v>#DIV/0!</v>
      </c>
      <c r="AD88" s="537"/>
      <c r="AE88" s="182"/>
      <c r="AF88" s="182"/>
      <c r="AG88" s="187" t="e">
        <f t="shared" si="118"/>
        <v>#DIV/0!</v>
      </c>
      <c r="AH88" s="184" t="e">
        <f t="shared" ref="AH88:AH101" si="128">RANK(AG88, AG$47:AG$61)</f>
        <v>#DIV/0!</v>
      </c>
      <c r="AI88" s="537"/>
      <c r="AJ88" s="182"/>
      <c r="AK88" s="182"/>
      <c r="AL88" s="187" t="e">
        <f t="shared" si="119"/>
        <v>#DIV/0!</v>
      </c>
      <c r="AM88" s="184" t="e">
        <f t="shared" ref="AM88:AM101" si="129">RANK(AL88, AL$47:AL$61)</f>
        <v>#DIV/0!</v>
      </c>
      <c r="AN88" s="537"/>
      <c r="AO88" s="182"/>
      <c r="AP88" s="182"/>
      <c r="AQ88" s="187" t="e">
        <f t="shared" si="120"/>
        <v>#DIV/0!</v>
      </c>
      <c r="AR88" s="184" t="e">
        <f t="shared" ref="AR88:AR101" si="130">RANK(AQ88, AQ$47:AQ$61)</f>
        <v>#DIV/0!</v>
      </c>
      <c r="AS88" s="537"/>
      <c r="AT88" s="182"/>
      <c r="AU88" s="182"/>
      <c r="AV88" s="187" t="e">
        <f t="shared" si="121"/>
        <v>#DIV/0!</v>
      </c>
      <c r="AW88" s="184" t="e">
        <f t="shared" ref="AW88:AW101" si="131">RANK(AV88, AV$47:AV$61)</f>
        <v>#DIV/0!</v>
      </c>
      <c r="AX88" s="537"/>
    </row>
    <row r="89" spans="2:50" ht="14.25" customHeight="1">
      <c r="B89" s="501"/>
      <c r="C89" s="182">
        <v>3</v>
      </c>
      <c r="D89" s="185"/>
      <c r="E89" s="182"/>
      <c r="F89" s="182"/>
      <c r="G89" s="187" t="e">
        <f t="shared" si="114"/>
        <v>#DIV/0!</v>
      </c>
      <c r="H89" s="537"/>
      <c r="I89" s="188" t="e">
        <f t="shared" si="122"/>
        <v>#DIV/0!</v>
      </c>
      <c r="J89" s="188" t="e">
        <f t="shared" si="123"/>
        <v>#DIV/0!</v>
      </c>
      <c r="K89" s="189" t="e">
        <f t="shared" si="124"/>
        <v>#DIV/0!</v>
      </c>
      <c r="L89" s="538"/>
      <c r="M89" s="188" t="e">
        <f>RANK(K89, K$47:$K$61)</f>
        <v>#DIV/0!</v>
      </c>
      <c r="N89" s="501"/>
      <c r="O89" s="501"/>
      <c r="P89" s="182"/>
      <c r="Q89" s="182"/>
      <c r="R89" s="187" t="e">
        <f t="shared" si="115"/>
        <v>#DIV/0!</v>
      </c>
      <c r="S89" s="184" t="e">
        <f t="shared" si="125"/>
        <v>#DIV/0!</v>
      </c>
      <c r="T89" s="537"/>
      <c r="U89" s="182"/>
      <c r="V89" s="182"/>
      <c r="W89" s="187" t="e">
        <f t="shared" si="116"/>
        <v>#DIV/0!</v>
      </c>
      <c r="X89" s="184" t="e">
        <f t="shared" si="126"/>
        <v>#DIV/0!</v>
      </c>
      <c r="Y89" s="537"/>
      <c r="Z89" s="182"/>
      <c r="AA89" s="182"/>
      <c r="AB89" s="187" t="e">
        <f t="shared" si="117"/>
        <v>#DIV/0!</v>
      </c>
      <c r="AC89" s="184" t="e">
        <f t="shared" si="127"/>
        <v>#DIV/0!</v>
      </c>
      <c r="AD89" s="537"/>
      <c r="AE89" s="182"/>
      <c r="AF89" s="182"/>
      <c r="AG89" s="187" t="e">
        <f t="shared" si="118"/>
        <v>#DIV/0!</v>
      </c>
      <c r="AH89" s="184" t="e">
        <f t="shared" si="128"/>
        <v>#DIV/0!</v>
      </c>
      <c r="AI89" s="537"/>
      <c r="AJ89" s="182"/>
      <c r="AK89" s="182"/>
      <c r="AL89" s="187" t="e">
        <f t="shared" si="119"/>
        <v>#DIV/0!</v>
      </c>
      <c r="AM89" s="184" t="e">
        <f t="shared" si="129"/>
        <v>#DIV/0!</v>
      </c>
      <c r="AN89" s="537"/>
      <c r="AO89" s="182"/>
      <c r="AP89" s="182"/>
      <c r="AQ89" s="187" t="e">
        <f t="shared" si="120"/>
        <v>#DIV/0!</v>
      </c>
      <c r="AR89" s="184" t="e">
        <f t="shared" si="130"/>
        <v>#DIV/0!</v>
      </c>
      <c r="AS89" s="537"/>
      <c r="AT89" s="182"/>
      <c r="AU89" s="182"/>
      <c r="AV89" s="187" t="e">
        <f t="shared" si="121"/>
        <v>#DIV/0!</v>
      </c>
      <c r="AW89" s="184" t="e">
        <f t="shared" si="131"/>
        <v>#DIV/0!</v>
      </c>
      <c r="AX89" s="537"/>
    </row>
    <row r="90" spans="2:50" ht="14.25" customHeight="1">
      <c r="B90" s="501"/>
      <c r="C90" s="182">
        <v>4</v>
      </c>
      <c r="D90" s="185"/>
      <c r="E90" s="182"/>
      <c r="F90" s="182"/>
      <c r="G90" s="187" t="e">
        <f t="shared" si="114"/>
        <v>#DIV/0!</v>
      </c>
      <c r="H90" s="537"/>
      <c r="I90" s="188" t="e">
        <f t="shared" si="122"/>
        <v>#DIV/0!</v>
      </c>
      <c r="J90" s="188" t="e">
        <f t="shared" si="123"/>
        <v>#DIV/0!</v>
      </c>
      <c r="K90" s="189" t="e">
        <f t="shared" si="124"/>
        <v>#DIV/0!</v>
      </c>
      <c r="L90" s="538"/>
      <c r="M90" s="188" t="e">
        <f>RANK(K90, K$47:$K$61)</f>
        <v>#DIV/0!</v>
      </c>
      <c r="N90" s="501"/>
      <c r="O90" s="501"/>
      <c r="P90" s="182"/>
      <c r="Q90" s="182"/>
      <c r="R90" s="187" t="e">
        <f t="shared" si="115"/>
        <v>#DIV/0!</v>
      </c>
      <c r="S90" s="184" t="e">
        <f t="shared" si="125"/>
        <v>#DIV/0!</v>
      </c>
      <c r="T90" s="537"/>
      <c r="U90" s="182"/>
      <c r="V90" s="182"/>
      <c r="W90" s="187" t="e">
        <f t="shared" si="116"/>
        <v>#DIV/0!</v>
      </c>
      <c r="X90" s="184" t="e">
        <f t="shared" si="126"/>
        <v>#DIV/0!</v>
      </c>
      <c r="Y90" s="537"/>
      <c r="Z90" s="182"/>
      <c r="AA90" s="182"/>
      <c r="AB90" s="187" t="e">
        <f t="shared" si="117"/>
        <v>#DIV/0!</v>
      </c>
      <c r="AC90" s="184" t="e">
        <f t="shared" si="127"/>
        <v>#DIV/0!</v>
      </c>
      <c r="AD90" s="537"/>
      <c r="AE90" s="182"/>
      <c r="AF90" s="182"/>
      <c r="AG90" s="187" t="e">
        <f t="shared" si="118"/>
        <v>#DIV/0!</v>
      </c>
      <c r="AH90" s="184" t="e">
        <f t="shared" si="128"/>
        <v>#DIV/0!</v>
      </c>
      <c r="AI90" s="537"/>
      <c r="AJ90" s="182"/>
      <c r="AK90" s="182"/>
      <c r="AL90" s="187" t="e">
        <f t="shared" si="119"/>
        <v>#DIV/0!</v>
      </c>
      <c r="AM90" s="184" t="e">
        <f t="shared" si="129"/>
        <v>#DIV/0!</v>
      </c>
      <c r="AN90" s="537"/>
      <c r="AO90" s="182"/>
      <c r="AP90" s="182"/>
      <c r="AQ90" s="187" t="e">
        <f t="shared" si="120"/>
        <v>#DIV/0!</v>
      </c>
      <c r="AR90" s="184" t="e">
        <f t="shared" si="130"/>
        <v>#DIV/0!</v>
      </c>
      <c r="AS90" s="537"/>
      <c r="AT90" s="182"/>
      <c r="AU90" s="182"/>
      <c r="AV90" s="187" t="e">
        <f t="shared" si="121"/>
        <v>#DIV/0!</v>
      </c>
      <c r="AW90" s="184" t="e">
        <f t="shared" si="131"/>
        <v>#DIV/0!</v>
      </c>
      <c r="AX90" s="537"/>
    </row>
    <row r="91" spans="2:50" ht="14.25" customHeight="1">
      <c r="B91" s="501"/>
      <c r="C91" s="182">
        <v>5</v>
      </c>
      <c r="D91" s="185"/>
      <c r="E91" s="182"/>
      <c r="F91" s="182"/>
      <c r="G91" s="187" t="e">
        <f t="shared" si="114"/>
        <v>#DIV/0!</v>
      </c>
      <c r="H91" s="537"/>
      <c r="I91" s="188" t="e">
        <f t="shared" si="122"/>
        <v>#DIV/0!</v>
      </c>
      <c r="J91" s="188" t="e">
        <f t="shared" si="123"/>
        <v>#DIV/0!</v>
      </c>
      <c r="K91" s="189" t="e">
        <f t="shared" si="124"/>
        <v>#DIV/0!</v>
      </c>
      <c r="L91" s="538"/>
      <c r="M91" s="188" t="e">
        <f>RANK(K91, K$47:$K$61)</f>
        <v>#DIV/0!</v>
      </c>
      <c r="N91" s="501"/>
      <c r="O91" s="501"/>
      <c r="P91" s="182"/>
      <c r="Q91" s="182"/>
      <c r="R91" s="187" t="e">
        <f t="shared" si="115"/>
        <v>#DIV/0!</v>
      </c>
      <c r="S91" s="184" t="e">
        <f t="shared" si="125"/>
        <v>#DIV/0!</v>
      </c>
      <c r="T91" s="537"/>
      <c r="U91" s="182"/>
      <c r="V91" s="182"/>
      <c r="W91" s="187" t="e">
        <f t="shared" si="116"/>
        <v>#DIV/0!</v>
      </c>
      <c r="X91" s="184" t="e">
        <f t="shared" si="126"/>
        <v>#DIV/0!</v>
      </c>
      <c r="Y91" s="537"/>
      <c r="Z91" s="182"/>
      <c r="AA91" s="182"/>
      <c r="AB91" s="187" t="e">
        <f t="shared" si="117"/>
        <v>#DIV/0!</v>
      </c>
      <c r="AC91" s="184" t="e">
        <f t="shared" si="127"/>
        <v>#DIV/0!</v>
      </c>
      <c r="AD91" s="537"/>
      <c r="AE91" s="182"/>
      <c r="AF91" s="182"/>
      <c r="AG91" s="187" t="e">
        <f t="shared" si="118"/>
        <v>#DIV/0!</v>
      </c>
      <c r="AH91" s="184" t="e">
        <f t="shared" si="128"/>
        <v>#DIV/0!</v>
      </c>
      <c r="AI91" s="537"/>
      <c r="AJ91" s="182"/>
      <c r="AK91" s="182"/>
      <c r="AL91" s="187" t="e">
        <f t="shared" si="119"/>
        <v>#DIV/0!</v>
      </c>
      <c r="AM91" s="184" t="e">
        <f t="shared" si="129"/>
        <v>#DIV/0!</v>
      </c>
      <c r="AN91" s="537"/>
      <c r="AO91" s="182"/>
      <c r="AP91" s="182"/>
      <c r="AQ91" s="187" t="e">
        <f t="shared" si="120"/>
        <v>#DIV/0!</v>
      </c>
      <c r="AR91" s="184" t="e">
        <f t="shared" si="130"/>
        <v>#DIV/0!</v>
      </c>
      <c r="AS91" s="537"/>
      <c r="AT91" s="182"/>
      <c r="AU91" s="182"/>
      <c r="AV91" s="187" t="e">
        <f t="shared" si="121"/>
        <v>#DIV/0!</v>
      </c>
      <c r="AW91" s="184" t="e">
        <f t="shared" si="131"/>
        <v>#DIV/0!</v>
      </c>
      <c r="AX91" s="537"/>
    </row>
    <row r="92" spans="2:50" ht="14.25" customHeight="1">
      <c r="B92" s="501"/>
      <c r="C92" s="182">
        <v>6</v>
      </c>
      <c r="D92" s="185"/>
      <c r="E92" s="182"/>
      <c r="F92" s="182"/>
      <c r="G92" s="187" t="e">
        <f t="shared" si="114"/>
        <v>#DIV/0!</v>
      </c>
      <c r="H92" s="537"/>
      <c r="I92" s="188" t="e">
        <f t="shared" si="122"/>
        <v>#DIV/0!</v>
      </c>
      <c r="J92" s="188" t="e">
        <f t="shared" si="123"/>
        <v>#DIV/0!</v>
      </c>
      <c r="K92" s="189" t="e">
        <f t="shared" si="124"/>
        <v>#DIV/0!</v>
      </c>
      <c r="L92" s="538"/>
      <c r="M92" s="188" t="e">
        <f>RANK(K92, K$47:$K$61)</f>
        <v>#DIV/0!</v>
      </c>
      <c r="N92" s="501"/>
      <c r="O92" s="501"/>
      <c r="P92" s="182"/>
      <c r="Q92" s="182"/>
      <c r="R92" s="187" t="e">
        <f t="shared" si="115"/>
        <v>#DIV/0!</v>
      </c>
      <c r="S92" s="184" t="e">
        <f t="shared" si="125"/>
        <v>#DIV/0!</v>
      </c>
      <c r="T92" s="537"/>
      <c r="U92" s="182"/>
      <c r="V92" s="182"/>
      <c r="W92" s="187" t="e">
        <f t="shared" si="116"/>
        <v>#DIV/0!</v>
      </c>
      <c r="X92" s="184" t="e">
        <f t="shared" si="126"/>
        <v>#DIV/0!</v>
      </c>
      <c r="Y92" s="537"/>
      <c r="Z92" s="182"/>
      <c r="AA92" s="182"/>
      <c r="AB92" s="187" t="e">
        <f t="shared" si="117"/>
        <v>#DIV/0!</v>
      </c>
      <c r="AC92" s="184" t="e">
        <f t="shared" si="127"/>
        <v>#DIV/0!</v>
      </c>
      <c r="AD92" s="537"/>
      <c r="AE92" s="182"/>
      <c r="AF92" s="182"/>
      <c r="AG92" s="187" t="e">
        <f t="shared" si="118"/>
        <v>#DIV/0!</v>
      </c>
      <c r="AH92" s="184" t="e">
        <f t="shared" si="128"/>
        <v>#DIV/0!</v>
      </c>
      <c r="AI92" s="537"/>
      <c r="AJ92" s="182"/>
      <c r="AK92" s="182"/>
      <c r="AL92" s="187" t="e">
        <f t="shared" si="119"/>
        <v>#DIV/0!</v>
      </c>
      <c r="AM92" s="184" t="e">
        <f t="shared" si="129"/>
        <v>#DIV/0!</v>
      </c>
      <c r="AN92" s="537"/>
      <c r="AO92" s="182"/>
      <c r="AP92" s="182"/>
      <c r="AQ92" s="187" t="e">
        <f t="shared" si="120"/>
        <v>#DIV/0!</v>
      </c>
      <c r="AR92" s="184" t="e">
        <f t="shared" si="130"/>
        <v>#DIV/0!</v>
      </c>
      <c r="AS92" s="537"/>
      <c r="AT92" s="182"/>
      <c r="AU92" s="182"/>
      <c r="AV92" s="187" t="e">
        <f t="shared" si="121"/>
        <v>#DIV/0!</v>
      </c>
      <c r="AW92" s="184" t="e">
        <f t="shared" si="131"/>
        <v>#DIV/0!</v>
      </c>
      <c r="AX92" s="537"/>
    </row>
    <row r="93" spans="2:50" ht="14.25" customHeight="1">
      <c r="B93" s="501"/>
      <c r="C93" s="182">
        <v>7</v>
      </c>
      <c r="D93" s="185"/>
      <c r="E93" s="182"/>
      <c r="F93" s="182"/>
      <c r="G93" s="187" t="e">
        <f t="shared" si="114"/>
        <v>#DIV/0!</v>
      </c>
      <c r="H93" s="537"/>
      <c r="I93" s="188" t="e">
        <f t="shared" si="122"/>
        <v>#DIV/0!</v>
      </c>
      <c r="J93" s="188" t="e">
        <f t="shared" si="123"/>
        <v>#DIV/0!</v>
      </c>
      <c r="K93" s="189" t="e">
        <f t="shared" si="124"/>
        <v>#DIV/0!</v>
      </c>
      <c r="L93" s="538"/>
      <c r="M93" s="188" t="e">
        <f>RANK(K93, K$47:$K$61)</f>
        <v>#DIV/0!</v>
      </c>
      <c r="N93" s="501"/>
      <c r="O93" s="501"/>
      <c r="P93" s="182"/>
      <c r="Q93" s="182"/>
      <c r="R93" s="187" t="e">
        <f t="shared" si="115"/>
        <v>#DIV/0!</v>
      </c>
      <c r="S93" s="184" t="e">
        <f t="shared" si="125"/>
        <v>#DIV/0!</v>
      </c>
      <c r="T93" s="537"/>
      <c r="U93" s="182"/>
      <c r="V93" s="182"/>
      <c r="W93" s="187" t="e">
        <f t="shared" si="116"/>
        <v>#DIV/0!</v>
      </c>
      <c r="X93" s="184" t="e">
        <f t="shared" si="126"/>
        <v>#DIV/0!</v>
      </c>
      <c r="Y93" s="537"/>
      <c r="Z93" s="182"/>
      <c r="AA93" s="182"/>
      <c r="AB93" s="187" t="e">
        <f t="shared" si="117"/>
        <v>#DIV/0!</v>
      </c>
      <c r="AC93" s="184" t="e">
        <f t="shared" si="127"/>
        <v>#DIV/0!</v>
      </c>
      <c r="AD93" s="537"/>
      <c r="AE93" s="182"/>
      <c r="AF93" s="182"/>
      <c r="AG93" s="187" t="e">
        <f t="shared" si="118"/>
        <v>#DIV/0!</v>
      </c>
      <c r="AH93" s="184" t="e">
        <f t="shared" si="128"/>
        <v>#DIV/0!</v>
      </c>
      <c r="AI93" s="537"/>
      <c r="AJ93" s="182"/>
      <c r="AK93" s="182"/>
      <c r="AL93" s="187" t="e">
        <f t="shared" si="119"/>
        <v>#DIV/0!</v>
      </c>
      <c r="AM93" s="184" t="e">
        <f t="shared" si="129"/>
        <v>#DIV/0!</v>
      </c>
      <c r="AN93" s="537"/>
      <c r="AO93" s="182"/>
      <c r="AP93" s="182"/>
      <c r="AQ93" s="187" t="e">
        <f t="shared" si="120"/>
        <v>#DIV/0!</v>
      </c>
      <c r="AR93" s="184" t="e">
        <f t="shared" si="130"/>
        <v>#DIV/0!</v>
      </c>
      <c r="AS93" s="537"/>
      <c r="AT93" s="182"/>
      <c r="AU93" s="182"/>
      <c r="AV93" s="187" t="e">
        <f t="shared" si="121"/>
        <v>#DIV/0!</v>
      </c>
      <c r="AW93" s="184" t="e">
        <f t="shared" si="131"/>
        <v>#DIV/0!</v>
      </c>
      <c r="AX93" s="537"/>
    </row>
    <row r="94" spans="2:50" ht="14.25" customHeight="1">
      <c r="B94" s="501"/>
      <c r="C94" s="182">
        <v>8</v>
      </c>
      <c r="D94" s="185"/>
      <c r="E94" s="182"/>
      <c r="F94" s="182"/>
      <c r="G94" s="187" t="e">
        <f t="shared" si="114"/>
        <v>#DIV/0!</v>
      </c>
      <c r="H94" s="537"/>
      <c r="I94" s="188" t="e">
        <f t="shared" si="122"/>
        <v>#DIV/0!</v>
      </c>
      <c r="J94" s="188" t="e">
        <f t="shared" si="123"/>
        <v>#DIV/0!</v>
      </c>
      <c r="K94" s="189" t="e">
        <f t="shared" si="124"/>
        <v>#DIV/0!</v>
      </c>
      <c r="L94" s="538"/>
      <c r="M94" s="188" t="e">
        <f>RANK(K94, K$47:$K$61)</f>
        <v>#DIV/0!</v>
      </c>
      <c r="N94" s="501"/>
      <c r="O94" s="501"/>
      <c r="P94" s="182"/>
      <c r="Q94" s="182"/>
      <c r="R94" s="187" t="e">
        <f t="shared" si="115"/>
        <v>#DIV/0!</v>
      </c>
      <c r="S94" s="184" t="e">
        <f t="shared" si="125"/>
        <v>#DIV/0!</v>
      </c>
      <c r="T94" s="537"/>
      <c r="U94" s="182"/>
      <c r="V94" s="182"/>
      <c r="W94" s="187" t="e">
        <f t="shared" si="116"/>
        <v>#DIV/0!</v>
      </c>
      <c r="X94" s="184" t="e">
        <f t="shared" si="126"/>
        <v>#DIV/0!</v>
      </c>
      <c r="Y94" s="537"/>
      <c r="Z94" s="182"/>
      <c r="AA94" s="182"/>
      <c r="AB94" s="187" t="e">
        <f t="shared" si="117"/>
        <v>#DIV/0!</v>
      </c>
      <c r="AC94" s="184" t="e">
        <f t="shared" si="127"/>
        <v>#DIV/0!</v>
      </c>
      <c r="AD94" s="537"/>
      <c r="AE94" s="182"/>
      <c r="AF94" s="182"/>
      <c r="AG94" s="187" t="e">
        <f t="shared" si="118"/>
        <v>#DIV/0!</v>
      </c>
      <c r="AH94" s="184" t="e">
        <f t="shared" si="128"/>
        <v>#DIV/0!</v>
      </c>
      <c r="AI94" s="537"/>
      <c r="AJ94" s="182"/>
      <c r="AK94" s="182"/>
      <c r="AL94" s="187" t="e">
        <f t="shared" si="119"/>
        <v>#DIV/0!</v>
      </c>
      <c r="AM94" s="184" t="e">
        <f t="shared" si="129"/>
        <v>#DIV/0!</v>
      </c>
      <c r="AN94" s="537"/>
      <c r="AO94" s="182"/>
      <c r="AP94" s="182"/>
      <c r="AQ94" s="187" t="e">
        <f t="shared" si="120"/>
        <v>#DIV/0!</v>
      </c>
      <c r="AR94" s="184" t="e">
        <f t="shared" si="130"/>
        <v>#DIV/0!</v>
      </c>
      <c r="AS94" s="537"/>
      <c r="AT94" s="182"/>
      <c r="AU94" s="182"/>
      <c r="AV94" s="187" t="e">
        <f t="shared" si="121"/>
        <v>#DIV/0!</v>
      </c>
      <c r="AW94" s="184" t="e">
        <f t="shared" si="131"/>
        <v>#DIV/0!</v>
      </c>
      <c r="AX94" s="537"/>
    </row>
    <row r="95" spans="2:50" ht="14.25" customHeight="1">
      <c r="B95" s="501"/>
      <c r="C95" s="182">
        <v>9</v>
      </c>
      <c r="D95" s="185"/>
      <c r="E95" s="182"/>
      <c r="F95" s="182"/>
      <c r="G95" s="187" t="e">
        <f t="shared" si="114"/>
        <v>#DIV/0!</v>
      </c>
      <c r="H95" s="537"/>
      <c r="I95" s="188" t="e">
        <f t="shared" si="122"/>
        <v>#DIV/0!</v>
      </c>
      <c r="J95" s="188" t="e">
        <f t="shared" si="123"/>
        <v>#DIV/0!</v>
      </c>
      <c r="K95" s="189" t="e">
        <f t="shared" si="124"/>
        <v>#DIV/0!</v>
      </c>
      <c r="L95" s="538"/>
      <c r="M95" s="188" t="e">
        <f>RANK(K95, K$47:$K$61)</f>
        <v>#DIV/0!</v>
      </c>
      <c r="N95" s="501"/>
      <c r="O95" s="501"/>
      <c r="P95" s="182"/>
      <c r="Q95" s="182"/>
      <c r="R95" s="187" t="e">
        <f t="shared" si="115"/>
        <v>#DIV/0!</v>
      </c>
      <c r="S95" s="184" t="e">
        <f t="shared" si="125"/>
        <v>#DIV/0!</v>
      </c>
      <c r="T95" s="537"/>
      <c r="U95" s="182"/>
      <c r="V95" s="182"/>
      <c r="W95" s="187" t="e">
        <f t="shared" si="116"/>
        <v>#DIV/0!</v>
      </c>
      <c r="X95" s="184" t="e">
        <f t="shared" si="126"/>
        <v>#DIV/0!</v>
      </c>
      <c r="Y95" s="537"/>
      <c r="Z95" s="182"/>
      <c r="AA95" s="182"/>
      <c r="AB95" s="187" t="e">
        <f t="shared" si="117"/>
        <v>#DIV/0!</v>
      </c>
      <c r="AC95" s="184" t="e">
        <f t="shared" si="127"/>
        <v>#DIV/0!</v>
      </c>
      <c r="AD95" s="537"/>
      <c r="AE95" s="182"/>
      <c r="AF95" s="182"/>
      <c r="AG95" s="187" t="e">
        <f t="shared" si="118"/>
        <v>#DIV/0!</v>
      </c>
      <c r="AH95" s="184" t="e">
        <f t="shared" si="128"/>
        <v>#DIV/0!</v>
      </c>
      <c r="AI95" s="537"/>
      <c r="AJ95" s="182"/>
      <c r="AK95" s="182"/>
      <c r="AL95" s="187" t="e">
        <f t="shared" si="119"/>
        <v>#DIV/0!</v>
      </c>
      <c r="AM95" s="184" t="e">
        <f t="shared" si="129"/>
        <v>#DIV/0!</v>
      </c>
      <c r="AN95" s="537"/>
      <c r="AO95" s="182"/>
      <c r="AP95" s="182"/>
      <c r="AQ95" s="187" t="e">
        <f t="shared" si="120"/>
        <v>#DIV/0!</v>
      </c>
      <c r="AR95" s="184" t="e">
        <f t="shared" si="130"/>
        <v>#DIV/0!</v>
      </c>
      <c r="AS95" s="537"/>
      <c r="AT95" s="182"/>
      <c r="AU95" s="182"/>
      <c r="AV95" s="187" t="e">
        <f t="shared" si="121"/>
        <v>#DIV/0!</v>
      </c>
      <c r="AW95" s="184" t="e">
        <f t="shared" si="131"/>
        <v>#DIV/0!</v>
      </c>
      <c r="AX95" s="537"/>
    </row>
    <row r="96" spans="2:50" ht="14.25" customHeight="1">
      <c r="B96" s="501"/>
      <c r="C96" s="182">
        <v>10</v>
      </c>
      <c r="D96" s="185"/>
      <c r="E96" s="182"/>
      <c r="F96" s="182"/>
      <c r="G96" s="187" t="e">
        <f t="shared" si="114"/>
        <v>#DIV/0!</v>
      </c>
      <c r="H96" s="537"/>
      <c r="I96" s="188" t="e">
        <f t="shared" si="122"/>
        <v>#DIV/0!</v>
      </c>
      <c r="J96" s="188" t="e">
        <f t="shared" si="123"/>
        <v>#DIV/0!</v>
      </c>
      <c r="K96" s="189" t="e">
        <f t="shared" si="124"/>
        <v>#DIV/0!</v>
      </c>
      <c r="L96" s="538"/>
      <c r="M96" s="188" t="e">
        <f>RANK(K96, K$47:$K$61)</f>
        <v>#DIV/0!</v>
      </c>
      <c r="N96" s="501"/>
      <c r="O96" s="501"/>
      <c r="P96" s="182"/>
      <c r="Q96" s="182"/>
      <c r="R96" s="187" t="e">
        <f t="shared" si="115"/>
        <v>#DIV/0!</v>
      </c>
      <c r="S96" s="184" t="e">
        <f t="shared" si="125"/>
        <v>#DIV/0!</v>
      </c>
      <c r="T96" s="537"/>
      <c r="U96" s="182"/>
      <c r="V96" s="182"/>
      <c r="W96" s="187" t="e">
        <f t="shared" si="116"/>
        <v>#DIV/0!</v>
      </c>
      <c r="X96" s="184" t="e">
        <f t="shared" si="126"/>
        <v>#DIV/0!</v>
      </c>
      <c r="Y96" s="537"/>
      <c r="Z96" s="182"/>
      <c r="AA96" s="182"/>
      <c r="AB96" s="187" t="e">
        <f t="shared" si="117"/>
        <v>#DIV/0!</v>
      </c>
      <c r="AC96" s="184" t="e">
        <f t="shared" si="127"/>
        <v>#DIV/0!</v>
      </c>
      <c r="AD96" s="537"/>
      <c r="AE96" s="182"/>
      <c r="AF96" s="182"/>
      <c r="AG96" s="187" t="e">
        <f t="shared" si="118"/>
        <v>#DIV/0!</v>
      </c>
      <c r="AH96" s="184" t="e">
        <f t="shared" si="128"/>
        <v>#DIV/0!</v>
      </c>
      <c r="AI96" s="537"/>
      <c r="AJ96" s="182"/>
      <c r="AK96" s="182"/>
      <c r="AL96" s="187" t="e">
        <f t="shared" si="119"/>
        <v>#DIV/0!</v>
      </c>
      <c r="AM96" s="184" t="e">
        <f t="shared" si="129"/>
        <v>#DIV/0!</v>
      </c>
      <c r="AN96" s="537"/>
      <c r="AO96" s="182"/>
      <c r="AP96" s="182"/>
      <c r="AQ96" s="187" t="e">
        <f t="shared" si="120"/>
        <v>#DIV/0!</v>
      </c>
      <c r="AR96" s="184" t="e">
        <f t="shared" si="130"/>
        <v>#DIV/0!</v>
      </c>
      <c r="AS96" s="537"/>
      <c r="AT96" s="182"/>
      <c r="AU96" s="182"/>
      <c r="AV96" s="187" t="e">
        <f t="shared" si="121"/>
        <v>#DIV/0!</v>
      </c>
      <c r="AW96" s="184" t="e">
        <f t="shared" si="131"/>
        <v>#DIV/0!</v>
      </c>
      <c r="AX96" s="537"/>
    </row>
    <row r="97" spans="2:50" ht="14.25" customHeight="1">
      <c r="B97" s="501"/>
      <c r="C97" s="182">
        <v>11</v>
      </c>
      <c r="D97" s="185"/>
      <c r="E97" s="182"/>
      <c r="F97" s="182"/>
      <c r="G97" s="187" t="e">
        <f t="shared" si="114"/>
        <v>#DIV/0!</v>
      </c>
      <c r="H97" s="537"/>
      <c r="I97" s="188" t="e">
        <f t="shared" si="122"/>
        <v>#DIV/0!</v>
      </c>
      <c r="J97" s="188" t="e">
        <f t="shared" si="123"/>
        <v>#DIV/0!</v>
      </c>
      <c r="K97" s="189" t="e">
        <f t="shared" si="124"/>
        <v>#DIV/0!</v>
      </c>
      <c r="L97" s="538"/>
      <c r="M97" s="188" t="e">
        <f>RANK(K97, K$47:$K$61)</f>
        <v>#DIV/0!</v>
      </c>
      <c r="N97" s="501"/>
      <c r="O97" s="501"/>
      <c r="P97" s="182"/>
      <c r="Q97" s="182"/>
      <c r="R97" s="187" t="e">
        <f t="shared" si="115"/>
        <v>#DIV/0!</v>
      </c>
      <c r="S97" s="184" t="e">
        <f t="shared" si="125"/>
        <v>#DIV/0!</v>
      </c>
      <c r="T97" s="537"/>
      <c r="U97" s="182"/>
      <c r="V97" s="182"/>
      <c r="W97" s="187" t="e">
        <f t="shared" si="116"/>
        <v>#DIV/0!</v>
      </c>
      <c r="X97" s="184" t="e">
        <f t="shared" si="126"/>
        <v>#DIV/0!</v>
      </c>
      <c r="Y97" s="537"/>
      <c r="Z97" s="182"/>
      <c r="AA97" s="182"/>
      <c r="AB97" s="187" t="e">
        <f t="shared" si="117"/>
        <v>#DIV/0!</v>
      </c>
      <c r="AC97" s="184" t="e">
        <f t="shared" si="127"/>
        <v>#DIV/0!</v>
      </c>
      <c r="AD97" s="537"/>
      <c r="AE97" s="182"/>
      <c r="AF97" s="182"/>
      <c r="AG97" s="187" t="e">
        <f t="shared" si="118"/>
        <v>#DIV/0!</v>
      </c>
      <c r="AH97" s="184" t="e">
        <f t="shared" si="128"/>
        <v>#DIV/0!</v>
      </c>
      <c r="AI97" s="537"/>
      <c r="AJ97" s="182"/>
      <c r="AK97" s="182"/>
      <c r="AL97" s="187" t="e">
        <f t="shared" si="119"/>
        <v>#DIV/0!</v>
      </c>
      <c r="AM97" s="184" t="e">
        <f t="shared" si="129"/>
        <v>#DIV/0!</v>
      </c>
      <c r="AN97" s="537"/>
      <c r="AO97" s="182"/>
      <c r="AP97" s="182"/>
      <c r="AQ97" s="187" t="e">
        <f t="shared" si="120"/>
        <v>#DIV/0!</v>
      </c>
      <c r="AR97" s="184" t="e">
        <f t="shared" si="130"/>
        <v>#DIV/0!</v>
      </c>
      <c r="AS97" s="537"/>
      <c r="AT97" s="182"/>
      <c r="AU97" s="182"/>
      <c r="AV97" s="187" t="e">
        <f t="shared" si="121"/>
        <v>#DIV/0!</v>
      </c>
      <c r="AW97" s="184" t="e">
        <f t="shared" si="131"/>
        <v>#DIV/0!</v>
      </c>
      <c r="AX97" s="537"/>
    </row>
    <row r="98" spans="2:50" ht="14.25" customHeight="1">
      <c r="B98" s="501"/>
      <c r="C98" s="182">
        <v>12</v>
      </c>
      <c r="D98" s="185"/>
      <c r="E98" s="182"/>
      <c r="F98" s="182"/>
      <c r="G98" s="187" t="e">
        <f t="shared" si="114"/>
        <v>#DIV/0!</v>
      </c>
      <c r="H98" s="537"/>
      <c r="I98" s="188" t="e">
        <f t="shared" si="122"/>
        <v>#DIV/0!</v>
      </c>
      <c r="J98" s="188" t="e">
        <f t="shared" si="123"/>
        <v>#DIV/0!</v>
      </c>
      <c r="K98" s="189" t="e">
        <f t="shared" si="124"/>
        <v>#DIV/0!</v>
      </c>
      <c r="L98" s="538"/>
      <c r="M98" s="188" t="e">
        <f>RANK(K98, K$47:$K$61)</f>
        <v>#DIV/0!</v>
      </c>
      <c r="N98" s="501"/>
      <c r="O98" s="501"/>
      <c r="P98" s="182"/>
      <c r="Q98" s="182"/>
      <c r="R98" s="187" t="e">
        <f t="shared" si="115"/>
        <v>#DIV/0!</v>
      </c>
      <c r="S98" s="184" t="e">
        <f t="shared" si="125"/>
        <v>#DIV/0!</v>
      </c>
      <c r="T98" s="537"/>
      <c r="U98" s="182"/>
      <c r="V98" s="182"/>
      <c r="W98" s="187" t="e">
        <f t="shared" si="116"/>
        <v>#DIV/0!</v>
      </c>
      <c r="X98" s="184" t="e">
        <f t="shared" si="126"/>
        <v>#DIV/0!</v>
      </c>
      <c r="Y98" s="537"/>
      <c r="Z98" s="182"/>
      <c r="AA98" s="182"/>
      <c r="AB98" s="187" t="e">
        <f t="shared" si="117"/>
        <v>#DIV/0!</v>
      </c>
      <c r="AC98" s="184" t="e">
        <f t="shared" si="127"/>
        <v>#DIV/0!</v>
      </c>
      <c r="AD98" s="537"/>
      <c r="AE98" s="182"/>
      <c r="AF98" s="182"/>
      <c r="AG98" s="187" t="e">
        <f t="shared" si="118"/>
        <v>#DIV/0!</v>
      </c>
      <c r="AH98" s="184" t="e">
        <f t="shared" si="128"/>
        <v>#DIV/0!</v>
      </c>
      <c r="AI98" s="537"/>
      <c r="AJ98" s="182"/>
      <c r="AK98" s="182"/>
      <c r="AL98" s="187" t="e">
        <f t="shared" si="119"/>
        <v>#DIV/0!</v>
      </c>
      <c r="AM98" s="184" t="e">
        <f t="shared" si="129"/>
        <v>#DIV/0!</v>
      </c>
      <c r="AN98" s="537"/>
      <c r="AO98" s="182"/>
      <c r="AP98" s="182"/>
      <c r="AQ98" s="187" t="e">
        <f t="shared" si="120"/>
        <v>#DIV/0!</v>
      </c>
      <c r="AR98" s="184" t="e">
        <f t="shared" si="130"/>
        <v>#DIV/0!</v>
      </c>
      <c r="AS98" s="537"/>
      <c r="AT98" s="182"/>
      <c r="AU98" s="182"/>
      <c r="AV98" s="187" t="e">
        <f t="shared" si="121"/>
        <v>#DIV/0!</v>
      </c>
      <c r="AW98" s="184" t="e">
        <f t="shared" si="131"/>
        <v>#DIV/0!</v>
      </c>
      <c r="AX98" s="537"/>
    </row>
    <row r="99" spans="2:50" ht="14.25" customHeight="1">
      <c r="B99" s="501"/>
      <c r="C99" s="182">
        <v>13</v>
      </c>
      <c r="D99" s="185"/>
      <c r="E99" s="182"/>
      <c r="F99" s="182"/>
      <c r="G99" s="187" t="e">
        <f t="shared" si="114"/>
        <v>#DIV/0!</v>
      </c>
      <c r="H99" s="537"/>
      <c r="I99" s="188" t="e">
        <f t="shared" si="122"/>
        <v>#DIV/0!</v>
      </c>
      <c r="J99" s="188" t="e">
        <f t="shared" si="123"/>
        <v>#DIV/0!</v>
      </c>
      <c r="K99" s="189" t="e">
        <f t="shared" si="124"/>
        <v>#DIV/0!</v>
      </c>
      <c r="L99" s="538"/>
      <c r="M99" s="188" t="e">
        <f>RANK(K99, K$47:$K$61)</f>
        <v>#DIV/0!</v>
      </c>
      <c r="N99" s="501"/>
      <c r="O99" s="501"/>
      <c r="P99" s="182"/>
      <c r="Q99" s="182"/>
      <c r="R99" s="187" t="e">
        <f t="shared" si="115"/>
        <v>#DIV/0!</v>
      </c>
      <c r="S99" s="184" t="e">
        <f t="shared" si="125"/>
        <v>#DIV/0!</v>
      </c>
      <c r="T99" s="537"/>
      <c r="U99" s="182"/>
      <c r="V99" s="182"/>
      <c r="W99" s="187" t="e">
        <f t="shared" si="116"/>
        <v>#DIV/0!</v>
      </c>
      <c r="X99" s="184" t="e">
        <f t="shared" si="126"/>
        <v>#DIV/0!</v>
      </c>
      <c r="Y99" s="537"/>
      <c r="Z99" s="182"/>
      <c r="AA99" s="182"/>
      <c r="AB99" s="187" t="e">
        <f t="shared" si="117"/>
        <v>#DIV/0!</v>
      </c>
      <c r="AC99" s="184" t="e">
        <f t="shared" si="127"/>
        <v>#DIV/0!</v>
      </c>
      <c r="AD99" s="537"/>
      <c r="AE99" s="182"/>
      <c r="AF99" s="182"/>
      <c r="AG99" s="187" t="e">
        <f t="shared" si="118"/>
        <v>#DIV/0!</v>
      </c>
      <c r="AH99" s="184" t="e">
        <f t="shared" si="128"/>
        <v>#DIV/0!</v>
      </c>
      <c r="AI99" s="537"/>
      <c r="AJ99" s="182"/>
      <c r="AK99" s="182"/>
      <c r="AL99" s="187" t="e">
        <f t="shared" si="119"/>
        <v>#DIV/0!</v>
      </c>
      <c r="AM99" s="184" t="e">
        <f t="shared" si="129"/>
        <v>#DIV/0!</v>
      </c>
      <c r="AN99" s="537"/>
      <c r="AO99" s="182"/>
      <c r="AP99" s="182"/>
      <c r="AQ99" s="187" t="e">
        <f t="shared" si="120"/>
        <v>#DIV/0!</v>
      </c>
      <c r="AR99" s="184" t="e">
        <f t="shared" si="130"/>
        <v>#DIV/0!</v>
      </c>
      <c r="AS99" s="537"/>
      <c r="AT99" s="182"/>
      <c r="AU99" s="182"/>
      <c r="AV99" s="187" t="e">
        <f t="shared" si="121"/>
        <v>#DIV/0!</v>
      </c>
      <c r="AW99" s="184" t="e">
        <f t="shared" si="131"/>
        <v>#DIV/0!</v>
      </c>
      <c r="AX99" s="537"/>
    </row>
    <row r="100" spans="2:50" ht="14.25" customHeight="1">
      <c r="B100" s="501"/>
      <c r="C100" s="182">
        <v>14</v>
      </c>
      <c r="D100" s="185"/>
      <c r="E100" s="182"/>
      <c r="F100" s="182"/>
      <c r="G100" s="187" t="e">
        <f t="shared" si="114"/>
        <v>#DIV/0!</v>
      </c>
      <c r="H100" s="537"/>
      <c r="I100" s="188" t="e">
        <f t="shared" si="122"/>
        <v>#DIV/0!</v>
      </c>
      <c r="J100" s="188" t="e">
        <f t="shared" si="123"/>
        <v>#DIV/0!</v>
      </c>
      <c r="K100" s="189" t="e">
        <f t="shared" si="124"/>
        <v>#DIV/0!</v>
      </c>
      <c r="L100" s="538"/>
      <c r="M100" s="188" t="e">
        <f>RANK(K100, K$47:$K$61)</f>
        <v>#DIV/0!</v>
      </c>
      <c r="N100" s="501"/>
      <c r="O100" s="501"/>
      <c r="P100" s="182"/>
      <c r="Q100" s="182"/>
      <c r="R100" s="187" t="e">
        <f t="shared" si="115"/>
        <v>#DIV/0!</v>
      </c>
      <c r="S100" s="184" t="e">
        <f t="shared" si="125"/>
        <v>#DIV/0!</v>
      </c>
      <c r="T100" s="537"/>
      <c r="U100" s="182"/>
      <c r="V100" s="182"/>
      <c r="W100" s="187" t="e">
        <f t="shared" si="116"/>
        <v>#DIV/0!</v>
      </c>
      <c r="X100" s="184" t="e">
        <f t="shared" si="126"/>
        <v>#DIV/0!</v>
      </c>
      <c r="Y100" s="537"/>
      <c r="Z100" s="182"/>
      <c r="AA100" s="182"/>
      <c r="AB100" s="187" t="e">
        <f t="shared" si="117"/>
        <v>#DIV/0!</v>
      </c>
      <c r="AC100" s="184" t="e">
        <f t="shared" si="127"/>
        <v>#DIV/0!</v>
      </c>
      <c r="AD100" s="537"/>
      <c r="AE100" s="182"/>
      <c r="AF100" s="182"/>
      <c r="AG100" s="187" t="e">
        <f t="shared" si="118"/>
        <v>#DIV/0!</v>
      </c>
      <c r="AH100" s="184" t="e">
        <f t="shared" si="128"/>
        <v>#DIV/0!</v>
      </c>
      <c r="AI100" s="537"/>
      <c r="AJ100" s="182"/>
      <c r="AK100" s="182"/>
      <c r="AL100" s="187" t="e">
        <f t="shared" si="119"/>
        <v>#DIV/0!</v>
      </c>
      <c r="AM100" s="184" t="e">
        <f t="shared" si="129"/>
        <v>#DIV/0!</v>
      </c>
      <c r="AN100" s="537"/>
      <c r="AO100" s="182"/>
      <c r="AP100" s="182"/>
      <c r="AQ100" s="187" t="e">
        <f t="shared" si="120"/>
        <v>#DIV/0!</v>
      </c>
      <c r="AR100" s="184" t="e">
        <f t="shared" si="130"/>
        <v>#DIV/0!</v>
      </c>
      <c r="AS100" s="537"/>
      <c r="AT100" s="182"/>
      <c r="AU100" s="182"/>
      <c r="AV100" s="187" t="e">
        <f t="shared" si="121"/>
        <v>#DIV/0!</v>
      </c>
      <c r="AW100" s="184" t="e">
        <f t="shared" si="131"/>
        <v>#DIV/0!</v>
      </c>
      <c r="AX100" s="537"/>
    </row>
    <row r="101" spans="2:50" ht="14.25" customHeight="1">
      <c r="B101" s="501"/>
      <c r="C101" s="182">
        <v>15</v>
      </c>
      <c r="D101" s="185"/>
      <c r="E101" s="182"/>
      <c r="F101" s="182"/>
      <c r="G101" s="187" t="e">
        <f t="shared" si="114"/>
        <v>#DIV/0!</v>
      </c>
      <c r="H101" s="537"/>
      <c r="I101" s="188" t="e">
        <f t="shared" si="122"/>
        <v>#DIV/0!</v>
      </c>
      <c r="J101" s="188" t="e">
        <f t="shared" si="123"/>
        <v>#DIV/0!</v>
      </c>
      <c r="K101" s="189" t="e">
        <f t="shared" si="124"/>
        <v>#DIV/0!</v>
      </c>
      <c r="L101" s="538"/>
      <c r="M101" s="188" t="e">
        <f>RANK(K101, K$47:$K$61)</f>
        <v>#DIV/0!</v>
      </c>
      <c r="N101" s="501"/>
      <c r="O101" s="501"/>
      <c r="P101" s="182"/>
      <c r="Q101" s="186"/>
      <c r="R101" s="187" t="e">
        <f>Q101/P101</f>
        <v>#DIV/0!</v>
      </c>
      <c r="S101" s="184" t="e">
        <f t="shared" si="125"/>
        <v>#DIV/0!</v>
      </c>
      <c r="T101" s="537"/>
      <c r="U101" s="182"/>
      <c r="V101" s="186"/>
      <c r="W101" s="187" t="e">
        <f>V101/U101</f>
        <v>#DIV/0!</v>
      </c>
      <c r="X101" s="184" t="e">
        <f t="shared" si="126"/>
        <v>#DIV/0!</v>
      </c>
      <c r="Y101" s="537"/>
      <c r="Z101" s="182"/>
      <c r="AA101" s="186"/>
      <c r="AB101" s="187" t="e">
        <f>AA101/Z101</f>
        <v>#DIV/0!</v>
      </c>
      <c r="AC101" s="184" t="e">
        <f t="shared" si="127"/>
        <v>#DIV/0!</v>
      </c>
      <c r="AD101" s="537"/>
      <c r="AE101" s="182"/>
      <c r="AF101" s="186"/>
      <c r="AG101" s="187" t="e">
        <f>AF101/AE101</f>
        <v>#DIV/0!</v>
      </c>
      <c r="AH101" s="184" t="e">
        <f t="shared" si="128"/>
        <v>#DIV/0!</v>
      </c>
      <c r="AI101" s="537"/>
      <c r="AJ101" s="182"/>
      <c r="AK101" s="186"/>
      <c r="AL101" s="187" t="e">
        <f>AK101/AJ101</f>
        <v>#DIV/0!</v>
      </c>
      <c r="AM101" s="184" t="e">
        <f t="shared" si="129"/>
        <v>#DIV/0!</v>
      </c>
      <c r="AN101" s="537"/>
      <c r="AO101" s="182"/>
      <c r="AP101" s="186"/>
      <c r="AQ101" s="187" t="e">
        <f>AP101/AO101</f>
        <v>#DIV/0!</v>
      </c>
      <c r="AR101" s="184" t="e">
        <f t="shared" si="130"/>
        <v>#DIV/0!</v>
      </c>
      <c r="AS101" s="537"/>
      <c r="AT101" s="182"/>
      <c r="AU101" s="186"/>
      <c r="AV101" s="187" t="e">
        <f>AU101/AT101</f>
        <v>#DIV/0!</v>
      </c>
      <c r="AW101" s="184" t="e">
        <f t="shared" si="131"/>
        <v>#DIV/0!</v>
      </c>
      <c r="AX101" s="537"/>
    </row>
  </sheetData>
  <mergeCells count="295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5" type="noConversion"/>
  <conditionalFormatting sqref="A4:A21">
    <cfRule type="expression" dxfId="8" priority="1">
      <formula>A4&lt;0</formula>
    </cfRule>
    <cfRule type="expression" dxfId="7" priority="2">
      <formula>A4&gt;0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99" zoomScale="115" zoomScaleNormal="60" zoomScaleSheetLayoutView="115" workbookViewId="0">
      <selection activeCell="A107" sqref="A107:L108"/>
    </sheetView>
  </sheetViews>
  <sheetFormatPr defaultColWidth="12.54296875" defaultRowHeight="15.75" customHeight="1"/>
  <cols>
    <col min="1" max="1" width="6.453125" style="191" customWidth="1"/>
    <col min="2" max="10" width="11.54296875" style="191" customWidth="1"/>
    <col min="11" max="11" width="12.81640625" style="191" customWidth="1"/>
    <col min="12" max="12" width="41.81640625" style="191" customWidth="1"/>
    <col min="13" max="13" width="12.54296875" style="192"/>
    <col min="14" max="16384" width="12.54296875" style="191"/>
  </cols>
  <sheetData>
    <row r="1" spans="1:13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191"/>
    </row>
    <row r="2" spans="1:13" s="192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</row>
    <row r="3" spans="1:13" ht="15.75" customHeight="1">
      <c r="A3" s="619" t="s">
        <v>578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191"/>
    </row>
    <row r="4" spans="1:13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3" s="180" customFormat="1" ht="15.75" customHeight="1">
      <c r="A5" s="620" t="s">
        <v>164</v>
      </c>
      <c r="B5" s="193">
        <v>1</v>
      </c>
      <c r="C5" s="193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3" ht="16.399999999999999" customHeight="1">
      <c r="A6" s="621"/>
      <c r="B6" s="196" t="s">
        <v>209</v>
      </c>
      <c r="C6" s="196" t="s">
        <v>157</v>
      </c>
      <c r="D6" s="197" t="s">
        <v>210</v>
      </c>
      <c r="E6" s="197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</row>
    <row r="7" spans="1:13" s="180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394</v>
      </c>
      <c r="I7" s="162" t="s">
        <v>395</v>
      </c>
      <c r="J7" s="162" t="s">
        <v>339</v>
      </c>
      <c r="K7" s="622" t="s">
        <v>51</v>
      </c>
      <c r="L7" s="623"/>
      <c r="M7" s="195"/>
    </row>
    <row r="8" spans="1:13" ht="15.75" customHeight="1">
      <c r="A8" s="620">
        <v>1</v>
      </c>
      <c r="B8" s="626" t="s">
        <v>396</v>
      </c>
      <c r="C8" s="202">
        <v>1</v>
      </c>
      <c r="D8" s="617" t="s">
        <v>415</v>
      </c>
      <c r="E8" s="629"/>
      <c r="F8" s="618"/>
      <c r="G8" s="202">
        <v>3</v>
      </c>
      <c r="H8" s="204">
        <v>3117.3989852839109</v>
      </c>
      <c r="I8" s="205">
        <v>1039.1329950946372</v>
      </c>
      <c r="J8" s="223">
        <v>0.16468810075616602</v>
      </c>
      <c r="K8" s="617" t="s">
        <v>476</v>
      </c>
      <c r="L8" s="618"/>
    </row>
    <row r="9" spans="1:13" ht="15.75" customHeight="1">
      <c r="A9" s="625"/>
      <c r="B9" s="627"/>
      <c r="C9" s="202">
        <v>2</v>
      </c>
      <c r="D9" s="617" t="s">
        <v>419</v>
      </c>
      <c r="E9" s="629"/>
      <c r="F9" s="618"/>
      <c r="G9" s="202">
        <v>3</v>
      </c>
      <c r="H9" s="204">
        <v>3116.9470474306531</v>
      </c>
      <c r="I9" s="205">
        <v>1038.9823491435511</v>
      </c>
      <c r="J9" s="223">
        <v>0.60327173012592539</v>
      </c>
      <c r="K9" s="617" t="s">
        <v>476</v>
      </c>
      <c r="L9" s="618"/>
    </row>
    <row r="10" spans="1:13" ht="15.75" customHeight="1">
      <c r="A10" s="625"/>
      <c r="B10" s="627"/>
      <c r="C10" s="202">
        <v>3</v>
      </c>
      <c r="D10" s="617" t="s">
        <v>410</v>
      </c>
      <c r="E10" s="629"/>
      <c r="F10" s="618"/>
      <c r="G10" s="202">
        <v>3</v>
      </c>
      <c r="H10" s="204">
        <v>3116.1193363593911</v>
      </c>
      <c r="I10" s="205">
        <v>1038.7064454531303</v>
      </c>
      <c r="J10" s="223">
        <v>0.18889849595598207</v>
      </c>
      <c r="K10" s="617" t="s">
        <v>476</v>
      </c>
      <c r="L10" s="618"/>
    </row>
    <row r="11" spans="1:13" ht="15.75" customHeight="1">
      <c r="A11" s="625"/>
      <c r="B11" s="627"/>
      <c r="C11" s="202">
        <v>4</v>
      </c>
      <c r="D11" s="617" t="s">
        <v>420</v>
      </c>
      <c r="E11" s="629"/>
      <c r="F11" s="618"/>
      <c r="G11" s="202">
        <v>3</v>
      </c>
      <c r="H11" s="204">
        <v>3114.7957319503716</v>
      </c>
      <c r="I11" s="205">
        <v>1038.2652439834571</v>
      </c>
      <c r="J11" s="223">
        <v>0.2691644098897541</v>
      </c>
      <c r="K11" s="617" t="s">
        <v>476</v>
      </c>
      <c r="L11" s="618"/>
    </row>
    <row r="12" spans="1:13" ht="15.75" customHeight="1">
      <c r="A12" s="625"/>
      <c r="B12" s="627"/>
      <c r="C12" s="202">
        <v>5</v>
      </c>
      <c r="D12" s="617" t="s">
        <v>411</v>
      </c>
      <c r="E12" s="629"/>
      <c r="F12" s="618"/>
      <c r="G12" s="202">
        <v>3</v>
      </c>
      <c r="H12" s="204">
        <v>3112.1868806463003</v>
      </c>
      <c r="I12" s="205">
        <v>1037.3956268821003</v>
      </c>
      <c r="J12" s="223">
        <v>0.25511568940828511</v>
      </c>
      <c r="K12" s="617" t="s">
        <v>476</v>
      </c>
      <c r="L12" s="618"/>
    </row>
    <row r="13" spans="1:13" ht="15.75" customHeight="1">
      <c r="A13" s="625"/>
      <c r="B13" s="627"/>
      <c r="C13" s="206" t="s">
        <v>207</v>
      </c>
      <c r="D13" s="630" t="s">
        <v>501</v>
      </c>
      <c r="E13" s="631"/>
      <c r="F13" s="632"/>
      <c r="G13" s="203">
        <v>12</v>
      </c>
      <c r="H13" s="207">
        <v>3109.7518537920541</v>
      </c>
      <c r="I13" s="208">
        <v>259.14598781600449</v>
      </c>
      <c r="J13" s="223">
        <v>9.6953217791849511E-2</v>
      </c>
      <c r="K13" s="617" t="s">
        <v>476</v>
      </c>
      <c r="L13" s="618"/>
    </row>
    <row r="14" spans="1:13" ht="15.75" customHeight="1">
      <c r="A14" s="625"/>
      <c r="B14" s="627"/>
      <c r="C14" s="206" t="s">
        <v>212</v>
      </c>
      <c r="D14" s="630" t="s">
        <v>495</v>
      </c>
      <c r="E14" s="631"/>
      <c r="F14" s="632"/>
      <c r="G14" s="203">
        <v>12</v>
      </c>
      <c r="H14" s="207">
        <v>3111.5902610052094</v>
      </c>
      <c r="I14" s="208">
        <v>259.29918841710071</v>
      </c>
      <c r="J14" s="223">
        <v>0.15290635700262101</v>
      </c>
      <c r="K14" s="617" t="s">
        <v>476</v>
      </c>
      <c r="L14" s="618"/>
    </row>
    <row r="15" spans="1:13" ht="15.75" customHeight="1">
      <c r="A15" s="625"/>
      <c r="B15" s="627"/>
      <c r="C15" s="206" t="s">
        <v>208</v>
      </c>
      <c r="D15" s="630" t="s">
        <v>555</v>
      </c>
      <c r="E15" s="631"/>
      <c r="F15" s="632"/>
      <c r="G15" s="203">
        <v>5</v>
      </c>
      <c r="H15" s="207">
        <v>2659.0319675241449</v>
      </c>
      <c r="I15" s="208">
        <v>531.80639350482909</v>
      </c>
      <c r="J15" s="223">
        <v>19.389584592593451</v>
      </c>
      <c r="K15" s="617" t="s">
        <v>567</v>
      </c>
      <c r="L15" s="618"/>
    </row>
    <row r="16" spans="1:13" ht="15.75" customHeight="1">
      <c r="A16" s="625"/>
      <c r="B16" s="627"/>
      <c r="C16" s="206" t="s">
        <v>213</v>
      </c>
      <c r="D16" s="630" t="s">
        <v>354</v>
      </c>
      <c r="E16" s="631"/>
      <c r="F16" s="632"/>
      <c r="G16" s="203">
        <v>5</v>
      </c>
      <c r="H16" s="207">
        <v>2944.310048723853</v>
      </c>
      <c r="I16" s="208">
        <v>588.86200974477083</v>
      </c>
      <c r="J16" s="223">
        <v>0.46367366879564997</v>
      </c>
      <c r="K16" s="617" t="s">
        <v>476</v>
      </c>
      <c r="L16" s="618"/>
      <c r="M16" s="191"/>
    </row>
    <row r="17" spans="1:13" ht="15.75" customHeight="1">
      <c r="A17" s="621"/>
      <c r="B17" s="628"/>
      <c r="C17" s="206" t="s">
        <v>214</v>
      </c>
      <c r="D17" s="630" t="s">
        <v>232</v>
      </c>
      <c r="E17" s="631"/>
      <c r="F17" s="632"/>
      <c r="G17" s="203">
        <v>5</v>
      </c>
      <c r="H17" s="207">
        <v>2949.7891680653597</v>
      </c>
      <c r="I17" s="208">
        <v>589.95783361307201</v>
      </c>
      <c r="J17" s="223">
        <v>-8.2124001799002144E-3</v>
      </c>
      <c r="K17" s="617" t="s">
        <v>476</v>
      </c>
      <c r="L17" s="618"/>
      <c r="M17" s="191"/>
    </row>
    <row r="18" spans="1:13" s="201" customFormat="1" ht="15.75" customHeight="1">
      <c r="A18" s="633" t="s">
        <v>190</v>
      </c>
      <c r="B18" s="634"/>
      <c r="C18" s="209" t="s">
        <v>47</v>
      </c>
      <c r="D18" s="633" t="s">
        <v>12</v>
      </c>
      <c r="E18" s="635"/>
      <c r="F18" s="634"/>
      <c r="G18" s="209" t="s">
        <v>46</v>
      </c>
      <c r="H18" s="209" t="s">
        <v>394</v>
      </c>
      <c r="I18" s="209" t="s">
        <v>395</v>
      </c>
      <c r="J18" s="162" t="s">
        <v>339</v>
      </c>
      <c r="K18" s="633" t="s">
        <v>51</v>
      </c>
      <c r="L18" s="634"/>
      <c r="M18" s="210"/>
    </row>
    <row r="19" spans="1:13" ht="15.75" customHeight="1">
      <c r="A19" s="620">
        <v>2</v>
      </c>
      <c r="B19" s="626" t="s">
        <v>157</v>
      </c>
      <c r="C19" s="202">
        <v>1</v>
      </c>
      <c r="D19" s="617" t="s">
        <v>494</v>
      </c>
      <c r="E19" s="629"/>
      <c r="F19" s="618"/>
      <c r="G19" s="202">
        <v>6</v>
      </c>
      <c r="H19" s="204">
        <v>2316.910939712348</v>
      </c>
      <c r="I19" s="205">
        <v>386.15182328539134</v>
      </c>
      <c r="J19" s="223">
        <v>0.39719902889834202</v>
      </c>
      <c r="K19" s="617" t="s">
        <v>476</v>
      </c>
      <c r="L19" s="618"/>
      <c r="M19" s="191"/>
    </row>
    <row r="20" spans="1:13" ht="15.75" customHeight="1">
      <c r="A20" s="625"/>
      <c r="B20" s="627"/>
      <c r="C20" s="202">
        <v>2</v>
      </c>
      <c r="D20" s="617" t="s">
        <v>485</v>
      </c>
      <c r="E20" s="629"/>
      <c r="F20" s="618"/>
      <c r="G20" s="202">
        <v>6</v>
      </c>
      <c r="H20" s="204">
        <v>2315.9072788269623</v>
      </c>
      <c r="I20" s="205">
        <v>385.9845464711604</v>
      </c>
      <c r="J20" s="223">
        <v>0.32804012943131511</v>
      </c>
      <c r="K20" s="617" t="s">
        <v>476</v>
      </c>
      <c r="L20" s="618"/>
      <c r="M20" s="191"/>
    </row>
    <row r="21" spans="1:13" ht="15.75" customHeight="1">
      <c r="A21" s="625"/>
      <c r="B21" s="627"/>
      <c r="C21" s="202">
        <v>3</v>
      </c>
      <c r="D21" s="617" t="s">
        <v>496</v>
      </c>
      <c r="E21" s="629"/>
      <c r="F21" s="618"/>
      <c r="G21" s="202">
        <v>6</v>
      </c>
      <c r="H21" s="204">
        <v>2253.2529152466318</v>
      </c>
      <c r="I21" s="205">
        <v>375.54215254110534</v>
      </c>
      <c r="J21" s="223">
        <v>0.58553087799867853</v>
      </c>
      <c r="K21" s="617" t="s">
        <v>476</v>
      </c>
      <c r="L21" s="618"/>
      <c r="M21" s="191"/>
    </row>
    <row r="22" spans="1:13" ht="15.75" customHeight="1">
      <c r="A22" s="625"/>
      <c r="B22" s="627"/>
      <c r="C22" s="202">
        <v>4</v>
      </c>
      <c r="D22" s="617" t="s">
        <v>359</v>
      </c>
      <c r="E22" s="629"/>
      <c r="F22" s="618"/>
      <c r="G22" s="202">
        <v>11</v>
      </c>
      <c r="H22" s="204">
        <v>3149.60772735004</v>
      </c>
      <c r="I22" s="205">
        <v>286.32797521363995</v>
      </c>
      <c r="J22" s="223">
        <v>0.23627956389043447</v>
      </c>
      <c r="K22" s="617" t="s">
        <v>476</v>
      </c>
      <c r="L22" s="618"/>
      <c r="M22" s="191"/>
    </row>
    <row r="23" spans="1:13" ht="15.75" customHeight="1">
      <c r="A23" s="625"/>
      <c r="B23" s="627"/>
      <c r="C23" s="202">
        <v>5</v>
      </c>
      <c r="D23" s="617" t="s">
        <v>356</v>
      </c>
      <c r="E23" s="629"/>
      <c r="F23" s="618"/>
      <c r="G23" s="202">
        <v>11</v>
      </c>
      <c r="H23" s="204">
        <v>3148.9678799418825</v>
      </c>
      <c r="I23" s="205">
        <v>286.26980726744381</v>
      </c>
      <c r="J23" s="223">
        <v>0.25089231877444718</v>
      </c>
      <c r="K23" s="617" t="s">
        <v>476</v>
      </c>
      <c r="L23" s="618"/>
      <c r="M23" s="191"/>
    </row>
    <row r="24" spans="1:13" ht="15.75" customHeight="1">
      <c r="A24" s="625"/>
      <c r="B24" s="627"/>
      <c r="C24" s="206" t="s">
        <v>207</v>
      </c>
      <c r="D24" s="617" t="s">
        <v>577</v>
      </c>
      <c r="E24" s="629"/>
      <c r="F24" s="618"/>
      <c r="G24" s="202">
        <v>12</v>
      </c>
      <c r="H24" s="204">
        <v>1484.7599078132055</v>
      </c>
      <c r="I24" s="205">
        <v>123.72999231776713</v>
      </c>
      <c r="J24" s="223"/>
      <c r="K24" s="636" t="s">
        <v>587</v>
      </c>
      <c r="L24" s="637"/>
      <c r="M24" s="191"/>
    </row>
    <row r="25" spans="1:13" ht="15.75" customHeight="1">
      <c r="A25" s="625"/>
      <c r="B25" s="627"/>
      <c r="C25" s="206" t="s">
        <v>212</v>
      </c>
      <c r="D25" s="617" t="s">
        <v>358</v>
      </c>
      <c r="E25" s="629"/>
      <c r="F25" s="618"/>
      <c r="G25" s="202">
        <v>17</v>
      </c>
      <c r="H25" s="204">
        <v>3117.6460492336751</v>
      </c>
      <c r="I25" s="205">
        <v>183.39094407256917</v>
      </c>
      <c r="J25" s="223">
        <v>5.6709031034074542E-2</v>
      </c>
      <c r="K25" s="617" t="s">
        <v>476</v>
      </c>
      <c r="L25" s="618"/>
      <c r="M25" s="191"/>
    </row>
    <row r="26" spans="1:13" ht="15.75" customHeight="1">
      <c r="A26" s="625"/>
      <c r="B26" s="627"/>
      <c r="C26" s="206" t="s">
        <v>208</v>
      </c>
      <c r="D26" s="617" t="s">
        <v>360</v>
      </c>
      <c r="E26" s="629"/>
      <c r="F26" s="618"/>
      <c r="G26" s="202">
        <v>17</v>
      </c>
      <c r="H26" s="204">
        <v>3118.1565704530217</v>
      </c>
      <c r="I26" s="205">
        <v>183.42097473253071</v>
      </c>
      <c r="J26" s="223">
        <v>1.969367438982772E-2</v>
      </c>
      <c r="K26" s="617" t="s">
        <v>476</v>
      </c>
      <c r="L26" s="618"/>
      <c r="M26" s="191"/>
    </row>
    <row r="27" spans="1:13" ht="15.75" customHeight="1">
      <c r="A27" s="625"/>
      <c r="B27" s="627"/>
      <c r="C27" s="206" t="s">
        <v>213</v>
      </c>
      <c r="D27" s="617" t="s">
        <v>357</v>
      </c>
      <c r="E27" s="629"/>
      <c r="F27" s="618"/>
      <c r="G27" s="202">
        <v>17</v>
      </c>
      <c r="H27" s="204">
        <v>3118.1915446706835</v>
      </c>
      <c r="I27" s="205">
        <v>183.42303203945198</v>
      </c>
      <c r="J27" s="223">
        <v>3.7010998830112385E-2</v>
      </c>
      <c r="K27" s="617" t="s">
        <v>476</v>
      </c>
      <c r="L27" s="618"/>
      <c r="M27" s="191"/>
    </row>
    <row r="28" spans="1:13" ht="15.75" customHeight="1">
      <c r="A28" s="621"/>
      <c r="B28" s="628"/>
      <c r="C28" s="206" t="s">
        <v>214</v>
      </c>
      <c r="D28" s="617" t="s">
        <v>361</v>
      </c>
      <c r="E28" s="629"/>
      <c r="F28" s="618"/>
      <c r="G28" s="202">
        <v>17</v>
      </c>
      <c r="H28" s="204">
        <v>3118.6222439918324</v>
      </c>
      <c r="I28" s="205">
        <v>183.4483672936372</v>
      </c>
      <c r="J28" s="223">
        <v>6.45512128069754E-2</v>
      </c>
      <c r="K28" s="617" t="s">
        <v>476</v>
      </c>
      <c r="L28" s="618"/>
      <c r="M28" s="191"/>
    </row>
    <row r="29" spans="1:13" ht="15.75" customHeight="1">
      <c r="A29" s="615" t="s">
        <v>664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91"/>
    </row>
    <row r="30" spans="1:13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3" s="180" customFormat="1" ht="15.75" customHeight="1">
      <c r="A31" s="613" t="s">
        <v>164</v>
      </c>
      <c r="B31" s="193">
        <v>1</v>
      </c>
      <c r="C31" s="193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ht="16.399999999999999" customHeight="1">
      <c r="A32" s="613"/>
      <c r="B32" s="196" t="s">
        <v>209</v>
      </c>
      <c r="C32" s="196" t="s">
        <v>157</v>
      </c>
      <c r="D32" s="197" t="s">
        <v>210</v>
      </c>
      <c r="E32" s="197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</row>
    <row r="33" spans="1:13" s="180" customFormat="1" ht="15.75" customHeight="1">
      <c r="A33" s="614" t="s">
        <v>190</v>
      </c>
      <c r="B33" s="614"/>
      <c r="C33" s="162" t="s">
        <v>47</v>
      </c>
      <c r="D33" s="614" t="s">
        <v>12</v>
      </c>
      <c r="E33" s="616"/>
      <c r="F33" s="616"/>
      <c r="G33" s="162" t="s">
        <v>46</v>
      </c>
      <c r="H33" s="162" t="s">
        <v>394</v>
      </c>
      <c r="I33" s="162" t="s">
        <v>395</v>
      </c>
      <c r="J33" s="162" t="s">
        <v>339</v>
      </c>
      <c r="K33" s="614" t="s">
        <v>51</v>
      </c>
      <c r="L33" s="616"/>
      <c r="M33" s="195"/>
    </row>
    <row r="34" spans="1:13" ht="15.75" customHeight="1">
      <c r="A34" s="613">
        <v>1</v>
      </c>
      <c r="B34" s="614" t="s">
        <v>396</v>
      </c>
      <c r="C34" s="202">
        <v>1</v>
      </c>
      <c r="D34" s="609" t="s">
        <v>419</v>
      </c>
      <c r="E34" s="610"/>
      <c r="F34" s="610"/>
      <c r="G34" s="202">
        <v>3</v>
      </c>
      <c r="H34" s="204">
        <v>3120.1998784328198</v>
      </c>
      <c r="I34" s="205">
        <v>1040.0666261442732</v>
      </c>
      <c r="J34" s="223">
        <f>I34-I9</f>
        <v>1.0842770007220679</v>
      </c>
      <c r="K34" s="617" t="s">
        <v>476</v>
      </c>
      <c r="L34" s="618"/>
    </row>
    <row r="35" spans="1:13" ht="15.75" customHeight="1">
      <c r="A35" s="613"/>
      <c r="B35" s="614"/>
      <c r="C35" s="202">
        <v>2</v>
      </c>
      <c r="D35" s="609" t="s">
        <v>415</v>
      </c>
      <c r="E35" s="610"/>
      <c r="F35" s="610"/>
      <c r="G35" s="202">
        <v>3</v>
      </c>
      <c r="H35" s="204">
        <v>3117.7899172234725</v>
      </c>
      <c r="I35" s="205">
        <v>1039.2633057411574</v>
      </c>
      <c r="J35" s="223">
        <f>I35-I8</f>
        <v>0.13031064652022906</v>
      </c>
      <c r="K35" s="617" t="s">
        <v>476</v>
      </c>
      <c r="L35" s="618"/>
    </row>
    <row r="36" spans="1:13" ht="15.75" customHeight="1">
      <c r="A36" s="613"/>
      <c r="B36" s="614"/>
      <c r="C36" s="202">
        <v>3</v>
      </c>
      <c r="D36" s="609" t="s">
        <v>420</v>
      </c>
      <c r="E36" s="610"/>
      <c r="F36" s="610"/>
      <c r="G36" s="202">
        <v>3</v>
      </c>
      <c r="H36" s="204">
        <v>3116.1626198445861</v>
      </c>
      <c r="I36" s="205">
        <v>1038.7208732815288</v>
      </c>
      <c r="J36" s="223">
        <f>I36-I11</f>
        <v>0.45562929807169894</v>
      </c>
      <c r="K36" s="617" t="s">
        <v>476</v>
      </c>
      <c r="L36" s="618"/>
    </row>
    <row r="37" spans="1:13" ht="15.75" customHeight="1">
      <c r="A37" s="613"/>
      <c r="B37" s="614"/>
      <c r="C37" s="202">
        <v>4</v>
      </c>
      <c r="D37" s="609" t="s">
        <v>410</v>
      </c>
      <c r="E37" s="610"/>
      <c r="F37" s="610"/>
      <c r="G37" s="202">
        <v>3</v>
      </c>
      <c r="H37" s="204">
        <v>3113.5846224156535</v>
      </c>
      <c r="I37" s="205">
        <v>1037.8615408052178</v>
      </c>
      <c r="J37" s="223">
        <f>I37-I10</f>
        <v>-0.84490464791247177</v>
      </c>
      <c r="K37" s="617" t="s">
        <v>476</v>
      </c>
      <c r="L37" s="618"/>
    </row>
    <row r="38" spans="1:13" ht="15.75" customHeight="1">
      <c r="A38" s="613"/>
      <c r="B38" s="614"/>
      <c r="C38" s="202">
        <v>5</v>
      </c>
      <c r="D38" s="609" t="s">
        <v>408</v>
      </c>
      <c r="E38" s="610"/>
      <c r="F38" s="610"/>
      <c r="G38" s="202">
        <v>3</v>
      </c>
      <c r="H38" s="204">
        <v>3113.430668640292</v>
      </c>
      <c r="I38" s="205">
        <v>1037.8102228800972</v>
      </c>
      <c r="J38" s="223"/>
      <c r="K38" s="617" t="s">
        <v>476</v>
      </c>
      <c r="L38" s="618"/>
    </row>
    <row r="39" spans="1:13" ht="15.75" customHeight="1">
      <c r="A39" s="613"/>
      <c r="B39" s="614"/>
      <c r="C39" s="206" t="s">
        <v>207</v>
      </c>
      <c r="D39" s="610" t="s">
        <v>501</v>
      </c>
      <c r="E39" s="610"/>
      <c r="F39" s="610"/>
      <c r="G39" s="203">
        <v>12</v>
      </c>
      <c r="H39" s="207">
        <v>3111.0022797335987</v>
      </c>
      <c r="I39" s="208">
        <v>259.25018997779989</v>
      </c>
      <c r="J39" s="223">
        <f>I39-I13</f>
        <v>0.10420216179539921</v>
      </c>
      <c r="K39" s="617" t="s">
        <v>476</v>
      </c>
      <c r="L39" s="618"/>
    </row>
    <row r="40" spans="1:13" ht="15.75" customHeight="1">
      <c r="A40" s="613"/>
      <c r="B40" s="614"/>
      <c r="C40" s="206" t="s">
        <v>212</v>
      </c>
      <c r="D40" s="610" t="s">
        <v>495</v>
      </c>
      <c r="E40" s="610"/>
      <c r="F40" s="610"/>
      <c r="G40" s="203">
        <v>12</v>
      </c>
      <c r="H40" s="207">
        <v>3112.8934165659366</v>
      </c>
      <c r="I40" s="208">
        <v>259.40778471382805</v>
      </c>
      <c r="J40" s="223">
        <f>I40-I14</f>
        <v>0.10859629672734172</v>
      </c>
      <c r="K40" s="617" t="s">
        <v>476</v>
      </c>
      <c r="L40" s="618"/>
    </row>
    <row r="41" spans="1:13" ht="15.75" customHeight="1">
      <c r="A41" s="613"/>
      <c r="B41" s="614"/>
      <c r="C41" s="206" t="s">
        <v>208</v>
      </c>
      <c r="D41" s="610" t="s">
        <v>555</v>
      </c>
      <c r="E41" s="610"/>
      <c r="F41" s="610"/>
      <c r="G41" s="203">
        <v>5</v>
      </c>
      <c r="H41" s="207">
        <v>2659.5655083806996</v>
      </c>
      <c r="I41" s="208">
        <v>531.91310167613995</v>
      </c>
      <c r="J41" s="223">
        <f>I41-I15</f>
        <v>0.10670817131085641</v>
      </c>
      <c r="K41" s="617" t="s">
        <v>476</v>
      </c>
      <c r="L41" s="618"/>
    </row>
    <row r="42" spans="1:13" ht="15.75" customHeight="1">
      <c r="A42" s="613"/>
      <c r="B42" s="614"/>
      <c r="C42" s="206" t="s">
        <v>213</v>
      </c>
      <c r="D42" s="610" t="s">
        <v>354</v>
      </c>
      <c r="E42" s="610"/>
      <c r="F42" s="610"/>
      <c r="G42" s="203">
        <v>5</v>
      </c>
      <c r="H42" s="207">
        <v>2946.5485352631285</v>
      </c>
      <c r="I42" s="208">
        <v>589.30970705262564</v>
      </c>
      <c r="J42" s="223">
        <f>I42-I16</f>
        <v>0.44769730785480988</v>
      </c>
      <c r="K42" s="617" t="s">
        <v>476</v>
      </c>
      <c r="L42" s="618"/>
      <c r="M42" s="191"/>
    </row>
    <row r="43" spans="1:13" ht="15.75" customHeight="1">
      <c r="A43" s="613"/>
      <c r="B43" s="614"/>
      <c r="C43" s="206" t="s">
        <v>214</v>
      </c>
      <c r="D43" s="610" t="s">
        <v>232</v>
      </c>
      <c r="E43" s="610"/>
      <c r="F43" s="610"/>
      <c r="G43" s="203">
        <v>5</v>
      </c>
      <c r="H43" s="207">
        <v>2950.2421081354655</v>
      </c>
      <c r="I43" s="208">
        <v>590.04842162709315</v>
      </c>
      <c r="J43" s="223">
        <f>I43-I17</f>
        <v>9.0588014021136587E-2</v>
      </c>
      <c r="K43" s="617" t="s">
        <v>476</v>
      </c>
      <c r="L43" s="618"/>
      <c r="M43" s="191"/>
    </row>
    <row r="44" spans="1:13" s="201" customFormat="1" ht="15.75" customHeight="1">
      <c r="A44" s="611" t="s">
        <v>190</v>
      </c>
      <c r="B44" s="611"/>
      <c r="C44" s="209" t="s">
        <v>47</v>
      </c>
      <c r="D44" s="611" t="s">
        <v>12</v>
      </c>
      <c r="E44" s="612"/>
      <c r="F44" s="612"/>
      <c r="G44" s="209" t="s">
        <v>46</v>
      </c>
      <c r="H44" s="209" t="s">
        <v>394</v>
      </c>
      <c r="I44" s="209" t="s">
        <v>395</v>
      </c>
      <c r="J44" s="162" t="s">
        <v>339</v>
      </c>
      <c r="K44" s="611" t="s">
        <v>51</v>
      </c>
      <c r="L44" s="612"/>
      <c r="M44" s="210"/>
    </row>
    <row r="45" spans="1:13" ht="15.75" customHeight="1">
      <c r="A45" s="613">
        <v>2</v>
      </c>
      <c r="B45" s="614" t="s">
        <v>157</v>
      </c>
      <c r="C45" s="202">
        <v>1</v>
      </c>
      <c r="D45" s="609" t="s">
        <v>494</v>
      </c>
      <c r="E45" s="610"/>
      <c r="F45" s="610"/>
      <c r="G45" s="202">
        <v>6</v>
      </c>
      <c r="H45" s="204">
        <v>2317.2668160219409</v>
      </c>
      <c r="I45" s="205">
        <v>386.21113600365692</v>
      </c>
      <c r="J45" s="223">
        <f t="shared" ref="J45:J50" si="0">I45-I19</f>
        <v>5.9312718265573494E-2</v>
      </c>
      <c r="K45" s="617" t="s">
        <v>476</v>
      </c>
      <c r="L45" s="618"/>
      <c r="M45" s="191"/>
    </row>
    <row r="46" spans="1:13" ht="15.75" customHeight="1">
      <c r="A46" s="613"/>
      <c r="B46" s="614"/>
      <c r="C46" s="202">
        <v>2</v>
      </c>
      <c r="D46" s="609" t="s">
        <v>485</v>
      </c>
      <c r="E46" s="610"/>
      <c r="F46" s="610"/>
      <c r="G46" s="202">
        <v>6</v>
      </c>
      <c r="H46" s="204">
        <v>2316.693056135497</v>
      </c>
      <c r="I46" s="205">
        <v>386.11550935591612</v>
      </c>
      <c r="J46" s="223">
        <f t="shared" si="0"/>
        <v>0.13096288475571782</v>
      </c>
      <c r="K46" s="617" t="s">
        <v>476</v>
      </c>
      <c r="L46" s="618"/>
      <c r="M46" s="191"/>
    </row>
    <row r="47" spans="1:13" ht="15.75" customHeight="1">
      <c r="A47" s="613"/>
      <c r="B47" s="614"/>
      <c r="C47" s="202">
        <v>3</v>
      </c>
      <c r="D47" s="609" t="s">
        <v>496</v>
      </c>
      <c r="E47" s="610"/>
      <c r="F47" s="610"/>
      <c r="G47" s="202">
        <v>6</v>
      </c>
      <c r="H47" s="204">
        <v>2255.2202233422727</v>
      </c>
      <c r="I47" s="205">
        <v>375.87003722371219</v>
      </c>
      <c r="J47" s="223">
        <f t="shared" si="0"/>
        <v>0.32788468260685022</v>
      </c>
      <c r="K47" s="617" t="s">
        <v>476</v>
      </c>
      <c r="L47" s="618"/>
      <c r="M47" s="191"/>
    </row>
    <row r="48" spans="1:13" ht="15.75" customHeight="1">
      <c r="A48" s="613"/>
      <c r="B48" s="614"/>
      <c r="C48" s="202">
        <v>4</v>
      </c>
      <c r="D48" s="609" t="s">
        <v>359</v>
      </c>
      <c r="E48" s="610"/>
      <c r="F48" s="610"/>
      <c r="G48" s="202">
        <v>11</v>
      </c>
      <c r="H48" s="204">
        <v>3153.152873767187</v>
      </c>
      <c r="I48" s="205">
        <v>286.65026125156243</v>
      </c>
      <c r="J48" s="223">
        <f t="shared" si="0"/>
        <v>0.32228603792248123</v>
      </c>
      <c r="K48" s="617" t="s">
        <v>476</v>
      </c>
      <c r="L48" s="618"/>
      <c r="M48" s="191"/>
    </row>
    <row r="49" spans="1:18" ht="15.75" customHeight="1">
      <c r="A49" s="613"/>
      <c r="B49" s="614"/>
      <c r="C49" s="202">
        <v>5</v>
      </c>
      <c r="D49" s="609" t="s">
        <v>356</v>
      </c>
      <c r="E49" s="610"/>
      <c r="F49" s="610"/>
      <c r="G49" s="202">
        <v>11</v>
      </c>
      <c r="H49" s="204">
        <v>3150.6297372932304</v>
      </c>
      <c r="I49" s="205">
        <v>286.4208852084754</v>
      </c>
      <c r="J49" s="223">
        <f t="shared" si="0"/>
        <v>0.15107794103158767</v>
      </c>
      <c r="K49" s="617" t="s">
        <v>476</v>
      </c>
      <c r="L49" s="618"/>
      <c r="M49" s="191"/>
    </row>
    <row r="50" spans="1:18" ht="15.75" customHeight="1">
      <c r="A50" s="613"/>
      <c r="B50" s="614"/>
      <c r="C50" s="206" t="s">
        <v>207</v>
      </c>
      <c r="D50" s="609" t="s">
        <v>577</v>
      </c>
      <c r="E50" s="610"/>
      <c r="F50" s="610"/>
      <c r="G50" s="202">
        <v>12</v>
      </c>
      <c r="H50" s="204">
        <v>1532.4675071943911</v>
      </c>
      <c r="I50" s="205">
        <v>127.7056255995326</v>
      </c>
      <c r="J50" s="223">
        <f t="shared" si="0"/>
        <v>3.975633281765468</v>
      </c>
      <c r="K50" s="617" t="s">
        <v>567</v>
      </c>
      <c r="L50" s="618"/>
      <c r="M50" s="191"/>
    </row>
    <row r="51" spans="1:18" ht="15.75" customHeight="1">
      <c r="A51" s="613"/>
      <c r="B51" s="614"/>
      <c r="C51" s="206" t="s">
        <v>212</v>
      </c>
      <c r="D51" s="609" t="s">
        <v>360</v>
      </c>
      <c r="E51" s="610"/>
      <c r="F51" s="610"/>
      <c r="G51" s="202">
        <v>17</v>
      </c>
      <c r="H51" s="204">
        <v>3116.8324771197917</v>
      </c>
      <c r="I51" s="205">
        <v>183.34308688939953</v>
      </c>
      <c r="J51" s="223">
        <f>I51-I26</f>
        <v>-7.7887843131179579E-2</v>
      </c>
      <c r="K51" s="617" t="s">
        <v>476</v>
      </c>
      <c r="L51" s="618"/>
      <c r="M51" s="191"/>
    </row>
    <row r="52" spans="1:18" ht="15.75" customHeight="1">
      <c r="A52" s="613"/>
      <c r="B52" s="614"/>
      <c r="C52" s="206" t="s">
        <v>208</v>
      </c>
      <c r="D52" s="609" t="s">
        <v>358</v>
      </c>
      <c r="E52" s="610"/>
      <c r="F52" s="610"/>
      <c r="G52" s="202">
        <v>17</v>
      </c>
      <c r="H52" s="204">
        <v>3118.0490785382744</v>
      </c>
      <c r="I52" s="205">
        <v>183.41465167872204</v>
      </c>
      <c r="J52" s="223">
        <f>I52-I25</f>
        <v>2.3707606152868266E-2</v>
      </c>
      <c r="K52" s="617" t="s">
        <v>476</v>
      </c>
      <c r="L52" s="618"/>
      <c r="M52" s="191"/>
    </row>
    <row r="53" spans="1:18" ht="15.75" customHeight="1">
      <c r="A53" s="613"/>
      <c r="B53" s="614"/>
      <c r="C53" s="206" t="s">
        <v>213</v>
      </c>
      <c r="D53" s="609" t="s">
        <v>361</v>
      </c>
      <c r="E53" s="610"/>
      <c r="F53" s="610"/>
      <c r="G53" s="202">
        <v>17</v>
      </c>
      <c r="H53" s="204">
        <v>3118.2515284563851</v>
      </c>
      <c r="I53" s="205">
        <v>183.42656049743442</v>
      </c>
      <c r="J53" s="223">
        <f>I53-I28</f>
        <v>-2.1806796202781698E-2</v>
      </c>
      <c r="K53" s="617" t="s">
        <v>476</v>
      </c>
      <c r="L53" s="618"/>
      <c r="M53" s="191"/>
    </row>
    <row r="54" spans="1:18" ht="15.75" customHeight="1">
      <c r="A54" s="613"/>
      <c r="B54" s="614"/>
      <c r="C54" s="206" t="s">
        <v>214</v>
      </c>
      <c r="D54" s="609" t="s">
        <v>357</v>
      </c>
      <c r="E54" s="610"/>
      <c r="F54" s="610"/>
      <c r="G54" s="202">
        <v>17</v>
      </c>
      <c r="H54" s="204">
        <v>3118.3041988375985</v>
      </c>
      <c r="I54" s="205">
        <v>183.42965875515287</v>
      </c>
      <c r="J54" s="223">
        <f>I54-I27</f>
        <v>6.6267157008894628E-3</v>
      </c>
      <c r="K54" s="617" t="s">
        <v>476</v>
      </c>
      <c r="L54" s="618"/>
      <c r="M54" s="191"/>
    </row>
    <row r="55" spans="1:18" ht="15.75" customHeight="1">
      <c r="A55" s="615" t="s">
        <v>665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191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80" customFormat="1" ht="15.75" customHeight="1">
      <c r="A57" s="613" t="s">
        <v>164</v>
      </c>
      <c r="B57" s="193">
        <v>1</v>
      </c>
      <c r="C57" s="193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ht="16.399999999999999" customHeight="1">
      <c r="A58" s="613"/>
      <c r="B58" s="196" t="s">
        <v>209</v>
      </c>
      <c r="C58" s="196" t="s">
        <v>157</v>
      </c>
      <c r="D58" s="197" t="s">
        <v>210</v>
      </c>
      <c r="E58" s="197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80" customFormat="1" ht="15.75" customHeight="1">
      <c r="A59" s="614" t="s">
        <v>190</v>
      </c>
      <c r="B59" s="614"/>
      <c r="C59" s="162" t="s">
        <v>47</v>
      </c>
      <c r="D59" s="614" t="s">
        <v>12</v>
      </c>
      <c r="E59" s="616"/>
      <c r="F59" s="616"/>
      <c r="G59" s="162" t="s">
        <v>46</v>
      </c>
      <c r="H59" s="162" t="s">
        <v>394</v>
      </c>
      <c r="I59" s="162" t="s">
        <v>395</v>
      </c>
      <c r="J59" s="162" t="s">
        <v>339</v>
      </c>
      <c r="K59" s="614" t="s">
        <v>51</v>
      </c>
      <c r="L59" s="616"/>
      <c r="M59" s="195"/>
      <c r="P59" s="448"/>
      <c r="Q59" s="448"/>
    </row>
    <row r="60" spans="1:18" ht="15.75" customHeight="1">
      <c r="A60" s="613">
        <v>1</v>
      </c>
      <c r="B60" s="614" t="s">
        <v>396</v>
      </c>
      <c r="C60" s="202">
        <v>1</v>
      </c>
      <c r="D60" s="609" t="s">
        <v>419</v>
      </c>
      <c r="E60" s="610"/>
      <c r="F60" s="610"/>
      <c r="G60" s="202">
        <v>3</v>
      </c>
      <c r="H60" s="204">
        <v>3121.5670719580448</v>
      </c>
      <c r="I60" s="205">
        <v>1040.5223573193482</v>
      </c>
      <c r="J60" s="223">
        <f>I60-I34</f>
        <v>0.45573117507501593</v>
      </c>
      <c r="K60" s="617" t="s">
        <v>476</v>
      </c>
      <c r="L60" s="618"/>
      <c r="N60" s="180"/>
      <c r="O60" s="180"/>
      <c r="P60" s="448"/>
      <c r="Q60" s="448"/>
      <c r="R60" s="180"/>
    </row>
    <row r="61" spans="1:18" ht="15.75" customHeight="1">
      <c r="A61" s="613"/>
      <c r="B61" s="614"/>
      <c r="C61" s="202">
        <v>2</v>
      </c>
      <c r="D61" s="609" t="s">
        <v>415</v>
      </c>
      <c r="E61" s="610"/>
      <c r="F61" s="610"/>
      <c r="G61" s="202">
        <v>3</v>
      </c>
      <c r="H61" s="204">
        <v>3119.6918414794768</v>
      </c>
      <c r="I61" s="205">
        <v>1039.8972804931589</v>
      </c>
      <c r="J61" s="223">
        <f>I61-I35</f>
        <v>0.63397475200144981</v>
      </c>
      <c r="K61" s="617" t="s">
        <v>476</v>
      </c>
      <c r="L61" s="618"/>
      <c r="N61" s="180"/>
      <c r="O61" s="180"/>
      <c r="P61" s="448"/>
      <c r="Q61" s="448"/>
      <c r="R61" s="180"/>
    </row>
    <row r="62" spans="1:18" ht="15.75" customHeight="1">
      <c r="A62" s="613"/>
      <c r="B62" s="614"/>
      <c r="C62" s="202">
        <v>3</v>
      </c>
      <c r="D62" s="609" t="s">
        <v>410</v>
      </c>
      <c r="E62" s="610"/>
      <c r="F62" s="610"/>
      <c r="G62" s="202">
        <v>3</v>
      </c>
      <c r="H62" s="204">
        <v>3119.2244066253979</v>
      </c>
      <c r="I62" s="205">
        <v>1039.7414688751323</v>
      </c>
      <c r="J62" s="223">
        <f>I62-I37</f>
        <v>1.8799280699145129</v>
      </c>
      <c r="K62" s="617" t="s">
        <v>476</v>
      </c>
      <c r="L62" s="618"/>
      <c r="N62" s="180"/>
      <c r="O62" s="180"/>
      <c r="P62" s="448"/>
      <c r="Q62" s="448"/>
      <c r="R62" s="180"/>
    </row>
    <row r="63" spans="1:18" ht="15.75" customHeight="1">
      <c r="A63" s="613"/>
      <c r="B63" s="614"/>
      <c r="C63" s="202">
        <v>4</v>
      </c>
      <c r="D63" s="609" t="s">
        <v>420</v>
      </c>
      <c r="E63" s="610"/>
      <c r="F63" s="610"/>
      <c r="G63" s="202">
        <v>3</v>
      </c>
      <c r="H63" s="204">
        <v>3117.5828559732022</v>
      </c>
      <c r="I63" s="205">
        <v>1039.1942853244004</v>
      </c>
      <c r="J63" s="223">
        <f>I63-I36</f>
        <v>0.47341204287158689</v>
      </c>
      <c r="K63" s="617" t="s">
        <v>476</v>
      </c>
      <c r="L63" s="618"/>
      <c r="N63" s="180"/>
      <c r="O63" s="180"/>
      <c r="P63" s="448"/>
      <c r="Q63" s="448"/>
      <c r="R63" s="180"/>
    </row>
    <row r="64" spans="1:18" ht="15.75" customHeight="1">
      <c r="A64" s="613"/>
      <c r="B64" s="614"/>
      <c r="C64" s="202">
        <v>5</v>
      </c>
      <c r="D64" s="609" t="s">
        <v>411</v>
      </c>
      <c r="E64" s="610"/>
      <c r="F64" s="610"/>
      <c r="G64" s="202">
        <v>3</v>
      </c>
      <c r="H64" s="204">
        <v>3117.2107600932432</v>
      </c>
      <c r="I64" s="205">
        <v>1039.0702533644144</v>
      </c>
      <c r="J64" s="223"/>
      <c r="K64" s="617" t="s">
        <v>476</v>
      </c>
      <c r="L64" s="618"/>
      <c r="N64" s="180"/>
      <c r="O64" s="180"/>
      <c r="P64" s="448"/>
      <c r="Q64" s="448"/>
      <c r="R64" s="180"/>
    </row>
    <row r="65" spans="1:18" ht="15.75" customHeight="1">
      <c r="A65" s="613"/>
      <c r="B65" s="614"/>
      <c r="C65" s="206" t="s">
        <v>207</v>
      </c>
      <c r="D65" s="610" t="s">
        <v>501</v>
      </c>
      <c r="E65" s="610"/>
      <c r="F65" s="610"/>
      <c r="G65" s="203">
        <v>12</v>
      </c>
      <c r="H65" s="207">
        <v>3112.6649098196222</v>
      </c>
      <c r="I65" s="208">
        <v>259.38874248496853</v>
      </c>
      <c r="J65" s="223">
        <f>I65-I39</f>
        <v>0.1385525071686402</v>
      </c>
      <c r="K65" s="617" t="s">
        <v>476</v>
      </c>
      <c r="L65" s="618"/>
      <c r="N65" s="180"/>
      <c r="O65" s="180"/>
      <c r="P65" s="448"/>
      <c r="Q65" s="448"/>
      <c r="R65" s="180"/>
    </row>
    <row r="66" spans="1:18" ht="15.75" customHeight="1">
      <c r="A66" s="613"/>
      <c r="B66" s="614"/>
      <c r="C66" s="206" t="s">
        <v>212</v>
      </c>
      <c r="D66" s="610" t="s">
        <v>495</v>
      </c>
      <c r="E66" s="610"/>
      <c r="F66" s="610"/>
      <c r="G66" s="203">
        <v>12</v>
      </c>
      <c r="H66" s="207">
        <v>3114.2957757838326</v>
      </c>
      <c r="I66" s="208">
        <v>259.52464798198611</v>
      </c>
      <c r="J66" s="223">
        <f>I66-I40</f>
        <v>0.11686326815805614</v>
      </c>
      <c r="K66" s="617" t="s">
        <v>476</v>
      </c>
      <c r="L66" s="618"/>
      <c r="N66" s="180"/>
      <c r="O66" s="180"/>
      <c r="P66" s="448"/>
      <c r="Q66" s="448"/>
      <c r="R66" s="180"/>
    </row>
    <row r="67" spans="1:18" ht="15.75" customHeight="1">
      <c r="A67" s="613"/>
      <c r="B67" s="614"/>
      <c r="C67" s="206" t="s">
        <v>208</v>
      </c>
      <c r="D67" s="610" t="s">
        <v>555</v>
      </c>
      <c r="E67" s="610"/>
      <c r="F67" s="610"/>
      <c r="G67" s="203">
        <v>5</v>
      </c>
      <c r="H67" s="207">
        <v>2660.5145367956243</v>
      </c>
      <c r="I67" s="208">
        <v>532.10290735912474</v>
      </c>
      <c r="J67" s="223">
        <f>I67-I41</f>
        <v>0.18980568298479739</v>
      </c>
      <c r="K67" s="617" t="s">
        <v>476</v>
      </c>
      <c r="L67" s="618"/>
      <c r="O67" s="180"/>
      <c r="P67" s="448"/>
      <c r="Q67" s="448"/>
      <c r="R67" s="180"/>
    </row>
    <row r="68" spans="1:18" ht="15.75" customHeight="1">
      <c r="A68" s="613"/>
      <c r="B68" s="614"/>
      <c r="C68" s="206" t="s">
        <v>213</v>
      </c>
      <c r="D68" s="610" t="s">
        <v>354</v>
      </c>
      <c r="E68" s="610"/>
      <c r="F68" s="610"/>
      <c r="G68" s="203">
        <v>5</v>
      </c>
      <c r="H68" s="207">
        <v>2947.6946367907085</v>
      </c>
      <c r="I68" s="208">
        <v>589.53892735814156</v>
      </c>
      <c r="J68" s="223">
        <f>I68-I42</f>
        <v>0.22922030551592343</v>
      </c>
      <c r="K68" s="617" t="s">
        <v>476</v>
      </c>
      <c r="L68" s="618"/>
      <c r="M68" s="191"/>
      <c r="N68" s="180"/>
      <c r="O68" s="180"/>
      <c r="P68" s="448"/>
      <c r="Q68" s="448"/>
      <c r="R68" s="180"/>
    </row>
    <row r="69" spans="1:18" ht="15.75" customHeight="1">
      <c r="A69" s="613"/>
      <c r="B69" s="614"/>
      <c r="C69" s="206" t="s">
        <v>214</v>
      </c>
      <c r="D69" s="610" t="s">
        <v>232</v>
      </c>
      <c r="E69" s="610"/>
      <c r="F69" s="610"/>
      <c r="G69" s="203">
        <v>5</v>
      </c>
      <c r="H69" s="207">
        <v>2952.8080568278492</v>
      </c>
      <c r="I69" s="208">
        <v>590.56161136556989</v>
      </c>
      <c r="J69" s="223">
        <f>I69-I43</f>
        <v>0.51318973847673988</v>
      </c>
      <c r="K69" s="617" t="s">
        <v>476</v>
      </c>
      <c r="L69" s="618"/>
      <c r="M69" s="191"/>
      <c r="N69" s="180"/>
      <c r="O69" s="180"/>
      <c r="P69" s="448"/>
      <c r="Q69" s="448"/>
      <c r="R69" s="180"/>
    </row>
    <row r="70" spans="1:18" s="201" customFormat="1" ht="15.75" customHeight="1">
      <c r="A70" s="611" t="s">
        <v>190</v>
      </c>
      <c r="B70" s="611"/>
      <c r="C70" s="209" t="s">
        <v>47</v>
      </c>
      <c r="D70" s="611" t="s">
        <v>12</v>
      </c>
      <c r="E70" s="612"/>
      <c r="F70" s="612"/>
      <c r="G70" s="209" t="s">
        <v>46</v>
      </c>
      <c r="H70" s="209" t="s">
        <v>394</v>
      </c>
      <c r="I70" s="209" t="s">
        <v>395</v>
      </c>
      <c r="J70" s="162" t="s">
        <v>339</v>
      </c>
      <c r="K70" s="611" t="s">
        <v>51</v>
      </c>
      <c r="L70" s="612"/>
      <c r="M70" s="210"/>
      <c r="N70" s="180"/>
      <c r="O70" s="180"/>
      <c r="P70" s="448"/>
      <c r="Q70" s="448"/>
      <c r="R70" s="180"/>
    </row>
    <row r="71" spans="1:18" ht="15.75" customHeight="1">
      <c r="A71" s="613">
        <v>2</v>
      </c>
      <c r="B71" s="614" t="s">
        <v>157</v>
      </c>
      <c r="C71" s="202">
        <v>1</v>
      </c>
      <c r="D71" s="609" t="s">
        <v>494</v>
      </c>
      <c r="E71" s="610"/>
      <c r="F71" s="610"/>
      <c r="G71" s="202">
        <v>6</v>
      </c>
      <c r="H71" s="204">
        <v>2317.6606143603663</v>
      </c>
      <c r="I71" s="205">
        <v>386.27676906006093</v>
      </c>
      <c r="J71" s="223">
        <f t="shared" ref="J71:J77" si="1">I71-I45</f>
        <v>6.5633056404010404E-2</v>
      </c>
      <c r="K71" s="617" t="s">
        <v>476</v>
      </c>
      <c r="L71" s="618"/>
      <c r="M71" s="191"/>
      <c r="N71" s="180"/>
      <c r="O71" s="180"/>
      <c r="P71" s="448"/>
      <c r="Q71" s="448"/>
      <c r="R71" s="180"/>
    </row>
    <row r="72" spans="1:18" ht="15.75" customHeight="1">
      <c r="A72" s="613"/>
      <c r="B72" s="614"/>
      <c r="C72" s="202">
        <v>2</v>
      </c>
      <c r="D72" s="609" t="s">
        <v>485</v>
      </c>
      <c r="E72" s="610"/>
      <c r="F72" s="610"/>
      <c r="G72" s="202">
        <v>6</v>
      </c>
      <c r="H72" s="204">
        <v>2316.9253525978638</v>
      </c>
      <c r="I72" s="205">
        <v>386.15422543297728</v>
      </c>
      <c r="J72" s="223">
        <f t="shared" si="1"/>
        <v>3.8716077061167198E-2</v>
      </c>
      <c r="K72" s="617" t="s">
        <v>476</v>
      </c>
      <c r="L72" s="618"/>
      <c r="M72" s="191"/>
      <c r="N72" s="180"/>
      <c r="O72" s="180"/>
      <c r="P72" s="448"/>
      <c r="Q72" s="448"/>
      <c r="R72" s="180"/>
    </row>
    <row r="73" spans="1:18" ht="15.75" customHeight="1">
      <c r="A73" s="613"/>
      <c r="B73" s="614"/>
      <c r="C73" s="202">
        <v>3</v>
      </c>
      <c r="D73" s="609" t="s">
        <v>496</v>
      </c>
      <c r="E73" s="610"/>
      <c r="F73" s="610"/>
      <c r="G73" s="202">
        <v>6</v>
      </c>
      <c r="H73" s="204">
        <v>2255.5581480416954</v>
      </c>
      <c r="I73" s="205">
        <v>375.92635800694916</v>
      </c>
      <c r="J73" s="223">
        <f t="shared" si="1"/>
        <v>5.6320783236969874E-2</v>
      </c>
      <c r="K73" s="617" t="s">
        <v>476</v>
      </c>
      <c r="L73" s="618"/>
      <c r="M73" s="191"/>
      <c r="N73" s="180"/>
      <c r="O73" s="180"/>
      <c r="P73" s="448"/>
      <c r="Q73" s="448"/>
      <c r="R73" s="180"/>
    </row>
    <row r="74" spans="1:18" ht="15.75" customHeight="1">
      <c r="A74" s="613"/>
      <c r="B74" s="614"/>
      <c r="C74" s="202">
        <v>4</v>
      </c>
      <c r="D74" s="609" t="s">
        <v>359</v>
      </c>
      <c r="E74" s="610"/>
      <c r="F74" s="610"/>
      <c r="G74" s="202">
        <v>11</v>
      </c>
      <c r="H74" s="204">
        <v>3153.9651221939998</v>
      </c>
      <c r="I74" s="205">
        <v>286.72410201763631</v>
      </c>
      <c r="J74" s="223">
        <f t="shared" si="1"/>
        <v>7.3840766073885789E-2</v>
      </c>
      <c r="K74" s="617" t="s">
        <v>476</v>
      </c>
      <c r="L74" s="618"/>
      <c r="M74" s="191"/>
      <c r="N74" s="180"/>
      <c r="O74" s="180"/>
      <c r="P74" s="448"/>
      <c r="Q74" s="448"/>
      <c r="R74" s="180"/>
    </row>
    <row r="75" spans="1:18" ht="15.75" customHeight="1">
      <c r="A75" s="613"/>
      <c r="B75" s="614"/>
      <c r="C75" s="202">
        <v>5</v>
      </c>
      <c r="D75" s="609" t="s">
        <v>356</v>
      </c>
      <c r="E75" s="610"/>
      <c r="F75" s="610"/>
      <c r="G75" s="202">
        <v>11</v>
      </c>
      <c r="H75" s="204">
        <v>3152.9601938218543</v>
      </c>
      <c r="I75" s="205">
        <v>286.63274489289586</v>
      </c>
      <c r="J75" s="223">
        <f t="shared" si="1"/>
        <v>0.21185968442046033</v>
      </c>
      <c r="K75" s="617" t="s">
        <v>476</v>
      </c>
      <c r="L75" s="618"/>
      <c r="M75" s="191"/>
      <c r="N75" s="180"/>
      <c r="O75" s="180"/>
      <c r="P75" s="448"/>
      <c r="Q75" s="448"/>
      <c r="R75" s="180"/>
    </row>
    <row r="76" spans="1:18" ht="15.75" customHeight="1">
      <c r="A76" s="613"/>
      <c r="B76" s="614"/>
      <c r="C76" s="206" t="s">
        <v>207</v>
      </c>
      <c r="D76" s="609" t="s">
        <v>577</v>
      </c>
      <c r="E76" s="610"/>
      <c r="F76" s="610"/>
      <c r="G76" s="202">
        <v>12</v>
      </c>
      <c r="H76" s="204">
        <v>1533.1740933162259</v>
      </c>
      <c r="I76" s="205">
        <v>127.76450777635218</v>
      </c>
      <c r="J76" s="223">
        <f t="shared" si="1"/>
        <v>5.8882176819579968E-2</v>
      </c>
      <c r="K76" s="617" t="s">
        <v>476</v>
      </c>
      <c r="L76" s="618"/>
      <c r="M76" s="191"/>
      <c r="N76" s="180"/>
      <c r="O76" s="180"/>
      <c r="P76" s="448"/>
      <c r="Q76" s="448"/>
      <c r="R76" s="180"/>
    </row>
    <row r="77" spans="1:18" ht="15.75" customHeight="1">
      <c r="A77" s="613"/>
      <c r="B77" s="614"/>
      <c r="C77" s="206" t="s">
        <v>212</v>
      </c>
      <c r="D77" s="609" t="s">
        <v>360</v>
      </c>
      <c r="E77" s="610"/>
      <c r="F77" s="610"/>
      <c r="G77" s="202">
        <v>17</v>
      </c>
      <c r="H77" s="204">
        <v>3116.8878074362724</v>
      </c>
      <c r="I77" s="205">
        <v>183.34634161389837</v>
      </c>
      <c r="J77" s="223">
        <f t="shared" si="1"/>
        <v>3.2547244988450075E-3</v>
      </c>
      <c r="K77" s="617" t="s">
        <v>476</v>
      </c>
      <c r="L77" s="618"/>
      <c r="M77" s="191"/>
      <c r="O77" s="180"/>
      <c r="P77" s="448"/>
      <c r="Q77" s="448"/>
      <c r="R77" s="180"/>
    </row>
    <row r="78" spans="1:18" ht="15.75" customHeight="1">
      <c r="A78" s="613"/>
      <c r="B78" s="614"/>
      <c r="C78" s="206" t="s">
        <v>208</v>
      </c>
      <c r="D78" s="609" t="s">
        <v>357</v>
      </c>
      <c r="E78" s="610"/>
      <c r="F78" s="610"/>
      <c r="G78" s="202">
        <v>17</v>
      </c>
      <c r="H78" s="204">
        <v>3117.5544847808919</v>
      </c>
      <c r="I78" s="205">
        <v>183.38555792828774</v>
      </c>
      <c r="J78" s="223">
        <f>I78-I54</f>
        <v>-4.4100826865133058E-2</v>
      </c>
      <c r="K78" s="617" t="s">
        <v>476</v>
      </c>
      <c r="L78" s="618"/>
      <c r="M78" s="191"/>
      <c r="N78" s="180"/>
      <c r="O78" s="180"/>
      <c r="P78" s="448"/>
      <c r="Q78" s="448"/>
      <c r="R78" s="180"/>
    </row>
    <row r="79" spans="1:18" ht="15.75" customHeight="1">
      <c r="A79" s="613"/>
      <c r="B79" s="614"/>
      <c r="C79" s="206" t="s">
        <v>213</v>
      </c>
      <c r="D79" s="609" t="s">
        <v>358</v>
      </c>
      <c r="E79" s="610"/>
      <c r="F79" s="610"/>
      <c r="G79" s="202">
        <v>17</v>
      </c>
      <c r="H79" s="204">
        <v>3118.1461899094456</v>
      </c>
      <c r="I79" s="205">
        <v>183.42036411232033</v>
      </c>
      <c r="J79" s="223">
        <f>I79-I52</f>
        <v>5.712433598290545E-3</v>
      </c>
      <c r="K79" s="617" t="s">
        <v>476</v>
      </c>
      <c r="L79" s="618"/>
      <c r="M79" s="191"/>
      <c r="N79" s="180"/>
      <c r="O79" s="180"/>
      <c r="P79" s="448"/>
      <c r="Q79" s="448"/>
      <c r="R79" s="180"/>
    </row>
    <row r="80" spans="1:18" ht="15.75" customHeight="1">
      <c r="A80" s="613"/>
      <c r="B80" s="614"/>
      <c r="C80" s="206" t="s">
        <v>214</v>
      </c>
      <c r="D80" s="609" t="s">
        <v>361</v>
      </c>
      <c r="E80" s="610"/>
      <c r="F80" s="610"/>
      <c r="G80" s="202">
        <v>17</v>
      </c>
      <c r="H80" s="204">
        <v>3118.676264156496</v>
      </c>
      <c r="I80" s="205">
        <v>183.4515449503821</v>
      </c>
      <c r="J80" s="223">
        <f>I80-I53</f>
        <v>2.4984452947677482E-2</v>
      </c>
      <c r="K80" s="617" t="s">
        <v>476</v>
      </c>
      <c r="L80" s="618"/>
      <c r="M80" s="191"/>
      <c r="N80" s="180"/>
      <c r="O80" s="180"/>
      <c r="P80" s="448"/>
      <c r="Q80" s="448"/>
      <c r="R80" s="180"/>
    </row>
    <row r="81" spans="1:18" ht="15.75" customHeight="1">
      <c r="A81" s="615" t="s">
        <v>744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191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80" customFormat="1" ht="15.75" customHeight="1">
      <c r="A83" s="613" t="s">
        <v>164</v>
      </c>
      <c r="B83" s="193">
        <v>1</v>
      </c>
      <c r="C83" s="193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ht="16.399999999999999" customHeight="1">
      <c r="A84" s="613"/>
      <c r="B84" s="196" t="s">
        <v>209</v>
      </c>
      <c r="C84" s="196" t="s">
        <v>157</v>
      </c>
      <c r="D84" s="197" t="s">
        <v>210</v>
      </c>
      <c r="E84" s="197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80" customFormat="1" ht="15.75" customHeight="1">
      <c r="A85" s="614" t="s">
        <v>190</v>
      </c>
      <c r="B85" s="614"/>
      <c r="C85" s="162" t="s">
        <v>47</v>
      </c>
      <c r="D85" s="614" t="s">
        <v>12</v>
      </c>
      <c r="E85" s="616"/>
      <c r="F85" s="616"/>
      <c r="G85" s="162" t="s">
        <v>46</v>
      </c>
      <c r="H85" s="162" t="s">
        <v>394</v>
      </c>
      <c r="I85" s="162" t="s">
        <v>395</v>
      </c>
      <c r="J85" s="162" t="s">
        <v>339</v>
      </c>
      <c r="K85" s="614" t="s">
        <v>51</v>
      </c>
      <c r="L85" s="616"/>
      <c r="M85" s="195"/>
      <c r="P85" s="448"/>
      <c r="Q85" s="448"/>
    </row>
    <row r="86" spans="1:18" ht="15.75" customHeight="1">
      <c r="A86" s="613">
        <v>1</v>
      </c>
      <c r="B86" s="614" t="s">
        <v>396</v>
      </c>
      <c r="C86" s="202">
        <v>1</v>
      </c>
      <c r="D86" s="609" t="s">
        <v>419</v>
      </c>
      <c r="E86" s="610"/>
      <c r="F86" s="610"/>
      <c r="G86" s="202">
        <v>3</v>
      </c>
      <c r="H86" s="204">
        <v>3125.0689143453505</v>
      </c>
      <c r="I86" s="205">
        <v>1041.6896381151166</v>
      </c>
      <c r="J86" s="223">
        <f>I86-I60</f>
        <v>1.1672807957684199</v>
      </c>
      <c r="K86" s="617" t="s">
        <v>476</v>
      </c>
      <c r="L86" s="618"/>
      <c r="N86" s="180"/>
      <c r="O86" s="180"/>
      <c r="P86" s="448"/>
      <c r="Q86" s="448"/>
      <c r="R86" s="180"/>
    </row>
    <row r="87" spans="1:18" ht="15.75" customHeight="1">
      <c r="A87" s="613"/>
      <c r="B87" s="614"/>
      <c r="C87" s="202">
        <v>2</v>
      </c>
      <c r="D87" s="609" t="s">
        <v>410</v>
      </c>
      <c r="E87" s="610"/>
      <c r="F87" s="610"/>
      <c r="G87" s="202">
        <v>3</v>
      </c>
      <c r="H87" s="204">
        <v>3122.2109394688005</v>
      </c>
      <c r="I87" s="205">
        <v>1040.7369798229336</v>
      </c>
      <c r="J87" s="223">
        <f>I87-I62</f>
        <v>0.99551094780122185</v>
      </c>
      <c r="K87" s="617" t="s">
        <v>476</v>
      </c>
      <c r="L87" s="618"/>
      <c r="N87" s="180"/>
      <c r="O87" s="180"/>
      <c r="P87" s="448"/>
      <c r="Q87" s="448"/>
      <c r="R87" s="180"/>
    </row>
    <row r="88" spans="1:18" ht="15.75" customHeight="1">
      <c r="A88" s="613"/>
      <c r="B88" s="614"/>
      <c r="C88" s="202">
        <v>3</v>
      </c>
      <c r="D88" s="609" t="s">
        <v>415</v>
      </c>
      <c r="E88" s="610"/>
      <c r="F88" s="610"/>
      <c r="G88" s="202">
        <v>3</v>
      </c>
      <c r="H88" s="204">
        <v>3120.4156579690034</v>
      </c>
      <c r="I88" s="205">
        <v>1040.1385526563342</v>
      </c>
      <c r="J88" s="223">
        <f>I88-I61</f>
        <v>0.24127216317538114</v>
      </c>
      <c r="K88" s="617" t="s">
        <v>476</v>
      </c>
      <c r="L88" s="618"/>
      <c r="N88" s="180"/>
      <c r="O88" s="180"/>
      <c r="P88" s="448"/>
      <c r="Q88" s="448"/>
      <c r="R88" s="180"/>
    </row>
    <row r="89" spans="1:18" ht="15.75" customHeight="1">
      <c r="A89" s="613"/>
      <c r="B89" s="614"/>
      <c r="C89" s="202">
        <v>4</v>
      </c>
      <c r="D89" s="609" t="s">
        <v>420</v>
      </c>
      <c r="E89" s="610"/>
      <c r="F89" s="610"/>
      <c r="G89" s="202">
        <v>3</v>
      </c>
      <c r="H89" s="204">
        <v>3118.9764455238401</v>
      </c>
      <c r="I89" s="205">
        <v>1039.6588151746134</v>
      </c>
      <c r="J89" s="223">
        <f>I89-I63</f>
        <v>0.46452985021301174</v>
      </c>
      <c r="K89" s="617" t="s">
        <v>476</v>
      </c>
      <c r="L89" s="618"/>
      <c r="N89" s="180"/>
      <c r="O89" s="180"/>
      <c r="P89" s="448"/>
      <c r="Q89" s="448"/>
      <c r="R89" s="180"/>
    </row>
    <row r="90" spans="1:18" ht="15.75" customHeight="1">
      <c r="A90" s="613"/>
      <c r="B90" s="614"/>
      <c r="C90" s="202">
        <v>5</v>
      </c>
      <c r="D90" s="609" t="s">
        <v>411</v>
      </c>
      <c r="E90" s="610"/>
      <c r="F90" s="610"/>
      <c r="G90" s="202">
        <v>3</v>
      </c>
      <c r="H90" s="204">
        <v>3117.7929071350795</v>
      </c>
      <c r="I90" s="205">
        <v>1039.2643023783598</v>
      </c>
      <c r="J90" s="223">
        <f>I90-I64</f>
        <v>0.19404901394545959</v>
      </c>
      <c r="K90" s="617" t="s">
        <v>476</v>
      </c>
      <c r="L90" s="618"/>
      <c r="N90" s="180"/>
      <c r="O90" s="180"/>
      <c r="P90" s="448"/>
      <c r="Q90" s="448"/>
      <c r="R90" s="180"/>
    </row>
    <row r="91" spans="1:18" ht="15.75" customHeight="1">
      <c r="A91" s="613"/>
      <c r="B91" s="614"/>
      <c r="C91" s="206" t="s">
        <v>207</v>
      </c>
      <c r="D91" s="610" t="s">
        <v>501</v>
      </c>
      <c r="E91" s="610"/>
      <c r="F91" s="610"/>
      <c r="G91" s="203">
        <v>12</v>
      </c>
      <c r="H91" s="207">
        <v>3114.2961227742976</v>
      </c>
      <c r="I91" s="208">
        <v>259.52467689785823</v>
      </c>
      <c r="J91" s="223">
        <f>I91-I65</f>
        <v>0.13593441288969643</v>
      </c>
      <c r="K91" s="617" t="s">
        <v>476</v>
      </c>
      <c r="L91" s="618"/>
      <c r="N91" s="180"/>
      <c r="O91" s="180"/>
      <c r="P91" s="448"/>
      <c r="Q91" s="448"/>
      <c r="R91" s="180"/>
    </row>
    <row r="92" spans="1:18" ht="15.75" customHeight="1">
      <c r="A92" s="613"/>
      <c r="B92" s="614"/>
      <c r="C92" s="206" t="s">
        <v>212</v>
      </c>
      <c r="D92" s="610" t="s">
        <v>495</v>
      </c>
      <c r="E92" s="610"/>
      <c r="F92" s="610"/>
      <c r="G92" s="203">
        <v>12</v>
      </c>
      <c r="H92" s="207">
        <v>3116.0277296158856</v>
      </c>
      <c r="I92" s="208">
        <v>259.66897746799043</v>
      </c>
      <c r="J92" s="223">
        <f>I92-I66</f>
        <v>0.14432948600432383</v>
      </c>
      <c r="K92" s="617" t="s">
        <v>476</v>
      </c>
      <c r="L92" s="618"/>
      <c r="N92" s="180"/>
      <c r="O92" s="180"/>
      <c r="P92" s="448"/>
      <c r="Q92" s="448"/>
      <c r="R92" s="180"/>
    </row>
    <row r="93" spans="1:18" ht="15.75" customHeight="1">
      <c r="A93" s="613"/>
      <c r="B93" s="614"/>
      <c r="C93" s="206" t="s">
        <v>208</v>
      </c>
      <c r="D93" s="610" t="s">
        <v>685</v>
      </c>
      <c r="E93" s="610"/>
      <c r="F93" s="610"/>
      <c r="G93" s="203">
        <v>5</v>
      </c>
      <c r="H93" s="207">
        <v>2566.1203728251248</v>
      </c>
      <c r="I93" s="208">
        <v>513.22407456502503</v>
      </c>
      <c r="J93" s="223"/>
      <c r="K93" s="617" t="s">
        <v>710</v>
      </c>
      <c r="L93" s="618"/>
      <c r="N93" s="180"/>
      <c r="O93" s="180"/>
      <c r="P93" s="448"/>
      <c r="Q93" s="448"/>
      <c r="R93" s="180"/>
    </row>
    <row r="94" spans="1:18" ht="15.75" customHeight="1">
      <c r="A94" s="613"/>
      <c r="B94" s="614"/>
      <c r="C94" s="206" t="s">
        <v>213</v>
      </c>
      <c r="D94" s="610" t="s">
        <v>555</v>
      </c>
      <c r="E94" s="610"/>
      <c r="F94" s="610"/>
      <c r="G94" s="203">
        <v>5</v>
      </c>
      <c r="H94" s="207">
        <v>2660.8173833791725</v>
      </c>
      <c r="I94" s="208">
        <v>532.16347667583443</v>
      </c>
      <c r="J94" s="223">
        <f>I94-I67</f>
        <v>6.0569316709688792E-2</v>
      </c>
      <c r="K94" s="617" t="s">
        <v>476</v>
      </c>
      <c r="L94" s="618"/>
      <c r="M94" s="191"/>
      <c r="N94" s="180"/>
      <c r="O94" s="180"/>
      <c r="P94" s="448"/>
      <c r="Q94" s="448"/>
      <c r="R94" s="180"/>
    </row>
    <row r="95" spans="1:18" ht="15.75" customHeight="1">
      <c r="A95" s="613"/>
      <c r="B95" s="614"/>
      <c r="C95" s="206" t="s">
        <v>214</v>
      </c>
      <c r="D95" s="610" t="s">
        <v>354</v>
      </c>
      <c r="E95" s="610"/>
      <c r="F95" s="610"/>
      <c r="G95" s="203">
        <v>5</v>
      </c>
      <c r="H95" s="207">
        <v>2947.4669049824597</v>
      </c>
      <c r="I95" s="208">
        <v>589.49338099649208</v>
      </c>
      <c r="J95" s="223">
        <f>I95-I68</f>
        <v>-4.5546361649485334E-2</v>
      </c>
      <c r="K95" s="617" t="s">
        <v>476</v>
      </c>
      <c r="L95" s="618"/>
      <c r="M95" s="191"/>
      <c r="N95" s="180"/>
      <c r="O95" s="180"/>
      <c r="P95" s="448"/>
      <c r="Q95" s="448"/>
      <c r="R95" s="180"/>
    </row>
    <row r="96" spans="1:18" s="201" customFormat="1" ht="15.75" customHeight="1">
      <c r="A96" s="611" t="s">
        <v>190</v>
      </c>
      <c r="B96" s="611"/>
      <c r="C96" s="209" t="s">
        <v>47</v>
      </c>
      <c r="D96" s="611" t="s">
        <v>12</v>
      </c>
      <c r="E96" s="612"/>
      <c r="F96" s="612"/>
      <c r="G96" s="209" t="s">
        <v>46</v>
      </c>
      <c r="H96" s="209" t="s">
        <v>394</v>
      </c>
      <c r="I96" s="209" t="s">
        <v>395</v>
      </c>
      <c r="J96" s="162" t="s">
        <v>339</v>
      </c>
      <c r="K96" s="611" t="s">
        <v>51</v>
      </c>
      <c r="L96" s="612"/>
      <c r="M96" s="210"/>
      <c r="N96" s="180"/>
      <c r="O96" s="180"/>
      <c r="P96" s="448"/>
      <c r="Q96" s="448"/>
      <c r="R96" s="180"/>
    </row>
    <row r="97" spans="1:18" ht="15.75" customHeight="1">
      <c r="A97" s="613">
        <v>2</v>
      </c>
      <c r="B97" s="614" t="s">
        <v>157</v>
      </c>
      <c r="C97" s="202">
        <v>1</v>
      </c>
      <c r="D97" s="609" t="s">
        <v>494</v>
      </c>
      <c r="E97" s="610"/>
      <c r="F97" s="610"/>
      <c r="G97" s="202">
        <v>6</v>
      </c>
      <c r="H97" s="204">
        <v>2317.1662019377509</v>
      </c>
      <c r="I97" s="205">
        <v>386.19436698962511</v>
      </c>
      <c r="J97" s="223">
        <f t="shared" ref="J97:J102" si="2">I97-I71</f>
        <v>-8.2402070435819041E-2</v>
      </c>
      <c r="K97" s="617" t="s">
        <v>476</v>
      </c>
      <c r="L97" s="618"/>
      <c r="M97" s="191"/>
      <c r="N97" s="180"/>
      <c r="O97" s="180"/>
      <c r="P97" s="448"/>
      <c r="Q97" s="448"/>
      <c r="R97" s="180"/>
    </row>
    <row r="98" spans="1:18" ht="15.75" customHeight="1">
      <c r="A98" s="613"/>
      <c r="B98" s="614"/>
      <c r="C98" s="202">
        <v>2</v>
      </c>
      <c r="D98" s="609" t="s">
        <v>485</v>
      </c>
      <c r="E98" s="610"/>
      <c r="F98" s="610"/>
      <c r="G98" s="202">
        <v>6</v>
      </c>
      <c r="H98" s="204">
        <v>2316.3824809476246</v>
      </c>
      <c r="I98" s="205">
        <v>386.06374682460398</v>
      </c>
      <c r="J98" s="223">
        <f t="shared" si="2"/>
        <v>-9.0478608373302905E-2</v>
      </c>
      <c r="K98" s="617" t="s">
        <v>476</v>
      </c>
      <c r="L98" s="618"/>
      <c r="M98" s="191"/>
      <c r="N98" s="180"/>
      <c r="O98" s="180"/>
      <c r="P98" s="448"/>
      <c r="Q98" s="448"/>
      <c r="R98" s="180"/>
    </row>
    <row r="99" spans="1:18" ht="15.75" customHeight="1">
      <c r="A99" s="613"/>
      <c r="B99" s="614"/>
      <c r="C99" s="202">
        <v>3</v>
      </c>
      <c r="D99" s="609" t="s">
        <v>496</v>
      </c>
      <c r="E99" s="610"/>
      <c r="F99" s="610"/>
      <c r="G99" s="202">
        <v>6</v>
      </c>
      <c r="H99" s="204">
        <v>2255.8619913627635</v>
      </c>
      <c r="I99" s="205">
        <v>375.97699856046063</v>
      </c>
      <c r="J99" s="223">
        <f t="shared" si="2"/>
        <v>5.0640553511470898E-2</v>
      </c>
      <c r="K99" s="617" t="s">
        <v>476</v>
      </c>
      <c r="L99" s="618"/>
      <c r="M99" s="191"/>
      <c r="N99" s="180"/>
      <c r="O99" s="180"/>
      <c r="P99" s="448"/>
      <c r="Q99" s="448"/>
      <c r="R99" s="180"/>
    </row>
    <row r="100" spans="1:18" ht="15.75" customHeight="1">
      <c r="A100" s="613"/>
      <c r="B100" s="614"/>
      <c r="C100" s="202">
        <v>4</v>
      </c>
      <c r="D100" s="609" t="s">
        <v>359</v>
      </c>
      <c r="E100" s="610"/>
      <c r="F100" s="610"/>
      <c r="G100" s="202">
        <v>11</v>
      </c>
      <c r="H100" s="204">
        <v>3155.9415353957306</v>
      </c>
      <c r="I100" s="205">
        <v>286.9037759450664</v>
      </c>
      <c r="J100" s="223">
        <f t="shared" si="2"/>
        <v>0.17967392743008759</v>
      </c>
      <c r="K100" s="617" t="s">
        <v>476</v>
      </c>
      <c r="L100" s="618"/>
      <c r="M100" s="191"/>
      <c r="N100" s="180"/>
      <c r="O100" s="180"/>
      <c r="P100" s="448"/>
      <c r="Q100" s="448"/>
      <c r="R100" s="180"/>
    </row>
    <row r="101" spans="1:18" ht="15.75" customHeight="1">
      <c r="A101" s="613"/>
      <c r="B101" s="614"/>
      <c r="C101" s="202">
        <v>5</v>
      </c>
      <c r="D101" s="609" t="s">
        <v>356</v>
      </c>
      <c r="E101" s="610"/>
      <c r="F101" s="610"/>
      <c r="G101" s="202">
        <v>11</v>
      </c>
      <c r="H101" s="204">
        <v>3154.4557546526421</v>
      </c>
      <c r="I101" s="205">
        <v>286.76870496842201</v>
      </c>
      <c r="J101" s="223">
        <f t="shared" si="2"/>
        <v>0.13596007552615674</v>
      </c>
      <c r="K101" s="617" t="s">
        <v>476</v>
      </c>
      <c r="L101" s="618"/>
      <c r="M101" s="191"/>
      <c r="N101" s="180"/>
      <c r="O101" s="180"/>
      <c r="P101" s="448"/>
      <c r="Q101" s="448"/>
      <c r="R101" s="180"/>
    </row>
    <row r="102" spans="1:18" ht="15.75" customHeight="1">
      <c r="A102" s="613"/>
      <c r="B102" s="614"/>
      <c r="C102" s="206" t="s">
        <v>207</v>
      </c>
      <c r="D102" s="609" t="s">
        <v>577</v>
      </c>
      <c r="E102" s="610"/>
      <c r="F102" s="610"/>
      <c r="G102" s="202">
        <v>12</v>
      </c>
      <c r="H102" s="204">
        <v>1533.0575728439217</v>
      </c>
      <c r="I102" s="205">
        <v>127.75479773699348</v>
      </c>
      <c r="J102" s="223">
        <f t="shared" si="2"/>
        <v>-9.7100393586941891E-3</v>
      </c>
      <c r="K102" s="617" t="s">
        <v>476</v>
      </c>
      <c r="L102" s="618"/>
      <c r="M102" s="191"/>
      <c r="N102" s="180"/>
      <c r="O102" s="180"/>
      <c r="P102" s="448"/>
      <c r="Q102" s="448"/>
      <c r="R102" s="180"/>
    </row>
    <row r="103" spans="1:18" ht="15.75" customHeight="1">
      <c r="A103" s="613"/>
      <c r="B103" s="614"/>
      <c r="C103" s="206" t="s">
        <v>212</v>
      </c>
      <c r="D103" s="609" t="s">
        <v>358</v>
      </c>
      <c r="E103" s="610"/>
      <c r="F103" s="610"/>
      <c r="G103" s="202">
        <v>12</v>
      </c>
      <c r="H103" s="204">
        <v>3119.190399447335</v>
      </c>
      <c r="I103" s="205">
        <v>259.93253328727792</v>
      </c>
      <c r="J103" s="223">
        <f>I103-I79</f>
        <v>76.512169174957592</v>
      </c>
      <c r="K103" s="617" t="s">
        <v>711</v>
      </c>
      <c r="L103" s="618"/>
      <c r="M103" s="191"/>
      <c r="N103" s="180"/>
      <c r="O103" s="180"/>
      <c r="P103" s="448"/>
      <c r="Q103" s="448"/>
      <c r="R103" s="180"/>
    </row>
    <row r="104" spans="1:18" ht="15.75" customHeight="1">
      <c r="A104" s="613"/>
      <c r="B104" s="614"/>
      <c r="C104" s="206" t="s">
        <v>208</v>
      </c>
      <c r="D104" s="609" t="s">
        <v>360</v>
      </c>
      <c r="E104" s="610"/>
      <c r="F104" s="610"/>
      <c r="G104" s="202">
        <v>12</v>
      </c>
      <c r="H104" s="204">
        <v>3119.3478016618851</v>
      </c>
      <c r="I104" s="205">
        <v>259.94565013849041</v>
      </c>
      <c r="J104" s="223">
        <f>I104-I77</f>
        <v>76.599308524592033</v>
      </c>
      <c r="K104" s="617" t="s">
        <v>711</v>
      </c>
      <c r="L104" s="618"/>
      <c r="M104" s="191"/>
      <c r="O104" s="180"/>
      <c r="P104" s="448"/>
      <c r="Q104" s="448"/>
      <c r="R104" s="180"/>
    </row>
    <row r="105" spans="1:18" ht="15.75" customHeight="1">
      <c r="A105" s="613"/>
      <c r="B105" s="614"/>
      <c r="C105" s="206" t="s">
        <v>213</v>
      </c>
      <c r="D105" s="609" t="s">
        <v>361</v>
      </c>
      <c r="E105" s="610"/>
      <c r="F105" s="610"/>
      <c r="G105" s="202">
        <v>12</v>
      </c>
      <c r="H105" s="204">
        <v>3119.5216483071031</v>
      </c>
      <c r="I105" s="205">
        <v>259.96013735892535</v>
      </c>
      <c r="J105" s="223">
        <f>I105-I80</f>
        <v>76.508592408543251</v>
      </c>
      <c r="K105" s="617" t="s">
        <v>711</v>
      </c>
      <c r="L105" s="618"/>
      <c r="M105" s="191"/>
      <c r="O105" s="180"/>
      <c r="P105" s="448"/>
      <c r="Q105" s="448"/>
      <c r="R105" s="180"/>
    </row>
    <row r="106" spans="1:18" ht="15.75" customHeight="1">
      <c r="A106" s="613"/>
      <c r="B106" s="614"/>
      <c r="C106" s="206" t="s">
        <v>214</v>
      </c>
      <c r="D106" s="609" t="s">
        <v>357</v>
      </c>
      <c r="E106" s="610"/>
      <c r="F106" s="610"/>
      <c r="G106" s="202">
        <v>12</v>
      </c>
      <c r="H106" s="204">
        <v>3120.8706242071917</v>
      </c>
      <c r="I106" s="205">
        <v>260.07255201726599</v>
      </c>
      <c r="J106" s="223">
        <f>I106-I78</f>
        <v>76.686994088978253</v>
      </c>
      <c r="K106" s="617" t="s">
        <v>711</v>
      </c>
      <c r="L106" s="618"/>
      <c r="M106" s="191"/>
      <c r="N106" s="180"/>
      <c r="O106" s="180"/>
      <c r="P106" s="448"/>
      <c r="Q106" s="448"/>
      <c r="R106" s="180"/>
    </row>
    <row r="107" spans="1:18" ht="15.75" customHeight="1">
      <c r="A107" s="615" t="s">
        <v>745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M107" s="191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80" customFormat="1" ht="15.75" customHeight="1">
      <c r="A109" s="613" t="s">
        <v>164</v>
      </c>
      <c r="B109" s="193">
        <v>1</v>
      </c>
      <c r="C109" s="193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ht="16.399999999999999" customHeight="1">
      <c r="A110" s="613"/>
      <c r="B110" s="196" t="s">
        <v>209</v>
      </c>
      <c r="C110" s="196" t="s">
        <v>157</v>
      </c>
      <c r="D110" s="197" t="s">
        <v>210</v>
      </c>
      <c r="E110" s="197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80" customFormat="1" ht="15.75" customHeight="1">
      <c r="A111" s="614" t="s">
        <v>190</v>
      </c>
      <c r="B111" s="614"/>
      <c r="C111" s="162" t="s">
        <v>47</v>
      </c>
      <c r="D111" s="614" t="s">
        <v>12</v>
      </c>
      <c r="E111" s="616"/>
      <c r="F111" s="616"/>
      <c r="G111" s="162" t="s">
        <v>46</v>
      </c>
      <c r="H111" s="162" t="s">
        <v>394</v>
      </c>
      <c r="I111" s="162" t="s">
        <v>395</v>
      </c>
      <c r="J111" s="162" t="s">
        <v>339</v>
      </c>
      <c r="K111" s="614" t="s">
        <v>51</v>
      </c>
      <c r="L111" s="616"/>
      <c r="M111" s="195"/>
      <c r="P111" s="448"/>
      <c r="Q111" s="448"/>
    </row>
    <row r="112" spans="1:18" ht="15.75" customHeight="1">
      <c r="A112" s="613">
        <v>1</v>
      </c>
      <c r="B112" s="614" t="s">
        <v>396</v>
      </c>
      <c r="C112" s="202">
        <v>1</v>
      </c>
      <c r="D112" s="609" t="s">
        <v>419</v>
      </c>
      <c r="E112" s="610"/>
      <c r="F112" s="610"/>
      <c r="G112" s="202">
        <v>3</v>
      </c>
      <c r="H112" s="204">
        <v>3127.4685825578576</v>
      </c>
      <c r="I112" s="205">
        <v>1042.4895275192857</v>
      </c>
      <c r="J112" s="223">
        <f>I112-I86</f>
        <v>0.79988940416910737</v>
      </c>
      <c r="K112" s="609"/>
      <c r="L112" s="610"/>
      <c r="N112" s="180"/>
      <c r="O112" s="180"/>
      <c r="P112" s="448"/>
      <c r="Q112" s="448"/>
      <c r="R112" s="180"/>
    </row>
    <row r="113" spans="1:18" ht="15.75" customHeight="1">
      <c r="A113" s="613"/>
      <c r="B113" s="614"/>
      <c r="C113" s="202">
        <v>2</v>
      </c>
      <c r="D113" s="609" t="s">
        <v>410</v>
      </c>
      <c r="E113" s="610"/>
      <c r="F113" s="610"/>
      <c r="G113" s="202">
        <v>3</v>
      </c>
      <c r="H113" s="204">
        <v>3126.1826117503911</v>
      </c>
      <c r="I113" s="205">
        <v>1042.0608705834636</v>
      </c>
      <c r="J113" s="223">
        <f>I113-I87</f>
        <v>1.3238907605300483</v>
      </c>
      <c r="K113" s="609"/>
      <c r="L113" s="610"/>
      <c r="N113" s="180"/>
      <c r="O113" s="180"/>
      <c r="P113" s="448"/>
      <c r="Q113" s="448"/>
      <c r="R113" s="180"/>
    </row>
    <row r="114" spans="1:18" ht="15.75" customHeight="1">
      <c r="A114" s="613"/>
      <c r="B114" s="614"/>
      <c r="C114" s="202">
        <v>3</v>
      </c>
      <c r="D114" s="609" t="s">
        <v>415</v>
      </c>
      <c r="E114" s="610"/>
      <c r="F114" s="610"/>
      <c r="G114" s="202">
        <v>3</v>
      </c>
      <c r="H114" s="204">
        <v>3122.1764412549933</v>
      </c>
      <c r="I114" s="205">
        <v>1040.7254804183308</v>
      </c>
      <c r="J114" s="223">
        <f>I114-I88</f>
        <v>0.58692776199654872</v>
      </c>
      <c r="K114" s="609"/>
      <c r="L114" s="610"/>
      <c r="N114" s="180"/>
      <c r="O114" s="180"/>
      <c r="P114" s="448"/>
      <c r="Q114" s="448"/>
      <c r="R114" s="180"/>
    </row>
    <row r="115" spans="1:18" ht="15.75" customHeight="1">
      <c r="A115" s="613"/>
      <c r="B115" s="614"/>
      <c r="C115" s="202">
        <v>4</v>
      </c>
      <c r="D115" s="609" t="s">
        <v>411</v>
      </c>
      <c r="E115" s="610"/>
      <c r="F115" s="610"/>
      <c r="G115" s="202">
        <v>3</v>
      </c>
      <c r="H115" s="204">
        <v>3121.0696199839267</v>
      </c>
      <c r="I115" s="205">
        <v>1040.3565399946422</v>
      </c>
      <c r="J115" s="223">
        <f>I115-I90</f>
        <v>1.0922376162823184</v>
      </c>
      <c r="K115" s="609"/>
      <c r="L115" s="610"/>
      <c r="N115" s="180"/>
      <c r="O115" s="180"/>
      <c r="P115" s="448"/>
      <c r="Q115" s="448"/>
      <c r="R115" s="180"/>
    </row>
    <row r="116" spans="1:18" ht="15.75" customHeight="1">
      <c r="A116" s="613"/>
      <c r="B116" s="614"/>
      <c r="C116" s="202">
        <v>5</v>
      </c>
      <c r="D116" s="609" t="s">
        <v>420</v>
      </c>
      <c r="E116" s="610"/>
      <c r="F116" s="610"/>
      <c r="G116" s="202">
        <v>3</v>
      </c>
      <c r="H116" s="204">
        <v>3120.7346295657512</v>
      </c>
      <c r="I116" s="205">
        <v>1040.2448765219167</v>
      </c>
      <c r="J116" s="223">
        <f>I116-I89</f>
        <v>0.58606134730325721</v>
      </c>
      <c r="K116" s="609"/>
      <c r="L116" s="610"/>
      <c r="N116" s="180"/>
      <c r="O116" s="180"/>
      <c r="P116" s="448"/>
      <c r="Q116" s="448"/>
      <c r="R116" s="180"/>
    </row>
    <row r="117" spans="1:18" ht="15.75" customHeight="1">
      <c r="A117" s="613"/>
      <c r="B117" s="614"/>
      <c r="C117" s="206" t="s">
        <v>207</v>
      </c>
      <c r="D117" s="610" t="s">
        <v>495</v>
      </c>
      <c r="E117" s="610"/>
      <c r="F117" s="610"/>
      <c r="G117" s="203">
        <v>12</v>
      </c>
      <c r="H117" s="207">
        <v>3118.8239849460983</v>
      </c>
      <c r="I117" s="208">
        <v>259.90199874550819</v>
      </c>
      <c r="J117" s="223">
        <f>I117-I92</f>
        <v>0.23302127751776425</v>
      </c>
      <c r="K117" s="609"/>
      <c r="L117" s="610"/>
      <c r="N117" s="180"/>
      <c r="O117" s="180"/>
      <c r="P117" s="448"/>
      <c r="Q117" s="448"/>
      <c r="R117" s="180"/>
    </row>
    <row r="118" spans="1:18" ht="15.75" customHeight="1">
      <c r="A118" s="613"/>
      <c r="B118" s="614"/>
      <c r="C118" s="206" t="s">
        <v>212</v>
      </c>
      <c r="D118" s="610" t="s">
        <v>501</v>
      </c>
      <c r="E118" s="610"/>
      <c r="F118" s="610"/>
      <c r="G118" s="203">
        <v>12</v>
      </c>
      <c r="H118" s="207">
        <v>3118.9146755820943</v>
      </c>
      <c r="I118" s="208">
        <v>259.90955629850788</v>
      </c>
      <c r="J118" s="223">
        <f>I118-I91</f>
        <v>0.38487940064965187</v>
      </c>
      <c r="K118" s="609"/>
      <c r="L118" s="610"/>
      <c r="N118" s="180"/>
      <c r="O118" s="180"/>
      <c r="P118" s="448"/>
      <c r="Q118" s="448"/>
      <c r="R118" s="180"/>
    </row>
    <row r="119" spans="1:18" ht="15.75" customHeight="1">
      <c r="A119" s="613"/>
      <c r="B119" s="614"/>
      <c r="C119" s="206" t="s">
        <v>208</v>
      </c>
      <c r="D119" s="610" t="s">
        <v>555</v>
      </c>
      <c r="E119" s="610"/>
      <c r="F119" s="610"/>
      <c r="G119" s="203">
        <v>5</v>
      </c>
      <c r="H119" s="207">
        <v>2661.9817202743902</v>
      </c>
      <c r="I119" s="208">
        <v>532.396344054878</v>
      </c>
      <c r="J119" s="223">
        <f>I119-I94</f>
        <v>0.23286737904356869</v>
      </c>
      <c r="K119" s="609"/>
      <c r="L119" s="610"/>
      <c r="N119" s="180"/>
      <c r="O119" s="180"/>
      <c r="P119" s="448"/>
      <c r="Q119" s="448"/>
      <c r="R119" s="180"/>
    </row>
    <row r="120" spans="1:18" ht="15.75" customHeight="1">
      <c r="A120" s="613"/>
      <c r="B120" s="614"/>
      <c r="C120" s="206" t="s">
        <v>213</v>
      </c>
      <c r="D120" s="610" t="s">
        <v>685</v>
      </c>
      <c r="E120" s="610"/>
      <c r="F120" s="610"/>
      <c r="G120" s="203">
        <v>5</v>
      </c>
      <c r="H120" s="207">
        <v>2682.1531507916875</v>
      </c>
      <c r="I120" s="208">
        <v>536.43063015833741</v>
      </c>
      <c r="J120" s="223">
        <f>I120-I93</f>
        <v>23.206555593312373</v>
      </c>
      <c r="K120" s="609"/>
      <c r="L120" s="610"/>
      <c r="M120" s="191"/>
      <c r="N120" s="180"/>
      <c r="O120" s="180"/>
      <c r="P120" s="448"/>
      <c r="Q120" s="448"/>
      <c r="R120" s="180"/>
    </row>
    <row r="121" spans="1:18" ht="15.75" customHeight="1">
      <c r="A121" s="613"/>
      <c r="B121" s="614"/>
      <c r="C121" s="206" t="s">
        <v>214</v>
      </c>
      <c r="D121" s="610" t="s">
        <v>740</v>
      </c>
      <c r="E121" s="610"/>
      <c r="F121" s="610"/>
      <c r="G121" s="203">
        <v>5</v>
      </c>
      <c r="H121" s="207">
        <v>2829.5499068858153</v>
      </c>
      <c r="I121" s="208">
        <v>565.90998137716292</v>
      </c>
      <c r="J121" s="223"/>
      <c r="K121" s="609"/>
      <c r="L121" s="610"/>
      <c r="M121" s="191"/>
      <c r="N121" s="180"/>
      <c r="O121" s="180"/>
      <c r="P121" s="448"/>
      <c r="Q121" s="448"/>
      <c r="R121" s="180"/>
    </row>
    <row r="122" spans="1:18" s="201" customFormat="1" ht="15.75" customHeight="1">
      <c r="A122" s="611" t="s">
        <v>190</v>
      </c>
      <c r="B122" s="611"/>
      <c r="C122" s="209" t="s">
        <v>47</v>
      </c>
      <c r="D122" s="611" t="s">
        <v>12</v>
      </c>
      <c r="E122" s="612"/>
      <c r="F122" s="612"/>
      <c r="G122" s="209" t="s">
        <v>46</v>
      </c>
      <c r="H122" s="209" t="s">
        <v>394</v>
      </c>
      <c r="I122" s="209" t="s">
        <v>395</v>
      </c>
      <c r="J122" s="162" t="s">
        <v>339</v>
      </c>
      <c r="K122" s="611" t="s">
        <v>51</v>
      </c>
      <c r="L122" s="612"/>
      <c r="M122" s="210"/>
      <c r="N122" s="180"/>
      <c r="O122" s="180"/>
      <c r="P122" s="448"/>
      <c r="Q122" s="448"/>
      <c r="R122" s="180"/>
    </row>
    <row r="123" spans="1:18" ht="15.75" customHeight="1">
      <c r="A123" s="613">
        <v>2</v>
      </c>
      <c r="B123" s="614" t="s">
        <v>157</v>
      </c>
      <c r="C123" s="202">
        <v>1</v>
      </c>
      <c r="D123" s="609" t="s">
        <v>485</v>
      </c>
      <c r="E123" s="610"/>
      <c r="F123" s="610"/>
      <c r="G123" s="202">
        <v>6</v>
      </c>
      <c r="H123" s="204">
        <v>2316.8162933121425</v>
      </c>
      <c r="I123" s="205">
        <v>386.13604888535701</v>
      </c>
      <c r="J123" s="223">
        <f>I123-I98</f>
        <v>7.2302060753031583E-2</v>
      </c>
      <c r="K123" s="609"/>
      <c r="L123" s="610"/>
      <c r="M123" s="191"/>
      <c r="N123" s="180"/>
      <c r="O123" s="180"/>
      <c r="P123" s="448"/>
      <c r="Q123" s="448"/>
      <c r="R123" s="180"/>
    </row>
    <row r="124" spans="1:18" ht="15.75" customHeight="1">
      <c r="A124" s="613"/>
      <c r="B124" s="614"/>
      <c r="C124" s="202">
        <v>2</v>
      </c>
      <c r="D124" s="609" t="s">
        <v>494</v>
      </c>
      <c r="E124" s="610"/>
      <c r="F124" s="610"/>
      <c r="G124" s="202">
        <v>6</v>
      </c>
      <c r="H124" s="204">
        <v>2316.4592342801029</v>
      </c>
      <c r="I124" s="205">
        <v>386.07653904668376</v>
      </c>
      <c r="J124" s="223">
        <f>I124-I97</f>
        <v>-0.11782794294134646</v>
      </c>
      <c r="K124" s="609"/>
      <c r="L124" s="610"/>
      <c r="M124" s="191"/>
      <c r="N124" s="180"/>
      <c r="O124" s="180"/>
      <c r="P124" s="448"/>
      <c r="Q124" s="448"/>
      <c r="R124" s="180"/>
    </row>
    <row r="125" spans="1:18" ht="15.75" customHeight="1">
      <c r="A125" s="613"/>
      <c r="B125" s="614"/>
      <c r="C125" s="202">
        <v>3</v>
      </c>
      <c r="D125" s="609" t="s">
        <v>496</v>
      </c>
      <c r="E125" s="610"/>
      <c r="F125" s="610"/>
      <c r="G125" s="202">
        <v>6</v>
      </c>
      <c r="H125" s="204">
        <v>2256.6379051417657</v>
      </c>
      <c r="I125" s="205">
        <v>376.10631752362758</v>
      </c>
      <c r="J125" s="223">
        <f>I125-I99</f>
        <v>0.12931896316695202</v>
      </c>
      <c r="K125" s="609"/>
      <c r="L125" s="610"/>
      <c r="M125" s="191"/>
      <c r="N125" s="180"/>
      <c r="O125" s="180"/>
      <c r="P125" s="448"/>
      <c r="Q125" s="448"/>
      <c r="R125" s="180"/>
    </row>
    <row r="126" spans="1:18" ht="15.75" customHeight="1">
      <c r="A126" s="613"/>
      <c r="B126" s="614"/>
      <c r="C126" s="202">
        <v>4</v>
      </c>
      <c r="D126" s="609" t="s">
        <v>359</v>
      </c>
      <c r="E126" s="610"/>
      <c r="F126" s="610"/>
      <c r="G126" s="202">
        <v>11</v>
      </c>
      <c r="H126" s="204">
        <v>3158.937169015906</v>
      </c>
      <c r="I126" s="205">
        <v>287.17610627417326</v>
      </c>
      <c r="J126" s="223">
        <f>I126-I100</f>
        <v>0.27233032910686461</v>
      </c>
      <c r="K126" s="609"/>
      <c r="L126" s="610"/>
      <c r="M126" s="191"/>
      <c r="N126" s="180"/>
      <c r="O126" s="180"/>
      <c r="P126" s="448"/>
      <c r="Q126" s="448"/>
      <c r="R126" s="180"/>
    </row>
    <row r="127" spans="1:18" ht="15.75" customHeight="1">
      <c r="A127" s="613"/>
      <c r="B127" s="614"/>
      <c r="C127" s="202">
        <v>5</v>
      </c>
      <c r="D127" s="609" t="s">
        <v>356</v>
      </c>
      <c r="E127" s="610"/>
      <c r="F127" s="610"/>
      <c r="G127" s="202">
        <v>11</v>
      </c>
      <c r="H127" s="204">
        <v>3158.9228222945962</v>
      </c>
      <c r="I127" s="205">
        <v>287.17480202678144</v>
      </c>
      <c r="J127" s="223">
        <f>I127-I101</f>
        <v>0.40609705835942123</v>
      </c>
      <c r="K127" s="609"/>
      <c r="L127" s="610"/>
      <c r="M127" s="191"/>
      <c r="N127" s="180"/>
      <c r="O127" s="180"/>
      <c r="P127" s="448"/>
      <c r="Q127" s="448"/>
      <c r="R127" s="180"/>
    </row>
    <row r="128" spans="1:18" ht="15.75" customHeight="1">
      <c r="A128" s="613"/>
      <c r="B128" s="614"/>
      <c r="C128" s="206" t="s">
        <v>207</v>
      </c>
      <c r="D128" s="609" t="s">
        <v>577</v>
      </c>
      <c r="E128" s="610"/>
      <c r="F128" s="610"/>
      <c r="G128" s="202">
        <v>12</v>
      </c>
      <c r="H128" s="204">
        <v>1532.3076923076978</v>
      </c>
      <c r="I128" s="205">
        <v>127.69230769230815</v>
      </c>
      <c r="J128" s="223">
        <f>I128-I102</f>
        <v>-6.2490044685333146E-2</v>
      </c>
      <c r="K128" s="609"/>
      <c r="L128" s="610"/>
      <c r="M128" s="191"/>
      <c r="N128" s="180"/>
      <c r="O128" s="180"/>
      <c r="P128" s="448"/>
      <c r="Q128" s="448"/>
      <c r="R128" s="180"/>
    </row>
    <row r="129" spans="1:18" ht="15.75" customHeight="1">
      <c r="A129" s="613"/>
      <c r="B129" s="614"/>
      <c r="C129" s="206" t="s">
        <v>212</v>
      </c>
      <c r="D129" s="609" t="s">
        <v>360</v>
      </c>
      <c r="E129" s="610"/>
      <c r="F129" s="610"/>
      <c r="G129" s="202">
        <v>12</v>
      </c>
      <c r="H129" s="204">
        <v>3124.3596290560122</v>
      </c>
      <c r="I129" s="205">
        <v>260.36330242133442</v>
      </c>
      <c r="J129" s="223">
        <f>I129-I104</f>
        <v>0.41765228284401701</v>
      </c>
      <c r="K129" s="609"/>
      <c r="L129" s="610"/>
      <c r="M129" s="191"/>
      <c r="N129" s="180"/>
      <c r="O129" s="180"/>
      <c r="P129" s="448"/>
      <c r="Q129" s="448"/>
      <c r="R129" s="180"/>
    </row>
    <row r="130" spans="1:18" ht="15.75" customHeight="1">
      <c r="A130" s="613"/>
      <c r="B130" s="614"/>
      <c r="C130" s="206" t="s">
        <v>208</v>
      </c>
      <c r="D130" s="609" t="s">
        <v>357</v>
      </c>
      <c r="E130" s="610"/>
      <c r="F130" s="610"/>
      <c r="G130" s="202">
        <v>12</v>
      </c>
      <c r="H130" s="204">
        <v>3124.5897662715552</v>
      </c>
      <c r="I130" s="205">
        <v>260.38248052262963</v>
      </c>
      <c r="J130" s="223">
        <f>I130-I106</f>
        <v>0.30992850536364358</v>
      </c>
      <c r="K130" s="609"/>
      <c r="L130" s="610"/>
      <c r="M130" s="191"/>
      <c r="O130" s="180"/>
      <c r="P130" s="448"/>
      <c r="Q130" s="448"/>
      <c r="R130" s="180"/>
    </row>
    <row r="131" spans="1:18" ht="15.75" customHeight="1">
      <c r="A131" s="613"/>
      <c r="B131" s="614"/>
      <c r="C131" s="206" t="s">
        <v>213</v>
      </c>
      <c r="D131" s="609" t="s">
        <v>361</v>
      </c>
      <c r="E131" s="610"/>
      <c r="F131" s="610"/>
      <c r="G131" s="202">
        <v>12</v>
      </c>
      <c r="H131" s="204">
        <v>3124.8267294514148</v>
      </c>
      <c r="I131" s="205">
        <v>260.40222745428457</v>
      </c>
      <c r="J131" s="223">
        <f>I131-I105</f>
        <v>0.4420900953592195</v>
      </c>
      <c r="K131" s="609"/>
      <c r="L131" s="610"/>
      <c r="M131" s="191"/>
      <c r="N131" s="180"/>
      <c r="O131" s="180"/>
      <c r="P131" s="448"/>
      <c r="Q131" s="448"/>
      <c r="R131" s="180"/>
    </row>
    <row r="132" spans="1:18" ht="15.75" customHeight="1">
      <c r="A132" s="613"/>
      <c r="B132" s="614"/>
      <c r="C132" s="206" t="s">
        <v>214</v>
      </c>
      <c r="D132" s="609" t="s">
        <v>358</v>
      </c>
      <c r="E132" s="610"/>
      <c r="F132" s="610"/>
      <c r="G132" s="202">
        <v>12</v>
      </c>
      <c r="H132" s="204">
        <v>3126.8958290305586</v>
      </c>
      <c r="I132" s="205">
        <v>260.57465241921324</v>
      </c>
      <c r="J132" s="223">
        <f>I132-I103</f>
        <v>0.642119131935317</v>
      </c>
      <c r="K132" s="609"/>
      <c r="L132" s="610"/>
      <c r="M132" s="191"/>
      <c r="N132" s="180"/>
      <c r="O132" s="180"/>
      <c r="P132" s="448"/>
      <c r="Q132" s="448"/>
      <c r="R132" s="180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99" zoomScale="115" zoomScaleNormal="60" zoomScaleSheetLayoutView="115" workbookViewId="0">
      <selection activeCell="J71" sqref="J71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s="191" customFormat="1" ht="15.75" customHeight="1">
      <c r="A3" s="615" t="s">
        <v>578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2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80" customFormat="1" ht="16.399999999999999" customHeight="1">
      <c r="A5" s="613" t="s">
        <v>164</v>
      </c>
      <c r="B5" s="172">
        <v>1</v>
      </c>
      <c r="C5" s="172">
        <v>2</v>
      </c>
      <c r="D5" s="193">
        <v>3</v>
      </c>
      <c r="E5" s="193">
        <v>4</v>
      </c>
      <c r="F5" s="172">
        <v>5</v>
      </c>
      <c r="G5" s="172">
        <v>6</v>
      </c>
      <c r="H5" s="172">
        <v>7</v>
      </c>
      <c r="I5" s="172">
        <v>8</v>
      </c>
      <c r="J5" s="172">
        <v>9</v>
      </c>
      <c r="K5" s="194"/>
      <c r="L5" s="194"/>
      <c r="M5" s="195"/>
    </row>
    <row r="6" spans="1:18" s="191" customFormat="1" ht="16.399999999999999" customHeight="1">
      <c r="A6" s="613"/>
      <c r="B6" s="197" t="s">
        <v>209</v>
      </c>
      <c r="C6" s="197" t="s">
        <v>157</v>
      </c>
      <c r="D6" s="196" t="s">
        <v>210</v>
      </c>
      <c r="E6" s="196" t="s">
        <v>158</v>
      </c>
      <c r="F6" s="197" t="s">
        <v>363</v>
      </c>
      <c r="G6" s="198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M6" s="192"/>
    </row>
    <row r="7" spans="1:18" s="180" customFormat="1" ht="15.75" customHeight="1">
      <c r="A7" s="614" t="s">
        <v>190</v>
      </c>
      <c r="B7" s="614"/>
      <c r="C7" s="162" t="s">
        <v>47</v>
      </c>
      <c r="D7" s="614" t="s">
        <v>12</v>
      </c>
      <c r="E7" s="616"/>
      <c r="F7" s="616"/>
      <c r="G7" s="162" t="s">
        <v>46</v>
      </c>
      <c r="H7" s="162" t="s">
        <v>394</v>
      </c>
      <c r="I7" s="162" t="s">
        <v>395</v>
      </c>
      <c r="J7" s="162" t="s">
        <v>339</v>
      </c>
      <c r="K7" s="614" t="s">
        <v>51</v>
      </c>
      <c r="L7" s="616"/>
      <c r="M7" s="195"/>
    </row>
    <row r="8" spans="1:18" s="191" customFormat="1" ht="15.75" customHeight="1">
      <c r="A8" s="613">
        <v>3</v>
      </c>
      <c r="B8" s="614" t="s">
        <v>397</v>
      </c>
      <c r="C8" s="202">
        <v>1</v>
      </c>
      <c r="D8" s="609" t="s">
        <v>513</v>
      </c>
      <c r="E8" s="610"/>
      <c r="F8" s="610"/>
      <c r="G8" s="202">
        <v>6</v>
      </c>
      <c r="H8" s="204">
        <v>3260.0028165045851</v>
      </c>
      <c r="I8" s="205">
        <v>543.33380275076411</v>
      </c>
      <c r="J8" s="223">
        <v>0.26778145559933364</v>
      </c>
      <c r="K8" s="609" t="s">
        <v>476</v>
      </c>
      <c r="L8" s="610"/>
      <c r="M8" s="192"/>
    </row>
    <row r="9" spans="1:18" s="191" customFormat="1" ht="15.75" customHeight="1">
      <c r="A9" s="613"/>
      <c r="B9" s="614"/>
      <c r="C9" s="202">
        <v>2</v>
      </c>
      <c r="D9" s="609" t="s">
        <v>362</v>
      </c>
      <c r="E9" s="610"/>
      <c r="F9" s="610"/>
      <c r="G9" s="202">
        <v>20</v>
      </c>
      <c r="H9" s="204">
        <v>2306.5857796970945</v>
      </c>
      <c r="I9" s="205">
        <v>115.3292889848547</v>
      </c>
      <c r="J9" s="223">
        <v>2.3644121518600514E-2</v>
      </c>
      <c r="K9" s="609" t="s">
        <v>476</v>
      </c>
      <c r="L9" s="610"/>
      <c r="M9" s="192"/>
    </row>
    <row r="10" spans="1:18" s="191" customFormat="1" ht="15.75" customHeight="1">
      <c r="A10" s="613"/>
      <c r="B10" s="614"/>
      <c r="C10" s="202">
        <v>3</v>
      </c>
      <c r="D10" s="609" t="s">
        <v>502</v>
      </c>
      <c r="E10" s="610"/>
      <c r="F10" s="610"/>
      <c r="G10" s="202">
        <v>20</v>
      </c>
      <c r="H10" s="204">
        <v>2305.8837438812325</v>
      </c>
      <c r="I10" s="205">
        <v>115.29418719406162</v>
      </c>
      <c r="J10" s="223">
        <v>9.5471019415072078E-4</v>
      </c>
      <c r="K10" s="609" t="s">
        <v>476</v>
      </c>
      <c r="L10" s="610"/>
      <c r="M10" s="192"/>
    </row>
    <row r="11" spans="1:18" s="191" customFormat="1" ht="15.75" customHeight="1">
      <c r="A11" s="613"/>
      <c r="B11" s="614"/>
      <c r="C11" s="202">
        <v>4</v>
      </c>
      <c r="D11" s="609"/>
      <c r="E11" s="610"/>
      <c r="F11" s="610"/>
      <c r="G11" s="202"/>
      <c r="H11" s="204"/>
      <c r="I11" s="205"/>
      <c r="J11" s="202"/>
      <c r="K11" s="609"/>
      <c r="L11" s="610"/>
      <c r="M11" s="192"/>
    </row>
    <row r="12" spans="1:18" s="191" customFormat="1" ht="15.75" customHeight="1">
      <c r="A12" s="613"/>
      <c r="B12" s="614"/>
      <c r="C12" s="202">
        <v>5</v>
      </c>
      <c r="D12" s="609"/>
      <c r="E12" s="610"/>
      <c r="F12" s="610"/>
      <c r="G12" s="202"/>
      <c r="H12" s="204"/>
      <c r="I12" s="205"/>
      <c r="J12" s="202"/>
      <c r="K12" s="609"/>
      <c r="L12" s="610"/>
      <c r="M12" s="192"/>
    </row>
    <row r="13" spans="1:18" s="191" customFormat="1" ht="15.75" customHeight="1">
      <c r="A13" s="613"/>
      <c r="B13" s="614"/>
      <c r="C13" s="206" t="s">
        <v>207</v>
      </c>
      <c r="D13" s="609"/>
      <c r="E13" s="610"/>
      <c r="F13" s="610"/>
      <c r="G13" s="202"/>
      <c r="H13" s="204"/>
      <c r="I13" s="205"/>
      <c r="J13" s="202"/>
      <c r="K13" s="609"/>
      <c r="L13" s="610"/>
      <c r="M13" s="192"/>
    </row>
    <row r="14" spans="1:18" s="191" customFormat="1" ht="15.75" customHeight="1">
      <c r="A14" s="613"/>
      <c r="B14" s="614"/>
      <c r="C14" s="206" t="s">
        <v>212</v>
      </c>
      <c r="D14" s="609"/>
      <c r="E14" s="610"/>
      <c r="F14" s="610"/>
      <c r="G14" s="202"/>
      <c r="H14" s="204"/>
      <c r="I14" s="205"/>
      <c r="J14" s="202"/>
      <c r="K14" s="609"/>
      <c r="L14" s="610"/>
      <c r="M14" s="192"/>
    </row>
    <row r="15" spans="1:18" s="191" customFormat="1" ht="15.75" customHeight="1">
      <c r="A15" s="613"/>
      <c r="B15" s="614"/>
      <c r="C15" s="206" t="s">
        <v>208</v>
      </c>
      <c r="D15" s="609"/>
      <c r="E15" s="610"/>
      <c r="F15" s="610"/>
      <c r="G15" s="204"/>
      <c r="H15" s="204"/>
      <c r="I15" s="205"/>
      <c r="J15" s="202"/>
      <c r="K15" s="609"/>
      <c r="L15" s="610"/>
      <c r="M15" s="192"/>
    </row>
    <row r="16" spans="1:18" s="191" customFormat="1" ht="15.75" customHeight="1">
      <c r="A16" s="613"/>
      <c r="B16" s="614"/>
      <c r="C16" s="206" t="s">
        <v>213</v>
      </c>
      <c r="D16" s="609"/>
      <c r="E16" s="610"/>
      <c r="F16" s="610"/>
      <c r="G16" s="202"/>
      <c r="H16" s="204"/>
      <c r="I16" s="205"/>
      <c r="J16" s="202"/>
      <c r="K16" s="609"/>
      <c r="L16" s="610"/>
    </row>
    <row r="17" spans="1:13" s="191" customFormat="1" ht="15.75" customHeight="1">
      <c r="A17" s="613"/>
      <c r="B17" s="614"/>
      <c r="C17" s="206" t="s">
        <v>214</v>
      </c>
      <c r="D17" s="609"/>
      <c r="E17" s="610"/>
      <c r="F17" s="610"/>
      <c r="G17" s="202"/>
      <c r="H17" s="204"/>
      <c r="I17" s="205"/>
      <c r="J17" s="202"/>
      <c r="K17" s="609"/>
      <c r="L17" s="610"/>
    </row>
    <row r="18" spans="1:13" s="201" customFormat="1" ht="15.75" customHeight="1">
      <c r="A18" s="611" t="s">
        <v>190</v>
      </c>
      <c r="B18" s="611"/>
      <c r="C18" s="209" t="s">
        <v>47</v>
      </c>
      <c r="D18" s="611" t="s">
        <v>12</v>
      </c>
      <c r="E18" s="612"/>
      <c r="F18" s="612"/>
      <c r="G18" s="209" t="s">
        <v>46</v>
      </c>
      <c r="H18" s="209" t="s">
        <v>394</v>
      </c>
      <c r="I18" s="209" t="s">
        <v>395</v>
      </c>
      <c r="J18" s="162" t="s">
        <v>339</v>
      </c>
      <c r="K18" s="611" t="s">
        <v>51</v>
      </c>
      <c r="L18" s="612"/>
      <c r="M18" s="210"/>
    </row>
    <row r="19" spans="1:13" s="191" customFormat="1" ht="15.75" customHeight="1">
      <c r="A19" s="613">
        <v>4</v>
      </c>
      <c r="B19" s="614" t="s">
        <v>158</v>
      </c>
      <c r="C19" s="202">
        <v>1</v>
      </c>
      <c r="D19" s="609"/>
      <c r="E19" s="610"/>
      <c r="F19" s="610"/>
      <c r="G19" s="202"/>
      <c r="H19" s="204"/>
      <c r="I19" s="205"/>
      <c r="J19" s="202"/>
      <c r="K19" s="609"/>
      <c r="L19" s="610"/>
    </row>
    <row r="20" spans="1:13" s="191" customFormat="1" ht="15.75" customHeight="1">
      <c r="A20" s="613"/>
      <c r="B20" s="614"/>
      <c r="C20" s="202">
        <v>2</v>
      </c>
      <c r="D20" s="609"/>
      <c r="E20" s="610"/>
      <c r="F20" s="610"/>
      <c r="G20" s="202"/>
      <c r="H20" s="204"/>
      <c r="I20" s="205"/>
      <c r="J20" s="202"/>
      <c r="K20" s="609"/>
      <c r="L20" s="610"/>
    </row>
    <row r="21" spans="1:13" s="191" customFormat="1" ht="15.75" customHeight="1">
      <c r="A21" s="613"/>
      <c r="B21" s="614"/>
      <c r="C21" s="202">
        <v>3</v>
      </c>
      <c r="D21" s="609"/>
      <c r="E21" s="610"/>
      <c r="F21" s="610"/>
      <c r="G21" s="202"/>
      <c r="H21" s="204"/>
      <c r="I21" s="205"/>
      <c r="J21" s="202"/>
      <c r="K21" s="609"/>
      <c r="L21" s="610"/>
    </row>
    <row r="22" spans="1:13" s="191" customFormat="1" ht="15.75" customHeight="1">
      <c r="A22" s="613"/>
      <c r="B22" s="614"/>
      <c r="C22" s="202">
        <v>4</v>
      </c>
      <c r="D22" s="609"/>
      <c r="E22" s="610"/>
      <c r="F22" s="610"/>
      <c r="G22" s="202"/>
      <c r="H22" s="204"/>
      <c r="I22" s="205"/>
      <c r="J22" s="202"/>
      <c r="K22" s="609"/>
      <c r="L22" s="610"/>
    </row>
    <row r="23" spans="1:13" s="191" customFormat="1" ht="15.75" customHeight="1">
      <c r="A23" s="613"/>
      <c r="B23" s="614"/>
      <c r="C23" s="202">
        <v>5</v>
      </c>
      <c r="D23" s="609"/>
      <c r="E23" s="610"/>
      <c r="F23" s="610"/>
      <c r="G23" s="202"/>
      <c r="H23" s="204"/>
      <c r="I23" s="205"/>
      <c r="J23" s="202"/>
      <c r="K23" s="609"/>
      <c r="L23" s="610"/>
    </row>
    <row r="24" spans="1:13" s="191" customFormat="1" ht="15.75" customHeight="1">
      <c r="A24" s="613"/>
      <c r="B24" s="614"/>
      <c r="C24" s="206" t="s">
        <v>207</v>
      </c>
      <c r="D24" s="609"/>
      <c r="E24" s="610"/>
      <c r="F24" s="610"/>
      <c r="G24" s="202"/>
      <c r="H24" s="204"/>
      <c r="I24" s="205"/>
      <c r="J24" s="202"/>
      <c r="K24" s="609"/>
      <c r="L24" s="610"/>
    </row>
    <row r="25" spans="1:13" s="191" customFormat="1" ht="15.75" customHeight="1">
      <c r="A25" s="613"/>
      <c r="B25" s="614"/>
      <c r="C25" s="206" t="s">
        <v>212</v>
      </c>
      <c r="D25" s="609"/>
      <c r="E25" s="610"/>
      <c r="F25" s="610"/>
      <c r="G25" s="202"/>
      <c r="H25" s="204"/>
      <c r="I25" s="205"/>
      <c r="J25" s="202"/>
      <c r="K25" s="609"/>
      <c r="L25" s="610"/>
    </row>
    <row r="26" spans="1:13" s="191" customFormat="1" ht="15.75" customHeight="1">
      <c r="A26" s="613"/>
      <c r="B26" s="614"/>
      <c r="C26" s="206" t="s">
        <v>208</v>
      </c>
      <c r="D26" s="609"/>
      <c r="E26" s="610"/>
      <c r="F26" s="610"/>
      <c r="G26" s="202"/>
      <c r="H26" s="204"/>
      <c r="I26" s="205"/>
      <c r="J26" s="202"/>
      <c r="K26" s="609"/>
      <c r="L26" s="610"/>
    </row>
    <row r="27" spans="1:13" s="191" customFormat="1" ht="15.75" customHeight="1">
      <c r="A27" s="613"/>
      <c r="B27" s="614"/>
      <c r="C27" s="206" t="s">
        <v>213</v>
      </c>
      <c r="D27" s="609"/>
      <c r="E27" s="610"/>
      <c r="F27" s="610"/>
      <c r="G27" s="202"/>
      <c r="H27" s="204"/>
      <c r="I27" s="205"/>
      <c r="J27" s="202"/>
      <c r="K27" s="609"/>
      <c r="L27" s="610"/>
    </row>
    <row r="28" spans="1:13" s="191" customFormat="1" ht="15.75" customHeight="1">
      <c r="A28" s="613"/>
      <c r="B28" s="614"/>
      <c r="C28" s="206" t="s">
        <v>214</v>
      </c>
      <c r="D28" s="609"/>
      <c r="E28" s="610"/>
      <c r="F28" s="610"/>
      <c r="G28" s="202"/>
      <c r="H28" s="204"/>
      <c r="I28" s="205"/>
      <c r="J28" s="202"/>
      <c r="K28" s="609"/>
      <c r="L28" s="610"/>
    </row>
    <row r="29" spans="1:13" s="191" customFormat="1" ht="15.75" customHeight="1">
      <c r="A29" s="615" t="s">
        <v>610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3" s="192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3" s="180" customFormat="1" ht="16.399999999999999" customHeight="1">
      <c r="A31" s="613" t="s">
        <v>164</v>
      </c>
      <c r="B31" s="172">
        <v>1</v>
      </c>
      <c r="C31" s="172">
        <v>2</v>
      </c>
      <c r="D31" s="193">
        <v>3</v>
      </c>
      <c r="E31" s="193">
        <v>4</v>
      </c>
      <c r="F31" s="172">
        <v>5</v>
      </c>
      <c r="G31" s="172">
        <v>6</v>
      </c>
      <c r="H31" s="172">
        <v>7</v>
      </c>
      <c r="I31" s="172">
        <v>8</v>
      </c>
      <c r="J31" s="172">
        <v>9</v>
      </c>
      <c r="K31" s="194"/>
      <c r="L31" s="194"/>
      <c r="M31" s="195"/>
    </row>
    <row r="32" spans="1:13" s="191" customFormat="1" ht="16.399999999999999" customHeight="1">
      <c r="A32" s="613"/>
      <c r="B32" s="197" t="s">
        <v>209</v>
      </c>
      <c r="C32" s="197" t="s">
        <v>157</v>
      </c>
      <c r="D32" s="196" t="s">
        <v>210</v>
      </c>
      <c r="E32" s="196" t="s">
        <v>158</v>
      </c>
      <c r="F32" s="197" t="s">
        <v>363</v>
      </c>
      <c r="G32" s="198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M32" s="192"/>
    </row>
    <row r="33" spans="1:15" s="180" customFormat="1" ht="15.75" customHeight="1">
      <c r="A33" s="614" t="s">
        <v>190</v>
      </c>
      <c r="B33" s="614"/>
      <c r="C33" s="162" t="s">
        <v>47</v>
      </c>
      <c r="D33" s="614" t="s">
        <v>12</v>
      </c>
      <c r="E33" s="616"/>
      <c r="F33" s="616"/>
      <c r="G33" s="162" t="s">
        <v>46</v>
      </c>
      <c r="H33" s="162" t="s">
        <v>394</v>
      </c>
      <c r="I33" s="162" t="s">
        <v>395</v>
      </c>
      <c r="J33" s="162" t="s">
        <v>339</v>
      </c>
      <c r="K33" s="614" t="s">
        <v>51</v>
      </c>
      <c r="L33" s="616"/>
      <c r="M33" s="195"/>
    </row>
    <row r="34" spans="1:15" s="191" customFormat="1" ht="15.75" customHeight="1">
      <c r="A34" s="613">
        <v>3</v>
      </c>
      <c r="B34" s="614" t="s">
        <v>397</v>
      </c>
      <c r="C34" s="202">
        <v>1</v>
      </c>
      <c r="D34" s="609" t="s">
        <v>513</v>
      </c>
      <c r="E34" s="610"/>
      <c r="F34" s="610"/>
      <c r="G34" s="202">
        <v>6</v>
      </c>
      <c r="H34" s="204">
        <v>3258.1538201176595</v>
      </c>
      <c r="I34" s="205">
        <v>543.0256366862767</v>
      </c>
      <c r="J34" s="223">
        <f>I34-I8</f>
        <v>-0.30816606448740913</v>
      </c>
      <c r="K34" s="609" t="s">
        <v>476</v>
      </c>
      <c r="L34" s="610"/>
      <c r="M34" s="192"/>
    </row>
    <row r="35" spans="1:15" s="191" customFormat="1" ht="15.75" customHeight="1">
      <c r="A35" s="613"/>
      <c r="B35" s="614"/>
      <c r="C35" s="202">
        <v>2</v>
      </c>
      <c r="D35" s="609" t="s">
        <v>502</v>
      </c>
      <c r="E35" s="610"/>
      <c r="F35" s="610"/>
      <c r="G35" s="202">
        <v>20</v>
      </c>
      <c r="H35" s="204">
        <v>2307.9031183275561</v>
      </c>
      <c r="I35" s="205">
        <v>115.3951559163778</v>
      </c>
      <c r="J35" s="223">
        <f>I35-I9</f>
        <v>6.5866931523103744E-2</v>
      </c>
      <c r="K35" s="609" t="s">
        <v>476</v>
      </c>
      <c r="L35" s="610"/>
      <c r="M35" s="192"/>
    </row>
    <row r="36" spans="1:15" s="191" customFormat="1" ht="15.75" customHeight="1">
      <c r="A36" s="613"/>
      <c r="B36" s="614"/>
      <c r="C36" s="202">
        <v>3</v>
      </c>
      <c r="D36" s="609" t="s">
        <v>362</v>
      </c>
      <c r="E36" s="610"/>
      <c r="F36" s="610"/>
      <c r="G36" s="202">
        <v>20</v>
      </c>
      <c r="H36" s="204">
        <v>2307.8009063814379</v>
      </c>
      <c r="I36" s="205">
        <v>115.39004531907192</v>
      </c>
      <c r="J36" s="223">
        <f>I36-I10</f>
        <v>9.5858125010295225E-2</v>
      </c>
      <c r="K36" s="609" t="s">
        <v>476</v>
      </c>
      <c r="L36" s="610"/>
      <c r="M36" s="192"/>
    </row>
    <row r="37" spans="1:15" s="191" customFormat="1" ht="15.75" customHeight="1">
      <c r="A37" s="613"/>
      <c r="B37" s="614"/>
      <c r="C37" s="202">
        <v>4</v>
      </c>
      <c r="D37" s="609"/>
      <c r="E37" s="610"/>
      <c r="F37" s="610"/>
      <c r="G37" s="202"/>
      <c r="H37" s="204"/>
      <c r="I37" s="205"/>
      <c r="J37" s="202"/>
      <c r="K37" s="609"/>
      <c r="L37" s="610"/>
      <c r="M37" s="192"/>
    </row>
    <row r="38" spans="1:15" s="191" customFormat="1" ht="15.75" customHeight="1">
      <c r="A38" s="613"/>
      <c r="B38" s="614"/>
      <c r="C38" s="202">
        <v>5</v>
      </c>
      <c r="D38" s="609"/>
      <c r="E38" s="610"/>
      <c r="F38" s="610"/>
      <c r="G38" s="202"/>
      <c r="H38" s="204"/>
      <c r="I38" s="205"/>
      <c r="J38" s="202"/>
      <c r="K38" s="609"/>
      <c r="L38" s="610"/>
      <c r="M38" s="192"/>
    </row>
    <row r="39" spans="1:15" s="191" customFormat="1" ht="15.75" customHeight="1">
      <c r="A39" s="613"/>
      <c r="B39" s="614"/>
      <c r="C39" s="206" t="s">
        <v>207</v>
      </c>
      <c r="D39" s="609"/>
      <c r="E39" s="610"/>
      <c r="F39" s="610"/>
      <c r="G39" s="202"/>
      <c r="H39" s="204"/>
      <c r="I39" s="205"/>
      <c r="J39" s="202"/>
      <c r="K39" s="609"/>
      <c r="L39" s="610"/>
      <c r="M39" s="192"/>
    </row>
    <row r="40" spans="1:15" s="191" customFormat="1" ht="15.75" customHeight="1">
      <c r="A40" s="613"/>
      <c r="B40" s="614"/>
      <c r="C40" s="206" t="s">
        <v>212</v>
      </c>
      <c r="D40" s="609"/>
      <c r="E40" s="610"/>
      <c r="F40" s="610"/>
      <c r="G40" s="202"/>
      <c r="H40" s="204"/>
      <c r="I40" s="205"/>
      <c r="J40" s="202"/>
      <c r="K40" s="609"/>
      <c r="L40" s="610"/>
      <c r="M40" s="192"/>
    </row>
    <row r="41" spans="1:15" s="191" customFormat="1" ht="15.75" customHeight="1">
      <c r="A41" s="613"/>
      <c r="B41" s="614"/>
      <c r="C41" s="206" t="s">
        <v>208</v>
      </c>
      <c r="D41" s="609"/>
      <c r="E41" s="610"/>
      <c r="F41" s="610"/>
      <c r="G41" s="204"/>
      <c r="H41" s="204"/>
      <c r="I41" s="205"/>
      <c r="J41" s="202"/>
      <c r="K41" s="609"/>
      <c r="L41" s="610"/>
      <c r="M41" s="192"/>
    </row>
    <row r="42" spans="1:15" s="191" customFormat="1" ht="15.75" customHeight="1">
      <c r="A42" s="613"/>
      <c r="B42" s="614"/>
      <c r="C42" s="206" t="s">
        <v>213</v>
      </c>
      <c r="D42" s="609"/>
      <c r="E42" s="610"/>
      <c r="F42" s="610"/>
      <c r="G42" s="202"/>
      <c r="H42" s="204"/>
      <c r="I42" s="205"/>
      <c r="J42" s="202"/>
      <c r="K42" s="609"/>
      <c r="L42" s="610"/>
    </row>
    <row r="43" spans="1:15" s="191" customFormat="1" ht="15.75" customHeight="1">
      <c r="A43" s="613"/>
      <c r="B43" s="614"/>
      <c r="C43" s="206" t="s">
        <v>214</v>
      </c>
      <c r="D43" s="609"/>
      <c r="E43" s="610"/>
      <c r="F43" s="610"/>
      <c r="G43" s="202"/>
      <c r="H43" s="204"/>
      <c r="I43" s="205"/>
      <c r="J43" s="202"/>
      <c r="K43" s="609"/>
      <c r="L43" s="610"/>
    </row>
    <row r="44" spans="1:15" s="201" customFormat="1" ht="15.75" customHeight="1">
      <c r="A44" s="611" t="s">
        <v>190</v>
      </c>
      <c r="B44" s="611"/>
      <c r="C44" s="209" t="s">
        <v>47</v>
      </c>
      <c r="D44" s="611" t="s">
        <v>12</v>
      </c>
      <c r="E44" s="612"/>
      <c r="F44" s="612"/>
      <c r="G44" s="209" t="s">
        <v>46</v>
      </c>
      <c r="H44" s="209" t="s">
        <v>394</v>
      </c>
      <c r="I44" s="209" t="s">
        <v>395</v>
      </c>
      <c r="J44" s="162" t="s">
        <v>339</v>
      </c>
      <c r="K44" s="611" t="s">
        <v>51</v>
      </c>
      <c r="L44" s="612"/>
      <c r="M44" s="210"/>
      <c r="O44" s="438"/>
    </row>
    <row r="45" spans="1:15" s="191" customFormat="1" ht="15.75" customHeight="1">
      <c r="A45" s="613">
        <v>4</v>
      </c>
      <c r="B45" s="614" t="s">
        <v>158</v>
      </c>
      <c r="C45" s="202">
        <v>1</v>
      </c>
      <c r="D45" s="609"/>
      <c r="E45" s="610"/>
      <c r="F45" s="610"/>
      <c r="G45" s="202"/>
      <c r="H45" s="204"/>
      <c r="I45" s="205"/>
      <c r="J45" s="202"/>
      <c r="K45" s="609"/>
      <c r="L45" s="610"/>
    </row>
    <row r="46" spans="1:15" s="191" customFormat="1" ht="15.75" customHeight="1">
      <c r="A46" s="613"/>
      <c r="B46" s="614"/>
      <c r="C46" s="202">
        <v>2</v>
      </c>
      <c r="D46" s="609"/>
      <c r="E46" s="610"/>
      <c r="F46" s="610"/>
      <c r="G46" s="202"/>
      <c r="H46" s="204"/>
      <c r="I46" s="205"/>
      <c r="J46" s="202"/>
      <c r="K46" s="609"/>
      <c r="L46" s="610"/>
      <c r="O46" s="439"/>
    </row>
    <row r="47" spans="1:15" s="191" customFormat="1" ht="15.75" customHeight="1">
      <c r="A47" s="613"/>
      <c r="B47" s="614"/>
      <c r="C47" s="202">
        <v>3</v>
      </c>
      <c r="D47" s="609"/>
      <c r="E47" s="610"/>
      <c r="F47" s="610"/>
      <c r="G47" s="202"/>
      <c r="H47" s="204"/>
      <c r="I47" s="205"/>
      <c r="J47" s="202"/>
      <c r="K47" s="609"/>
      <c r="L47" s="610"/>
    </row>
    <row r="48" spans="1:15" s="191" customFormat="1" ht="15.75" customHeight="1">
      <c r="A48" s="613"/>
      <c r="B48" s="614"/>
      <c r="C48" s="202">
        <v>4</v>
      </c>
      <c r="D48" s="609"/>
      <c r="E48" s="610"/>
      <c r="F48" s="610"/>
      <c r="G48" s="202"/>
      <c r="H48" s="204"/>
      <c r="I48" s="205"/>
      <c r="J48" s="202"/>
      <c r="K48" s="609"/>
      <c r="L48" s="610"/>
    </row>
    <row r="49" spans="1:18" s="191" customFormat="1" ht="15.75" customHeight="1">
      <c r="A49" s="613"/>
      <c r="B49" s="614"/>
      <c r="C49" s="202">
        <v>5</v>
      </c>
      <c r="D49" s="609"/>
      <c r="E49" s="610"/>
      <c r="F49" s="610"/>
      <c r="G49" s="202"/>
      <c r="H49" s="204"/>
      <c r="I49" s="205"/>
      <c r="J49" s="202"/>
      <c r="K49" s="609"/>
      <c r="L49" s="610"/>
    </row>
    <row r="50" spans="1:18" s="191" customFormat="1" ht="15.75" customHeight="1">
      <c r="A50" s="613"/>
      <c r="B50" s="614"/>
      <c r="C50" s="206" t="s">
        <v>207</v>
      </c>
      <c r="D50" s="609"/>
      <c r="E50" s="610"/>
      <c r="F50" s="610"/>
      <c r="G50" s="202"/>
      <c r="H50" s="204"/>
      <c r="I50" s="205"/>
      <c r="J50" s="202"/>
      <c r="K50" s="609"/>
      <c r="L50" s="610"/>
    </row>
    <row r="51" spans="1:18" s="191" customFormat="1" ht="15.75" customHeight="1">
      <c r="A51" s="613"/>
      <c r="B51" s="614"/>
      <c r="C51" s="206" t="s">
        <v>212</v>
      </c>
      <c r="D51" s="609"/>
      <c r="E51" s="610"/>
      <c r="F51" s="610"/>
      <c r="G51" s="202"/>
      <c r="H51" s="204"/>
      <c r="I51" s="205"/>
      <c r="J51" s="202"/>
      <c r="K51" s="609"/>
      <c r="L51" s="610"/>
    </row>
    <row r="52" spans="1:18" s="191" customFormat="1" ht="15.75" customHeight="1">
      <c r="A52" s="613"/>
      <c r="B52" s="614"/>
      <c r="C52" s="206" t="s">
        <v>208</v>
      </c>
      <c r="D52" s="609"/>
      <c r="E52" s="610"/>
      <c r="F52" s="610"/>
      <c r="G52" s="202"/>
      <c r="H52" s="204"/>
      <c r="I52" s="205"/>
      <c r="J52" s="202"/>
      <c r="K52" s="609"/>
      <c r="L52" s="610"/>
    </row>
    <row r="53" spans="1:18" s="191" customFormat="1" ht="15.75" customHeight="1">
      <c r="A53" s="613"/>
      <c r="B53" s="614"/>
      <c r="C53" s="206" t="s">
        <v>213</v>
      </c>
      <c r="D53" s="609"/>
      <c r="E53" s="610"/>
      <c r="F53" s="610"/>
      <c r="G53" s="202"/>
      <c r="H53" s="204"/>
      <c r="I53" s="205"/>
      <c r="J53" s="202"/>
      <c r="K53" s="609"/>
      <c r="L53" s="610"/>
    </row>
    <row r="54" spans="1:18" s="191" customFormat="1" ht="15.75" customHeight="1">
      <c r="A54" s="613"/>
      <c r="B54" s="614"/>
      <c r="C54" s="206" t="s">
        <v>214</v>
      </c>
      <c r="D54" s="609"/>
      <c r="E54" s="610"/>
      <c r="F54" s="610"/>
      <c r="G54" s="202"/>
      <c r="H54" s="204"/>
      <c r="I54" s="205"/>
      <c r="J54" s="202"/>
      <c r="K54" s="609"/>
      <c r="L54" s="610"/>
    </row>
    <row r="55" spans="1:18" s="191" customFormat="1" ht="15.75" customHeight="1">
      <c r="A55" s="615" t="s">
        <v>665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80" customFormat="1" ht="16.399999999999999" customHeight="1">
      <c r="A57" s="613" t="s">
        <v>164</v>
      </c>
      <c r="B57" s="172">
        <v>1</v>
      </c>
      <c r="C57" s="172">
        <v>2</v>
      </c>
      <c r="D57" s="193">
        <v>3</v>
      </c>
      <c r="E57" s="193">
        <v>4</v>
      </c>
      <c r="F57" s="172">
        <v>5</v>
      </c>
      <c r="G57" s="172">
        <v>6</v>
      </c>
      <c r="H57" s="172">
        <v>7</v>
      </c>
      <c r="I57" s="172">
        <v>8</v>
      </c>
      <c r="J57" s="172">
        <v>9</v>
      </c>
      <c r="K57" s="194"/>
      <c r="L57" s="194"/>
      <c r="M57" s="195"/>
    </row>
    <row r="58" spans="1:18" s="191" customFormat="1" ht="16.399999999999999" customHeight="1">
      <c r="A58" s="613"/>
      <c r="B58" s="197" t="s">
        <v>209</v>
      </c>
      <c r="C58" s="197" t="s">
        <v>157</v>
      </c>
      <c r="D58" s="196" t="s">
        <v>210</v>
      </c>
      <c r="E58" s="196" t="s">
        <v>158</v>
      </c>
      <c r="F58" s="197" t="s">
        <v>363</v>
      </c>
      <c r="G58" s="198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M58" s="192"/>
      <c r="N58" s="201"/>
      <c r="O58" s="201"/>
      <c r="P58" s="201"/>
      <c r="Q58" s="201"/>
      <c r="R58" s="201"/>
    </row>
    <row r="59" spans="1:18" s="180" customFormat="1" ht="15.75" customHeight="1">
      <c r="A59" s="614" t="s">
        <v>190</v>
      </c>
      <c r="B59" s="614"/>
      <c r="C59" s="162" t="s">
        <v>47</v>
      </c>
      <c r="D59" s="614" t="s">
        <v>12</v>
      </c>
      <c r="E59" s="616"/>
      <c r="F59" s="616"/>
      <c r="G59" s="162" t="s">
        <v>46</v>
      </c>
      <c r="H59" s="162" t="s">
        <v>394</v>
      </c>
      <c r="I59" s="162" t="s">
        <v>395</v>
      </c>
      <c r="J59" s="162" t="s">
        <v>339</v>
      </c>
      <c r="K59" s="614" t="s">
        <v>51</v>
      </c>
      <c r="L59" s="616"/>
      <c r="M59" s="195"/>
      <c r="N59" s="191"/>
      <c r="O59" s="201"/>
      <c r="P59" s="449"/>
      <c r="Q59" s="449"/>
      <c r="R59" s="201"/>
    </row>
    <row r="60" spans="1:18" s="191" customFormat="1" ht="15.75" customHeight="1">
      <c r="A60" s="613">
        <v>3</v>
      </c>
      <c r="B60" s="614" t="s">
        <v>397</v>
      </c>
      <c r="C60" s="202">
        <v>1</v>
      </c>
      <c r="D60" s="609" t="s">
        <v>513</v>
      </c>
      <c r="E60" s="610"/>
      <c r="F60" s="610"/>
      <c r="G60" s="202">
        <v>6</v>
      </c>
      <c r="H60" s="204">
        <v>3258.1191435850837</v>
      </c>
      <c r="I60" s="205">
        <v>543.01985726418047</v>
      </c>
      <c r="J60" s="223">
        <f>I60-I34</f>
        <v>-5.779422096225062E-3</v>
      </c>
      <c r="K60" s="609" t="s">
        <v>476</v>
      </c>
      <c r="L60" s="610"/>
      <c r="M60" s="192"/>
      <c r="O60" s="201"/>
      <c r="P60" s="449"/>
      <c r="Q60" s="449"/>
      <c r="R60" s="201"/>
    </row>
    <row r="61" spans="1:18" s="191" customFormat="1" ht="15.75" customHeight="1">
      <c r="A61" s="613"/>
      <c r="B61" s="614"/>
      <c r="C61" s="202">
        <v>2</v>
      </c>
      <c r="D61" s="609" t="s">
        <v>362</v>
      </c>
      <c r="E61" s="610"/>
      <c r="F61" s="610"/>
      <c r="G61" s="202">
        <v>20</v>
      </c>
      <c r="H61" s="204">
        <v>2308.8616925866477</v>
      </c>
      <c r="I61" s="205">
        <v>115.44308462933238</v>
      </c>
      <c r="J61" s="223">
        <f>I61-I36</f>
        <v>5.303931026045916E-2</v>
      </c>
      <c r="K61" s="609" t="s">
        <v>476</v>
      </c>
      <c r="L61" s="610"/>
      <c r="M61" s="192"/>
      <c r="O61" s="201"/>
      <c r="P61" s="449"/>
      <c r="Q61" s="449"/>
      <c r="R61" s="201"/>
    </row>
    <row r="62" spans="1:18" s="191" customFormat="1" ht="15.75" customHeight="1">
      <c r="A62" s="613"/>
      <c r="B62" s="614"/>
      <c r="C62" s="202">
        <v>3</v>
      </c>
      <c r="D62" s="609" t="s">
        <v>502</v>
      </c>
      <c r="E62" s="610"/>
      <c r="F62" s="610"/>
      <c r="G62" s="202">
        <v>20</v>
      </c>
      <c r="H62" s="204">
        <v>2308.1942374489122</v>
      </c>
      <c r="I62" s="205">
        <v>115.40971187244563</v>
      </c>
      <c r="J62" s="223">
        <f>I62-I35</f>
        <v>1.4555956067823672E-2</v>
      </c>
      <c r="K62" s="609" t="s">
        <v>476</v>
      </c>
      <c r="L62" s="610"/>
      <c r="M62" s="192"/>
      <c r="O62" s="201"/>
      <c r="P62" s="449"/>
      <c r="Q62" s="449"/>
      <c r="R62" s="201"/>
    </row>
    <row r="63" spans="1:18" s="191" customFormat="1" ht="15.75" customHeight="1">
      <c r="A63" s="613"/>
      <c r="B63" s="614"/>
      <c r="C63" s="202">
        <v>4</v>
      </c>
      <c r="D63" s="609"/>
      <c r="E63" s="610"/>
      <c r="F63" s="610"/>
      <c r="G63" s="202"/>
      <c r="H63" s="204"/>
      <c r="I63" s="205"/>
      <c r="J63" s="202"/>
      <c r="K63" s="609"/>
      <c r="L63" s="610"/>
      <c r="M63" s="192"/>
      <c r="O63" s="201"/>
      <c r="P63" s="449"/>
      <c r="Q63" s="449"/>
      <c r="R63" s="201"/>
    </row>
    <row r="64" spans="1:18" s="191" customFormat="1" ht="15.75" customHeight="1">
      <c r="A64" s="613"/>
      <c r="B64" s="614"/>
      <c r="C64" s="202">
        <v>5</v>
      </c>
      <c r="D64" s="609"/>
      <c r="E64" s="610"/>
      <c r="F64" s="610"/>
      <c r="G64" s="202"/>
      <c r="H64" s="204"/>
      <c r="I64" s="205"/>
      <c r="J64" s="202"/>
      <c r="K64" s="609"/>
      <c r="L64" s="610"/>
      <c r="M64" s="192"/>
      <c r="O64" s="201"/>
      <c r="P64" s="449"/>
      <c r="Q64" s="449"/>
      <c r="R64" s="201"/>
    </row>
    <row r="65" spans="1:18" s="191" customFormat="1" ht="15.75" customHeight="1">
      <c r="A65" s="613"/>
      <c r="B65" s="614"/>
      <c r="C65" s="206" t="s">
        <v>207</v>
      </c>
      <c r="D65" s="609"/>
      <c r="E65" s="610"/>
      <c r="F65" s="610"/>
      <c r="G65" s="202"/>
      <c r="H65" s="204"/>
      <c r="I65" s="205"/>
      <c r="J65" s="202"/>
      <c r="K65" s="609"/>
      <c r="L65" s="610"/>
      <c r="M65" s="192"/>
      <c r="O65" s="201"/>
      <c r="P65" s="449"/>
      <c r="Q65" s="449"/>
      <c r="R65" s="201"/>
    </row>
    <row r="66" spans="1:18" s="191" customFormat="1" ht="15.75" customHeight="1">
      <c r="A66" s="613"/>
      <c r="B66" s="614"/>
      <c r="C66" s="206" t="s">
        <v>212</v>
      </c>
      <c r="D66" s="609"/>
      <c r="E66" s="610"/>
      <c r="F66" s="610"/>
      <c r="G66" s="202"/>
      <c r="H66" s="204"/>
      <c r="I66" s="205"/>
      <c r="J66" s="202"/>
      <c r="K66" s="609"/>
      <c r="L66" s="610"/>
      <c r="M66" s="192"/>
      <c r="N66" s="180"/>
      <c r="O66" s="180"/>
      <c r="P66" s="448"/>
      <c r="Q66" s="448"/>
      <c r="R66" s="180"/>
    </row>
    <row r="67" spans="1:18" s="191" customFormat="1" ht="15.75" customHeight="1">
      <c r="A67" s="613"/>
      <c r="B67" s="614"/>
      <c r="C67" s="206" t="s">
        <v>208</v>
      </c>
      <c r="D67" s="609"/>
      <c r="E67" s="610"/>
      <c r="F67" s="610"/>
      <c r="G67" s="204"/>
      <c r="H67" s="204"/>
      <c r="I67" s="205"/>
      <c r="J67" s="202"/>
      <c r="K67" s="609"/>
      <c r="L67" s="610"/>
      <c r="M67" s="192"/>
      <c r="O67" s="201"/>
      <c r="P67" s="449"/>
      <c r="Q67" s="449"/>
      <c r="R67" s="201"/>
    </row>
    <row r="68" spans="1:18" s="191" customFormat="1" ht="15.75" customHeight="1">
      <c r="A68" s="613"/>
      <c r="B68" s="614"/>
      <c r="C68" s="206" t="s">
        <v>213</v>
      </c>
      <c r="D68" s="609"/>
      <c r="E68" s="610"/>
      <c r="F68" s="610"/>
      <c r="G68" s="202"/>
      <c r="H68" s="204"/>
      <c r="I68" s="205"/>
      <c r="J68" s="202"/>
      <c r="K68" s="609"/>
      <c r="L68" s="610"/>
      <c r="O68" s="201"/>
      <c r="P68" s="449"/>
      <c r="Q68" s="449"/>
      <c r="R68" s="201"/>
    </row>
    <row r="69" spans="1:18" s="191" customFormat="1" ht="15.75" customHeight="1">
      <c r="A69" s="613"/>
      <c r="B69" s="614"/>
      <c r="C69" s="206" t="s">
        <v>214</v>
      </c>
      <c r="D69" s="609"/>
      <c r="E69" s="610"/>
      <c r="F69" s="610"/>
      <c r="G69" s="202"/>
      <c r="H69" s="204"/>
      <c r="I69" s="205"/>
      <c r="J69" s="202"/>
      <c r="K69" s="609"/>
      <c r="L69" s="610"/>
      <c r="O69" s="201"/>
      <c r="P69" s="449"/>
      <c r="Q69" s="449"/>
      <c r="R69" s="201"/>
    </row>
    <row r="70" spans="1:18" s="201" customFormat="1" ht="15.75" customHeight="1">
      <c r="A70" s="611" t="s">
        <v>190</v>
      </c>
      <c r="B70" s="611"/>
      <c r="C70" s="209" t="s">
        <v>47</v>
      </c>
      <c r="D70" s="611" t="s">
        <v>12</v>
      </c>
      <c r="E70" s="612"/>
      <c r="F70" s="612"/>
      <c r="G70" s="209" t="s">
        <v>46</v>
      </c>
      <c r="H70" s="209" t="s">
        <v>394</v>
      </c>
      <c r="I70" s="209" t="s">
        <v>395</v>
      </c>
      <c r="J70" s="162" t="s">
        <v>339</v>
      </c>
      <c r="K70" s="611" t="s">
        <v>51</v>
      </c>
      <c r="L70" s="612"/>
      <c r="M70" s="210"/>
      <c r="N70" s="191"/>
      <c r="P70" s="449"/>
      <c r="Q70" s="449"/>
    </row>
    <row r="71" spans="1:18" s="191" customFormat="1" ht="15.75" customHeight="1">
      <c r="A71" s="613">
        <v>4</v>
      </c>
      <c r="B71" s="614" t="s">
        <v>158</v>
      </c>
      <c r="C71" s="202">
        <v>1</v>
      </c>
      <c r="D71" s="609" t="s">
        <v>662</v>
      </c>
      <c r="E71" s="610"/>
      <c r="F71" s="610"/>
      <c r="G71" s="202">
        <v>6</v>
      </c>
      <c r="H71" s="204">
        <v>2820.6744508653906</v>
      </c>
      <c r="I71" s="205">
        <v>470.11240847756511</v>
      </c>
      <c r="J71" s="202"/>
      <c r="K71" s="609" t="s">
        <v>680</v>
      </c>
      <c r="L71" s="610"/>
      <c r="N71" s="201"/>
      <c r="O71" s="201"/>
      <c r="P71" s="449"/>
      <c r="Q71" s="449"/>
      <c r="R71" s="201"/>
    </row>
    <row r="72" spans="1:18" s="191" customFormat="1" ht="15.75" customHeight="1">
      <c r="A72" s="613"/>
      <c r="B72" s="614"/>
      <c r="C72" s="202">
        <v>2</v>
      </c>
      <c r="D72" s="609"/>
      <c r="E72" s="610"/>
      <c r="F72" s="610"/>
      <c r="G72" s="202"/>
      <c r="H72" s="204"/>
      <c r="I72" s="205"/>
      <c r="J72" s="202"/>
      <c r="K72" s="609"/>
      <c r="L72" s="610"/>
      <c r="O72" s="201"/>
      <c r="P72" s="449"/>
      <c r="Q72" s="449"/>
      <c r="R72" s="201"/>
    </row>
    <row r="73" spans="1:18" s="191" customFormat="1" ht="15.75" customHeight="1">
      <c r="A73" s="613"/>
      <c r="B73" s="614"/>
      <c r="C73" s="202">
        <v>3</v>
      </c>
      <c r="D73" s="609"/>
      <c r="E73" s="610"/>
      <c r="F73" s="610"/>
      <c r="G73" s="202"/>
      <c r="H73" s="204"/>
      <c r="I73" s="205"/>
      <c r="J73" s="202"/>
      <c r="K73" s="609"/>
      <c r="L73" s="610"/>
      <c r="O73" s="201"/>
      <c r="P73" s="449"/>
      <c r="Q73" s="449"/>
      <c r="R73" s="201"/>
    </row>
    <row r="74" spans="1:18" s="191" customFormat="1" ht="15.75" customHeight="1">
      <c r="A74" s="613"/>
      <c r="B74" s="614"/>
      <c r="C74" s="202">
        <v>4</v>
      </c>
      <c r="D74" s="609"/>
      <c r="E74" s="610"/>
      <c r="F74" s="610"/>
      <c r="G74" s="202"/>
      <c r="H74" s="204"/>
      <c r="I74" s="205"/>
      <c r="J74" s="202"/>
      <c r="K74" s="609"/>
      <c r="L74" s="610"/>
      <c r="O74" s="201"/>
      <c r="P74" s="449"/>
      <c r="Q74" s="449"/>
      <c r="R74" s="201"/>
    </row>
    <row r="75" spans="1:18" s="191" customFormat="1" ht="15.75" customHeight="1">
      <c r="A75" s="613"/>
      <c r="B75" s="614"/>
      <c r="C75" s="202">
        <v>5</v>
      </c>
      <c r="D75" s="609"/>
      <c r="E75" s="610"/>
      <c r="F75" s="610"/>
      <c r="G75" s="202"/>
      <c r="H75" s="204"/>
      <c r="I75" s="205"/>
      <c r="J75" s="202"/>
      <c r="K75" s="609"/>
      <c r="L75" s="610"/>
      <c r="O75" s="201"/>
      <c r="P75" s="449"/>
      <c r="Q75" s="449"/>
      <c r="R75" s="201"/>
    </row>
    <row r="76" spans="1:18" s="191" customFormat="1" ht="15.75" customHeight="1">
      <c r="A76" s="613"/>
      <c r="B76" s="614"/>
      <c r="C76" s="206" t="s">
        <v>207</v>
      </c>
      <c r="D76" s="609"/>
      <c r="E76" s="610"/>
      <c r="F76" s="610"/>
      <c r="G76" s="202"/>
      <c r="H76" s="204"/>
      <c r="I76" s="205"/>
      <c r="J76" s="202"/>
      <c r="K76" s="609"/>
      <c r="L76" s="610"/>
      <c r="O76" s="201"/>
      <c r="P76" s="449"/>
      <c r="Q76" s="449"/>
      <c r="R76" s="201"/>
    </row>
    <row r="77" spans="1:18" s="191" customFormat="1" ht="15.75" customHeight="1">
      <c r="A77" s="613"/>
      <c r="B77" s="614"/>
      <c r="C77" s="206" t="s">
        <v>212</v>
      </c>
      <c r="D77" s="609"/>
      <c r="E77" s="610"/>
      <c r="F77" s="610"/>
      <c r="G77" s="202"/>
      <c r="H77" s="204"/>
      <c r="I77" s="205"/>
      <c r="J77" s="202"/>
      <c r="K77" s="609"/>
      <c r="L77" s="610"/>
      <c r="O77" s="201"/>
      <c r="P77" s="449"/>
      <c r="Q77" s="449"/>
      <c r="R77" s="201"/>
    </row>
    <row r="78" spans="1:18" s="191" customFormat="1" ht="15.75" customHeight="1">
      <c r="A78" s="613"/>
      <c r="B78" s="614"/>
      <c r="C78" s="206" t="s">
        <v>208</v>
      </c>
      <c r="D78" s="609"/>
      <c r="E78" s="610"/>
      <c r="F78" s="610"/>
      <c r="G78" s="202"/>
      <c r="H78" s="204"/>
      <c r="I78" s="205"/>
      <c r="J78" s="202"/>
      <c r="K78" s="609"/>
      <c r="L78" s="610"/>
      <c r="O78" s="201"/>
      <c r="P78" s="449"/>
      <c r="Q78" s="449"/>
      <c r="R78" s="201"/>
    </row>
    <row r="79" spans="1:18" s="191" customFormat="1" ht="15.75" customHeight="1">
      <c r="A79" s="613"/>
      <c r="B79" s="614"/>
      <c r="C79" s="206" t="s">
        <v>213</v>
      </c>
      <c r="D79" s="609"/>
      <c r="E79" s="610"/>
      <c r="F79" s="610"/>
      <c r="G79" s="202"/>
      <c r="H79" s="204"/>
      <c r="I79" s="205"/>
      <c r="J79" s="202"/>
      <c r="K79" s="609"/>
      <c r="L79" s="610"/>
      <c r="O79" s="201"/>
      <c r="P79" s="449"/>
      <c r="Q79" s="449"/>
      <c r="R79" s="201"/>
    </row>
    <row r="80" spans="1:18" s="191" customFormat="1" ht="15.75" customHeight="1">
      <c r="A80" s="613"/>
      <c r="B80" s="614"/>
      <c r="C80" s="206" t="s">
        <v>214</v>
      </c>
      <c r="D80" s="609"/>
      <c r="E80" s="610"/>
      <c r="F80" s="610"/>
      <c r="G80" s="202"/>
      <c r="H80" s="204"/>
      <c r="I80" s="205"/>
      <c r="J80" s="202"/>
      <c r="K80" s="609"/>
      <c r="L80" s="610"/>
      <c r="O80" s="201"/>
      <c r="P80" s="449"/>
      <c r="Q80" s="449"/>
      <c r="R80" s="201"/>
    </row>
    <row r="81" spans="1:18" s="191" customFormat="1" ht="15.75" customHeight="1">
      <c r="A81" s="615" t="s">
        <v>687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</row>
    <row r="82" spans="1:18" s="192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</row>
    <row r="83" spans="1:18" s="180" customFormat="1" ht="16.399999999999999" customHeight="1">
      <c r="A83" s="613" t="s">
        <v>164</v>
      </c>
      <c r="B83" s="172">
        <v>1</v>
      </c>
      <c r="C83" s="172">
        <v>2</v>
      </c>
      <c r="D83" s="193">
        <v>3</v>
      </c>
      <c r="E83" s="193">
        <v>4</v>
      </c>
      <c r="F83" s="172">
        <v>5</v>
      </c>
      <c r="G83" s="172">
        <v>6</v>
      </c>
      <c r="H83" s="172">
        <v>7</v>
      </c>
      <c r="I83" s="172">
        <v>8</v>
      </c>
      <c r="J83" s="172">
        <v>9</v>
      </c>
      <c r="K83" s="194"/>
      <c r="L83" s="194"/>
      <c r="M83" s="195"/>
    </row>
    <row r="84" spans="1:18" s="191" customFormat="1" ht="16.399999999999999" customHeight="1">
      <c r="A84" s="613"/>
      <c r="B84" s="197" t="s">
        <v>209</v>
      </c>
      <c r="C84" s="197" t="s">
        <v>157</v>
      </c>
      <c r="D84" s="196" t="s">
        <v>210</v>
      </c>
      <c r="E84" s="196" t="s">
        <v>158</v>
      </c>
      <c r="F84" s="197" t="s">
        <v>363</v>
      </c>
      <c r="G84" s="198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M84" s="192"/>
      <c r="N84" s="201"/>
      <c r="O84" s="201"/>
      <c r="P84" s="201"/>
      <c r="Q84" s="201"/>
      <c r="R84" s="201"/>
    </row>
    <row r="85" spans="1:18" s="180" customFormat="1" ht="15.75" customHeight="1">
      <c r="A85" s="614" t="s">
        <v>190</v>
      </c>
      <c r="B85" s="614"/>
      <c r="C85" s="162" t="s">
        <v>47</v>
      </c>
      <c r="D85" s="614" t="s">
        <v>12</v>
      </c>
      <c r="E85" s="616"/>
      <c r="F85" s="616"/>
      <c r="G85" s="162" t="s">
        <v>46</v>
      </c>
      <c r="H85" s="162" t="s">
        <v>394</v>
      </c>
      <c r="I85" s="162" t="s">
        <v>395</v>
      </c>
      <c r="J85" s="162" t="s">
        <v>339</v>
      </c>
      <c r="K85" s="614" t="s">
        <v>51</v>
      </c>
      <c r="L85" s="616"/>
      <c r="M85" s="195"/>
      <c r="N85" s="191"/>
      <c r="O85" s="201"/>
      <c r="P85" s="449"/>
      <c r="Q85" s="449"/>
      <c r="R85" s="201"/>
    </row>
    <row r="86" spans="1:18" s="191" customFormat="1" ht="15.75" customHeight="1">
      <c r="A86" s="613">
        <v>3</v>
      </c>
      <c r="B86" s="614" t="s">
        <v>397</v>
      </c>
      <c r="C86" s="202">
        <v>1</v>
      </c>
      <c r="D86" s="609" t="s">
        <v>513</v>
      </c>
      <c r="E86" s="610"/>
      <c r="F86" s="610"/>
      <c r="G86" s="202">
        <v>6</v>
      </c>
      <c r="H86" s="204">
        <v>3255.6057235428384</v>
      </c>
      <c r="I86" s="205">
        <v>542.6009539238064</v>
      </c>
      <c r="J86" s="223">
        <f>I86-I60</f>
        <v>-0.41890334037407229</v>
      </c>
      <c r="K86" s="609" t="s">
        <v>476</v>
      </c>
      <c r="L86" s="610"/>
      <c r="M86" s="192"/>
      <c r="O86" s="201"/>
      <c r="P86" s="449"/>
      <c r="Q86" s="449"/>
      <c r="R86" s="201"/>
    </row>
    <row r="87" spans="1:18" s="191" customFormat="1" ht="15.75" customHeight="1">
      <c r="A87" s="613"/>
      <c r="B87" s="614"/>
      <c r="C87" s="202">
        <v>2</v>
      </c>
      <c r="D87" s="609" t="s">
        <v>362</v>
      </c>
      <c r="E87" s="610"/>
      <c r="F87" s="610"/>
      <c r="G87" s="202">
        <v>20</v>
      </c>
      <c r="H87" s="204">
        <v>2310.0435332276288</v>
      </c>
      <c r="I87" s="205">
        <v>115.50217666138144</v>
      </c>
      <c r="J87" s="223">
        <f>I87-I61</f>
        <v>5.9092032049065324E-2</v>
      </c>
      <c r="K87" s="609" t="s">
        <v>476</v>
      </c>
      <c r="L87" s="610"/>
      <c r="M87" s="192"/>
      <c r="O87" s="201"/>
      <c r="P87" s="449"/>
      <c r="Q87" s="449"/>
      <c r="R87" s="201"/>
    </row>
    <row r="88" spans="1:18" s="191" customFormat="1" ht="15.75" customHeight="1">
      <c r="A88" s="613"/>
      <c r="B88" s="614"/>
      <c r="C88" s="202">
        <v>3</v>
      </c>
      <c r="D88" s="609" t="s">
        <v>502</v>
      </c>
      <c r="E88" s="610"/>
      <c r="F88" s="610"/>
      <c r="G88" s="202">
        <v>20</v>
      </c>
      <c r="H88" s="204">
        <v>2308.8322800296887</v>
      </c>
      <c r="I88" s="205">
        <v>115.44161400148444</v>
      </c>
      <c r="J88" s="223">
        <f>I88-I62</f>
        <v>3.1902129038812177E-2</v>
      </c>
      <c r="K88" s="609" t="s">
        <v>476</v>
      </c>
      <c r="L88" s="610"/>
      <c r="M88" s="192"/>
      <c r="O88" s="201"/>
      <c r="P88" s="449"/>
      <c r="Q88" s="449"/>
      <c r="R88" s="201"/>
    </row>
    <row r="89" spans="1:18" s="191" customFormat="1" ht="15.75" customHeight="1">
      <c r="A89" s="613"/>
      <c r="B89" s="614"/>
      <c r="C89" s="202">
        <v>4</v>
      </c>
      <c r="D89" s="609"/>
      <c r="E89" s="610"/>
      <c r="F89" s="610"/>
      <c r="G89" s="202"/>
      <c r="H89" s="204"/>
      <c r="I89" s="205"/>
      <c r="J89" s="202"/>
      <c r="K89" s="609"/>
      <c r="L89" s="610"/>
      <c r="M89" s="192"/>
      <c r="O89" s="201"/>
      <c r="P89" s="449"/>
      <c r="Q89" s="449"/>
      <c r="R89" s="201"/>
    </row>
    <row r="90" spans="1:18" s="191" customFormat="1" ht="15.75" customHeight="1">
      <c r="A90" s="613"/>
      <c r="B90" s="614"/>
      <c r="C90" s="202">
        <v>5</v>
      </c>
      <c r="D90" s="609"/>
      <c r="E90" s="610"/>
      <c r="F90" s="610"/>
      <c r="G90" s="202"/>
      <c r="H90" s="204"/>
      <c r="I90" s="205"/>
      <c r="J90" s="202"/>
      <c r="K90" s="609"/>
      <c r="L90" s="610"/>
      <c r="M90" s="192"/>
      <c r="O90" s="201"/>
      <c r="P90" s="449"/>
      <c r="Q90" s="449"/>
      <c r="R90" s="201"/>
    </row>
    <row r="91" spans="1:18" s="191" customFormat="1" ht="15.75" customHeight="1">
      <c r="A91" s="613"/>
      <c r="B91" s="614"/>
      <c r="C91" s="206" t="s">
        <v>207</v>
      </c>
      <c r="D91" s="609"/>
      <c r="E91" s="610"/>
      <c r="F91" s="610"/>
      <c r="G91" s="202"/>
      <c r="H91" s="204"/>
      <c r="I91" s="205"/>
      <c r="J91" s="202"/>
      <c r="K91" s="609"/>
      <c r="L91" s="610"/>
      <c r="M91" s="192"/>
      <c r="O91" s="201"/>
      <c r="P91" s="449"/>
      <c r="Q91" s="449"/>
      <c r="R91" s="201"/>
    </row>
    <row r="92" spans="1:18" s="191" customFormat="1" ht="15.75" customHeight="1">
      <c r="A92" s="613"/>
      <c r="B92" s="614"/>
      <c r="C92" s="206" t="s">
        <v>212</v>
      </c>
      <c r="D92" s="609"/>
      <c r="E92" s="610"/>
      <c r="F92" s="610"/>
      <c r="G92" s="202"/>
      <c r="H92" s="204"/>
      <c r="I92" s="205"/>
      <c r="J92" s="202"/>
      <c r="K92" s="609"/>
      <c r="L92" s="610"/>
      <c r="M92" s="192"/>
      <c r="N92" s="180"/>
      <c r="O92" s="180"/>
      <c r="P92" s="448"/>
      <c r="Q92" s="448"/>
      <c r="R92" s="180"/>
    </row>
    <row r="93" spans="1:18" s="191" customFormat="1" ht="15.75" customHeight="1">
      <c r="A93" s="613"/>
      <c r="B93" s="614"/>
      <c r="C93" s="206" t="s">
        <v>208</v>
      </c>
      <c r="D93" s="609"/>
      <c r="E93" s="610"/>
      <c r="F93" s="610"/>
      <c r="G93" s="204"/>
      <c r="H93" s="204"/>
      <c r="I93" s="205"/>
      <c r="J93" s="202"/>
      <c r="K93" s="609"/>
      <c r="L93" s="610"/>
      <c r="M93" s="192"/>
      <c r="O93" s="201"/>
      <c r="P93" s="449"/>
      <c r="Q93" s="449"/>
      <c r="R93" s="201"/>
    </row>
    <row r="94" spans="1:18" s="191" customFormat="1" ht="15.75" customHeight="1">
      <c r="A94" s="613"/>
      <c r="B94" s="614"/>
      <c r="C94" s="206" t="s">
        <v>213</v>
      </c>
      <c r="D94" s="609"/>
      <c r="E94" s="610"/>
      <c r="F94" s="610"/>
      <c r="G94" s="202"/>
      <c r="H94" s="204"/>
      <c r="I94" s="205"/>
      <c r="J94" s="202"/>
      <c r="K94" s="609"/>
      <c r="L94" s="610"/>
      <c r="O94" s="201"/>
      <c r="P94" s="449"/>
      <c r="Q94" s="449"/>
      <c r="R94" s="201"/>
    </row>
    <row r="95" spans="1:18" s="191" customFormat="1" ht="15.75" customHeight="1">
      <c r="A95" s="613"/>
      <c r="B95" s="614"/>
      <c r="C95" s="206" t="s">
        <v>214</v>
      </c>
      <c r="D95" s="609"/>
      <c r="E95" s="610"/>
      <c r="F95" s="610"/>
      <c r="G95" s="202"/>
      <c r="H95" s="204"/>
      <c r="I95" s="205"/>
      <c r="J95" s="202"/>
      <c r="K95" s="609"/>
      <c r="L95" s="610"/>
      <c r="O95" s="201"/>
      <c r="P95" s="449"/>
      <c r="Q95" s="449"/>
      <c r="R95" s="201"/>
    </row>
    <row r="96" spans="1:18" s="201" customFormat="1" ht="15.75" customHeight="1">
      <c r="A96" s="611" t="s">
        <v>190</v>
      </c>
      <c r="B96" s="611"/>
      <c r="C96" s="209" t="s">
        <v>47</v>
      </c>
      <c r="D96" s="611" t="s">
        <v>12</v>
      </c>
      <c r="E96" s="612"/>
      <c r="F96" s="612"/>
      <c r="G96" s="209" t="s">
        <v>46</v>
      </c>
      <c r="H96" s="209" t="s">
        <v>394</v>
      </c>
      <c r="I96" s="209" t="s">
        <v>395</v>
      </c>
      <c r="J96" s="162" t="s">
        <v>339</v>
      </c>
      <c r="K96" s="611" t="s">
        <v>51</v>
      </c>
      <c r="L96" s="612"/>
      <c r="M96" s="210"/>
      <c r="N96" s="191"/>
      <c r="P96" s="449"/>
      <c r="Q96" s="449"/>
    </row>
    <row r="97" spans="1:18" s="191" customFormat="1" ht="15.75" customHeight="1">
      <c r="A97" s="613">
        <v>4</v>
      </c>
      <c r="B97" s="614" t="s">
        <v>158</v>
      </c>
      <c r="C97" s="202">
        <v>1</v>
      </c>
      <c r="D97" s="609" t="s">
        <v>662</v>
      </c>
      <c r="E97" s="610"/>
      <c r="F97" s="610"/>
      <c r="G97" s="202">
        <v>6</v>
      </c>
      <c r="H97" s="204">
        <v>2946.4445075409926</v>
      </c>
      <c r="I97" s="205">
        <v>491.07408459016546</v>
      </c>
      <c r="J97" s="223">
        <f>I97-I71</f>
        <v>20.961676112600344</v>
      </c>
      <c r="K97" s="638" t="s">
        <v>712</v>
      </c>
      <c r="L97" s="610"/>
      <c r="N97" s="201"/>
      <c r="O97" s="201"/>
      <c r="P97" s="449"/>
      <c r="Q97" s="449"/>
      <c r="R97" s="201"/>
    </row>
    <row r="98" spans="1:18" s="191" customFormat="1" ht="15.75" customHeight="1">
      <c r="A98" s="613"/>
      <c r="B98" s="614"/>
      <c r="C98" s="202">
        <v>2</v>
      </c>
      <c r="D98" s="609"/>
      <c r="E98" s="610"/>
      <c r="F98" s="610"/>
      <c r="G98" s="202"/>
      <c r="H98" s="204"/>
      <c r="I98" s="205"/>
      <c r="J98" s="202"/>
      <c r="K98" s="609"/>
      <c r="L98" s="610"/>
      <c r="O98" s="201"/>
      <c r="P98" s="449"/>
      <c r="Q98" s="449"/>
      <c r="R98" s="201"/>
    </row>
    <row r="99" spans="1:18" s="191" customFormat="1" ht="15.75" customHeight="1">
      <c r="A99" s="613"/>
      <c r="B99" s="614"/>
      <c r="C99" s="202">
        <v>3</v>
      </c>
      <c r="D99" s="609"/>
      <c r="E99" s="610"/>
      <c r="F99" s="610"/>
      <c r="G99" s="202"/>
      <c r="H99" s="204"/>
      <c r="I99" s="205"/>
      <c r="J99" s="202"/>
      <c r="K99" s="609"/>
      <c r="L99" s="610"/>
      <c r="O99" s="201"/>
      <c r="P99" s="449"/>
      <c r="Q99" s="449"/>
      <c r="R99" s="201"/>
    </row>
    <row r="100" spans="1:18" s="191" customFormat="1" ht="15.75" customHeight="1">
      <c r="A100" s="613"/>
      <c r="B100" s="614"/>
      <c r="C100" s="202">
        <v>4</v>
      </c>
      <c r="D100" s="609"/>
      <c r="E100" s="610"/>
      <c r="F100" s="610"/>
      <c r="G100" s="202"/>
      <c r="H100" s="204"/>
      <c r="I100" s="205"/>
      <c r="J100" s="202"/>
      <c r="K100" s="609"/>
      <c r="L100" s="610"/>
      <c r="O100" s="201"/>
      <c r="P100" s="449"/>
      <c r="Q100" s="449"/>
      <c r="R100" s="201"/>
    </row>
    <row r="101" spans="1:18" s="191" customFormat="1" ht="15.75" customHeight="1">
      <c r="A101" s="613"/>
      <c r="B101" s="614"/>
      <c r="C101" s="202">
        <v>5</v>
      </c>
      <c r="D101" s="609"/>
      <c r="E101" s="610"/>
      <c r="F101" s="610"/>
      <c r="G101" s="202"/>
      <c r="H101" s="204"/>
      <c r="I101" s="205"/>
      <c r="J101" s="202"/>
      <c r="K101" s="609"/>
      <c r="L101" s="610"/>
      <c r="O101" s="201"/>
      <c r="P101" s="449"/>
      <c r="Q101" s="449"/>
      <c r="R101" s="201"/>
    </row>
    <row r="102" spans="1:18" s="191" customFormat="1" ht="15.75" customHeight="1">
      <c r="A102" s="613"/>
      <c r="B102" s="614"/>
      <c r="C102" s="206" t="s">
        <v>207</v>
      </c>
      <c r="D102" s="609"/>
      <c r="E102" s="610"/>
      <c r="F102" s="610"/>
      <c r="G102" s="202"/>
      <c r="H102" s="204"/>
      <c r="I102" s="205"/>
      <c r="J102" s="202"/>
      <c r="K102" s="609"/>
      <c r="L102" s="610"/>
      <c r="O102" s="201"/>
      <c r="P102" s="449"/>
      <c r="Q102" s="449"/>
      <c r="R102" s="201"/>
    </row>
    <row r="103" spans="1:18" s="191" customFormat="1" ht="15.75" customHeight="1">
      <c r="A103" s="613"/>
      <c r="B103" s="614"/>
      <c r="C103" s="206" t="s">
        <v>212</v>
      </c>
      <c r="D103" s="609"/>
      <c r="E103" s="610"/>
      <c r="F103" s="610"/>
      <c r="G103" s="202"/>
      <c r="H103" s="204"/>
      <c r="I103" s="205"/>
      <c r="J103" s="202"/>
      <c r="K103" s="609"/>
      <c r="L103" s="610"/>
      <c r="O103" s="201"/>
      <c r="P103" s="449"/>
      <c r="Q103" s="449"/>
      <c r="R103" s="201"/>
    </row>
    <row r="104" spans="1:18" s="191" customFormat="1" ht="15.75" customHeight="1">
      <c r="A104" s="613"/>
      <c r="B104" s="614"/>
      <c r="C104" s="206" t="s">
        <v>208</v>
      </c>
      <c r="D104" s="609"/>
      <c r="E104" s="610"/>
      <c r="F104" s="610"/>
      <c r="G104" s="202"/>
      <c r="H104" s="204"/>
      <c r="I104" s="205"/>
      <c r="J104" s="202"/>
      <c r="K104" s="609"/>
      <c r="L104" s="610"/>
      <c r="O104" s="201"/>
      <c r="P104" s="449"/>
      <c r="Q104" s="449"/>
      <c r="R104" s="201"/>
    </row>
    <row r="105" spans="1:18" s="191" customFormat="1" ht="15.75" customHeight="1">
      <c r="A105" s="613"/>
      <c r="B105" s="614"/>
      <c r="C105" s="206" t="s">
        <v>213</v>
      </c>
      <c r="D105" s="609"/>
      <c r="E105" s="610"/>
      <c r="F105" s="610"/>
      <c r="G105" s="202"/>
      <c r="H105" s="204"/>
      <c r="I105" s="205"/>
      <c r="J105" s="202"/>
      <c r="K105" s="609"/>
      <c r="L105" s="610"/>
      <c r="O105" s="201"/>
      <c r="P105" s="449"/>
      <c r="Q105" s="449"/>
      <c r="R105" s="201"/>
    </row>
    <row r="106" spans="1:18" s="191" customFormat="1" ht="15.75" customHeight="1">
      <c r="A106" s="613"/>
      <c r="B106" s="614"/>
      <c r="C106" s="206" t="s">
        <v>214</v>
      </c>
      <c r="D106" s="609"/>
      <c r="E106" s="610"/>
      <c r="F106" s="610"/>
      <c r="G106" s="202"/>
      <c r="H106" s="204"/>
      <c r="I106" s="205"/>
      <c r="J106" s="202"/>
      <c r="K106" s="609"/>
      <c r="L106" s="610"/>
      <c r="O106" s="201"/>
      <c r="P106" s="449"/>
      <c r="Q106" s="449"/>
      <c r="R106" s="201"/>
    </row>
    <row r="107" spans="1:18" s="191" customFormat="1" ht="15.75" customHeight="1">
      <c r="A107" s="615" t="s">
        <v>746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</row>
    <row r="108" spans="1:18" s="192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</row>
    <row r="109" spans="1:18" s="180" customFormat="1" ht="16.399999999999999" customHeight="1">
      <c r="A109" s="613" t="s">
        <v>164</v>
      </c>
      <c r="B109" s="172">
        <v>1</v>
      </c>
      <c r="C109" s="172">
        <v>2</v>
      </c>
      <c r="D109" s="193">
        <v>3</v>
      </c>
      <c r="E109" s="193">
        <v>4</v>
      </c>
      <c r="F109" s="172">
        <v>5</v>
      </c>
      <c r="G109" s="172">
        <v>6</v>
      </c>
      <c r="H109" s="172">
        <v>7</v>
      </c>
      <c r="I109" s="172">
        <v>8</v>
      </c>
      <c r="J109" s="172">
        <v>9</v>
      </c>
      <c r="K109" s="194"/>
      <c r="L109" s="194"/>
      <c r="M109" s="195"/>
    </row>
    <row r="110" spans="1:18" s="191" customFormat="1" ht="16.399999999999999" customHeight="1">
      <c r="A110" s="613"/>
      <c r="B110" s="197" t="s">
        <v>209</v>
      </c>
      <c r="C110" s="197" t="s">
        <v>157</v>
      </c>
      <c r="D110" s="196" t="s">
        <v>210</v>
      </c>
      <c r="E110" s="196" t="s">
        <v>158</v>
      </c>
      <c r="F110" s="197" t="s">
        <v>363</v>
      </c>
      <c r="G110" s="198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M110" s="192"/>
      <c r="N110" s="201"/>
      <c r="O110" s="201"/>
      <c r="P110" s="201"/>
      <c r="Q110" s="201"/>
      <c r="R110" s="201"/>
    </row>
    <row r="111" spans="1:18" s="180" customFormat="1" ht="15.75" customHeight="1">
      <c r="A111" s="614" t="s">
        <v>190</v>
      </c>
      <c r="B111" s="614"/>
      <c r="C111" s="162" t="s">
        <v>47</v>
      </c>
      <c r="D111" s="614" t="s">
        <v>12</v>
      </c>
      <c r="E111" s="616"/>
      <c r="F111" s="616"/>
      <c r="G111" s="162" t="s">
        <v>46</v>
      </c>
      <c r="H111" s="162" t="s">
        <v>394</v>
      </c>
      <c r="I111" s="162" t="s">
        <v>395</v>
      </c>
      <c r="J111" s="162" t="s">
        <v>339</v>
      </c>
      <c r="K111" s="614" t="s">
        <v>51</v>
      </c>
      <c r="L111" s="616"/>
      <c r="M111" s="195"/>
      <c r="N111" s="191"/>
      <c r="O111" s="201"/>
      <c r="P111" s="449"/>
      <c r="Q111" s="449"/>
      <c r="R111" s="201"/>
    </row>
    <row r="112" spans="1:18" s="191" customFormat="1" ht="15.75" customHeight="1">
      <c r="A112" s="613">
        <v>3</v>
      </c>
      <c r="B112" s="614" t="s">
        <v>397</v>
      </c>
      <c r="C112" s="202">
        <v>1</v>
      </c>
      <c r="D112" s="609" t="s">
        <v>513</v>
      </c>
      <c r="E112" s="610"/>
      <c r="F112" s="610"/>
      <c r="G112" s="202">
        <v>6</v>
      </c>
      <c r="H112" s="204">
        <v>3252.7052671100892</v>
      </c>
      <c r="I112" s="205">
        <v>542.11754451834815</v>
      </c>
      <c r="J112" s="223">
        <f>I112-I86</f>
        <v>-0.48340940545824651</v>
      </c>
      <c r="K112" s="609"/>
      <c r="L112" s="610"/>
      <c r="M112" s="192"/>
      <c r="O112" s="201"/>
      <c r="P112" s="449"/>
      <c r="Q112" s="449"/>
      <c r="R112" s="201"/>
    </row>
    <row r="113" spans="1:18" s="191" customFormat="1" ht="15.75" customHeight="1">
      <c r="A113" s="613"/>
      <c r="B113" s="614"/>
      <c r="C113" s="202">
        <v>2</v>
      </c>
      <c r="D113" s="609" t="s">
        <v>502</v>
      </c>
      <c r="E113" s="610"/>
      <c r="F113" s="610"/>
      <c r="G113" s="202">
        <v>20</v>
      </c>
      <c r="H113" s="204">
        <v>2313.0103875765258</v>
      </c>
      <c r="I113" s="205">
        <v>115.65051937882627</v>
      </c>
      <c r="J113" s="223">
        <f>I113-I88</f>
        <v>0.20890537734183567</v>
      </c>
      <c r="K113" s="609"/>
      <c r="L113" s="610"/>
      <c r="M113" s="192"/>
      <c r="O113" s="201"/>
      <c r="P113" s="449"/>
      <c r="Q113" s="449"/>
      <c r="R113" s="201"/>
    </row>
    <row r="114" spans="1:18" s="191" customFormat="1" ht="15.75" customHeight="1">
      <c r="A114" s="613"/>
      <c r="B114" s="614"/>
      <c r="C114" s="202">
        <v>3</v>
      </c>
      <c r="D114" s="609" t="s">
        <v>362</v>
      </c>
      <c r="E114" s="610"/>
      <c r="F114" s="610"/>
      <c r="G114" s="202">
        <v>20</v>
      </c>
      <c r="H114" s="204">
        <v>2312.6013515417758</v>
      </c>
      <c r="I114" s="205">
        <v>115.63006757708879</v>
      </c>
      <c r="J114" s="223">
        <f>I114-I87</f>
        <v>0.12789091570735422</v>
      </c>
      <c r="K114" s="609"/>
      <c r="L114" s="610"/>
      <c r="M114" s="192"/>
      <c r="O114" s="201"/>
      <c r="P114" s="449"/>
      <c r="Q114" s="449"/>
      <c r="R114" s="201"/>
    </row>
    <row r="115" spans="1:18" s="191" customFormat="1" ht="15.75" customHeight="1">
      <c r="A115" s="613"/>
      <c r="B115" s="614"/>
      <c r="C115" s="202">
        <v>4</v>
      </c>
      <c r="D115" s="609"/>
      <c r="E115" s="610"/>
      <c r="F115" s="610"/>
      <c r="G115" s="202"/>
      <c r="H115" s="204"/>
      <c r="I115" s="205"/>
      <c r="J115" s="202"/>
      <c r="K115" s="609"/>
      <c r="L115" s="610"/>
      <c r="M115" s="192"/>
      <c r="O115" s="201"/>
      <c r="P115" s="449"/>
      <c r="Q115" s="449"/>
      <c r="R115" s="201"/>
    </row>
    <row r="116" spans="1:18" s="191" customFormat="1" ht="15.75" customHeight="1">
      <c r="A116" s="613"/>
      <c r="B116" s="614"/>
      <c r="C116" s="202">
        <v>5</v>
      </c>
      <c r="D116" s="609"/>
      <c r="E116" s="610"/>
      <c r="F116" s="610"/>
      <c r="G116" s="202"/>
      <c r="H116" s="204"/>
      <c r="I116" s="205"/>
      <c r="J116" s="202"/>
      <c r="K116" s="609"/>
      <c r="L116" s="610"/>
      <c r="M116" s="192"/>
      <c r="O116" s="201"/>
      <c r="P116" s="449"/>
      <c r="Q116" s="449"/>
      <c r="R116" s="201"/>
    </row>
    <row r="117" spans="1:18" s="191" customFormat="1" ht="15.75" customHeight="1">
      <c r="A117" s="613"/>
      <c r="B117" s="614"/>
      <c r="C117" s="206" t="s">
        <v>207</v>
      </c>
      <c r="D117" s="609"/>
      <c r="E117" s="610"/>
      <c r="F117" s="610"/>
      <c r="G117" s="202"/>
      <c r="H117" s="204"/>
      <c r="I117" s="205"/>
      <c r="J117" s="202"/>
      <c r="K117" s="609"/>
      <c r="L117" s="610"/>
      <c r="M117" s="192"/>
      <c r="O117" s="201"/>
      <c r="P117" s="449"/>
      <c r="Q117" s="449"/>
      <c r="R117" s="201"/>
    </row>
    <row r="118" spans="1:18" s="191" customFormat="1" ht="15.75" customHeight="1">
      <c r="A118" s="613"/>
      <c r="B118" s="614"/>
      <c r="C118" s="206" t="s">
        <v>212</v>
      </c>
      <c r="D118" s="609"/>
      <c r="E118" s="610"/>
      <c r="F118" s="610"/>
      <c r="G118" s="202"/>
      <c r="H118" s="204"/>
      <c r="I118" s="205"/>
      <c r="J118" s="202"/>
      <c r="K118" s="609"/>
      <c r="L118" s="610"/>
      <c r="M118" s="192"/>
      <c r="N118" s="180"/>
      <c r="O118" s="180"/>
      <c r="P118" s="448"/>
      <c r="Q118" s="448"/>
      <c r="R118" s="180"/>
    </row>
    <row r="119" spans="1:18" s="191" customFormat="1" ht="15.75" customHeight="1">
      <c r="A119" s="613"/>
      <c r="B119" s="614"/>
      <c r="C119" s="206" t="s">
        <v>208</v>
      </c>
      <c r="D119" s="609"/>
      <c r="E119" s="610"/>
      <c r="F119" s="610"/>
      <c r="G119" s="204"/>
      <c r="H119" s="204"/>
      <c r="I119" s="205"/>
      <c r="J119" s="202"/>
      <c r="K119" s="609"/>
      <c r="L119" s="610"/>
      <c r="M119" s="192"/>
      <c r="O119" s="201"/>
      <c r="P119" s="449"/>
      <c r="Q119" s="449"/>
      <c r="R119" s="201"/>
    </row>
    <row r="120" spans="1:18" s="191" customFormat="1" ht="15.75" customHeight="1">
      <c r="A120" s="613"/>
      <c r="B120" s="614"/>
      <c r="C120" s="206" t="s">
        <v>213</v>
      </c>
      <c r="D120" s="609"/>
      <c r="E120" s="610"/>
      <c r="F120" s="610"/>
      <c r="G120" s="202"/>
      <c r="H120" s="204"/>
      <c r="I120" s="205"/>
      <c r="J120" s="202"/>
      <c r="K120" s="609"/>
      <c r="L120" s="610"/>
      <c r="O120" s="201"/>
      <c r="P120" s="449"/>
      <c r="Q120" s="449"/>
      <c r="R120" s="201"/>
    </row>
    <row r="121" spans="1:18" s="191" customFormat="1" ht="15.75" customHeight="1">
      <c r="A121" s="613"/>
      <c r="B121" s="614"/>
      <c r="C121" s="206" t="s">
        <v>214</v>
      </c>
      <c r="D121" s="609"/>
      <c r="E121" s="610"/>
      <c r="F121" s="610"/>
      <c r="G121" s="202"/>
      <c r="H121" s="204"/>
      <c r="I121" s="205"/>
      <c r="J121" s="202"/>
      <c r="K121" s="609"/>
      <c r="L121" s="610"/>
      <c r="O121" s="201"/>
      <c r="P121" s="449"/>
      <c r="Q121" s="449"/>
      <c r="R121" s="201"/>
    </row>
    <row r="122" spans="1:18" s="201" customFormat="1" ht="15.75" customHeight="1">
      <c r="A122" s="611" t="s">
        <v>190</v>
      </c>
      <c r="B122" s="611"/>
      <c r="C122" s="209" t="s">
        <v>47</v>
      </c>
      <c r="D122" s="611" t="s">
        <v>12</v>
      </c>
      <c r="E122" s="612"/>
      <c r="F122" s="612"/>
      <c r="G122" s="209" t="s">
        <v>46</v>
      </c>
      <c r="H122" s="209" t="s">
        <v>394</v>
      </c>
      <c r="I122" s="209" t="s">
        <v>395</v>
      </c>
      <c r="J122" s="162" t="s">
        <v>339</v>
      </c>
      <c r="K122" s="611" t="s">
        <v>51</v>
      </c>
      <c r="L122" s="612"/>
      <c r="M122" s="210"/>
      <c r="N122" s="191"/>
      <c r="P122" s="449"/>
      <c r="Q122" s="449"/>
    </row>
    <row r="123" spans="1:18" s="191" customFormat="1" ht="15.75" customHeight="1">
      <c r="A123" s="613">
        <v>4</v>
      </c>
      <c r="B123" s="614" t="s">
        <v>158</v>
      </c>
      <c r="C123" s="202">
        <v>1</v>
      </c>
      <c r="D123" s="609" t="s">
        <v>662</v>
      </c>
      <c r="E123" s="610"/>
      <c r="F123" s="610"/>
      <c r="G123" s="202">
        <v>6</v>
      </c>
      <c r="H123" s="204">
        <v>2946.477909089092</v>
      </c>
      <c r="I123" s="205">
        <v>491.07965151484871</v>
      </c>
      <c r="J123" s="223">
        <f>I123-I97</f>
        <v>5.5669246832508179E-3</v>
      </c>
      <c r="K123" s="609"/>
      <c r="L123" s="610"/>
      <c r="N123" s="201"/>
      <c r="O123" s="201"/>
      <c r="P123" s="449"/>
      <c r="Q123" s="449"/>
      <c r="R123" s="201"/>
    </row>
    <row r="124" spans="1:18" s="191" customFormat="1" ht="15.75" customHeight="1">
      <c r="A124" s="613"/>
      <c r="B124" s="614"/>
      <c r="C124" s="202">
        <v>2</v>
      </c>
      <c r="D124" s="609"/>
      <c r="E124" s="610"/>
      <c r="F124" s="610"/>
      <c r="G124" s="202"/>
      <c r="H124" s="204"/>
      <c r="I124" s="205"/>
      <c r="J124" s="202"/>
      <c r="K124" s="609"/>
      <c r="L124" s="610"/>
      <c r="O124" s="201"/>
      <c r="P124" s="449"/>
      <c r="Q124" s="449"/>
      <c r="R124" s="201"/>
    </row>
    <row r="125" spans="1:18" s="191" customFormat="1" ht="15.75" customHeight="1">
      <c r="A125" s="613"/>
      <c r="B125" s="614"/>
      <c r="C125" s="202">
        <v>3</v>
      </c>
      <c r="D125" s="609"/>
      <c r="E125" s="610"/>
      <c r="F125" s="610"/>
      <c r="G125" s="202"/>
      <c r="H125" s="204"/>
      <c r="I125" s="205"/>
      <c r="J125" s="202"/>
      <c r="K125" s="609"/>
      <c r="L125" s="610"/>
      <c r="O125" s="201"/>
      <c r="P125" s="449"/>
      <c r="Q125" s="449"/>
      <c r="R125" s="201"/>
    </row>
    <row r="126" spans="1:18" s="191" customFormat="1" ht="15.75" customHeight="1">
      <c r="A126" s="613"/>
      <c r="B126" s="614"/>
      <c r="C126" s="202">
        <v>4</v>
      </c>
      <c r="D126" s="609"/>
      <c r="E126" s="610"/>
      <c r="F126" s="610"/>
      <c r="G126" s="202"/>
      <c r="H126" s="204"/>
      <c r="I126" s="205"/>
      <c r="J126" s="202"/>
      <c r="K126" s="609"/>
      <c r="L126" s="610"/>
      <c r="O126" s="201"/>
      <c r="P126" s="449"/>
      <c r="Q126" s="449"/>
      <c r="R126" s="201"/>
    </row>
    <row r="127" spans="1:18" s="191" customFormat="1" ht="15.75" customHeight="1">
      <c r="A127" s="613"/>
      <c r="B127" s="614"/>
      <c r="C127" s="202">
        <v>5</v>
      </c>
      <c r="D127" s="609"/>
      <c r="E127" s="610"/>
      <c r="F127" s="610"/>
      <c r="G127" s="202"/>
      <c r="H127" s="204"/>
      <c r="I127" s="205"/>
      <c r="J127" s="202"/>
      <c r="K127" s="609"/>
      <c r="L127" s="610"/>
      <c r="O127" s="201"/>
      <c r="P127" s="449"/>
      <c r="Q127" s="449"/>
      <c r="R127" s="201"/>
    </row>
    <row r="128" spans="1:18" s="191" customFormat="1" ht="15.75" customHeight="1">
      <c r="A128" s="613"/>
      <c r="B128" s="614"/>
      <c r="C128" s="206" t="s">
        <v>207</v>
      </c>
      <c r="D128" s="609"/>
      <c r="E128" s="610"/>
      <c r="F128" s="610"/>
      <c r="G128" s="202"/>
      <c r="H128" s="204"/>
      <c r="I128" s="205"/>
      <c r="J128" s="202"/>
      <c r="K128" s="609"/>
      <c r="L128" s="610"/>
      <c r="O128" s="201"/>
      <c r="P128" s="449"/>
      <c r="Q128" s="449"/>
      <c r="R128" s="201"/>
    </row>
    <row r="129" spans="1:18" s="191" customFormat="1" ht="15.75" customHeight="1">
      <c r="A129" s="613"/>
      <c r="B129" s="614"/>
      <c r="C129" s="206" t="s">
        <v>212</v>
      </c>
      <c r="D129" s="609"/>
      <c r="E129" s="610"/>
      <c r="F129" s="610"/>
      <c r="G129" s="202"/>
      <c r="H129" s="204"/>
      <c r="I129" s="205"/>
      <c r="J129" s="202"/>
      <c r="K129" s="609"/>
      <c r="L129" s="610"/>
      <c r="O129" s="201"/>
      <c r="P129" s="449"/>
      <c r="Q129" s="449"/>
      <c r="R129" s="201"/>
    </row>
    <row r="130" spans="1:18" s="191" customFormat="1" ht="15.75" customHeight="1">
      <c r="A130" s="613"/>
      <c r="B130" s="614"/>
      <c r="C130" s="206" t="s">
        <v>208</v>
      </c>
      <c r="D130" s="609"/>
      <c r="E130" s="610"/>
      <c r="F130" s="610"/>
      <c r="G130" s="202"/>
      <c r="H130" s="204"/>
      <c r="I130" s="205"/>
      <c r="J130" s="202"/>
      <c r="K130" s="609"/>
      <c r="L130" s="610"/>
      <c r="O130" s="201"/>
      <c r="P130" s="449"/>
      <c r="Q130" s="449"/>
      <c r="R130" s="201"/>
    </row>
    <row r="131" spans="1:18" s="191" customFormat="1" ht="15.75" customHeight="1">
      <c r="A131" s="613"/>
      <c r="B131" s="614"/>
      <c r="C131" s="206" t="s">
        <v>213</v>
      </c>
      <c r="D131" s="609"/>
      <c r="E131" s="610"/>
      <c r="F131" s="610"/>
      <c r="G131" s="202"/>
      <c r="H131" s="204"/>
      <c r="I131" s="205"/>
      <c r="J131" s="202"/>
      <c r="K131" s="609"/>
      <c r="L131" s="610"/>
      <c r="O131" s="201"/>
      <c r="P131" s="449"/>
      <c r="Q131" s="449"/>
      <c r="R131" s="201"/>
    </row>
    <row r="132" spans="1:18" s="191" customFormat="1" ht="15.75" customHeight="1">
      <c r="A132" s="613"/>
      <c r="B132" s="614"/>
      <c r="C132" s="206" t="s">
        <v>214</v>
      </c>
      <c r="D132" s="609"/>
      <c r="E132" s="610"/>
      <c r="F132" s="610"/>
      <c r="G132" s="202"/>
      <c r="H132" s="204"/>
      <c r="I132" s="205"/>
      <c r="J132" s="202"/>
      <c r="K132" s="609"/>
      <c r="L132" s="610"/>
      <c r="O132" s="201"/>
      <c r="P132" s="449"/>
      <c r="Q132" s="449"/>
      <c r="R132" s="201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104" zoomScale="115" zoomScaleNormal="60" zoomScaleSheetLayoutView="115" workbookViewId="0">
      <selection activeCell="J132" sqref="J132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5" t="s">
        <v>580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99"/>
      <c r="N3" s="99"/>
      <c r="O3" s="99"/>
      <c r="P3" s="99"/>
      <c r="Q3" s="99"/>
      <c r="R3" s="99"/>
    </row>
    <row r="4" spans="1:18" s="100" customFormat="1" ht="15.75" customHeight="1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</row>
    <row r="5" spans="1:18" s="106" customFormat="1" ht="16.399999999999999" customHeight="1">
      <c r="A5" s="613" t="s">
        <v>164</v>
      </c>
      <c r="B5" s="172">
        <v>1</v>
      </c>
      <c r="C5" s="172">
        <v>2</v>
      </c>
      <c r="D5" s="172">
        <v>3</v>
      </c>
      <c r="E5" s="172">
        <v>4</v>
      </c>
      <c r="F5" s="193">
        <v>5</v>
      </c>
      <c r="G5" s="193">
        <v>6</v>
      </c>
      <c r="H5" s="172">
        <v>7</v>
      </c>
      <c r="I5" s="172">
        <v>8</v>
      </c>
      <c r="J5" s="172">
        <v>9</v>
      </c>
      <c r="K5" s="194"/>
      <c r="L5" s="194"/>
      <c r="M5" s="129"/>
    </row>
    <row r="6" spans="1:18" ht="16.399999999999999" customHeight="1">
      <c r="A6" s="613"/>
      <c r="B6" s="197" t="s">
        <v>209</v>
      </c>
      <c r="C6" s="197" t="s">
        <v>157</v>
      </c>
      <c r="D6" s="197" t="s">
        <v>210</v>
      </c>
      <c r="E6" s="197" t="s">
        <v>158</v>
      </c>
      <c r="F6" s="196" t="s">
        <v>363</v>
      </c>
      <c r="G6" s="211" t="s">
        <v>137</v>
      </c>
      <c r="H6" s="199" t="s">
        <v>211</v>
      </c>
      <c r="I6" s="198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14" t="s">
        <v>190</v>
      </c>
      <c r="B7" s="614"/>
      <c r="C7" s="162" t="s">
        <v>47</v>
      </c>
      <c r="D7" s="614" t="s">
        <v>12</v>
      </c>
      <c r="E7" s="616"/>
      <c r="F7" s="616"/>
      <c r="G7" s="162" t="s">
        <v>46</v>
      </c>
      <c r="H7" s="162" t="s">
        <v>394</v>
      </c>
      <c r="I7" s="162" t="s">
        <v>395</v>
      </c>
      <c r="J7" s="162" t="s">
        <v>339</v>
      </c>
      <c r="K7" s="614" t="s">
        <v>51</v>
      </c>
      <c r="L7" s="616"/>
      <c r="M7" s="129"/>
    </row>
    <row r="8" spans="1:18" ht="15.75" customHeight="1">
      <c r="A8" s="613">
        <v>5</v>
      </c>
      <c r="B8" s="614" t="s">
        <v>363</v>
      </c>
      <c r="C8" s="202">
        <v>1</v>
      </c>
      <c r="D8" s="609" t="s">
        <v>353</v>
      </c>
      <c r="E8" s="610"/>
      <c r="F8" s="610"/>
      <c r="G8" s="204">
        <v>17</v>
      </c>
      <c r="H8" s="204">
        <v>1772.6704180486752</v>
      </c>
      <c r="I8" s="205">
        <v>104.27473047345147</v>
      </c>
      <c r="J8" s="384">
        <v>7.141656743617375E-2</v>
      </c>
      <c r="K8" s="609" t="s">
        <v>476</v>
      </c>
      <c r="L8" s="610"/>
      <c r="N8" s="99"/>
      <c r="O8" s="99"/>
      <c r="P8" s="99"/>
      <c r="Q8" s="99"/>
      <c r="R8" s="99"/>
    </row>
    <row r="9" spans="1:18" ht="15.75" customHeight="1">
      <c r="A9" s="613"/>
      <c r="B9" s="614"/>
      <c r="C9" s="202">
        <v>2</v>
      </c>
      <c r="D9" s="609" t="s">
        <v>524</v>
      </c>
      <c r="E9" s="610"/>
      <c r="F9" s="610"/>
      <c r="G9" s="204">
        <v>19</v>
      </c>
      <c r="H9" s="204">
        <v>1771.5001361183406</v>
      </c>
      <c r="I9" s="205">
        <v>93.236849269386354</v>
      </c>
      <c r="J9" s="384">
        <v>2.9293385975575319</v>
      </c>
      <c r="K9" s="609" t="s">
        <v>476</v>
      </c>
      <c r="L9" s="610"/>
      <c r="N9" s="99"/>
      <c r="O9" s="99"/>
      <c r="P9" s="99"/>
      <c r="Q9" s="99"/>
      <c r="R9" s="99"/>
    </row>
    <row r="10" spans="1:18" ht="15.75" customHeight="1">
      <c r="A10" s="613"/>
      <c r="B10" s="614"/>
      <c r="C10" s="202">
        <v>3</v>
      </c>
      <c r="D10" s="609" t="s">
        <v>462</v>
      </c>
      <c r="E10" s="610"/>
      <c r="F10" s="610"/>
      <c r="G10" s="204">
        <v>20</v>
      </c>
      <c r="H10" s="204">
        <v>1767.0182359324842</v>
      </c>
      <c r="I10" s="205">
        <v>88.350911796624203</v>
      </c>
      <c r="J10" s="384">
        <v>6.2133577888147329E-2</v>
      </c>
      <c r="K10" s="609" t="s">
        <v>476</v>
      </c>
      <c r="L10" s="610"/>
      <c r="N10" s="99"/>
      <c r="O10" s="99"/>
      <c r="P10" s="99"/>
      <c r="Q10" s="99"/>
      <c r="R10" s="99"/>
    </row>
    <row r="11" spans="1:18" ht="15.75" customHeight="1">
      <c r="A11" s="613"/>
      <c r="B11" s="614"/>
      <c r="C11" s="202">
        <v>4</v>
      </c>
      <c r="D11" s="609" t="s">
        <v>486</v>
      </c>
      <c r="E11" s="610"/>
      <c r="F11" s="610"/>
      <c r="G11" s="204">
        <v>21</v>
      </c>
      <c r="H11" s="204">
        <v>1769.5046570604416</v>
      </c>
      <c r="I11" s="205">
        <v>84.262126526687695</v>
      </c>
      <c r="J11" s="384">
        <v>6.8799411794913112E-2</v>
      </c>
      <c r="K11" s="609" t="s">
        <v>476</v>
      </c>
      <c r="L11" s="610"/>
      <c r="N11" s="99"/>
      <c r="O11" s="99"/>
      <c r="P11" s="99"/>
      <c r="Q11" s="99"/>
      <c r="R11" s="99"/>
    </row>
    <row r="12" spans="1:18" ht="15.75" customHeight="1">
      <c r="A12" s="613"/>
      <c r="B12" s="614"/>
      <c r="C12" s="202">
        <v>5</v>
      </c>
      <c r="D12" s="609" t="s">
        <v>563</v>
      </c>
      <c r="E12" s="610"/>
      <c r="F12" s="610"/>
      <c r="G12" s="204">
        <v>19</v>
      </c>
      <c r="H12" s="204">
        <v>1549.4994912944419</v>
      </c>
      <c r="I12" s="205">
        <v>81.552604804970628</v>
      </c>
      <c r="J12" s="384">
        <v>4.6243958327600723</v>
      </c>
      <c r="K12" s="640" t="s">
        <v>588</v>
      </c>
      <c r="L12" s="610"/>
      <c r="N12" s="99"/>
      <c r="O12" s="99"/>
      <c r="P12" s="99"/>
      <c r="Q12" s="99"/>
      <c r="R12" s="99"/>
    </row>
    <row r="13" spans="1:18" ht="15.75" customHeight="1">
      <c r="A13" s="613"/>
      <c r="B13" s="614"/>
      <c r="C13" s="206" t="s">
        <v>207</v>
      </c>
      <c r="D13" s="609" t="s">
        <v>351</v>
      </c>
      <c r="E13" s="610"/>
      <c r="F13" s="610"/>
      <c r="G13" s="204">
        <v>25</v>
      </c>
      <c r="H13" s="204">
        <v>1776.1995657219172</v>
      </c>
      <c r="I13" s="205">
        <v>71.047982628876682</v>
      </c>
      <c r="J13" s="384">
        <v>3.1751565161513895E-2</v>
      </c>
      <c r="K13" s="609" t="s">
        <v>476</v>
      </c>
      <c r="L13" s="610"/>
      <c r="N13" s="99"/>
      <c r="O13" s="99"/>
      <c r="P13" s="99"/>
      <c r="Q13" s="99"/>
      <c r="R13" s="99"/>
    </row>
    <row r="14" spans="1:18" ht="15.75" customHeight="1">
      <c r="A14" s="613"/>
      <c r="B14" s="614"/>
      <c r="C14" s="206" t="s">
        <v>212</v>
      </c>
      <c r="D14" s="609" t="s">
        <v>352</v>
      </c>
      <c r="E14" s="610"/>
      <c r="F14" s="610"/>
      <c r="G14" s="204">
        <v>23</v>
      </c>
      <c r="H14" s="204">
        <v>1768.8209186648551</v>
      </c>
      <c r="I14" s="205">
        <v>76.905257333254568</v>
      </c>
      <c r="J14" s="384">
        <v>-9.8653590278573233E-2</v>
      </c>
      <c r="K14" s="609" t="s">
        <v>476</v>
      </c>
      <c r="L14" s="610"/>
      <c r="N14" s="99"/>
      <c r="O14" s="99"/>
      <c r="P14" s="99"/>
      <c r="Q14" s="99"/>
      <c r="R14" s="99"/>
    </row>
    <row r="15" spans="1:18" ht="15.75" customHeight="1">
      <c r="A15" s="613"/>
      <c r="B15" s="614"/>
      <c r="C15" s="206" t="s">
        <v>208</v>
      </c>
      <c r="D15" s="609" t="s">
        <v>350</v>
      </c>
      <c r="E15" s="610"/>
      <c r="F15" s="610"/>
      <c r="G15" s="204">
        <v>23</v>
      </c>
      <c r="H15" s="204">
        <v>1770.72632303826</v>
      </c>
      <c r="I15" s="205">
        <v>76.988101001663495</v>
      </c>
      <c r="J15" s="384">
        <v>3.0052462016769255E-2</v>
      </c>
      <c r="K15" s="609" t="s">
        <v>476</v>
      </c>
      <c r="L15" s="610"/>
      <c r="N15" s="99"/>
      <c r="O15" s="99"/>
      <c r="P15" s="99"/>
      <c r="Q15" s="99"/>
      <c r="R15" s="99"/>
    </row>
    <row r="16" spans="1:18" ht="15.75" customHeight="1">
      <c r="A16" s="613"/>
      <c r="B16" s="614"/>
      <c r="C16" s="206" t="s">
        <v>213</v>
      </c>
      <c r="D16" s="609" t="s">
        <v>364</v>
      </c>
      <c r="E16" s="610"/>
      <c r="F16" s="610"/>
      <c r="G16" s="204">
        <v>23</v>
      </c>
      <c r="H16" s="204">
        <v>1771.3072046368518</v>
      </c>
      <c r="I16" s="205">
        <v>77.013356723341388</v>
      </c>
      <c r="J16" s="384">
        <v>5.2457185060632128E-2</v>
      </c>
      <c r="K16" s="609" t="s">
        <v>476</v>
      </c>
      <c r="L16" s="610"/>
      <c r="M16" s="99"/>
      <c r="N16" s="99"/>
      <c r="O16" s="99"/>
      <c r="P16" s="99"/>
      <c r="Q16" s="99"/>
      <c r="R16" s="99"/>
    </row>
    <row r="17" spans="1:18" ht="15.75" customHeight="1">
      <c r="A17" s="613"/>
      <c r="B17" s="614"/>
      <c r="C17" s="206" t="s">
        <v>214</v>
      </c>
      <c r="D17" s="609"/>
      <c r="E17" s="610"/>
      <c r="F17" s="610"/>
      <c r="G17" s="204"/>
      <c r="H17" s="204"/>
      <c r="I17" s="205"/>
      <c r="J17" s="202"/>
      <c r="K17" s="609"/>
      <c r="L17" s="610"/>
      <c r="M17" s="99"/>
      <c r="N17" s="99"/>
      <c r="O17" s="99"/>
      <c r="P17" s="99"/>
      <c r="Q17" s="99"/>
      <c r="R17" s="99"/>
    </row>
    <row r="18" spans="1:18" s="104" customFormat="1" ht="15.75" customHeight="1">
      <c r="A18" s="611" t="s">
        <v>190</v>
      </c>
      <c r="B18" s="611"/>
      <c r="C18" s="209" t="s">
        <v>47</v>
      </c>
      <c r="D18" s="611" t="s">
        <v>12</v>
      </c>
      <c r="E18" s="612"/>
      <c r="F18" s="612"/>
      <c r="G18" s="209" t="s">
        <v>46</v>
      </c>
      <c r="H18" s="209" t="s">
        <v>394</v>
      </c>
      <c r="I18" s="209" t="s">
        <v>395</v>
      </c>
      <c r="J18" s="162" t="s">
        <v>339</v>
      </c>
      <c r="K18" s="611" t="s">
        <v>51</v>
      </c>
      <c r="L18" s="612"/>
      <c r="M18" s="130"/>
    </row>
    <row r="19" spans="1:18" ht="15.75" customHeight="1">
      <c r="A19" s="613">
        <v>6</v>
      </c>
      <c r="B19" s="614" t="s">
        <v>137</v>
      </c>
      <c r="C19" s="202">
        <v>1</v>
      </c>
      <c r="D19" s="609" t="s">
        <v>507</v>
      </c>
      <c r="E19" s="610"/>
      <c r="F19" s="610"/>
      <c r="G19" s="202">
        <v>20</v>
      </c>
      <c r="H19" s="204">
        <v>1771.5004203196222</v>
      </c>
      <c r="I19" s="205">
        <v>88.575021015981108</v>
      </c>
      <c r="J19" s="384">
        <v>2.9695883419492475E-2</v>
      </c>
      <c r="K19" s="609" t="s">
        <v>476</v>
      </c>
      <c r="L19" s="610"/>
      <c r="M19" s="99"/>
      <c r="N19" s="99"/>
      <c r="O19" s="99"/>
      <c r="P19" s="99"/>
      <c r="Q19" s="99"/>
      <c r="R19" s="99"/>
    </row>
    <row r="20" spans="1:18" ht="15.75" customHeight="1">
      <c r="A20" s="613"/>
      <c r="B20" s="614"/>
      <c r="C20" s="202">
        <v>2</v>
      </c>
      <c r="D20" s="609" t="s">
        <v>497</v>
      </c>
      <c r="E20" s="610"/>
      <c r="F20" s="610"/>
      <c r="G20" s="204">
        <v>20</v>
      </c>
      <c r="H20" s="204">
        <v>1771.2487475055188</v>
      </c>
      <c r="I20" s="205">
        <v>88.562437375275948</v>
      </c>
      <c r="J20" s="384">
        <v>2.6374841714542185E-2</v>
      </c>
      <c r="K20" s="609" t="s">
        <v>476</v>
      </c>
      <c r="L20" s="610"/>
      <c r="M20" s="99"/>
      <c r="N20" s="99"/>
      <c r="O20" s="99"/>
      <c r="P20" s="99"/>
      <c r="Q20" s="99"/>
      <c r="R20" s="99"/>
    </row>
    <row r="21" spans="1:18" ht="15.75" customHeight="1">
      <c r="A21" s="613"/>
      <c r="B21" s="614"/>
      <c r="C21" s="202">
        <v>3</v>
      </c>
      <c r="D21" s="609" t="s">
        <v>366</v>
      </c>
      <c r="E21" s="610"/>
      <c r="F21" s="610"/>
      <c r="G21" s="204">
        <v>21</v>
      </c>
      <c r="H21" s="204">
        <v>1771.8397855088392</v>
      </c>
      <c r="I21" s="205">
        <v>84.373323119468523</v>
      </c>
      <c r="J21" s="384">
        <v>1.1928704263681311E-2</v>
      </c>
      <c r="K21" s="609" t="s">
        <v>476</v>
      </c>
      <c r="L21" s="610"/>
      <c r="M21" s="99"/>
      <c r="N21" s="99"/>
      <c r="O21" s="99"/>
      <c r="P21" s="99"/>
      <c r="Q21" s="99"/>
      <c r="R21" s="99"/>
    </row>
    <row r="22" spans="1:18" ht="15.75" customHeight="1">
      <c r="A22" s="613"/>
      <c r="B22" s="614"/>
      <c r="C22" s="202">
        <v>4</v>
      </c>
      <c r="D22" s="609" t="s">
        <v>487</v>
      </c>
      <c r="E22" s="610"/>
      <c r="F22" s="610"/>
      <c r="G22" s="202">
        <v>22</v>
      </c>
      <c r="H22" s="204">
        <v>1772.6207496441061</v>
      </c>
      <c r="I22" s="205">
        <v>80.573670438368453</v>
      </c>
      <c r="J22" s="384">
        <v>2.3966509238533718E-2</v>
      </c>
      <c r="K22" s="609" t="s">
        <v>476</v>
      </c>
      <c r="L22" s="610"/>
      <c r="M22" s="99"/>
      <c r="N22" s="99"/>
      <c r="O22" s="99"/>
      <c r="P22" s="99"/>
      <c r="Q22" s="99"/>
      <c r="R22" s="99"/>
    </row>
    <row r="23" spans="1:18" ht="15.75" customHeight="1">
      <c r="A23" s="613"/>
      <c r="B23" s="614"/>
      <c r="C23" s="202">
        <v>5</v>
      </c>
      <c r="D23" s="609" t="s">
        <v>368</v>
      </c>
      <c r="E23" s="610"/>
      <c r="F23" s="610"/>
      <c r="G23" s="204">
        <v>23</v>
      </c>
      <c r="H23" s="204">
        <v>1775.8337725910428</v>
      </c>
      <c r="I23" s="205">
        <v>77.210164025697495</v>
      </c>
      <c r="J23" s="384">
        <v>3.2742922154184839E-2</v>
      </c>
      <c r="K23" s="609" t="s">
        <v>476</v>
      </c>
      <c r="L23" s="610"/>
      <c r="M23" s="99"/>
      <c r="N23" s="99"/>
      <c r="O23" s="99"/>
      <c r="P23" s="99"/>
      <c r="Q23" s="99"/>
      <c r="R23" s="99"/>
    </row>
    <row r="24" spans="1:18" ht="15.75" customHeight="1">
      <c r="A24" s="613"/>
      <c r="B24" s="614"/>
      <c r="C24" s="206" t="s">
        <v>207</v>
      </c>
      <c r="D24" s="609" t="s">
        <v>365</v>
      </c>
      <c r="E24" s="610"/>
      <c r="F24" s="610"/>
      <c r="G24" s="202">
        <v>25</v>
      </c>
      <c r="H24" s="204">
        <v>1775.9781270451583</v>
      </c>
      <c r="I24" s="205">
        <v>71.039125081806318</v>
      </c>
      <c r="J24" s="384">
        <v>2.5684990586540835E-3</v>
      </c>
      <c r="K24" s="609" t="s">
        <v>476</v>
      </c>
      <c r="L24" s="610"/>
      <c r="M24" s="99"/>
      <c r="N24" s="99"/>
      <c r="O24" s="99"/>
      <c r="P24" s="99"/>
      <c r="Q24" s="99"/>
      <c r="R24" s="99"/>
    </row>
    <row r="25" spans="1:18" ht="15.75" customHeight="1">
      <c r="A25" s="613"/>
      <c r="B25" s="614"/>
      <c r="C25" s="206" t="s">
        <v>212</v>
      </c>
      <c r="D25" s="609" t="s">
        <v>367</v>
      </c>
      <c r="E25" s="610"/>
      <c r="F25" s="610"/>
      <c r="G25" s="202">
        <v>25</v>
      </c>
      <c r="H25" s="204">
        <v>1781.3532465355966</v>
      </c>
      <c r="I25" s="205">
        <v>71.254129861423863</v>
      </c>
      <c r="J25" s="384">
        <v>2.4965644320360525E-3</v>
      </c>
      <c r="K25" s="609" t="s">
        <v>476</v>
      </c>
      <c r="L25" s="610"/>
      <c r="M25" s="99"/>
      <c r="N25" s="99"/>
      <c r="O25" s="99"/>
      <c r="P25" s="99"/>
      <c r="Q25" s="99"/>
      <c r="R25" s="99"/>
    </row>
    <row r="26" spans="1:18" ht="15.75" customHeight="1">
      <c r="A26" s="613"/>
      <c r="B26" s="614"/>
      <c r="C26" s="206" t="s">
        <v>208</v>
      </c>
      <c r="D26" s="609" t="s">
        <v>369</v>
      </c>
      <c r="E26" s="610"/>
      <c r="F26" s="610"/>
      <c r="G26" s="202">
        <v>24</v>
      </c>
      <c r="H26" s="204">
        <v>1771.6081091475462</v>
      </c>
      <c r="I26" s="205">
        <v>73.817004547814435</v>
      </c>
      <c r="J26" s="384">
        <v>1.3880256844799987E-2</v>
      </c>
      <c r="K26" s="609" t="s">
        <v>476</v>
      </c>
      <c r="L26" s="610"/>
      <c r="M26" s="99"/>
      <c r="N26" s="99"/>
      <c r="O26" s="99"/>
      <c r="P26" s="99"/>
      <c r="Q26" s="99"/>
      <c r="R26" s="99"/>
    </row>
    <row r="27" spans="1:18" ht="15.75" customHeight="1">
      <c r="A27" s="613"/>
      <c r="B27" s="614"/>
      <c r="C27" s="206" t="s">
        <v>213</v>
      </c>
      <c r="D27" s="609" t="s">
        <v>483</v>
      </c>
      <c r="E27" s="610"/>
      <c r="F27" s="610"/>
      <c r="G27" s="202">
        <v>23</v>
      </c>
      <c r="H27" s="204">
        <v>1769.6566465375047</v>
      </c>
      <c r="I27" s="205">
        <v>76.941593327717584</v>
      </c>
      <c r="J27" s="384">
        <v>1.9551374596574078E-2</v>
      </c>
      <c r="K27" s="609" t="s">
        <v>476</v>
      </c>
      <c r="L27" s="610"/>
      <c r="M27" s="99"/>
      <c r="N27" s="99"/>
      <c r="O27" s="99"/>
      <c r="P27" s="99"/>
      <c r="Q27" s="99"/>
      <c r="R27" s="99"/>
    </row>
    <row r="28" spans="1:18" ht="15.75" customHeight="1">
      <c r="A28" s="613"/>
      <c r="B28" s="614"/>
      <c r="C28" s="206" t="s">
        <v>214</v>
      </c>
      <c r="D28" s="609"/>
      <c r="E28" s="610"/>
      <c r="F28" s="610"/>
      <c r="G28" s="202"/>
      <c r="H28" s="204"/>
      <c r="I28" s="205"/>
      <c r="J28" s="202"/>
      <c r="K28" s="609"/>
      <c r="L28" s="610"/>
      <c r="M28" s="99"/>
      <c r="N28" s="99"/>
      <c r="O28" s="99"/>
      <c r="P28" s="99"/>
      <c r="Q28" s="99"/>
      <c r="R28" s="99"/>
    </row>
    <row r="29" spans="1:18" ht="15.75" customHeight="1">
      <c r="A29" s="615" t="s">
        <v>610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  <c r="N29" s="99"/>
      <c r="O29" s="99"/>
      <c r="P29" s="99"/>
      <c r="Q29" s="99"/>
      <c r="R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13" t="s">
        <v>164</v>
      </c>
      <c r="B31" s="172">
        <v>1</v>
      </c>
      <c r="C31" s="172">
        <v>2</v>
      </c>
      <c r="D31" s="172">
        <v>3</v>
      </c>
      <c r="E31" s="172">
        <v>4</v>
      </c>
      <c r="F31" s="193">
        <v>5</v>
      </c>
      <c r="G31" s="193">
        <v>6</v>
      </c>
      <c r="H31" s="172">
        <v>7</v>
      </c>
      <c r="I31" s="172">
        <v>8</v>
      </c>
      <c r="J31" s="172">
        <v>9</v>
      </c>
      <c r="K31" s="194"/>
      <c r="L31" s="194"/>
      <c r="M31" s="129"/>
    </row>
    <row r="32" spans="1:18" ht="16.399999999999999" customHeight="1">
      <c r="A32" s="613"/>
      <c r="B32" s="197" t="s">
        <v>209</v>
      </c>
      <c r="C32" s="197" t="s">
        <v>157</v>
      </c>
      <c r="D32" s="197" t="s">
        <v>210</v>
      </c>
      <c r="E32" s="197" t="s">
        <v>158</v>
      </c>
      <c r="F32" s="196" t="s">
        <v>363</v>
      </c>
      <c r="G32" s="211" t="s">
        <v>137</v>
      </c>
      <c r="H32" s="199" t="s">
        <v>211</v>
      </c>
      <c r="I32" s="198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14" t="s">
        <v>190</v>
      </c>
      <c r="B33" s="614"/>
      <c r="C33" s="162" t="s">
        <v>47</v>
      </c>
      <c r="D33" s="614" t="s">
        <v>12</v>
      </c>
      <c r="E33" s="616"/>
      <c r="F33" s="616"/>
      <c r="G33" s="162" t="s">
        <v>46</v>
      </c>
      <c r="H33" s="162" t="s">
        <v>394</v>
      </c>
      <c r="I33" s="162" t="s">
        <v>395</v>
      </c>
      <c r="J33" s="162" t="s">
        <v>339</v>
      </c>
      <c r="K33" s="614" t="s">
        <v>51</v>
      </c>
      <c r="L33" s="616"/>
      <c r="M33" s="129"/>
    </row>
    <row r="34" spans="1:18" ht="15.75" customHeight="1">
      <c r="A34" s="613">
        <v>5</v>
      </c>
      <c r="B34" s="614" t="s">
        <v>363</v>
      </c>
      <c r="C34" s="202">
        <v>1</v>
      </c>
      <c r="D34" s="609" t="s">
        <v>353</v>
      </c>
      <c r="E34" s="610"/>
      <c r="F34" s="610"/>
      <c r="G34" s="204">
        <v>17</v>
      </c>
      <c r="H34" s="204">
        <v>1774.1232713177374</v>
      </c>
      <c r="I34" s="205">
        <v>104.36019243045511</v>
      </c>
      <c r="J34" s="384">
        <f t="shared" ref="J34:J42" si="0">I34-I8</f>
        <v>8.5461957003644784E-2</v>
      </c>
      <c r="K34" s="609" t="s">
        <v>476</v>
      </c>
      <c r="L34" s="610"/>
      <c r="N34" s="99"/>
      <c r="O34" s="99"/>
      <c r="P34" s="99"/>
      <c r="Q34" s="99"/>
      <c r="R34" s="99"/>
    </row>
    <row r="35" spans="1:18" ht="15.75" customHeight="1">
      <c r="A35" s="613"/>
      <c r="B35" s="614"/>
      <c r="C35" s="202">
        <v>2</v>
      </c>
      <c r="D35" s="609" t="s">
        <v>524</v>
      </c>
      <c r="E35" s="610"/>
      <c r="F35" s="610"/>
      <c r="G35" s="204">
        <v>19</v>
      </c>
      <c r="H35" s="204">
        <v>1772.0970213210396</v>
      </c>
      <c r="I35" s="205">
        <v>93.268264280054709</v>
      </c>
      <c r="J35" s="384">
        <f t="shared" si="0"/>
        <v>3.1415010668354171E-2</v>
      </c>
      <c r="K35" s="609" t="s">
        <v>476</v>
      </c>
      <c r="L35" s="610"/>
      <c r="N35" s="99"/>
      <c r="O35" s="99"/>
      <c r="P35" s="99"/>
      <c r="Q35" s="99"/>
      <c r="R35" s="99"/>
    </row>
    <row r="36" spans="1:18" ht="15.75" customHeight="1">
      <c r="A36" s="613"/>
      <c r="B36" s="614"/>
      <c r="C36" s="202">
        <v>3</v>
      </c>
      <c r="D36" s="609" t="s">
        <v>462</v>
      </c>
      <c r="E36" s="610"/>
      <c r="F36" s="610"/>
      <c r="G36" s="204">
        <v>20</v>
      </c>
      <c r="H36" s="204">
        <v>1769.6165508598058</v>
      </c>
      <c r="I36" s="205">
        <v>88.480827542990284</v>
      </c>
      <c r="J36" s="384">
        <f t="shared" si="0"/>
        <v>0.1299157463660805</v>
      </c>
      <c r="K36" s="609" t="s">
        <v>476</v>
      </c>
      <c r="L36" s="610"/>
      <c r="N36" s="99"/>
      <c r="O36" s="99"/>
      <c r="P36" s="99"/>
      <c r="Q36" s="99"/>
      <c r="R36" s="99"/>
    </row>
    <row r="37" spans="1:18" ht="15.75" customHeight="1">
      <c r="A37" s="613"/>
      <c r="B37" s="614"/>
      <c r="C37" s="202">
        <v>4</v>
      </c>
      <c r="D37" s="609" t="s">
        <v>486</v>
      </c>
      <c r="E37" s="610"/>
      <c r="F37" s="610"/>
      <c r="G37" s="204">
        <v>21</v>
      </c>
      <c r="H37" s="204">
        <v>1770.0272035862183</v>
      </c>
      <c r="I37" s="205">
        <v>84.287009694581826</v>
      </c>
      <c r="J37" s="384">
        <f t="shared" si="0"/>
        <v>2.4883167894131475E-2</v>
      </c>
      <c r="K37" s="609" t="s">
        <v>476</v>
      </c>
      <c r="L37" s="610"/>
      <c r="N37" s="99"/>
      <c r="O37" s="99"/>
      <c r="P37" s="99"/>
      <c r="Q37" s="99"/>
      <c r="R37" s="99"/>
    </row>
    <row r="38" spans="1:18" ht="15.75" customHeight="1">
      <c r="A38" s="613"/>
      <c r="B38" s="614"/>
      <c r="C38" s="202">
        <v>5</v>
      </c>
      <c r="D38" s="609" t="s">
        <v>563</v>
      </c>
      <c r="E38" s="610"/>
      <c r="F38" s="610"/>
      <c r="G38" s="204">
        <v>19</v>
      </c>
      <c r="H38" s="204">
        <v>1597.4563273957122</v>
      </c>
      <c r="I38" s="205">
        <v>84.07664881030064</v>
      </c>
      <c r="J38" s="384">
        <f t="shared" si="0"/>
        <v>2.5240440053300119</v>
      </c>
      <c r="K38" s="609" t="s">
        <v>476</v>
      </c>
      <c r="L38" s="610"/>
      <c r="N38" s="99"/>
      <c r="O38" s="99"/>
      <c r="P38" s="99"/>
      <c r="Q38" s="99"/>
      <c r="R38" s="99"/>
    </row>
    <row r="39" spans="1:18" ht="15.75" customHeight="1">
      <c r="A39" s="613"/>
      <c r="B39" s="614"/>
      <c r="C39" s="206" t="s">
        <v>207</v>
      </c>
      <c r="D39" s="609" t="s">
        <v>351</v>
      </c>
      <c r="E39" s="610"/>
      <c r="F39" s="610"/>
      <c r="G39" s="204">
        <v>25</v>
      </c>
      <c r="H39" s="204">
        <v>1776.5938891853893</v>
      </c>
      <c r="I39" s="205">
        <v>71.063755567415569</v>
      </c>
      <c r="J39" s="384">
        <f t="shared" si="0"/>
        <v>1.5772938538887615E-2</v>
      </c>
      <c r="K39" s="609" t="s">
        <v>476</v>
      </c>
      <c r="L39" s="610"/>
      <c r="N39" s="99"/>
      <c r="O39" s="99"/>
      <c r="P39" s="99"/>
      <c r="Q39" s="99"/>
      <c r="R39" s="99"/>
    </row>
    <row r="40" spans="1:18" ht="15.75" customHeight="1">
      <c r="A40" s="613"/>
      <c r="B40" s="614"/>
      <c r="C40" s="206" t="s">
        <v>212</v>
      </c>
      <c r="D40" s="609" t="s">
        <v>352</v>
      </c>
      <c r="E40" s="610"/>
      <c r="F40" s="610"/>
      <c r="G40" s="204">
        <v>23</v>
      </c>
      <c r="H40" s="204">
        <v>1768.8804961190392</v>
      </c>
      <c r="I40" s="205">
        <v>76.907847657349521</v>
      </c>
      <c r="J40" s="384">
        <f t="shared" si="0"/>
        <v>2.5903240949531892E-3</v>
      </c>
      <c r="K40" s="609" t="s">
        <v>476</v>
      </c>
      <c r="L40" s="610"/>
      <c r="N40" s="99"/>
      <c r="O40" s="99"/>
      <c r="P40" s="99"/>
      <c r="Q40" s="99"/>
      <c r="R40" s="99"/>
    </row>
    <row r="41" spans="1:18" ht="15.75" customHeight="1">
      <c r="A41" s="613"/>
      <c r="B41" s="614"/>
      <c r="C41" s="206" t="s">
        <v>208</v>
      </c>
      <c r="D41" s="609" t="s">
        <v>350</v>
      </c>
      <c r="E41" s="610"/>
      <c r="F41" s="610"/>
      <c r="G41" s="204">
        <v>23</v>
      </c>
      <c r="H41" s="204">
        <v>1771.6663771936237</v>
      </c>
      <c r="I41" s="205">
        <v>77.028972921461886</v>
      </c>
      <c r="J41" s="384">
        <f t="shared" si="0"/>
        <v>4.0871919798391332E-2</v>
      </c>
      <c r="K41" s="609" t="s">
        <v>476</v>
      </c>
      <c r="L41" s="610"/>
      <c r="N41" s="99"/>
      <c r="O41" s="99"/>
      <c r="P41" s="99"/>
      <c r="Q41" s="99"/>
      <c r="R41" s="99"/>
    </row>
    <row r="42" spans="1:18" ht="15.75" customHeight="1">
      <c r="A42" s="613"/>
      <c r="B42" s="614"/>
      <c r="C42" s="206" t="s">
        <v>213</v>
      </c>
      <c r="D42" s="609" t="s">
        <v>364</v>
      </c>
      <c r="E42" s="610"/>
      <c r="F42" s="610"/>
      <c r="G42" s="204">
        <v>23</v>
      </c>
      <c r="H42" s="204">
        <v>1772.5618171350704</v>
      </c>
      <c r="I42" s="205">
        <v>77.06790509282915</v>
      </c>
      <c r="J42" s="384">
        <f t="shared" si="0"/>
        <v>5.4548369487761761E-2</v>
      </c>
      <c r="K42" s="609" t="s">
        <v>476</v>
      </c>
      <c r="L42" s="610"/>
      <c r="M42" s="99"/>
      <c r="N42" s="99"/>
      <c r="O42" s="99"/>
      <c r="P42" s="99"/>
      <c r="Q42" s="99"/>
      <c r="R42" s="99"/>
    </row>
    <row r="43" spans="1:18" ht="15.75" customHeight="1">
      <c r="A43" s="613"/>
      <c r="B43" s="614"/>
      <c r="C43" s="206" t="s">
        <v>214</v>
      </c>
      <c r="D43" s="609"/>
      <c r="E43" s="610"/>
      <c r="F43" s="610"/>
      <c r="G43" s="204"/>
      <c r="H43" s="204"/>
      <c r="I43" s="205"/>
      <c r="J43" s="202"/>
      <c r="K43" s="609"/>
      <c r="L43" s="610"/>
      <c r="M43" s="99"/>
      <c r="N43" s="99"/>
      <c r="O43" s="99"/>
      <c r="P43" s="99"/>
      <c r="Q43" s="99"/>
      <c r="R43" s="99"/>
    </row>
    <row r="44" spans="1:18" s="104" customFormat="1" ht="15.75" customHeight="1">
      <c r="A44" s="611" t="s">
        <v>190</v>
      </c>
      <c r="B44" s="611"/>
      <c r="C44" s="209" t="s">
        <v>47</v>
      </c>
      <c r="D44" s="611" t="s">
        <v>12</v>
      </c>
      <c r="E44" s="612"/>
      <c r="F44" s="612"/>
      <c r="G44" s="209" t="s">
        <v>46</v>
      </c>
      <c r="H44" s="209" t="s">
        <v>394</v>
      </c>
      <c r="I44" s="209" t="s">
        <v>395</v>
      </c>
      <c r="J44" s="162" t="s">
        <v>339</v>
      </c>
      <c r="K44" s="611" t="s">
        <v>51</v>
      </c>
      <c r="L44" s="612"/>
      <c r="M44" s="130"/>
    </row>
    <row r="45" spans="1:18" ht="15.75" customHeight="1">
      <c r="A45" s="613">
        <v>6</v>
      </c>
      <c r="B45" s="614" t="s">
        <v>137</v>
      </c>
      <c r="C45" s="202">
        <v>1</v>
      </c>
      <c r="D45" s="609" t="s">
        <v>507</v>
      </c>
      <c r="E45" s="610"/>
      <c r="F45" s="610"/>
      <c r="G45" s="202">
        <v>20</v>
      </c>
      <c r="H45" s="204">
        <v>1771.8038916082776</v>
      </c>
      <c r="I45" s="205">
        <v>88.590194580413865</v>
      </c>
      <c r="J45" s="384">
        <f t="shared" ref="J45:J53" si="1">I45-I19</f>
        <v>1.5173564432757303E-2</v>
      </c>
      <c r="K45" s="609" t="s">
        <v>476</v>
      </c>
      <c r="L45" s="610"/>
      <c r="M45" s="99"/>
      <c r="N45" s="99"/>
      <c r="O45" s="99"/>
      <c r="P45" s="99"/>
      <c r="Q45" s="99"/>
      <c r="R45" s="99"/>
    </row>
    <row r="46" spans="1:18" ht="15.75" customHeight="1">
      <c r="A46" s="613"/>
      <c r="B46" s="614"/>
      <c r="C46" s="202">
        <v>2</v>
      </c>
      <c r="D46" s="609" t="s">
        <v>497</v>
      </c>
      <c r="E46" s="610"/>
      <c r="F46" s="610"/>
      <c r="G46" s="204">
        <v>20</v>
      </c>
      <c r="H46" s="204">
        <v>1771.301450026056</v>
      </c>
      <c r="I46" s="205">
        <v>88.565072501302794</v>
      </c>
      <c r="J46" s="384">
        <f t="shared" si="1"/>
        <v>2.635126026845569E-3</v>
      </c>
      <c r="K46" s="609" t="s">
        <v>476</v>
      </c>
      <c r="L46" s="610"/>
      <c r="M46" s="99"/>
      <c r="N46" s="99"/>
      <c r="O46" s="99"/>
      <c r="P46" s="99"/>
      <c r="Q46" s="99"/>
      <c r="R46" s="99"/>
    </row>
    <row r="47" spans="1:18" ht="15.75" customHeight="1">
      <c r="A47" s="613"/>
      <c r="B47" s="614"/>
      <c r="C47" s="202">
        <v>3</v>
      </c>
      <c r="D47" s="609" t="s">
        <v>366</v>
      </c>
      <c r="E47" s="610"/>
      <c r="F47" s="610"/>
      <c r="G47" s="204">
        <v>21</v>
      </c>
      <c r="H47" s="204">
        <v>1772.2905642805385</v>
      </c>
      <c r="I47" s="205">
        <v>84.394788775263734</v>
      </c>
      <c r="J47" s="384">
        <f t="shared" si="1"/>
        <v>2.1465655795211092E-2</v>
      </c>
      <c r="K47" s="609" t="s">
        <v>476</v>
      </c>
      <c r="L47" s="610"/>
      <c r="M47" s="99"/>
      <c r="N47" s="99"/>
      <c r="O47" s="99"/>
      <c r="P47" s="99"/>
      <c r="Q47" s="99"/>
      <c r="R47" s="99"/>
    </row>
    <row r="48" spans="1:18" ht="15.75" customHeight="1">
      <c r="A48" s="613"/>
      <c r="B48" s="614"/>
      <c r="C48" s="202">
        <v>4</v>
      </c>
      <c r="D48" s="609" t="s">
        <v>487</v>
      </c>
      <c r="E48" s="610"/>
      <c r="F48" s="610"/>
      <c r="G48" s="202">
        <v>22</v>
      </c>
      <c r="H48" s="204">
        <v>1773.0568206694059</v>
      </c>
      <c r="I48" s="205">
        <v>80.593491848609361</v>
      </c>
      <c r="J48" s="384">
        <f t="shared" si="1"/>
        <v>1.9821410240908222E-2</v>
      </c>
      <c r="K48" s="609" t="s">
        <v>476</v>
      </c>
      <c r="L48" s="610"/>
      <c r="M48" s="99"/>
      <c r="N48" s="99"/>
      <c r="O48" s="99"/>
      <c r="P48" s="99"/>
      <c r="Q48" s="99"/>
      <c r="R48" s="99"/>
    </row>
    <row r="49" spans="1:18" ht="15.75" customHeight="1">
      <c r="A49" s="613"/>
      <c r="B49" s="614"/>
      <c r="C49" s="202">
        <v>5</v>
      </c>
      <c r="D49" s="609" t="s">
        <v>368</v>
      </c>
      <c r="E49" s="610"/>
      <c r="F49" s="610"/>
      <c r="G49" s="204">
        <v>23</v>
      </c>
      <c r="H49" s="204">
        <v>1776.3297859536137</v>
      </c>
      <c r="I49" s="205">
        <v>77.231729824070172</v>
      </c>
      <c r="J49" s="384">
        <f t="shared" si="1"/>
        <v>2.1565798372677136E-2</v>
      </c>
      <c r="K49" s="609" t="s">
        <v>476</v>
      </c>
      <c r="L49" s="610"/>
      <c r="M49" s="99"/>
      <c r="N49" s="99"/>
      <c r="O49" s="99"/>
      <c r="P49" s="99"/>
      <c r="Q49" s="99"/>
      <c r="R49" s="99"/>
    </row>
    <row r="50" spans="1:18" ht="15.75" customHeight="1">
      <c r="A50" s="613"/>
      <c r="B50" s="614"/>
      <c r="C50" s="206" t="s">
        <v>207</v>
      </c>
      <c r="D50" s="609" t="s">
        <v>365</v>
      </c>
      <c r="E50" s="610"/>
      <c r="F50" s="610"/>
      <c r="G50" s="202">
        <v>25</v>
      </c>
      <c r="H50" s="204">
        <v>1777.3168188270677</v>
      </c>
      <c r="I50" s="205">
        <v>71.092672753082724</v>
      </c>
      <c r="J50" s="384">
        <f t="shared" si="1"/>
        <v>5.354767127640514E-2</v>
      </c>
      <c r="K50" s="609" t="s">
        <v>476</v>
      </c>
      <c r="L50" s="610"/>
      <c r="M50" s="99"/>
      <c r="N50" s="99"/>
      <c r="O50" s="99"/>
      <c r="P50" s="99"/>
      <c r="Q50" s="99"/>
      <c r="R50" s="99"/>
    </row>
    <row r="51" spans="1:18" ht="15.75" customHeight="1">
      <c r="A51" s="613"/>
      <c r="B51" s="614"/>
      <c r="C51" s="206" t="s">
        <v>212</v>
      </c>
      <c r="D51" s="609" t="s">
        <v>367</v>
      </c>
      <c r="E51" s="610"/>
      <c r="F51" s="610"/>
      <c r="G51" s="202">
        <v>25</v>
      </c>
      <c r="H51" s="204">
        <v>1781.6735257996181</v>
      </c>
      <c r="I51" s="205">
        <v>71.266941031984729</v>
      </c>
      <c r="J51" s="384">
        <f t="shared" si="1"/>
        <v>1.2811170560866003E-2</v>
      </c>
      <c r="K51" s="609" t="s">
        <v>476</v>
      </c>
      <c r="L51" s="610"/>
      <c r="M51" s="99"/>
      <c r="N51" s="99"/>
      <c r="O51" s="99"/>
      <c r="P51" s="99"/>
      <c r="Q51" s="99"/>
      <c r="R51" s="99"/>
    </row>
    <row r="52" spans="1:18" ht="15.75" customHeight="1">
      <c r="A52" s="613"/>
      <c r="B52" s="614"/>
      <c r="C52" s="206" t="s">
        <v>208</v>
      </c>
      <c r="D52" s="609" t="s">
        <v>369</v>
      </c>
      <c r="E52" s="610"/>
      <c r="F52" s="610"/>
      <c r="G52" s="202">
        <v>24</v>
      </c>
      <c r="H52" s="204">
        <v>1772.415697638254</v>
      </c>
      <c r="I52" s="205">
        <v>73.850654068260582</v>
      </c>
      <c r="J52" s="384">
        <f t="shared" si="1"/>
        <v>3.3649520446147108E-2</v>
      </c>
      <c r="K52" s="609" t="s">
        <v>476</v>
      </c>
      <c r="L52" s="610"/>
      <c r="M52" s="99"/>
      <c r="N52" s="99"/>
      <c r="O52" s="99"/>
      <c r="P52" s="99"/>
      <c r="Q52" s="99"/>
      <c r="R52" s="99"/>
    </row>
    <row r="53" spans="1:18" ht="15.75" customHeight="1">
      <c r="A53" s="613"/>
      <c r="B53" s="614"/>
      <c r="C53" s="206" t="s">
        <v>213</v>
      </c>
      <c r="D53" s="609" t="s">
        <v>483</v>
      </c>
      <c r="E53" s="610"/>
      <c r="F53" s="610"/>
      <c r="G53" s="202">
        <v>23</v>
      </c>
      <c r="H53" s="204">
        <v>1770.0245636014388</v>
      </c>
      <c r="I53" s="205">
        <v>76.957589721801682</v>
      </c>
      <c r="J53" s="384">
        <f t="shared" si="1"/>
        <v>1.5996394084098142E-2</v>
      </c>
      <c r="K53" s="609" t="s">
        <v>476</v>
      </c>
      <c r="L53" s="610"/>
      <c r="M53" s="99"/>
      <c r="N53" s="99"/>
      <c r="O53" s="99"/>
      <c r="P53" s="99"/>
      <c r="Q53" s="99"/>
      <c r="R53" s="99"/>
    </row>
    <row r="54" spans="1:18" ht="15.75" customHeight="1">
      <c r="A54" s="613"/>
      <c r="B54" s="614"/>
      <c r="C54" s="206" t="s">
        <v>214</v>
      </c>
      <c r="D54" s="609"/>
      <c r="E54" s="610"/>
      <c r="F54" s="610"/>
      <c r="G54" s="202"/>
      <c r="H54" s="204"/>
      <c r="I54" s="205"/>
      <c r="J54" s="202"/>
      <c r="K54" s="609"/>
      <c r="L54" s="610"/>
      <c r="M54" s="99"/>
      <c r="N54" s="99"/>
      <c r="O54" s="99"/>
      <c r="P54" s="99"/>
      <c r="Q54" s="99"/>
      <c r="R54" s="99"/>
    </row>
    <row r="55" spans="1:18" s="191" customFormat="1" ht="15.75" customHeight="1">
      <c r="A55" s="615" t="s">
        <v>665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13" t="s">
        <v>164</v>
      </c>
      <c r="B57" s="172">
        <v>1</v>
      </c>
      <c r="C57" s="172">
        <v>2</v>
      </c>
      <c r="D57" s="172">
        <v>3</v>
      </c>
      <c r="E57" s="172">
        <v>4</v>
      </c>
      <c r="F57" s="193">
        <v>5</v>
      </c>
      <c r="G57" s="193">
        <v>6</v>
      </c>
      <c r="H57" s="172">
        <v>7</v>
      </c>
      <c r="I57" s="172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99999999999999" customHeight="1">
      <c r="A58" s="613"/>
      <c r="B58" s="197" t="s">
        <v>209</v>
      </c>
      <c r="C58" s="197" t="s">
        <v>157</v>
      </c>
      <c r="D58" s="197" t="s">
        <v>210</v>
      </c>
      <c r="E58" s="197" t="s">
        <v>158</v>
      </c>
      <c r="F58" s="196" t="s">
        <v>363</v>
      </c>
      <c r="G58" s="211" t="s">
        <v>137</v>
      </c>
      <c r="H58" s="199" t="s">
        <v>211</v>
      </c>
      <c r="I58" s="198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14" t="s">
        <v>190</v>
      </c>
      <c r="B59" s="614"/>
      <c r="C59" s="162" t="s">
        <v>47</v>
      </c>
      <c r="D59" s="614" t="s">
        <v>12</v>
      </c>
      <c r="E59" s="616"/>
      <c r="F59" s="616"/>
      <c r="G59" s="162" t="s">
        <v>46</v>
      </c>
      <c r="H59" s="162" t="s">
        <v>394</v>
      </c>
      <c r="I59" s="162" t="s">
        <v>395</v>
      </c>
      <c r="J59" s="162" t="s">
        <v>339</v>
      </c>
      <c r="K59" s="614" t="s">
        <v>51</v>
      </c>
      <c r="L59" s="616"/>
      <c r="M59" s="129"/>
      <c r="N59" s="191"/>
      <c r="O59" s="450"/>
      <c r="P59" s="449"/>
      <c r="Q59" s="449"/>
      <c r="R59" s="201"/>
    </row>
    <row r="60" spans="1:18" ht="15.75" customHeight="1">
      <c r="A60" s="613">
        <v>5</v>
      </c>
      <c r="B60" s="614" t="s">
        <v>363</v>
      </c>
      <c r="C60" s="202">
        <v>1</v>
      </c>
      <c r="D60" s="609" t="s">
        <v>353</v>
      </c>
      <c r="E60" s="610"/>
      <c r="F60" s="610"/>
      <c r="G60" s="204">
        <v>17</v>
      </c>
      <c r="H60" s="204">
        <v>1775.301647655253</v>
      </c>
      <c r="I60" s="205">
        <v>104.42950868560312</v>
      </c>
      <c r="J60" s="384">
        <f t="shared" ref="J60:J68" si="2">I60-I34</f>
        <v>6.9316255148009986E-2</v>
      </c>
      <c r="K60" s="609" t="s">
        <v>476</v>
      </c>
      <c r="L60" s="610"/>
      <c r="O60" s="450"/>
      <c r="P60" s="449"/>
      <c r="Q60" s="449"/>
      <c r="R60" s="201"/>
    </row>
    <row r="61" spans="1:18" ht="15.75" customHeight="1">
      <c r="A61" s="613"/>
      <c r="B61" s="614"/>
      <c r="C61" s="202">
        <v>2</v>
      </c>
      <c r="D61" s="609" t="s">
        <v>524</v>
      </c>
      <c r="E61" s="610"/>
      <c r="F61" s="610"/>
      <c r="G61" s="204">
        <v>19</v>
      </c>
      <c r="H61" s="204">
        <v>1772.4344470866108</v>
      </c>
      <c r="I61" s="205">
        <v>93.286023530874246</v>
      </c>
      <c r="J61" s="384">
        <f t="shared" si="2"/>
        <v>1.7759250819537442E-2</v>
      </c>
      <c r="K61" s="609" t="s">
        <v>476</v>
      </c>
      <c r="L61" s="610"/>
      <c r="O61" s="450"/>
      <c r="P61" s="449"/>
      <c r="Q61" s="449"/>
      <c r="R61" s="201"/>
    </row>
    <row r="62" spans="1:18" ht="15.75" customHeight="1">
      <c r="A62" s="613"/>
      <c r="B62" s="614"/>
      <c r="C62" s="202">
        <v>3</v>
      </c>
      <c r="D62" s="609" t="s">
        <v>462</v>
      </c>
      <c r="E62" s="610"/>
      <c r="F62" s="610"/>
      <c r="G62" s="204">
        <v>20</v>
      </c>
      <c r="H62" s="204">
        <v>1773.5488484628863</v>
      </c>
      <c r="I62" s="205">
        <v>88.677442423144313</v>
      </c>
      <c r="J62" s="384">
        <f t="shared" si="2"/>
        <v>0.19661488015402995</v>
      </c>
      <c r="K62" s="609" t="s">
        <v>476</v>
      </c>
      <c r="L62" s="610"/>
      <c r="O62" s="450"/>
      <c r="P62" s="449"/>
      <c r="Q62" s="449"/>
      <c r="R62" s="201"/>
    </row>
    <row r="63" spans="1:18" ht="15.75" customHeight="1">
      <c r="A63" s="613"/>
      <c r="B63" s="614"/>
      <c r="C63" s="202">
        <v>4</v>
      </c>
      <c r="D63" s="609" t="s">
        <v>486</v>
      </c>
      <c r="E63" s="610"/>
      <c r="F63" s="610"/>
      <c r="G63" s="204">
        <v>21</v>
      </c>
      <c r="H63" s="204">
        <v>1772.3675178544411</v>
      </c>
      <c r="I63" s="205">
        <v>84.39845323116387</v>
      </c>
      <c r="J63" s="384">
        <f t="shared" si="2"/>
        <v>0.11144353658204409</v>
      </c>
      <c r="K63" s="609" t="s">
        <v>476</v>
      </c>
      <c r="L63" s="610"/>
      <c r="O63" s="450"/>
      <c r="P63" s="449"/>
      <c r="Q63" s="449"/>
      <c r="R63" s="201"/>
    </row>
    <row r="64" spans="1:18" ht="15.75" customHeight="1">
      <c r="A64" s="613"/>
      <c r="B64" s="614"/>
      <c r="C64" s="202">
        <v>5</v>
      </c>
      <c r="D64" s="609" t="s">
        <v>563</v>
      </c>
      <c r="E64" s="610"/>
      <c r="F64" s="610"/>
      <c r="G64" s="204">
        <v>19</v>
      </c>
      <c r="H64" s="204">
        <v>1597.8202143418202</v>
      </c>
      <c r="I64" s="205">
        <v>84.095800754832652</v>
      </c>
      <c r="J64" s="384">
        <f t="shared" si="2"/>
        <v>1.9151944532012521E-2</v>
      </c>
      <c r="K64" s="609" t="s">
        <v>476</v>
      </c>
      <c r="L64" s="610"/>
      <c r="O64" s="450"/>
      <c r="P64" s="449"/>
      <c r="Q64" s="449"/>
      <c r="R64" s="201"/>
    </row>
    <row r="65" spans="1:18" ht="15.75" customHeight="1">
      <c r="A65" s="613"/>
      <c r="B65" s="614"/>
      <c r="C65" s="206" t="s">
        <v>207</v>
      </c>
      <c r="D65" s="609" t="s">
        <v>351</v>
      </c>
      <c r="E65" s="610"/>
      <c r="F65" s="610"/>
      <c r="G65" s="204">
        <v>25</v>
      </c>
      <c r="H65" s="204">
        <v>1776.5431132553729</v>
      </c>
      <c r="I65" s="205">
        <v>71.061724530214903</v>
      </c>
      <c r="J65" s="384">
        <f t="shared" si="2"/>
        <v>-2.0310372006662192E-3</v>
      </c>
      <c r="K65" s="609" t="s">
        <v>476</v>
      </c>
      <c r="L65" s="610"/>
      <c r="O65" s="450"/>
      <c r="P65" s="449"/>
      <c r="Q65" s="449"/>
      <c r="R65" s="201"/>
    </row>
    <row r="66" spans="1:18" ht="15.75" customHeight="1">
      <c r="A66" s="613"/>
      <c r="B66" s="614"/>
      <c r="C66" s="206" t="s">
        <v>212</v>
      </c>
      <c r="D66" s="609" t="s">
        <v>352</v>
      </c>
      <c r="E66" s="610"/>
      <c r="F66" s="610"/>
      <c r="G66" s="204">
        <v>23</v>
      </c>
      <c r="H66" s="204">
        <v>1772.6846587809935</v>
      </c>
      <c r="I66" s="205">
        <v>77.073246033956238</v>
      </c>
      <c r="J66" s="384">
        <f t="shared" si="2"/>
        <v>0.16539837660671708</v>
      </c>
      <c r="K66" s="609" t="s">
        <v>476</v>
      </c>
      <c r="L66" s="610"/>
      <c r="O66" s="201"/>
      <c r="P66" s="449"/>
      <c r="Q66" s="449"/>
      <c r="R66" s="201"/>
    </row>
    <row r="67" spans="1:18" ht="15.75" customHeight="1">
      <c r="A67" s="613"/>
      <c r="B67" s="614"/>
      <c r="C67" s="206" t="s">
        <v>208</v>
      </c>
      <c r="D67" s="609" t="s">
        <v>350</v>
      </c>
      <c r="E67" s="610"/>
      <c r="F67" s="610"/>
      <c r="G67" s="204">
        <v>23</v>
      </c>
      <c r="H67" s="204">
        <v>1772.7769094678813</v>
      </c>
      <c r="I67" s="205">
        <v>77.077256933386167</v>
      </c>
      <c r="J67" s="384">
        <f t="shared" si="2"/>
        <v>4.828401192428089E-2</v>
      </c>
      <c r="K67" s="609" t="s">
        <v>476</v>
      </c>
      <c r="L67" s="610"/>
      <c r="N67" s="180"/>
      <c r="O67" s="451"/>
      <c r="P67" s="448"/>
      <c r="Q67" s="448"/>
      <c r="R67" s="180"/>
    </row>
    <row r="68" spans="1:18" ht="15.75" customHeight="1">
      <c r="A68" s="613"/>
      <c r="B68" s="614"/>
      <c r="C68" s="206" t="s">
        <v>213</v>
      </c>
      <c r="D68" s="609" t="s">
        <v>364</v>
      </c>
      <c r="E68" s="610"/>
      <c r="F68" s="610"/>
      <c r="G68" s="204">
        <v>23</v>
      </c>
      <c r="H68" s="204">
        <v>1773.1072178298969</v>
      </c>
      <c r="I68" s="205">
        <v>77.091618166517264</v>
      </c>
      <c r="J68" s="384">
        <f t="shared" si="2"/>
        <v>2.371307368811415E-2</v>
      </c>
      <c r="K68" s="609" t="s">
        <v>476</v>
      </c>
      <c r="L68" s="610"/>
      <c r="M68" s="99"/>
      <c r="O68" s="450"/>
      <c r="P68" s="449"/>
      <c r="Q68" s="449"/>
      <c r="R68" s="201"/>
    </row>
    <row r="69" spans="1:18" ht="15.75" customHeight="1">
      <c r="A69" s="613"/>
      <c r="B69" s="614"/>
      <c r="C69" s="206" t="s">
        <v>214</v>
      </c>
      <c r="D69" s="609"/>
      <c r="E69" s="610"/>
      <c r="F69" s="610"/>
      <c r="G69" s="204"/>
      <c r="H69" s="204"/>
      <c r="I69" s="205"/>
      <c r="J69" s="202"/>
      <c r="K69" s="609"/>
      <c r="L69" s="610"/>
      <c r="M69" s="99"/>
      <c r="O69" s="450"/>
      <c r="P69" s="449"/>
      <c r="Q69" s="449"/>
      <c r="R69" s="201"/>
    </row>
    <row r="70" spans="1:18" s="104" customFormat="1" ht="15.75" customHeight="1">
      <c r="A70" s="611" t="s">
        <v>190</v>
      </c>
      <c r="B70" s="611"/>
      <c r="C70" s="209" t="s">
        <v>47</v>
      </c>
      <c r="D70" s="611" t="s">
        <v>12</v>
      </c>
      <c r="E70" s="612"/>
      <c r="F70" s="612"/>
      <c r="G70" s="209" t="s">
        <v>46</v>
      </c>
      <c r="H70" s="209" t="s">
        <v>394</v>
      </c>
      <c r="I70" s="209" t="s">
        <v>395</v>
      </c>
      <c r="J70" s="162" t="s">
        <v>339</v>
      </c>
      <c r="K70" s="611" t="s">
        <v>51</v>
      </c>
      <c r="L70" s="612"/>
      <c r="M70" s="130"/>
      <c r="N70" s="191"/>
      <c r="O70" s="450"/>
      <c r="P70" s="449"/>
      <c r="Q70" s="449"/>
      <c r="R70" s="201"/>
    </row>
    <row r="71" spans="1:18" ht="15.75" customHeight="1">
      <c r="A71" s="613">
        <v>6</v>
      </c>
      <c r="B71" s="614" t="s">
        <v>137</v>
      </c>
      <c r="C71" s="202">
        <v>1</v>
      </c>
      <c r="D71" s="609" t="s">
        <v>507</v>
      </c>
      <c r="E71" s="610"/>
      <c r="F71" s="610"/>
      <c r="G71" s="202">
        <v>20</v>
      </c>
      <c r="H71" s="204">
        <v>1773.5657420750374</v>
      </c>
      <c r="I71" s="205">
        <v>88.678287103751856</v>
      </c>
      <c r="J71" s="384">
        <f t="shared" ref="J71:J79" si="3">I71-I45</f>
        <v>8.8092523337991224E-2</v>
      </c>
      <c r="K71" s="609" t="s">
        <v>476</v>
      </c>
      <c r="L71" s="610"/>
      <c r="M71" s="99"/>
      <c r="N71" s="201"/>
      <c r="O71" s="201"/>
      <c r="P71" s="449"/>
      <c r="Q71" s="449"/>
      <c r="R71" s="201"/>
    </row>
    <row r="72" spans="1:18" ht="15.75" customHeight="1">
      <c r="A72" s="613"/>
      <c r="B72" s="614"/>
      <c r="C72" s="202">
        <v>2</v>
      </c>
      <c r="D72" s="609" t="s">
        <v>497</v>
      </c>
      <c r="E72" s="610"/>
      <c r="F72" s="610"/>
      <c r="G72" s="204">
        <v>20</v>
      </c>
      <c r="H72" s="204">
        <v>1772.2676650879262</v>
      </c>
      <c r="I72" s="205">
        <v>88.613383254396282</v>
      </c>
      <c r="J72" s="384">
        <f t="shared" si="3"/>
        <v>4.8310753093488756E-2</v>
      </c>
      <c r="K72" s="609" t="s">
        <v>476</v>
      </c>
      <c r="L72" s="610"/>
      <c r="M72" s="99"/>
      <c r="O72" s="201"/>
      <c r="P72" s="449"/>
      <c r="Q72" s="449"/>
      <c r="R72" s="201"/>
    </row>
    <row r="73" spans="1:18" ht="15.75" customHeight="1">
      <c r="A73" s="613"/>
      <c r="B73" s="614"/>
      <c r="C73" s="202">
        <v>3</v>
      </c>
      <c r="D73" s="609" t="s">
        <v>366</v>
      </c>
      <c r="E73" s="610"/>
      <c r="F73" s="610"/>
      <c r="G73" s="204">
        <v>21</v>
      </c>
      <c r="H73" s="204">
        <v>1772.9802815912858</v>
      </c>
      <c r="I73" s="205">
        <v>84.427632456727892</v>
      </c>
      <c r="J73" s="384">
        <f t="shared" si="3"/>
        <v>3.2843681464157726E-2</v>
      </c>
      <c r="K73" s="609" t="s">
        <v>476</v>
      </c>
      <c r="L73" s="610"/>
      <c r="M73" s="99"/>
      <c r="O73" s="201"/>
      <c r="P73" s="449"/>
      <c r="Q73" s="449"/>
      <c r="R73" s="201"/>
    </row>
    <row r="74" spans="1:18" ht="15.75" customHeight="1">
      <c r="A74" s="613"/>
      <c r="B74" s="614"/>
      <c r="C74" s="202">
        <v>4</v>
      </c>
      <c r="D74" s="609" t="s">
        <v>487</v>
      </c>
      <c r="E74" s="610"/>
      <c r="F74" s="610"/>
      <c r="G74" s="202">
        <v>22</v>
      </c>
      <c r="H74" s="204">
        <v>1774.1595839760814</v>
      </c>
      <c r="I74" s="205">
        <v>80.643617453458234</v>
      </c>
      <c r="J74" s="384">
        <f t="shared" si="3"/>
        <v>5.012560484887274E-2</v>
      </c>
      <c r="K74" s="609" t="s">
        <v>476</v>
      </c>
      <c r="L74" s="610"/>
      <c r="M74" s="99"/>
      <c r="O74" s="201"/>
      <c r="P74" s="449"/>
      <c r="Q74" s="449"/>
      <c r="R74" s="201"/>
    </row>
    <row r="75" spans="1:18" ht="15.75" customHeight="1">
      <c r="A75" s="613"/>
      <c r="B75" s="614"/>
      <c r="C75" s="202">
        <v>5</v>
      </c>
      <c r="D75" s="609" t="s">
        <v>368</v>
      </c>
      <c r="E75" s="610"/>
      <c r="F75" s="610"/>
      <c r="G75" s="204">
        <v>23</v>
      </c>
      <c r="H75" s="204">
        <v>1776.8541389326358</v>
      </c>
      <c r="I75" s="205">
        <v>77.254527779679819</v>
      </c>
      <c r="J75" s="384">
        <f t="shared" si="3"/>
        <v>2.2797955609647147E-2</v>
      </c>
      <c r="K75" s="609" t="s">
        <v>476</v>
      </c>
      <c r="L75" s="610"/>
      <c r="M75" s="99"/>
      <c r="O75" s="201"/>
      <c r="P75" s="449"/>
      <c r="Q75" s="449"/>
      <c r="R75" s="201"/>
    </row>
    <row r="76" spans="1:18" ht="15.75" customHeight="1">
      <c r="A76" s="613"/>
      <c r="B76" s="614"/>
      <c r="C76" s="206" t="s">
        <v>207</v>
      </c>
      <c r="D76" s="609" t="s">
        <v>365</v>
      </c>
      <c r="E76" s="610"/>
      <c r="F76" s="610"/>
      <c r="G76" s="202">
        <v>25</v>
      </c>
      <c r="H76" s="204">
        <v>1777.5642807386641</v>
      </c>
      <c r="I76" s="205">
        <v>71.102571229546555</v>
      </c>
      <c r="J76" s="384">
        <f t="shared" si="3"/>
        <v>9.8984764638316847E-3</v>
      </c>
      <c r="K76" s="609" t="s">
        <v>476</v>
      </c>
      <c r="L76" s="610"/>
      <c r="M76" s="99"/>
      <c r="O76" s="201"/>
      <c r="P76" s="449"/>
      <c r="Q76" s="449"/>
      <c r="R76" s="201"/>
    </row>
    <row r="77" spans="1:18" ht="15.75" customHeight="1">
      <c r="A77" s="613"/>
      <c r="B77" s="614"/>
      <c r="C77" s="206" t="s">
        <v>212</v>
      </c>
      <c r="D77" s="609" t="s">
        <v>367</v>
      </c>
      <c r="E77" s="610"/>
      <c r="F77" s="610"/>
      <c r="G77" s="202">
        <v>25</v>
      </c>
      <c r="H77" s="204">
        <v>1781.9368108585911</v>
      </c>
      <c r="I77" s="205">
        <v>71.277472434343636</v>
      </c>
      <c r="J77" s="384">
        <f t="shared" si="3"/>
        <v>1.0531402358907371E-2</v>
      </c>
      <c r="K77" s="609" t="s">
        <v>476</v>
      </c>
      <c r="L77" s="610"/>
      <c r="M77" s="99"/>
      <c r="O77" s="201"/>
      <c r="P77" s="449"/>
      <c r="Q77" s="449"/>
      <c r="R77" s="201"/>
    </row>
    <row r="78" spans="1:18" ht="15.75" customHeight="1">
      <c r="A78" s="613"/>
      <c r="B78" s="614"/>
      <c r="C78" s="206" t="s">
        <v>208</v>
      </c>
      <c r="D78" s="609" t="s">
        <v>369</v>
      </c>
      <c r="E78" s="610"/>
      <c r="F78" s="610"/>
      <c r="G78" s="202">
        <v>24</v>
      </c>
      <c r="H78" s="204">
        <v>1772.799459172315</v>
      </c>
      <c r="I78" s="205">
        <v>73.8666441321798</v>
      </c>
      <c r="J78" s="384">
        <f t="shared" si="3"/>
        <v>1.5990063919218755E-2</v>
      </c>
      <c r="K78" s="609" t="s">
        <v>476</v>
      </c>
      <c r="L78" s="610"/>
      <c r="M78" s="99"/>
      <c r="O78" s="201"/>
      <c r="P78" s="449"/>
      <c r="Q78" s="449"/>
      <c r="R78" s="201"/>
    </row>
    <row r="79" spans="1:18" ht="15.75" customHeight="1">
      <c r="A79" s="613"/>
      <c r="B79" s="614"/>
      <c r="C79" s="206" t="s">
        <v>213</v>
      </c>
      <c r="D79" s="609" t="s">
        <v>483</v>
      </c>
      <c r="E79" s="610"/>
      <c r="F79" s="610"/>
      <c r="G79" s="202">
        <v>23</v>
      </c>
      <c r="H79" s="204">
        <v>1772.1365367982319</v>
      </c>
      <c r="I79" s="205">
        <v>77.049414643401377</v>
      </c>
      <c r="J79" s="384">
        <f t="shared" si="3"/>
        <v>9.1824921599695131E-2</v>
      </c>
      <c r="K79" s="609" t="s">
        <v>476</v>
      </c>
      <c r="L79" s="610"/>
      <c r="M79" s="99"/>
      <c r="O79" s="201"/>
      <c r="P79" s="449"/>
      <c r="Q79" s="449"/>
      <c r="R79" s="201"/>
    </row>
    <row r="80" spans="1:18" ht="15.75" customHeight="1">
      <c r="A80" s="613"/>
      <c r="B80" s="614"/>
      <c r="C80" s="206" t="s">
        <v>214</v>
      </c>
      <c r="D80" s="609"/>
      <c r="E80" s="610"/>
      <c r="F80" s="610"/>
      <c r="G80" s="202"/>
      <c r="H80" s="204"/>
      <c r="I80" s="205"/>
      <c r="J80" s="202"/>
      <c r="K80" s="609"/>
      <c r="L80" s="610"/>
      <c r="M80" s="99"/>
      <c r="O80" s="201"/>
      <c r="P80" s="449"/>
      <c r="Q80" s="449"/>
      <c r="R80" s="201"/>
    </row>
    <row r="81" spans="1:18" ht="15.75" customHeight="1">
      <c r="A81" s="615" t="s">
        <v>687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99"/>
    </row>
    <row r="82" spans="1:18" s="100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N82" s="192"/>
      <c r="O82" s="192"/>
      <c r="P82" s="192"/>
      <c r="Q82" s="192"/>
      <c r="R82" s="192"/>
    </row>
    <row r="83" spans="1:18" s="106" customFormat="1" ht="16.399999999999999" customHeight="1">
      <c r="A83" s="613" t="s">
        <v>164</v>
      </c>
      <c r="B83" s="172">
        <v>1</v>
      </c>
      <c r="C83" s="172">
        <v>2</v>
      </c>
      <c r="D83" s="172">
        <v>3</v>
      </c>
      <c r="E83" s="172">
        <v>4</v>
      </c>
      <c r="F83" s="193">
        <v>5</v>
      </c>
      <c r="G83" s="193">
        <v>6</v>
      </c>
      <c r="H83" s="172">
        <v>7</v>
      </c>
      <c r="I83" s="172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99999999999999" customHeight="1">
      <c r="A84" s="613"/>
      <c r="B84" s="197" t="s">
        <v>209</v>
      </c>
      <c r="C84" s="197" t="s">
        <v>157</v>
      </c>
      <c r="D84" s="197" t="s">
        <v>210</v>
      </c>
      <c r="E84" s="197" t="s">
        <v>158</v>
      </c>
      <c r="F84" s="196" t="s">
        <v>363</v>
      </c>
      <c r="G84" s="211" t="s">
        <v>137</v>
      </c>
      <c r="H84" s="199" t="s">
        <v>211</v>
      </c>
      <c r="I84" s="198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14" t="s">
        <v>190</v>
      </c>
      <c r="B85" s="614"/>
      <c r="C85" s="162" t="s">
        <v>47</v>
      </c>
      <c r="D85" s="614" t="s">
        <v>12</v>
      </c>
      <c r="E85" s="616"/>
      <c r="F85" s="616"/>
      <c r="G85" s="162" t="s">
        <v>46</v>
      </c>
      <c r="H85" s="162" t="s">
        <v>394</v>
      </c>
      <c r="I85" s="162" t="s">
        <v>395</v>
      </c>
      <c r="J85" s="162" t="s">
        <v>339</v>
      </c>
      <c r="K85" s="614" t="s">
        <v>51</v>
      </c>
      <c r="L85" s="616"/>
      <c r="M85" s="129"/>
      <c r="N85" s="191"/>
      <c r="O85" s="450"/>
      <c r="P85" s="449"/>
      <c r="Q85" s="449"/>
      <c r="R85" s="201"/>
    </row>
    <row r="86" spans="1:18" ht="15.75" customHeight="1">
      <c r="A86" s="613">
        <v>5</v>
      </c>
      <c r="B86" s="614" t="s">
        <v>363</v>
      </c>
      <c r="C86" s="202">
        <v>1</v>
      </c>
      <c r="D86" s="609" t="s">
        <v>524</v>
      </c>
      <c r="E86" s="610"/>
      <c r="F86" s="610"/>
      <c r="G86" s="204">
        <v>19</v>
      </c>
      <c r="H86" s="204">
        <v>1774.1887244667018</v>
      </c>
      <c r="I86" s="205">
        <v>93.37835391930011</v>
      </c>
      <c r="J86" s="384">
        <f>I86-I61</f>
        <v>9.2330388425864385E-2</v>
      </c>
      <c r="K86" s="609" t="s">
        <v>476</v>
      </c>
      <c r="L86" s="610"/>
      <c r="O86" s="450"/>
      <c r="P86" s="449"/>
      <c r="Q86" s="449"/>
      <c r="R86" s="201"/>
    </row>
    <row r="87" spans="1:18" ht="15.75" customHeight="1">
      <c r="A87" s="613"/>
      <c r="B87" s="614"/>
      <c r="C87" s="202">
        <v>2</v>
      </c>
      <c r="D87" s="609" t="s">
        <v>462</v>
      </c>
      <c r="E87" s="610"/>
      <c r="F87" s="610"/>
      <c r="G87" s="204">
        <v>20</v>
      </c>
      <c r="H87" s="204">
        <v>1774.6472246513545</v>
      </c>
      <c r="I87" s="205">
        <v>88.73236123256774</v>
      </c>
      <c r="J87" s="384">
        <f>I87-I62</f>
        <v>5.4918809423426751E-2</v>
      </c>
      <c r="K87" s="609" t="s">
        <v>476</v>
      </c>
      <c r="L87" s="610"/>
      <c r="O87" s="450"/>
      <c r="P87" s="449"/>
      <c r="Q87" s="449"/>
      <c r="R87" s="201"/>
    </row>
    <row r="88" spans="1:18" ht="15.75" customHeight="1">
      <c r="A88" s="613"/>
      <c r="B88" s="614"/>
      <c r="C88" s="202">
        <v>3</v>
      </c>
      <c r="D88" s="609" t="s">
        <v>486</v>
      </c>
      <c r="E88" s="610"/>
      <c r="F88" s="610"/>
      <c r="G88" s="204">
        <v>21</v>
      </c>
      <c r="H88" s="204">
        <v>1774.1362246199599</v>
      </c>
      <c r="I88" s="205">
        <v>84.482677362855227</v>
      </c>
      <c r="J88" s="384">
        <f>I88-I63</f>
        <v>8.4224131691357229E-2</v>
      </c>
      <c r="K88" s="609" t="s">
        <v>476</v>
      </c>
      <c r="L88" s="610"/>
      <c r="O88" s="450"/>
      <c r="P88" s="449"/>
      <c r="Q88" s="449"/>
      <c r="R88" s="201"/>
    </row>
    <row r="89" spans="1:18" ht="15.75" customHeight="1">
      <c r="A89" s="613"/>
      <c r="B89" s="614"/>
      <c r="C89" s="202">
        <v>4</v>
      </c>
      <c r="D89" s="609" t="s">
        <v>563</v>
      </c>
      <c r="E89" s="610"/>
      <c r="F89" s="610"/>
      <c r="G89" s="204">
        <v>19</v>
      </c>
      <c r="H89" s="204">
        <v>1598.2035759635278</v>
      </c>
      <c r="I89" s="205">
        <v>84.115977682290932</v>
      </c>
      <c r="J89" s="384">
        <f>I89-I64</f>
        <v>2.0176927458280147E-2</v>
      </c>
      <c r="K89" s="609" t="s">
        <v>476</v>
      </c>
      <c r="L89" s="610"/>
      <c r="O89" s="450"/>
      <c r="P89" s="449"/>
      <c r="Q89" s="449"/>
      <c r="R89" s="201"/>
    </row>
    <row r="90" spans="1:18" ht="15.75" customHeight="1">
      <c r="A90" s="613"/>
      <c r="B90" s="614"/>
      <c r="C90" s="202">
        <v>5</v>
      </c>
      <c r="D90" s="609" t="s">
        <v>352</v>
      </c>
      <c r="E90" s="610"/>
      <c r="F90" s="610"/>
      <c r="G90" s="204">
        <v>23</v>
      </c>
      <c r="H90" s="204">
        <v>1774.3146091121805</v>
      </c>
      <c r="I90" s="205">
        <v>77.144113439660018</v>
      </c>
      <c r="J90" s="384">
        <f>I90-I66</f>
        <v>7.0867405703779696E-2</v>
      </c>
      <c r="K90" s="609" t="s">
        <v>476</v>
      </c>
      <c r="L90" s="610"/>
      <c r="N90" s="180"/>
      <c r="O90" s="451"/>
      <c r="P90" s="448"/>
      <c r="Q90" s="448"/>
      <c r="R90" s="180"/>
    </row>
    <row r="91" spans="1:18" ht="15.75" customHeight="1">
      <c r="A91" s="613"/>
      <c r="B91" s="614"/>
      <c r="C91" s="206" t="s">
        <v>207</v>
      </c>
      <c r="D91" s="609" t="s">
        <v>351</v>
      </c>
      <c r="E91" s="610"/>
      <c r="F91" s="610"/>
      <c r="G91" s="204">
        <v>25</v>
      </c>
      <c r="H91" s="204">
        <v>1776.5307037497867</v>
      </c>
      <c r="I91" s="205">
        <v>71.061228149991479</v>
      </c>
      <c r="J91" s="384">
        <f>I91-I65</f>
        <v>-4.9638022342435306E-4</v>
      </c>
      <c r="K91" s="609" t="s">
        <v>476</v>
      </c>
      <c r="L91" s="610"/>
      <c r="O91" s="450"/>
      <c r="P91" s="449"/>
      <c r="Q91" s="449"/>
      <c r="R91" s="201"/>
    </row>
    <row r="92" spans="1:18" ht="15.75" customHeight="1">
      <c r="A92" s="613"/>
      <c r="B92" s="614"/>
      <c r="C92" s="206" t="s">
        <v>212</v>
      </c>
      <c r="D92" s="609" t="s">
        <v>364</v>
      </c>
      <c r="E92" s="610"/>
      <c r="F92" s="610"/>
      <c r="G92" s="204">
        <v>23</v>
      </c>
      <c r="H92" s="204">
        <v>1773.150633953921</v>
      </c>
      <c r="I92" s="205">
        <v>77.093505824083522</v>
      </c>
      <c r="J92" s="384">
        <f>I92-I68</f>
        <v>1.8876575662574169E-3</v>
      </c>
      <c r="K92" s="609" t="s">
        <v>476</v>
      </c>
      <c r="L92" s="610"/>
      <c r="O92" s="450"/>
      <c r="P92" s="449"/>
      <c r="Q92" s="449"/>
      <c r="R92" s="201"/>
    </row>
    <row r="93" spans="1:18" ht="15.75" customHeight="1">
      <c r="A93" s="613"/>
      <c r="B93" s="614"/>
      <c r="C93" s="206" t="s">
        <v>208</v>
      </c>
      <c r="D93" s="609" t="s">
        <v>350</v>
      </c>
      <c r="E93" s="610"/>
      <c r="F93" s="610"/>
      <c r="G93" s="204">
        <v>23</v>
      </c>
      <c r="H93" s="204">
        <v>1773.3740255385746</v>
      </c>
      <c r="I93" s="205">
        <v>77.103218501677162</v>
      </c>
      <c r="J93" s="384">
        <f>I93-I67</f>
        <v>2.5961568290995274E-2</v>
      </c>
      <c r="K93" s="609" t="s">
        <v>476</v>
      </c>
      <c r="L93" s="610"/>
      <c r="O93" s="201"/>
      <c r="P93" s="449"/>
      <c r="Q93" s="449"/>
      <c r="R93" s="201"/>
    </row>
    <row r="94" spans="1:18" ht="15.75" customHeight="1">
      <c r="A94" s="613"/>
      <c r="B94" s="614"/>
      <c r="C94" s="206" t="s">
        <v>213</v>
      </c>
      <c r="D94" s="609"/>
      <c r="E94" s="610"/>
      <c r="F94" s="610"/>
      <c r="G94" s="204"/>
      <c r="H94" s="204"/>
      <c r="I94" s="205"/>
      <c r="J94" s="384"/>
      <c r="K94" s="609"/>
      <c r="L94" s="610"/>
      <c r="M94" s="99"/>
      <c r="O94" s="450"/>
      <c r="P94" s="449"/>
      <c r="Q94" s="449"/>
      <c r="R94" s="201"/>
    </row>
    <row r="95" spans="1:18" ht="15.75" customHeight="1">
      <c r="A95" s="613"/>
      <c r="B95" s="614"/>
      <c r="C95" s="206" t="s">
        <v>214</v>
      </c>
      <c r="D95" s="609"/>
      <c r="E95" s="610"/>
      <c r="F95" s="610"/>
      <c r="G95" s="204"/>
      <c r="H95" s="204"/>
      <c r="I95" s="205"/>
      <c r="J95" s="202"/>
      <c r="K95" s="609"/>
      <c r="L95" s="610"/>
      <c r="M95" s="99"/>
      <c r="O95" s="450"/>
      <c r="P95" s="449"/>
      <c r="Q95" s="449"/>
      <c r="R95" s="201"/>
    </row>
    <row r="96" spans="1:18" s="104" customFormat="1" ht="15.75" customHeight="1">
      <c r="A96" s="611" t="s">
        <v>190</v>
      </c>
      <c r="B96" s="611"/>
      <c r="C96" s="209" t="s">
        <v>47</v>
      </c>
      <c r="D96" s="611" t="s">
        <v>12</v>
      </c>
      <c r="E96" s="612"/>
      <c r="F96" s="612"/>
      <c r="G96" s="209" t="s">
        <v>46</v>
      </c>
      <c r="H96" s="209" t="s">
        <v>394</v>
      </c>
      <c r="I96" s="209" t="s">
        <v>395</v>
      </c>
      <c r="J96" s="162" t="s">
        <v>339</v>
      </c>
      <c r="K96" s="611" t="s">
        <v>51</v>
      </c>
      <c r="L96" s="612"/>
      <c r="M96" s="130"/>
      <c r="N96" s="191"/>
      <c r="O96" s="450"/>
      <c r="P96" s="449"/>
      <c r="Q96" s="449"/>
      <c r="R96" s="201"/>
    </row>
    <row r="97" spans="1:18" ht="15.75" customHeight="1">
      <c r="A97" s="613">
        <v>6</v>
      </c>
      <c r="B97" s="614" t="s">
        <v>137</v>
      </c>
      <c r="C97" s="202">
        <v>1</v>
      </c>
      <c r="D97" s="609" t="s">
        <v>497</v>
      </c>
      <c r="E97" s="610"/>
      <c r="F97" s="610"/>
      <c r="G97" s="202">
        <v>20</v>
      </c>
      <c r="H97" s="204">
        <v>1773.4863491747917</v>
      </c>
      <c r="I97" s="205">
        <v>88.674317458739594</v>
      </c>
      <c r="J97" s="384">
        <f>I97-I72</f>
        <v>6.0934204343311649E-2</v>
      </c>
      <c r="K97" s="609" t="s">
        <v>476</v>
      </c>
      <c r="L97" s="610"/>
      <c r="M97" s="99"/>
      <c r="N97" s="201"/>
      <c r="O97" s="201"/>
      <c r="P97" s="449"/>
      <c r="Q97" s="449"/>
      <c r="R97" s="201"/>
    </row>
    <row r="98" spans="1:18" ht="15.75" customHeight="1">
      <c r="A98" s="613"/>
      <c r="B98" s="614"/>
      <c r="C98" s="202">
        <v>2</v>
      </c>
      <c r="D98" s="609" t="s">
        <v>366</v>
      </c>
      <c r="E98" s="610"/>
      <c r="F98" s="610"/>
      <c r="G98" s="204">
        <v>21</v>
      </c>
      <c r="H98" s="204">
        <v>1773.9576501052602</v>
      </c>
      <c r="I98" s="205">
        <v>84.474173814536215</v>
      </c>
      <c r="J98" s="384">
        <f>I98-I73</f>
        <v>4.6541357808322914E-2</v>
      </c>
      <c r="K98" s="609" t="s">
        <v>476</v>
      </c>
      <c r="L98" s="610"/>
      <c r="M98" s="99"/>
      <c r="O98" s="201"/>
      <c r="P98" s="449"/>
      <c r="Q98" s="449"/>
      <c r="R98" s="201"/>
    </row>
    <row r="99" spans="1:18" ht="15.75" customHeight="1">
      <c r="A99" s="613"/>
      <c r="B99" s="614"/>
      <c r="C99" s="202">
        <v>3</v>
      </c>
      <c r="D99" s="609" t="s">
        <v>487</v>
      </c>
      <c r="E99" s="610"/>
      <c r="F99" s="610"/>
      <c r="G99" s="204">
        <v>22</v>
      </c>
      <c r="H99" s="204">
        <v>1774.8306130568983</v>
      </c>
      <c r="I99" s="205">
        <v>80.674118775313545</v>
      </c>
      <c r="J99" s="384">
        <f>I99-I74</f>
        <v>3.0501321855311403E-2</v>
      </c>
      <c r="K99" s="609" t="s">
        <v>476</v>
      </c>
      <c r="L99" s="610"/>
      <c r="M99" s="99"/>
      <c r="O99" s="201"/>
      <c r="P99" s="449"/>
      <c r="Q99" s="449"/>
      <c r="R99" s="201"/>
    </row>
    <row r="100" spans="1:18" ht="15.75" customHeight="1">
      <c r="A100" s="613"/>
      <c r="B100" s="614"/>
      <c r="C100" s="202">
        <v>4</v>
      </c>
      <c r="D100" s="609" t="s">
        <v>368</v>
      </c>
      <c r="E100" s="610"/>
      <c r="F100" s="610"/>
      <c r="G100" s="202">
        <v>23</v>
      </c>
      <c r="H100" s="204">
        <v>1777.2945615784822</v>
      </c>
      <c r="I100" s="205">
        <v>77.273676590368794</v>
      </c>
      <c r="J100" s="384">
        <f>I100-I75</f>
        <v>1.9148810688975004E-2</v>
      </c>
      <c r="K100" s="609" t="s">
        <v>476</v>
      </c>
      <c r="L100" s="610"/>
      <c r="M100" s="99"/>
      <c r="O100" s="201"/>
      <c r="P100" s="449"/>
      <c r="Q100" s="449"/>
      <c r="R100" s="201"/>
    </row>
    <row r="101" spans="1:18" ht="15.75" customHeight="1">
      <c r="A101" s="613"/>
      <c r="B101" s="614"/>
      <c r="C101" s="202">
        <v>5</v>
      </c>
      <c r="D101" s="609" t="s">
        <v>483</v>
      </c>
      <c r="E101" s="610"/>
      <c r="F101" s="610"/>
      <c r="G101" s="204">
        <v>23</v>
      </c>
      <c r="H101" s="204">
        <v>1774.2916618556972</v>
      </c>
      <c r="I101" s="205">
        <v>77.143115732856401</v>
      </c>
      <c r="J101" s="384">
        <f>I101-I79</f>
        <v>9.3701089455024089E-2</v>
      </c>
      <c r="K101" s="609" t="s">
        <v>476</v>
      </c>
      <c r="L101" s="610"/>
      <c r="M101" s="99"/>
      <c r="O101" s="201"/>
      <c r="P101" s="449"/>
      <c r="Q101" s="449"/>
      <c r="R101" s="201"/>
    </row>
    <row r="102" spans="1:18" ht="15.75" customHeight="1">
      <c r="A102" s="613"/>
      <c r="B102" s="614"/>
      <c r="C102" s="206" t="s">
        <v>207</v>
      </c>
      <c r="D102" s="609" t="s">
        <v>365</v>
      </c>
      <c r="E102" s="610"/>
      <c r="F102" s="610"/>
      <c r="G102" s="202">
        <v>25</v>
      </c>
      <c r="H102" s="204">
        <v>1778.2397093525838</v>
      </c>
      <c r="I102" s="205">
        <v>71.129588374103349</v>
      </c>
      <c r="J102" s="384">
        <f>I102-I76</f>
        <v>2.7017144556793937E-2</v>
      </c>
      <c r="K102" s="609" t="s">
        <v>476</v>
      </c>
      <c r="L102" s="610"/>
      <c r="M102" s="99"/>
      <c r="O102" s="201"/>
      <c r="P102" s="449"/>
      <c r="Q102" s="449"/>
      <c r="R102" s="201"/>
    </row>
    <row r="103" spans="1:18" ht="15.75" customHeight="1">
      <c r="A103" s="613"/>
      <c r="B103" s="614"/>
      <c r="C103" s="206" t="s">
        <v>212</v>
      </c>
      <c r="D103" s="609" t="s">
        <v>367</v>
      </c>
      <c r="E103" s="610"/>
      <c r="F103" s="610"/>
      <c r="G103" s="202">
        <v>25</v>
      </c>
      <c r="H103" s="204">
        <v>1781.8286065693496</v>
      </c>
      <c r="I103" s="205">
        <v>71.273144262773968</v>
      </c>
      <c r="J103" s="384">
        <f>I103-I77</f>
        <v>-4.3281715696679157E-3</v>
      </c>
      <c r="K103" s="609" t="s">
        <v>476</v>
      </c>
      <c r="L103" s="610"/>
      <c r="M103" s="99"/>
      <c r="O103" s="201"/>
      <c r="P103" s="449"/>
      <c r="Q103" s="449"/>
      <c r="R103" s="201"/>
    </row>
    <row r="104" spans="1:18" ht="15.75" customHeight="1">
      <c r="A104" s="613"/>
      <c r="B104" s="614"/>
      <c r="C104" s="206" t="s">
        <v>208</v>
      </c>
      <c r="D104" s="609" t="s">
        <v>369</v>
      </c>
      <c r="E104" s="610"/>
      <c r="F104" s="610"/>
      <c r="G104" s="202">
        <v>24</v>
      </c>
      <c r="H104" s="204">
        <v>1774.7031973012465</v>
      </c>
      <c r="I104" s="205">
        <v>73.945966554218586</v>
      </c>
      <c r="J104" s="384">
        <f>I104-I78</f>
        <v>7.9322422038785589E-2</v>
      </c>
      <c r="K104" s="609" t="s">
        <v>476</v>
      </c>
      <c r="L104" s="610"/>
      <c r="M104" s="99"/>
      <c r="O104" s="201"/>
      <c r="P104" s="449"/>
      <c r="Q104" s="449"/>
      <c r="R104" s="201"/>
    </row>
    <row r="105" spans="1:18" ht="15.75" customHeight="1">
      <c r="A105" s="613"/>
      <c r="B105" s="614"/>
      <c r="C105" s="206" t="s">
        <v>213</v>
      </c>
      <c r="D105" s="609"/>
      <c r="E105" s="610"/>
      <c r="F105" s="610"/>
      <c r="G105" s="202"/>
      <c r="H105" s="204"/>
      <c r="I105" s="205"/>
      <c r="J105" s="384"/>
      <c r="K105" s="609"/>
      <c r="L105" s="610"/>
      <c r="M105" s="99"/>
      <c r="O105" s="201"/>
      <c r="P105" s="449"/>
      <c r="Q105" s="449"/>
      <c r="R105" s="201"/>
    </row>
    <row r="106" spans="1:18" ht="15.75" customHeight="1">
      <c r="A106" s="613"/>
      <c r="B106" s="614"/>
      <c r="C106" s="206" t="s">
        <v>214</v>
      </c>
      <c r="D106" s="609"/>
      <c r="E106" s="610"/>
      <c r="F106" s="610"/>
      <c r="G106" s="202"/>
      <c r="H106" s="204"/>
      <c r="I106" s="205"/>
      <c r="J106" s="202"/>
      <c r="K106" s="609"/>
      <c r="L106" s="610"/>
      <c r="M106" s="99"/>
      <c r="O106" s="201"/>
      <c r="P106" s="449"/>
      <c r="Q106" s="449"/>
      <c r="R106" s="201"/>
    </row>
    <row r="107" spans="1:18" ht="15.75" customHeight="1">
      <c r="A107" s="615" t="s">
        <v>746</v>
      </c>
      <c r="B107" s="639"/>
      <c r="C107" s="639"/>
      <c r="D107" s="639"/>
      <c r="E107" s="639"/>
      <c r="F107" s="639"/>
      <c r="G107" s="639"/>
      <c r="H107" s="639"/>
      <c r="I107" s="639"/>
      <c r="J107" s="639"/>
      <c r="K107" s="639"/>
      <c r="L107" s="639"/>
      <c r="M107" s="99"/>
    </row>
    <row r="108" spans="1:18" s="100" customFormat="1" ht="15.75" customHeight="1">
      <c r="A108" s="639"/>
      <c r="B108" s="639"/>
      <c r="C108" s="639"/>
      <c r="D108" s="639"/>
      <c r="E108" s="639"/>
      <c r="F108" s="639"/>
      <c r="G108" s="639"/>
      <c r="H108" s="639"/>
      <c r="I108" s="639"/>
      <c r="J108" s="639"/>
      <c r="K108" s="639"/>
      <c r="L108" s="639"/>
      <c r="N108" s="192"/>
      <c r="O108" s="192"/>
      <c r="P108" s="192"/>
      <c r="Q108" s="192"/>
      <c r="R108" s="192"/>
    </row>
    <row r="109" spans="1:18" s="106" customFormat="1" ht="16.399999999999999" customHeight="1">
      <c r="A109" s="613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93">
        <v>5</v>
      </c>
      <c r="G109" s="193">
        <v>6</v>
      </c>
      <c r="H109" s="172">
        <v>7</v>
      </c>
      <c r="I109" s="172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99999999999999" customHeight="1">
      <c r="A110" s="613"/>
      <c r="B110" s="197" t="s">
        <v>209</v>
      </c>
      <c r="C110" s="197" t="s">
        <v>157</v>
      </c>
      <c r="D110" s="197" t="s">
        <v>210</v>
      </c>
      <c r="E110" s="197" t="s">
        <v>158</v>
      </c>
      <c r="F110" s="196" t="s">
        <v>363</v>
      </c>
      <c r="G110" s="211" t="s">
        <v>137</v>
      </c>
      <c r="H110" s="199" t="s">
        <v>211</v>
      </c>
      <c r="I110" s="198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14" t="s">
        <v>190</v>
      </c>
      <c r="B111" s="614"/>
      <c r="C111" s="162" t="s">
        <v>47</v>
      </c>
      <c r="D111" s="614" t="s">
        <v>12</v>
      </c>
      <c r="E111" s="616"/>
      <c r="F111" s="616"/>
      <c r="G111" s="162" t="s">
        <v>46</v>
      </c>
      <c r="H111" s="162" t="s">
        <v>394</v>
      </c>
      <c r="I111" s="162" t="s">
        <v>395</v>
      </c>
      <c r="J111" s="162" t="s">
        <v>339</v>
      </c>
      <c r="K111" s="614" t="s">
        <v>51</v>
      </c>
      <c r="L111" s="616"/>
      <c r="M111" s="129"/>
      <c r="N111" s="191"/>
      <c r="O111" s="201"/>
      <c r="P111" s="449"/>
      <c r="Q111" s="449"/>
      <c r="R111" s="201"/>
    </row>
    <row r="112" spans="1:18" ht="15.75" customHeight="1">
      <c r="A112" s="613">
        <v>5</v>
      </c>
      <c r="B112" s="614" t="s">
        <v>363</v>
      </c>
      <c r="C112" s="202">
        <v>1</v>
      </c>
      <c r="D112" s="609" t="s">
        <v>524</v>
      </c>
      <c r="E112" s="610"/>
      <c r="F112" s="610"/>
      <c r="G112" s="204">
        <v>19</v>
      </c>
      <c r="H112" s="204">
        <v>1775.0350911755086</v>
      </c>
      <c r="I112" s="205">
        <v>93.4228995355531</v>
      </c>
      <c r="J112" s="384">
        <f t="shared" ref="J112:J119" si="4">I112-I86</f>
        <v>4.4545616252989362E-2</v>
      </c>
      <c r="K112" s="609"/>
      <c r="L112" s="610"/>
      <c r="O112" s="450"/>
      <c r="P112" s="449"/>
      <c r="Q112" s="449"/>
      <c r="R112" s="201"/>
    </row>
    <row r="113" spans="1:18" ht="15.75" customHeight="1">
      <c r="A113" s="613"/>
      <c r="B113" s="614"/>
      <c r="C113" s="202">
        <v>2</v>
      </c>
      <c r="D113" s="609" t="s">
        <v>462</v>
      </c>
      <c r="E113" s="610"/>
      <c r="F113" s="610"/>
      <c r="G113" s="204">
        <v>20</v>
      </c>
      <c r="H113" s="204">
        <v>1777.4892190976582</v>
      </c>
      <c r="I113" s="205">
        <v>88.874460954882906</v>
      </c>
      <c r="J113" s="384">
        <f t="shared" si="4"/>
        <v>0.14209972231516588</v>
      </c>
      <c r="K113" s="609"/>
      <c r="L113" s="610"/>
      <c r="O113" s="450"/>
      <c r="P113" s="449"/>
      <c r="Q113" s="449"/>
      <c r="R113" s="201"/>
    </row>
    <row r="114" spans="1:18" ht="15.75" customHeight="1">
      <c r="A114" s="613"/>
      <c r="B114" s="614"/>
      <c r="C114" s="202">
        <v>3</v>
      </c>
      <c r="D114" s="609" t="s">
        <v>486</v>
      </c>
      <c r="E114" s="610"/>
      <c r="F114" s="610"/>
      <c r="G114" s="204">
        <v>21</v>
      </c>
      <c r="H114" s="204">
        <v>1775.9971001088736</v>
      </c>
      <c r="I114" s="205">
        <v>84.571290481374945</v>
      </c>
      <c r="J114" s="384">
        <f t="shared" si="4"/>
        <v>8.8613118519717204E-2</v>
      </c>
      <c r="K114" s="609"/>
      <c r="L114" s="610"/>
      <c r="O114" s="450"/>
      <c r="P114" s="449"/>
      <c r="Q114" s="449"/>
      <c r="R114" s="201"/>
    </row>
    <row r="115" spans="1:18" ht="15.75" customHeight="1">
      <c r="A115" s="613"/>
      <c r="B115" s="614"/>
      <c r="C115" s="202">
        <v>4</v>
      </c>
      <c r="D115" s="609" t="s">
        <v>563</v>
      </c>
      <c r="E115" s="610"/>
      <c r="F115" s="610"/>
      <c r="G115" s="204">
        <v>19</v>
      </c>
      <c r="H115" s="204">
        <v>1599.2744957696607</v>
      </c>
      <c r="I115" s="205">
        <v>84.172341882613736</v>
      </c>
      <c r="J115" s="384">
        <f t="shared" si="4"/>
        <v>5.6364200322803981E-2</v>
      </c>
      <c r="K115" s="609"/>
      <c r="L115" s="610"/>
      <c r="O115" s="450"/>
      <c r="P115" s="449"/>
      <c r="Q115" s="449"/>
      <c r="R115" s="201"/>
    </row>
    <row r="116" spans="1:18" ht="15.75" customHeight="1">
      <c r="A116" s="613"/>
      <c r="B116" s="614"/>
      <c r="C116" s="202">
        <v>5</v>
      </c>
      <c r="D116" s="609" t="s">
        <v>352</v>
      </c>
      <c r="E116" s="610"/>
      <c r="F116" s="610"/>
      <c r="G116" s="204">
        <v>23</v>
      </c>
      <c r="H116" s="204">
        <v>1775.1065492159519</v>
      </c>
      <c r="I116" s="205">
        <v>77.178545618084854</v>
      </c>
      <c r="J116" s="384">
        <f t="shared" si="4"/>
        <v>3.4432178424836479E-2</v>
      </c>
      <c r="K116" s="609"/>
      <c r="L116" s="610"/>
      <c r="O116" s="450"/>
      <c r="P116" s="449"/>
      <c r="Q116" s="449"/>
      <c r="R116" s="201"/>
    </row>
    <row r="117" spans="1:18" ht="15.75" customHeight="1">
      <c r="A117" s="613"/>
      <c r="B117" s="614"/>
      <c r="C117" s="206" t="s">
        <v>207</v>
      </c>
      <c r="D117" s="609" t="s">
        <v>351</v>
      </c>
      <c r="E117" s="610"/>
      <c r="F117" s="610"/>
      <c r="G117" s="204">
        <v>25</v>
      </c>
      <c r="H117" s="204">
        <v>1776.8542655097008</v>
      </c>
      <c r="I117" s="205">
        <v>71.074170620388045</v>
      </c>
      <c r="J117" s="384">
        <f t="shared" si="4"/>
        <v>1.2942470396566819E-2</v>
      </c>
      <c r="K117" s="609"/>
      <c r="L117" s="610"/>
      <c r="N117" s="180"/>
      <c r="O117" s="451"/>
      <c r="P117" s="448"/>
      <c r="Q117" s="448"/>
      <c r="R117" s="180"/>
    </row>
    <row r="118" spans="1:18" ht="15.75" customHeight="1">
      <c r="A118" s="613"/>
      <c r="B118" s="614"/>
      <c r="C118" s="206" t="s">
        <v>212</v>
      </c>
      <c r="D118" s="609" t="s">
        <v>364</v>
      </c>
      <c r="E118" s="610"/>
      <c r="F118" s="610"/>
      <c r="G118" s="204">
        <v>23</v>
      </c>
      <c r="H118" s="204">
        <v>1773.7118655113434</v>
      </c>
      <c r="I118" s="205">
        <v>77.117907196145367</v>
      </c>
      <c r="J118" s="384">
        <f t="shared" si="4"/>
        <v>2.440137206184545E-2</v>
      </c>
      <c r="K118" s="609"/>
      <c r="L118" s="610"/>
      <c r="O118" s="450"/>
      <c r="P118" s="449"/>
      <c r="Q118" s="449"/>
      <c r="R118" s="201"/>
    </row>
    <row r="119" spans="1:18" ht="15.75" customHeight="1">
      <c r="A119" s="613"/>
      <c r="B119" s="614"/>
      <c r="C119" s="206" t="s">
        <v>208</v>
      </c>
      <c r="D119" s="609" t="s">
        <v>350</v>
      </c>
      <c r="E119" s="610"/>
      <c r="F119" s="610"/>
      <c r="G119" s="204">
        <v>23</v>
      </c>
      <c r="H119" s="204">
        <v>1773.9768651088309</v>
      </c>
      <c r="I119" s="205">
        <v>77.129428917775257</v>
      </c>
      <c r="J119" s="384">
        <f t="shared" si="4"/>
        <v>2.6210416098095379E-2</v>
      </c>
      <c r="K119" s="609"/>
      <c r="L119" s="610"/>
      <c r="O119" s="450"/>
      <c r="P119" s="449"/>
      <c r="Q119" s="449"/>
      <c r="R119" s="201"/>
    </row>
    <row r="120" spans="1:18" ht="15.75" customHeight="1">
      <c r="A120" s="613"/>
      <c r="B120" s="614"/>
      <c r="C120" s="206" t="s">
        <v>213</v>
      </c>
      <c r="D120" s="609"/>
      <c r="E120" s="610"/>
      <c r="F120" s="610"/>
      <c r="G120" s="204"/>
      <c r="H120" s="204"/>
      <c r="I120" s="205"/>
      <c r="J120" s="202"/>
      <c r="K120" s="609"/>
      <c r="L120" s="610"/>
      <c r="M120" s="99"/>
      <c r="O120" s="450"/>
      <c r="P120" s="449"/>
      <c r="Q120" s="449"/>
      <c r="R120" s="201"/>
    </row>
    <row r="121" spans="1:18" ht="15.75" customHeight="1">
      <c r="A121" s="613"/>
      <c r="B121" s="614"/>
      <c r="C121" s="206" t="s">
        <v>214</v>
      </c>
      <c r="D121" s="609"/>
      <c r="E121" s="610"/>
      <c r="F121" s="610"/>
      <c r="G121" s="204"/>
      <c r="H121" s="204"/>
      <c r="I121" s="205"/>
      <c r="J121" s="202"/>
      <c r="K121" s="609"/>
      <c r="L121" s="610"/>
      <c r="M121" s="99"/>
      <c r="O121" s="450"/>
      <c r="P121" s="449"/>
      <c r="Q121" s="449"/>
      <c r="R121" s="201"/>
    </row>
    <row r="122" spans="1:18" s="104" customFormat="1" ht="15.75" customHeight="1">
      <c r="A122" s="611" t="s">
        <v>190</v>
      </c>
      <c r="B122" s="611"/>
      <c r="C122" s="209" t="s">
        <v>47</v>
      </c>
      <c r="D122" s="611" t="s">
        <v>12</v>
      </c>
      <c r="E122" s="612"/>
      <c r="F122" s="612"/>
      <c r="G122" s="209" t="s">
        <v>46</v>
      </c>
      <c r="H122" s="209" t="s">
        <v>394</v>
      </c>
      <c r="I122" s="209" t="s">
        <v>395</v>
      </c>
      <c r="J122" s="162" t="s">
        <v>339</v>
      </c>
      <c r="K122" s="611" t="s">
        <v>51</v>
      </c>
      <c r="L122" s="612"/>
      <c r="M122" s="130"/>
      <c r="N122" s="191"/>
      <c r="O122" s="450"/>
      <c r="P122" s="449"/>
      <c r="Q122" s="449"/>
      <c r="R122" s="201"/>
    </row>
    <row r="123" spans="1:18" ht="15.75" customHeight="1">
      <c r="A123" s="613">
        <v>6</v>
      </c>
      <c r="B123" s="614" t="s">
        <v>137</v>
      </c>
      <c r="C123" s="202">
        <v>1</v>
      </c>
      <c r="D123" s="609" t="s">
        <v>497</v>
      </c>
      <c r="E123" s="610"/>
      <c r="F123" s="610"/>
      <c r="G123" s="202">
        <v>20</v>
      </c>
      <c r="H123" s="204">
        <v>1776.0141615198861</v>
      </c>
      <c r="I123" s="205">
        <v>88.800708075994294</v>
      </c>
      <c r="J123" s="384">
        <f>I123-I97</f>
        <v>0.12639061725469958</v>
      </c>
      <c r="K123" s="609"/>
      <c r="L123" s="610"/>
      <c r="M123" s="99"/>
      <c r="N123" s="201"/>
      <c r="O123" s="201"/>
      <c r="P123" s="449"/>
      <c r="Q123" s="449"/>
      <c r="R123" s="201"/>
    </row>
    <row r="124" spans="1:18" ht="15.75" customHeight="1">
      <c r="A124" s="613"/>
      <c r="B124" s="614"/>
      <c r="C124" s="202">
        <v>2</v>
      </c>
      <c r="D124" s="609" t="s">
        <v>366</v>
      </c>
      <c r="E124" s="610"/>
      <c r="F124" s="610"/>
      <c r="G124" s="204">
        <v>21</v>
      </c>
      <c r="H124" s="204">
        <v>1774.3466747738125</v>
      </c>
      <c r="I124" s="205">
        <v>84.492698798752983</v>
      </c>
      <c r="J124" s="384">
        <f>I124-I98</f>
        <v>1.8524984216767848E-2</v>
      </c>
      <c r="K124" s="609"/>
      <c r="L124" s="610"/>
      <c r="M124" s="99"/>
      <c r="O124" s="201"/>
      <c r="P124" s="449"/>
      <c r="Q124" s="449"/>
      <c r="R124" s="201"/>
    </row>
    <row r="125" spans="1:18" ht="15.75" customHeight="1">
      <c r="A125" s="613"/>
      <c r="B125" s="614"/>
      <c r="C125" s="202">
        <v>3</v>
      </c>
      <c r="D125" s="609" t="s">
        <v>487</v>
      </c>
      <c r="E125" s="610"/>
      <c r="F125" s="610"/>
      <c r="G125" s="204">
        <v>22</v>
      </c>
      <c r="H125" s="204">
        <v>1775.4844460855873</v>
      </c>
      <c r="I125" s="205">
        <v>80.703838458435811</v>
      </c>
      <c r="J125" s="384">
        <f>I125-I99</f>
        <v>2.971968312226636E-2</v>
      </c>
      <c r="K125" s="609"/>
      <c r="L125" s="610"/>
      <c r="M125" s="99"/>
      <c r="O125" s="201"/>
      <c r="P125" s="449"/>
      <c r="Q125" s="449"/>
      <c r="R125" s="201"/>
    </row>
    <row r="126" spans="1:18" ht="15.75" customHeight="1">
      <c r="A126" s="613"/>
      <c r="B126" s="614"/>
      <c r="C126" s="202">
        <v>4</v>
      </c>
      <c r="D126" s="609" t="s">
        <v>368</v>
      </c>
      <c r="E126" s="610"/>
      <c r="F126" s="610"/>
      <c r="G126" s="202">
        <v>23</v>
      </c>
      <c r="H126" s="204">
        <v>1777.7530178825823</v>
      </c>
      <c r="I126" s="205">
        <v>77.293609473155769</v>
      </c>
      <c r="J126" s="384">
        <f>I126-I100</f>
        <v>1.9932882786974915E-2</v>
      </c>
      <c r="K126" s="609"/>
      <c r="L126" s="610"/>
      <c r="M126" s="99"/>
      <c r="O126" s="201"/>
      <c r="P126" s="449"/>
      <c r="Q126" s="449"/>
      <c r="R126" s="201"/>
    </row>
    <row r="127" spans="1:18" ht="15.75" customHeight="1">
      <c r="A127" s="613"/>
      <c r="B127" s="614"/>
      <c r="C127" s="202">
        <v>5</v>
      </c>
      <c r="D127" s="609" t="s">
        <v>483</v>
      </c>
      <c r="E127" s="610"/>
      <c r="F127" s="610"/>
      <c r="G127" s="204">
        <v>23</v>
      </c>
      <c r="H127" s="204">
        <v>1774.8140621483712</v>
      </c>
      <c r="I127" s="205">
        <v>77.165828789059631</v>
      </c>
      <c r="J127" s="384">
        <f>I127-I101</f>
        <v>2.2713056203230053E-2</v>
      </c>
      <c r="K127" s="609"/>
      <c r="L127" s="610"/>
      <c r="M127" s="99"/>
      <c r="O127" s="201"/>
      <c r="P127" s="449"/>
      <c r="Q127" s="449"/>
      <c r="R127" s="201"/>
    </row>
    <row r="128" spans="1:18" ht="15.75" customHeight="1">
      <c r="A128" s="613"/>
      <c r="B128" s="614"/>
      <c r="C128" s="206" t="s">
        <v>207</v>
      </c>
      <c r="D128" s="609" t="s">
        <v>741</v>
      </c>
      <c r="E128" s="610"/>
      <c r="F128" s="610"/>
      <c r="G128" s="202">
        <v>24</v>
      </c>
      <c r="H128" s="204">
        <v>1706.2552146812693</v>
      </c>
      <c r="I128" s="205">
        <v>71.093967278386231</v>
      </c>
      <c r="J128" s="384"/>
      <c r="K128" s="609"/>
      <c r="L128" s="610"/>
      <c r="M128" s="99"/>
      <c r="O128" s="201"/>
      <c r="P128" s="449"/>
      <c r="Q128" s="449"/>
      <c r="R128" s="201"/>
    </row>
    <row r="129" spans="1:18" ht="15.75" customHeight="1">
      <c r="A129" s="613"/>
      <c r="B129" s="614"/>
      <c r="C129" s="206" t="s">
        <v>212</v>
      </c>
      <c r="D129" s="609" t="s">
        <v>365</v>
      </c>
      <c r="E129" s="610"/>
      <c r="F129" s="610"/>
      <c r="G129" s="202">
        <v>25</v>
      </c>
      <c r="H129" s="204">
        <v>1778.7928429411111</v>
      </c>
      <c r="I129" s="205">
        <v>71.151713717644441</v>
      </c>
      <c r="J129" s="384">
        <f>I129-I102</f>
        <v>2.2125343541091524E-2</v>
      </c>
      <c r="K129" s="609"/>
      <c r="L129" s="610"/>
      <c r="M129" s="99"/>
      <c r="O129" s="201"/>
      <c r="P129" s="449"/>
      <c r="Q129" s="449"/>
      <c r="R129" s="201"/>
    </row>
    <row r="130" spans="1:18" ht="15.75" customHeight="1">
      <c r="A130" s="613"/>
      <c r="B130" s="614"/>
      <c r="C130" s="206" t="s">
        <v>208</v>
      </c>
      <c r="D130" s="609" t="s">
        <v>367</v>
      </c>
      <c r="E130" s="610"/>
      <c r="F130" s="610"/>
      <c r="G130" s="202">
        <v>25</v>
      </c>
      <c r="H130" s="204">
        <v>1781.9666843585317</v>
      </c>
      <c r="I130" s="205">
        <v>71.278667374341268</v>
      </c>
      <c r="J130" s="384">
        <f>I130-I103</f>
        <v>5.5231115672995656E-3</v>
      </c>
      <c r="K130" s="609"/>
      <c r="L130" s="610"/>
      <c r="M130" s="99"/>
      <c r="O130" s="201"/>
      <c r="P130" s="449"/>
      <c r="Q130" s="449"/>
      <c r="R130" s="201"/>
    </row>
    <row r="131" spans="1:18" ht="15.75" customHeight="1">
      <c r="A131" s="613"/>
      <c r="B131" s="614"/>
      <c r="C131" s="206" t="s">
        <v>213</v>
      </c>
      <c r="D131" s="609" t="s">
        <v>369</v>
      </c>
      <c r="E131" s="610"/>
      <c r="F131" s="610"/>
      <c r="G131" s="202">
        <v>24</v>
      </c>
      <c r="H131" s="204">
        <v>1776.3716018570362</v>
      </c>
      <c r="I131" s="205">
        <v>74.015483410709848</v>
      </c>
      <c r="J131" s="384">
        <f>I131-I104</f>
        <v>6.9516856491262047E-2</v>
      </c>
      <c r="K131" s="609"/>
      <c r="L131" s="610"/>
      <c r="M131" s="99"/>
      <c r="O131" s="201"/>
      <c r="P131" s="449"/>
      <c r="Q131" s="449"/>
      <c r="R131" s="201"/>
    </row>
    <row r="132" spans="1:18" ht="15.75" customHeight="1">
      <c r="A132" s="613"/>
      <c r="B132" s="614"/>
      <c r="C132" s="206" t="s">
        <v>214</v>
      </c>
      <c r="D132" s="609"/>
      <c r="E132" s="610"/>
      <c r="F132" s="610"/>
      <c r="G132" s="202"/>
      <c r="H132" s="204"/>
      <c r="I132" s="205"/>
      <c r="J132" s="202"/>
      <c r="K132" s="609"/>
      <c r="L132" s="610"/>
      <c r="M132" s="99"/>
      <c r="O132" s="201"/>
      <c r="P132" s="449"/>
      <c r="Q132" s="449"/>
      <c r="R132" s="201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101" zoomScale="115" zoomScaleNormal="60" zoomScaleSheetLayoutView="115" workbookViewId="0">
      <selection activeCell="J126" sqref="J126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5" t="s">
        <v>580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99"/>
      <c r="N3" s="99"/>
      <c r="O3" s="99"/>
      <c r="P3" s="99"/>
      <c r="Q3" s="99"/>
      <c r="R3" s="99"/>
    </row>
    <row r="4" spans="1:18" s="10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0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93">
        <v>7</v>
      </c>
      <c r="I5" s="193">
        <v>8</v>
      </c>
      <c r="J5" s="172">
        <v>9</v>
      </c>
      <c r="K5" s="194"/>
      <c r="L5" s="194"/>
      <c r="M5" s="129"/>
    </row>
    <row r="6" spans="1:18" ht="16.399999999999999" customHeight="1">
      <c r="A6" s="621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6" t="s">
        <v>211</v>
      </c>
      <c r="I6" s="211" t="s">
        <v>393</v>
      </c>
      <c r="J6" s="198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394</v>
      </c>
      <c r="I7" s="162" t="s">
        <v>395</v>
      </c>
      <c r="J7" s="162" t="s">
        <v>339</v>
      </c>
      <c r="K7" s="622" t="s">
        <v>51</v>
      </c>
      <c r="L7" s="623"/>
      <c r="M7" s="129"/>
    </row>
    <row r="8" spans="1:18" ht="15.75" customHeight="1">
      <c r="A8" s="620">
        <v>7</v>
      </c>
      <c r="B8" s="626" t="s">
        <v>398</v>
      </c>
      <c r="C8" s="202">
        <v>1</v>
      </c>
      <c r="D8" s="641" t="s">
        <v>514</v>
      </c>
      <c r="E8" s="610"/>
      <c r="F8" s="610"/>
      <c r="G8" s="202">
        <v>21</v>
      </c>
      <c r="H8" s="204">
        <v>1772.2994694638769</v>
      </c>
      <c r="I8" s="205">
        <v>84.395212831613193</v>
      </c>
      <c r="J8" s="384">
        <v>1.0545212121073178E-2</v>
      </c>
      <c r="K8" s="609" t="s">
        <v>476</v>
      </c>
      <c r="L8" s="610"/>
      <c r="N8" s="99"/>
      <c r="O8" s="99"/>
      <c r="P8" s="99"/>
      <c r="Q8" s="99"/>
      <c r="R8" s="99"/>
    </row>
    <row r="9" spans="1:18" ht="15.75" customHeight="1">
      <c r="A9" s="625"/>
      <c r="B9" s="627"/>
      <c r="C9" s="202">
        <v>2</v>
      </c>
      <c r="D9" s="641" t="s">
        <v>493</v>
      </c>
      <c r="E9" s="610"/>
      <c r="F9" s="610"/>
      <c r="G9" s="202">
        <v>22</v>
      </c>
      <c r="H9" s="204">
        <v>1595.0876535489465</v>
      </c>
      <c r="I9" s="205">
        <v>72.503984252224839</v>
      </c>
      <c r="J9" s="384">
        <v>4.9130509702877134E-3</v>
      </c>
      <c r="K9" s="609" t="s">
        <v>476</v>
      </c>
      <c r="L9" s="610"/>
      <c r="N9" s="99"/>
      <c r="O9" s="99"/>
      <c r="P9" s="99"/>
      <c r="Q9" s="99"/>
      <c r="R9" s="99"/>
    </row>
    <row r="10" spans="1:18" ht="15.75" customHeight="1">
      <c r="A10" s="625"/>
      <c r="B10" s="627"/>
      <c r="C10" s="202">
        <v>3</v>
      </c>
      <c r="D10" s="617"/>
      <c r="E10" s="629"/>
      <c r="F10" s="618"/>
      <c r="G10" s="202"/>
      <c r="H10" s="204"/>
      <c r="I10" s="205"/>
      <c r="J10" s="202"/>
      <c r="K10" s="617"/>
      <c r="L10" s="618"/>
      <c r="N10" s="99"/>
      <c r="O10" s="99"/>
      <c r="P10" s="99"/>
      <c r="Q10" s="99"/>
      <c r="R10" s="99"/>
    </row>
    <row r="11" spans="1:18" ht="15.75" customHeight="1">
      <c r="A11" s="625"/>
      <c r="B11" s="627"/>
      <c r="C11" s="202">
        <v>4</v>
      </c>
      <c r="D11" s="617"/>
      <c r="E11" s="629"/>
      <c r="F11" s="618"/>
      <c r="G11" s="202"/>
      <c r="H11" s="204"/>
      <c r="I11" s="205"/>
      <c r="J11" s="202"/>
      <c r="K11" s="617"/>
      <c r="L11" s="618"/>
      <c r="N11" s="99"/>
      <c r="O11" s="99"/>
      <c r="P11" s="99"/>
      <c r="Q11" s="99"/>
      <c r="R11" s="99"/>
    </row>
    <row r="12" spans="1:18" ht="15.75" customHeight="1">
      <c r="A12" s="625"/>
      <c r="B12" s="627"/>
      <c r="C12" s="202">
        <v>5</v>
      </c>
      <c r="D12" s="617"/>
      <c r="E12" s="629"/>
      <c r="F12" s="618"/>
      <c r="G12" s="202"/>
      <c r="H12" s="204"/>
      <c r="I12" s="205"/>
      <c r="J12" s="202"/>
      <c r="K12" s="617"/>
      <c r="L12" s="618"/>
      <c r="N12" s="99"/>
      <c r="O12" s="99"/>
      <c r="P12" s="99"/>
      <c r="Q12" s="99"/>
      <c r="R12" s="99"/>
    </row>
    <row r="13" spans="1:18" ht="15.75" customHeight="1">
      <c r="A13" s="625"/>
      <c r="B13" s="627"/>
      <c r="C13" s="206" t="s">
        <v>207</v>
      </c>
      <c r="D13" s="617"/>
      <c r="E13" s="629"/>
      <c r="F13" s="618"/>
      <c r="G13" s="202"/>
      <c r="H13" s="204"/>
      <c r="I13" s="205"/>
      <c r="J13" s="202"/>
      <c r="K13" s="617"/>
      <c r="L13" s="618"/>
      <c r="N13" s="99"/>
      <c r="O13" s="99"/>
      <c r="P13" s="99"/>
      <c r="Q13" s="99"/>
      <c r="R13" s="99"/>
    </row>
    <row r="14" spans="1:18" ht="15.75" customHeight="1">
      <c r="A14" s="625"/>
      <c r="B14" s="627"/>
      <c r="C14" s="206" t="s">
        <v>212</v>
      </c>
      <c r="D14" s="617"/>
      <c r="E14" s="629"/>
      <c r="F14" s="618"/>
      <c r="G14" s="202"/>
      <c r="H14" s="204"/>
      <c r="I14" s="205"/>
      <c r="J14" s="202"/>
      <c r="K14" s="617"/>
      <c r="L14" s="618"/>
      <c r="N14" s="99"/>
      <c r="O14" s="99"/>
      <c r="P14" s="99"/>
      <c r="Q14" s="99"/>
      <c r="R14" s="99"/>
    </row>
    <row r="15" spans="1:18" ht="15.75" customHeight="1">
      <c r="A15" s="625"/>
      <c r="B15" s="627"/>
      <c r="C15" s="206" t="s">
        <v>208</v>
      </c>
      <c r="D15" s="617"/>
      <c r="E15" s="629"/>
      <c r="F15" s="618"/>
      <c r="G15" s="202"/>
      <c r="H15" s="204"/>
      <c r="I15" s="205"/>
      <c r="J15" s="202"/>
      <c r="K15" s="617"/>
      <c r="L15" s="618"/>
      <c r="N15" s="99"/>
      <c r="O15" s="99"/>
      <c r="P15" s="99"/>
      <c r="Q15" s="99"/>
      <c r="R15" s="99"/>
    </row>
    <row r="16" spans="1:18" ht="15.75" customHeight="1">
      <c r="A16" s="625"/>
      <c r="B16" s="627"/>
      <c r="C16" s="206" t="s">
        <v>213</v>
      </c>
      <c r="D16" s="617"/>
      <c r="E16" s="629"/>
      <c r="F16" s="618"/>
      <c r="G16" s="202"/>
      <c r="H16" s="204"/>
      <c r="I16" s="205"/>
      <c r="J16" s="202"/>
      <c r="K16" s="617"/>
      <c r="L16" s="618"/>
      <c r="M16" s="99"/>
      <c r="N16" s="99"/>
      <c r="O16" s="99"/>
      <c r="P16" s="99"/>
      <c r="Q16" s="99"/>
      <c r="R16" s="99"/>
    </row>
    <row r="17" spans="1:18" ht="15.75" customHeight="1">
      <c r="A17" s="621"/>
      <c r="B17" s="628"/>
      <c r="C17" s="206" t="s">
        <v>214</v>
      </c>
      <c r="D17" s="617"/>
      <c r="E17" s="629"/>
      <c r="F17" s="618"/>
      <c r="G17" s="202"/>
      <c r="H17" s="204"/>
      <c r="I17" s="205"/>
      <c r="J17" s="202"/>
      <c r="K17" s="617"/>
      <c r="L17" s="618"/>
      <c r="M17" s="99"/>
      <c r="N17" s="99"/>
      <c r="O17" s="99"/>
      <c r="P17" s="99"/>
      <c r="Q17" s="99"/>
      <c r="R17" s="99"/>
    </row>
    <row r="18" spans="1:18" s="104" customFormat="1" ht="15.75" customHeight="1">
      <c r="A18" s="633" t="s">
        <v>190</v>
      </c>
      <c r="B18" s="634"/>
      <c r="C18" s="209" t="s">
        <v>47</v>
      </c>
      <c r="D18" s="633" t="s">
        <v>12</v>
      </c>
      <c r="E18" s="635"/>
      <c r="F18" s="634"/>
      <c r="G18" s="209" t="s">
        <v>46</v>
      </c>
      <c r="H18" s="209" t="s">
        <v>394</v>
      </c>
      <c r="I18" s="209" t="s">
        <v>395</v>
      </c>
      <c r="J18" s="162" t="s">
        <v>339</v>
      </c>
      <c r="K18" s="633" t="s">
        <v>51</v>
      </c>
      <c r="L18" s="634"/>
      <c r="M18" s="130"/>
    </row>
    <row r="19" spans="1:18" ht="15.75" customHeight="1">
      <c r="C19" s="202">
        <v>1</v>
      </c>
      <c r="D19" s="617" t="s">
        <v>517</v>
      </c>
      <c r="E19" s="629"/>
      <c r="F19" s="618"/>
      <c r="G19" s="202">
        <v>19</v>
      </c>
      <c r="H19" s="204">
        <v>3175.9997410120427</v>
      </c>
      <c r="I19" s="205">
        <v>167.15788110589705</v>
      </c>
      <c r="J19" s="384">
        <v>0.20549316418274088</v>
      </c>
      <c r="K19" s="609" t="s">
        <v>476</v>
      </c>
      <c r="L19" s="610"/>
      <c r="M19" s="99"/>
      <c r="N19" s="99"/>
      <c r="O19" s="99"/>
      <c r="P19" s="99"/>
      <c r="Q19" s="99"/>
      <c r="R19" s="99"/>
    </row>
    <row r="20" spans="1:18" ht="15.75" customHeight="1">
      <c r="C20" s="202">
        <v>2</v>
      </c>
      <c r="D20" s="617" t="s">
        <v>515</v>
      </c>
      <c r="E20" s="629"/>
      <c r="F20" s="618"/>
      <c r="G20" s="202">
        <v>18</v>
      </c>
      <c r="H20" s="204">
        <v>1598.6173441422909</v>
      </c>
      <c r="I20" s="205">
        <v>88.812074674571704</v>
      </c>
      <c r="J20" s="384">
        <v>6.4631919012839489E-2</v>
      </c>
      <c r="K20" s="609" t="s">
        <v>476</v>
      </c>
      <c r="L20" s="610"/>
      <c r="M20" s="99"/>
      <c r="N20" s="99"/>
      <c r="O20" s="99"/>
      <c r="P20" s="99"/>
      <c r="Q20" s="99"/>
      <c r="R20" s="99"/>
    </row>
    <row r="21" spans="1:18" ht="15.75" customHeight="1">
      <c r="C21" s="202">
        <v>3</v>
      </c>
      <c r="D21" s="617" t="s">
        <v>508</v>
      </c>
      <c r="E21" s="629"/>
      <c r="F21" s="618"/>
      <c r="G21" s="202">
        <v>19</v>
      </c>
      <c r="H21" s="204">
        <v>1597.8033253034976</v>
      </c>
      <c r="I21" s="205">
        <v>84.094911858078817</v>
      </c>
      <c r="J21" s="384">
        <v>5.3269244172511776E-2</v>
      </c>
      <c r="K21" s="609" t="s">
        <v>476</v>
      </c>
      <c r="L21" s="610"/>
      <c r="M21" s="99"/>
      <c r="N21" s="99"/>
      <c r="O21" s="99"/>
      <c r="P21" s="99"/>
      <c r="Q21" s="99"/>
      <c r="R21" s="99"/>
    </row>
    <row r="22" spans="1:18" ht="15.75" customHeight="1">
      <c r="C22" s="202">
        <v>4</v>
      </c>
      <c r="D22" s="617"/>
      <c r="E22" s="629"/>
      <c r="F22" s="618"/>
      <c r="G22" s="202"/>
      <c r="H22" s="204"/>
      <c r="I22" s="205"/>
      <c r="J22" s="202"/>
      <c r="K22" s="617"/>
      <c r="L22" s="618"/>
      <c r="M22" s="99"/>
      <c r="N22" s="99"/>
      <c r="O22" s="99"/>
      <c r="P22" s="99"/>
      <c r="Q22" s="99"/>
      <c r="R22" s="99"/>
    </row>
    <row r="23" spans="1:18" ht="15.75" customHeight="1">
      <c r="C23" s="202">
        <v>5</v>
      </c>
      <c r="D23" s="617"/>
      <c r="E23" s="629"/>
      <c r="F23" s="618"/>
      <c r="G23" s="202"/>
      <c r="H23" s="204"/>
      <c r="I23" s="205"/>
      <c r="J23" s="202"/>
      <c r="K23" s="617"/>
      <c r="L23" s="618"/>
      <c r="M23" s="99"/>
      <c r="N23" s="99"/>
      <c r="O23" s="99"/>
      <c r="P23" s="99"/>
      <c r="Q23" s="99"/>
      <c r="R23" s="99"/>
    </row>
    <row r="24" spans="1:18" ht="15.75" customHeight="1">
      <c r="C24" s="206" t="s">
        <v>207</v>
      </c>
      <c r="D24" s="617"/>
      <c r="E24" s="629"/>
      <c r="F24" s="618"/>
      <c r="G24" s="202"/>
      <c r="H24" s="204"/>
      <c r="I24" s="205"/>
      <c r="J24" s="202"/>
      <c r="K24" s="617"/>
      <c r="L24" s="618"/>
      <c r="M24" s="99"/>
      <c r="N24" s="99"/>
      <c r="O24" s="99"/>
      <c r="P24" s="99"/>
      <c r="Q24" s="99"/>
      <c r="R24" s="99"/>
    </row>
    <row r="25" spans="1:18" ht="15.75" customHeight="1">
      <c r="C25" s="206" t="s">
        <v>212</v>
      </c>
      <c r="D25" s="617"/>
      <c r="E25" s="629"/>
      <c r="F25" s="618"/>
      <c r="G25" s="202"/>
      <c r="H25" s="204"/>
      <c r="I25" s="205"/>
      <c r="J25" s="202"/>
      <c r="K25" s="617"/>
      <c r="L25" s="618"/>
      <c r="M25" s="99"/>
      <c r="N25" s="99"/>
      <c r="O25" s="99"/>
      <c r="P25" s="99"/>
      <c r="Q25" s="99"/>
      <c r="R25" s="99"/>
    </row>
    <row r="26" spans="1:18" ht="15.75" customHeight="1">
      <c r="C26" s="206" t="s">
        <v>208</v>
      </c>
      <c r="D26" s="617"/>
      <c r="E26" s="629"/>
      <c r="F26" s="618"/>
      <c r="G26" s="202"/>
      <c r="H26" s="204"/>
      <c r="I26" s="205"/>
      <c r="J26" s="202"/>
      <c r="K26" s="617"/>
      <c r="L26" s="618"/>
      <c r="M26" s="99"/>
      <c r="N26" s="99"/>
      <c r="O26" s="99"/>
      <c r="P26" s="99"/>
      <c r="Q26" s="99"/>
      <c r="R26" s="99"/>
    </row>
    <row r="27" spans="1:18" ht="15.75" customHeight="1">
      <c r="C27" s="206" t="s">
        <v>213</v>
      </c>
      <c r="D27" s="617"/>
      <c r="E27" s="629"/>
      <c r="F27" s="618"/>
      <c r="G27" s="202"/>
      <c r="H27" s="204"/>
      <c r="I27" s="205"/>
      <c r="J27" s="202"/>
      <c r="K27" s="617"/>
      <c r="L27" s="618"/>
      <c r="M27" s="99"/>
      <c r="N27" s="99"/>
      <c r="O27" s="99"/>
      <c r="P27" s="99"/>
      <c r="Q27" s="99"/>
      <c r="R27" s="99"/>
    </row>
    <row r="28" spans="1:18" ht="15.75" customHeight="1">
      <c r="C28" s="206" t="s">
        <v>214</v>
      </c>
      <c r="D28" s="617"/>
      <c r="E28" s="629"/>
      <c r="F28" s="618"/>
      <c r="G28" s="202"/>
      <c r="H28" s="204"/>
      <c r="I28" s="205"/>
      <c r="J28" s="202"/>
      <c r="K28" s="617"/>
      <c r="L28" s="618"/>
      <c r="M28" s="99"/>
      <c r="N28" s="99"/>
      <c r="O28" s="99"/>
      <c r="P28" s="99"/>
      <c r="Q28" s="99"/>
      <c r="R28" s="99"/>
    </row>
    <row r="29" spans="1:18" ht="15.75" customHeight="1">
      <c r="A29" s="615" t="s">
        <v>610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  <c r="N29" s="99"/>
      <c r="O29" s="99"/>
      <c r="P29" s="99"/>
      <c r="Q29" s="99"/>
      <c r="R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20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93">
        <v>7</v>
      </c>
      <c r="I31" s="193">
        <v>8</v>
      </c>
      <c r="J31" s="172">
        <v>9</v>
      </c>
      <c r="K31" s="194"/>
      <c r="L31" s="194"/>
      <c r="M31" s="129"/>
    </row>
    <row r="32" spans="1:18" ht="16.399999999999999" customHeight="1">
      <c r="A32" s="621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6" t="s">
        <v>211</v>
      </c>
      <c r="I32" s="211" t="s">
        <v>393</v>
      </c>
      <c r="J32" s="198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2" t="s">
        <v>190</v>
      </c>
      <c r="B33" s="623"/>
      <c r="C33" s="162" t="s">
        <v>47</v>
      </c>
      <c r="D33" s="622" t="s">
        <v>12</v>
      </c>
      <c r="E33" s="624"/>
      <c r="F33" s="623"/>
      <c r="G33" s="162" t="s">
        <v>46</v>
      </c>
      <c r="H33" s="162" t="s">
        <v>394</v>
      </c>
      <c r="I33" s="162" t="s">
        <v>395</v>
      </c>
      <c r="J33" s="162" t="s">
        <v>339</v>
      </c>
      <c r="K33" s="622" t="s">
        <v>51</v>
      </c>
      <c r="L33" s="623"/>
      <c r="M33" s="129"/>
    </row>
    <row r="34" spans="1:18" ht="15.75" customHeight="1">
      <c r="A34" s="620">
        <v>7</v>
      </c>
      <c r="B34" s="626" t="s">
        <v>398</v>
      </c>
      <c r="C34" s="202">
        <v>1</v>
      </c>
      <c r="D34" s="641" t="s">
        <v>514</v>
      </c>
      <c r="E34" s="610"/>
      <c r="F34" s="610"/>
      <c r="G34" s="202">
        <v>21</v>
      </c>
      <c r="H34" s="204">
        <v>1772.5820973900161</v>
      </c>
      <c r="I34" s="205">
        <v>84.408671304286472</v>
      </c>
      <c r="J34" s="384">
        <f>I34-I8</f>
        <v>1.3458472673278266E-2</v>
      </c>
      <c r="K34" s="609" t="s">
        <v>476</v>
      </c>
      <c r="L34" s="610"/>
      <c r="N34" s="99"/>
      <c r="O34" s="99"/>
      <c r="P34" s="99"/>
      <c r="Q34" s="99"/>
      <c r="R34" s="99"/>
    </row>
    <row r="35" spans="1:18" ht="15.75" customHeight="1">
      <c r="A35" s="625"/>
      <c r="B35" s="627"/>
      <c r="C35" s="202">
        <v>2</v>
      </c>
      <c r="D35" s="641" t="s">
        <v>493</v>
      </c>
      <c r="E35" s="610"/>
      <c r="F35" s="610"/>
      <c r="G35" s="202">
        <v>22</v>
      </c>
      <c r="H35" s="204">
        <v>1595.3199931115269</v>
      </c>
      <c r="I35" s="205">
        <v>72.514545141433047</v>
      </c>
      <c r="J35" s="384">
        <f>I35-I9</f>
        <v>1.0560889208207414E-2</v>
      </c>
      <c r="K35" s="609" t="s">
        <v>476</v>
      </c>
      <c r="L35" s="610"/>
      <c r="N35" s="99"/>
      <c r="O35" s="99"/>
      <c r="P35" s="99"/>
      <c r="Q35" s="99"/>
      <c r="R35" s="99"/>
    </row>
    <row r="36" spans="1:18" ht="15.75" customHeight="1">
      <c r="A36" s="625"/>
      <c r="B36" s="627"/>
      <c r="C36" s="202">
        <v>3</v>
      </c>
      <c r="D36" s="617"/>
      <c r="E36" s="629"/>
      <c r="F36" s="618"/>
      <c r="G36" s="202"/>
      <c r="H36" s="204"/>
      <c r="I36" s="205"/>
      <c r="J36" s="202"/>
      <c r="K36" s="617"/>
      <c r="L36" s="618"/>
      <c r="N36" s="99"/>
      <c r="O36" s="99"/>
      <c r="P36" s="99"/>
      <c r="Q36" s="99"/>
      <c r="R36" s="99"/>
    </row>
    <row r="37" spans="1:18" ht="15.75" customHeight="1">
      <c r="A37" s="625"/>
      <c r="B37" s="627"/>
      <c r="C37" s="202">
        <v>4</v>
      </c>
      <c r="D37" s="617"/>
      <c r="E37" s="629"/>
      <c r="F37" s="618"/>
      <c r="G37" s="202"/>
      <c r="H37" s="204"/>
      <c r="I37" s="205"/>
      <c r="J37" s="202"/>
      <c r="K37" s="617"/>
      <c r="L37" s="618"/>
      <c r="N37" s="99"/>
      <c r="O37" s="99"/>
      <c r="P37" s="99"/>
      <c r="Q37" s="99"/>
      <c r="R37" s="99"/>
    </row>
    <row r="38" spans="1:18" ht="15.75" customHeight="1">
      <c r="A38" s="625"/>
      <c r="B38" s="627"/>
      <c r="C38" s="202">
        <v>5</v>
      </c>
      <c r="D38" s="617"/>
      <c r="E38" s="629"/>
      <c r="F38" s="618"/>
      <c r="G38" s="202"/>
      <c r="H38" s="204"/>
      <c r="I38" s="205"/>
      <c r="J38" s="202"/>
      <c r="K38" s="617"/>
      <c r="L38" s="618"/>
      <c r="N38" s="99"/>
      <c r="O38" s="99"/>
      <c r="P38" s="99"/>
      <c r="Q38" s="99"/>
      <c r="R38" s="99"/>
    </row>
    <row r="39" spans="1:18" ht="15.75" customHeight="1">
      <c r="A39" s="625"/>
      <c r="B39" s="627"/>
      <c r="C39" s="206" t="s">
        <v>207</v>
      </c>
      <c r="D39" s="617"/>
      <c r="E39" s="629"/>
      <c r="F39" s="618"/>
      <c r="G39" s="202"/>
      <c r="H39" s="204"/>
      <c r="I39" s="205"/>
      <c r="J39" s="202"/>
      <c r="K39" s="617"/>
      <c r="L39" s="618"/>
      <c r="N39" s="99"/>
      <c r="O39" s="99"/>
      <c r="P39" s="99"/>
      <c r="Q39" s="99"/>
      <c r="R39" s="99"/>
    </row>
    <row r="40" spans="1:18" ht="15.75" customHeight="1">
      <c r="A40" s="625"/>
      <c r="B40" s="627"/>
      <c r="C40" s="206" t="s">
        <v>212</v>
      </c>
      <c r="D40" s="617"/>
      <c r="E40" s="629"/>
      <c r="F40" s="618"/>
      <c r="G40" s="202"/>
      <c r="H40" s="204"/>
      <c r="I40" s="205"/>
      <c r="J40" s="202"/>
      <c r="K40" s="617"/>
      <c r="L40" s="618"/>
      <c r="N40" s="99"/>
      <c r="O40" s="99"/>
      <c r="P40" s="99"/>
      <c r="Q40" s="99"/>
      <c r="R40" s="99"/>
    </row>
    <row r="41" spans="1:18" ht="15.75" customHeight="1">
      <c r="A41" s="625"/>
      <c r="B41" s="627"/>
      <c r="C41" s="206" t="s">
        <v>208</v>
      </c>
      <c r="D41" s="617"/>
      <c r="E41" s="629"/>
      <c r="F41" s="618"/>
      <c r="G41" s="202"/>
      <c r="H41" s="204"/>
      <c r="I41" s="205"/>
      <c r="J41" s="202"/>
      <c r="K41" s="617"/>
      <c r="L41" s="618"/>
      <c r="N41" s="99"/>
      <c r="O41" s="99"/>
      <c r="P41" s="99"/>
      <c r="Q41" s="99"/>
      <c r="R41" s="99"/>
    </row>
    <row r="42" spans="1:18" ht="15.75" customHeight="1">
      <c r="A42" s="625"/>
      <c r="B42" s="627"/>
      <c r="C42" s="206" t="s">
        <v>213</v>
      </c>
      <c r="D42" s="617"/>
      <c r="E42" s="629"/>
      <c r="F42" s="618"/>
      <c r="G42" s="202"/>
      <c r="H42" s="204"/>
      <c r="I42" s="205"/>
      <c r="J42" s="202"/>
      <c r="K42" s="617"/>
      <c r="L42" s="618"/>
      <c r="M42" s="99"/>
      <c r="N42" s="99"/>
      <c r="O42" s="99"/>
      <c r="P42" s="99"/>
      <c r="Q42" s="99"/>
      <c r="R42" s="99"/>
    </row>
    <row r="43" spans="1:18" ht="15.75" customHeight="1">
      <c r="A43" s="621"/>
      <c r="B43" s="628"/>
      <c r="C43" s="206" t="s">
        <v>214</v>
      </c>
      <c r="D43" s="617"/>
      <c r="E43" s="629"/>
      <c r="F43" s="618"/>
      <c r="G43" s="202"/>
      <c r="H43" s="204"/>
      <c r="I43" s="205"/>
      <c r="J43" s="202"/>
      <c r="K43" s="617"/>
      <c r="L43" s="618"/>
      <c r="M43" s="99"/>
      <c r="N43" s="99"/>
      <c r="O43" s="99"/>
      <c r="P43" s="99"/>
      <c r="Q43" s="99"/>
      <c r="R43" s="99"/>
    </row>
    <row r="44" spans="1:18" s="104" customFormat="1" ht="15.75" customHeight="1">
      <c r="A44" s="633" t="s">
        <v>190</v>
      </c>
      <c r="B44" s="634"/>
      <c r="C44" s="209" t="s">
        <v>47</v>
      </c>
      <c r="D44" s="633" t="s">
        <v>12</v>
      </c>
      <c r="E44" s="635"/>
      <c r="F44" s="634"/>
      <c r="G44" s="209" t="s">
        <v>46</v>
      </c>
      <c r="H44" s="209" t="s">
        <v>394</v>
      </c>
      <c r="I44" s="209" t="s">
        <v>395</v>
      </c>
      <c r="J44" s="162" t="s">
        <v>339</v>
      </c>
      <c r="K44" s="633" t="s">
        <v>51</v>
      </c>
      <c r="L44" s="634"/>
      <c r="M44" s="130"/>
    </row>
    <row r="45" spans="1:18" ht="15.75" customHeight="1">
      <c r="A45" s="620">
        <v>8</v>
      </c>
      <c r="B45" s="626" t="s">
        <v>399</v>
      </c>
      <c r="C45" s="202">
        <v>1</v>
      </c>
      <c r="D45" s="617" t="s">
        <v>517</v>
      </c>
      <c r="E45" s="629"/>
      <c r="F45" s="618"/>
      <c r="G45" s="202">
        <v>19</v>
      </c>
      <c r="H45" s="204">
        <v>3184.5742078072035</v>
      </c>
      <c r="I45" s="205">
        <v>167.60916883195804</v>
      </c>
      <c r="J45" s="384">
        <f>I45-I19</f>
        <v>0.45128772606099687</v>
      </c>
      <c r="K45" s="609" t="s">
        <v>476</v>
      </c>
      <c r="L45" s="610"/>
      <c r="M45" s="99"/>
      <c r="N45" s="99"/>
      <c r="O45" s="99"/>
      <c r="P45" s="99"/>
      <c r="Q45" s="99"/>
      <c r="R45" s="99"/>
    </row>
    <row r="46" spans="1:18" ht="15.75" customHeight="1">
      <c r="A46" s="625"/>
      <c r="B46" s="627"/>
      <c r="C46" s="202">
        <v>2</v>
      </c>
      <c r="D46" s="617" t="s">
        <v>515</v>
      </c>
      <c r="E46" s="629"/>
      <c r="F46" s="618"/>
      <c r="G46" s="202">
        <v>18</v>
      </c>
      <c r="H46" s="204">
        <v>1600.5068076409204</v>
      </c>
      <c r="I46" s="205">
        <v>88.91704486894001</v>
      </c>
      <c r="J46" s="384">
        <f>I46-I20</f>
        <v>0.10497019436830612</v>
      </c>
      <c r="K46" s="609" t="s">
        <v>476</v>
      </c>
      <c r="L46" s="610"/>
      <c r="M46" s="99"/>
      <c r="N46" s="99"/>
      <c r="O46" s="99"/>
      <c r="P46" s="99"/>
      <c r="Q46" s="99"/>
      <c r="R46" s="99"/>
    </row>
    <row r="47" spans="1:18" ht="15.75" customHeight="1">
      <c r="A47" s="625"/>
      <c r="B47" s="627"/>
      <c r="C47" s="202">
        <v>3</v>
      </c>
      <c r="D47" s="617" t="s">
        <v>508</v>
      </c>
      <c r="E47" s="629"/>
      <c r="F47" s="618"/>
      <c r="G47" s="202">
        <v>19</v>
      </c>
      <c r="H47" s="204">
        <v>1598.6267061501296</v>
      </c>
      <c r="I47" s="205">
        <v>84.138247692112103</v>
      </c>
      <c r="J47" s="384">
        <f>I47-I21</f>
        <v>4.3335834033285892E-2</v>
      </c>
      <c r="K47" s="609" t="s">
        <v>476</v>
      </c>
      <c r="L47" s="610"/>
      <c r="M47" s="99"/>
      <c r="N47" s="99"/>
      <c r="O47" s="99"/>
      <c r="P47" s="99"/>
      <c r="Q47" s="99"/>
      <c r="R47" s="99"/>
    </row>
    <row r="48" spans="1:18" ht="15.75" customHeight="1">
      <c r="A48" s="625"/>
      <c r="B48" s="627"/>
      <c r="C48" s="202">
        <v>4</v>
      </c>
      <c r="D48" s="617"/>
      <c r="E48" s="629"/>
      <c r="F48" s="618"/>
      <c r="G48" s="202"/>
      <c r="H48" s="204"/>
      <c r="I48" s="205"/>
      <c r="J48" s="202"/>
      <c r="K48" s="617"/>
      <c r="L48" s="618"/>
      <c r="M48" s="99"/>
      <c r="N48" s="99"/>
      <c r="O48" s="99"/>
      <c r="P48" s="99"/>
      <c r="Q48" s="99"/>
      <c r="R48" s="99"/>
    </row>
    <row r="49" spans="1:18" ht="15.75" customHeight="1">
      <c r="A49" s="625"/>
      <c r="B49" s="627"/>
      <c r="C49" s="202">
        <v>5</v>
      </c>
      <c r="D49" s="617"/>
      <c r="E49" s="629"/>
      <c r="F49" s="618"/>
      <c r="G49" s="202"/>
      <c r="H49" s="204"/>
      <c r="I49" s="205"/>
      <c r="J49" s="202"/>
      <c r="K49" s="617"/>
      <c r="L49" s="618"/>
      <c r="M49" s="99"/>
      <c r="N49" s="99"/>
      <c r="O49" s="99"/>
      <c r="P49" s="99"/>
      <c r="Q49" s="99"/>
      <c r="R49" s="99"/>
    </row>
    <row r="50" spans="1:18" ht="15.75" customHeight="1">
      <c r="A50" s="625"/>
      <c r="B50" s="627"/>
      <c r="C50" s="206" t="s">
        <v>207</v>
      </c>
      <c r="D50" s="617"/>
      <c r="E50" s="629"/>
      <c r="F50" s="618"/>
      <c r="G50" s="202"/>
      <c r="H50" s="204"/>
      <c r="I50" s="205"/>
      <c r="J50" s="202"/>
      <c r="K50" s="617"/>
      <c r="L50" s="618"/>
      <c r="M50" s="99"/>
      <c r="N50" s="99"/>
      <c r="O50" s="99"/>
      <c r="P50" s="99"/>
      <c r="Q50" s="99"/>
      <c r="R50" s="99"/>
    </row>
    <row r="51" spans="1:18" ht="15.75" customHeight="1">
      <c r="A51" s="625"/>
      <c r="B51" s="627"/>
      <c r="C51" s="206" t="s">
        <v>212</v>
      </c>
      <c r="D51" s="617"/>
      <c r="E51" s="629"/>
      <c r="F51" s="618"/>
      <c r="G51" s="202"/>
      <c r="H51" s="204"/>
      <c r="I51" s="205"/>
      <c r="J51" s="202"/>
      <c r="K51" s="617"/>
      <c r="L51" s="618"/>
      <c r="M51" s="99"/>
      <c r="N51" s="99"/>
      <c r="O51" s="99"/>
      <c r="P51" s="99"/>
      <c r="Q51" s="99"/>
      <c r="R51" s="99"/>
    </row>
    <row r="52" spans="1:18" ht="15.75" customHeight="1">
      <c r="A52" s="625"/>
      <c r="B52" s="627"/>
      <c r="C52" s="206" t="s">
        <v>208</v>
      </c>
      <c r="D52" s="617"/>
      <c r="E52" s="629"/>
      <c r="F52" s="618"/>
      <c r="G52" s="202"/>
      <c r="H52" s="204"/>
      <c r="I52" s="205"/>
      <c r="J52" s="202"/>
      <c r="K52" s="617"/>
      <c r="L52" s="618"/>
      <c r="M52" s="99"/>
      <c r="N52" s="99"/>
      <c r="O52" s="99"/>
      <c r="P52" s="99"/>
      <c r="Q52" s="99"/>
      <c r="R52" s="99"/>
    </row>
    <row r="53" spans="1:18" ht="15.75" customHeight="1">
      <c r="A53" s="625"/>
      <c r="B53" s="627"/>
      <c r="C53" s="206" t="s">
        <v>213</v>
      </c>
      <c r="D53" s="617"/>
      <c r="E53" s="629"/>
      <c r="F53" s="618"/>
      <c r="G53" s="202"/>
      <c r="H53" s="204"/>
      <c r="I53" s="205"/>
      <c r="J53" s="202"/>
      <c r="K53" s="617"/>
      <c r="L53" s="618"/>
      <c r="M53" s="99"/>
      <c r="N53" s="99"/>
      <c r="O53" s="99"/>
      <c r="P53" s="99"/>
      <c r="Q53" s="99"/>
      <c r="R53" s="99"/>
    </row>
    <row r="54" spans="1:18" ht="15.75" customHeight="1">
      <c r="A54" s="621"/>
      <c r="B54" s="628"/>
      <c r="C54" s="206" t="s">
        <v>214</v>
      </c>
      <c r="D54" s="617"/>
      <c r="E54" s="629"/>
      <c r="F54" s="618"/>
      <c r="G54" s="202"/>
      <c r="H54" s="204"/>
      <c r="I54" s="205"/>
      <c r="J54" s="202"/>
      <c r="K54" s="617"/>
      <c r="L54" s="618"/>
      <c r="M54" s="99"/>
      <c r="N54" s="99"/>
      <c r="O54" s="99"/>
      <c r="P54" s="99"/>
      <c r="Q54" s="99"/>
      <c r="R54" s="99"/>
    </row>
    <row r="55" spans="1:18" s="191" customFormat="1" ht="15.75" customHeight="1">
      <c r="A55" s="615" t="s">
        <v>665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20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93">
        <v>7</v>
      </c>
      <c r="I57" s="193">
        <v>8</v>
      </c>
      <c r="J57" s="172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99999999999999" customHeight="1">
      <c r="A58" s="621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6" t="s">
        <v>211</v>
      </c>
      <c r="I58" s="211" t="s">
        <v>393</v>
      </c>
      <c r="J58" s="198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2" t="s">
        <v>190</v>
      </c>
      <c r="B59" s="623"/>
      <c r="C59" s="162" t="s">
        <v>47</v>
      </c>
      <c r="D59" s="622" t="s">
        <v>12</v>
      </c>
      <c r="E59" s="624"/>
      <c r="F59" s="623"/>
      <c r="G59" s="162" t="s">
        <v>46</v>
      </c>
      <c r="H59" s="162" t="s">
        <v>394</v>
      </c>
      <c r="I59" s="162" t="s">
        <v>395</v>
      </c>
      <c r="J59" s="162" t="s">
        <v>339</v>
      </c>
      <c r="K59" s="622" t="s">
        <v>51</v>
      </c>
      <c r="L59" s="623"/>
      <c r="M59" s="129"/>
      <c r="N59" s="191"/>
      <c r="O59" s="201"/>
      <c r="P59" s="449"/>
      <c r="Q59" s="449"/>
      <c r="R59" s="201"/>
    </row>
    <row r="60" spans="1:18" ht="15.75" customHeight="1">
      <c r="A60" s="620">
        <v>7</v>
      </c>
      <c r="B60" s="626" t="s">
        <v>398</v>
      </c>
      <c r="C60" s="202">
        <v>1</v>
      </c>
      <c r="D60" s="641" t="s">
        <v>514</v>
      </c>
      <c r="E60" s="610"/>
      <c r="F60" s="610"/>
      <c r="G60" s="202">
        <v>21</v>
      </c>
      <c r="H60" s="204">
        <v>1773.6785030743556</v>
      </c>
      <c r="I60" s="205">
        <v>84.460881098778842</v>
      </c>
      <c r="J60" s="384">
        <f>I60-I34</f>
        <v>5.2209794492370065E-2</v>
      </c>
      <c r="K60" s="609" t="s">
        <v>476</v>
      </c>
      <c r="L60" s="610"/>
      <c r="O60" s="201"/>
      <c r="P60" s="449"/>
      <c r="Q60" s="449"/>
      <c r="R60" s="201"/>
    </row>
    <row r="61" spans="1:18" ht="15.75" customHeight="1">
      <c r="A61" s="625"/>
      <c r="B61" s="627"/>
      <c r="C61" s="202">
        <v>2</v>
      </c>
      <c r="D61" s="641" t="s">
        <v>493</v>
      </c>
      <c r="E61" s="610"/>
      <c r="F61" s="610"/>
      <c r="G61" s="202">
        <v>22</v>
      </c>
      <c r="H61" s="204">
        <v>1597.3545696360372</v>
      </c>
      <c r="I61" s="205">
        <v>72.607025892547156</v>
      </c>
      <c r="J61" s="384">
        <f>I61-I35</f>
        <v>9.2480751114109694E-2</v>
      </c>
      <c r="K61" s="609" t="s">
        <v>476</v>
      </c>
      <c r="L61" s="610"/>
      <c r="O61" s="201"/>
      <c r="P61" s="449"/>
      <c r="Q61" s="449"/>
      <c r="R61" s="201"/>
    </row>
    <row r="62" spans="1:18" ht="15.75" customHeight="1">
      <c r="A62" s="625"/>
      <c r="B62" s="627"/>
      <c r="C62" s="202">
        <v>3</v>
      </c>
      <c r="D62" s="617"/>
      <c r="E62" s="629"/>
      <c r="F62" s="618"/>
      <c r="G62" s="202"/>
      <c r="H62" s="204"/>
      <c r="I62" s="205"/>
      <c r="J62" s="202"/>
      <c r="K62" s="617"/>
      <c r="L62" s="618"/>
      <c r="N62" s="452"/>
      <c r="O62" s="201"/>
      <c r="P62" s="449"/>
      <c r="Q62" s="449"/>
      <c r="R62" s="201"/>
    </row>
    <row r="63" spans="1:18" ht="15.75" customHeight="1">
      <c r="A63" s="625"/>
      <c r="B63" s="627"/>
      <c r="C63" s="202">
        <v>4</v>
      </c>
      <c r="D63" s="617"/>
      <c r="E63" s="629"/>
      <c r="F63" s="618"/>
      <c r="G63" s="202"/>
      <c r="H63" s="204"/>
      <c r="I63" s="205"/>
      <c r="J63" s="202"/>
      <c r="K63" s="617"/>
      <c r="L63" s="618"/>
      <c r="O63" s="201"/>
      <c r="P63" s="449"/>
      <c r="Q63" s="449"/>
      <c r="R63" s="201"/>
    </row>
    <row r="64" spans="1:18" ht="15.75" customHeight="1">
      <c r="A64" s="625"/>
      <c r="B64" s="627"/>
      <c r="C64" s="202">
        <v>5</v>
      </c>
      <c r="D64" s="617"/>
      <c r="E64" s="629"/>
      <c r="F64" s="618"/>
      <c r="G64" s="202"/>
      <c r="H64" s="204"/>
      <c r="I64" s="205"/>
      <c r="J64" s="202"/>
      <c r="K64" s="617"/>
      <c r="L64" s="618"/>
      <c r="N64" s="180"/>
      <c r="O64" s="201"/>
      <c r="P64" s="449"/>
      <c r="Q64" s="449"/>
      <c r="R64" s="201"/>
    </row>
    <row r="65" spans="1:18" ht="15.75" customHeight="1">
      <c r="A65" s="625"/>
      <c r="B65" s="627"/>
      <c r="C65" s="206" t="s">
        <v>207</v>
      </c>
      <c r="D65" s="617"/>
      <c r="E65" s="629"/>
      <c r="F65" s="618"/>
      <c r="G65" s="202"/>
      <c r="H65" s="204"/>
      <c r="I65" s="205"/>
      <c r="J65" s="202"/>
      <c r="K65" s="617"/>
      <c r="L65" s="618"/>
      <c r="N65" s="452"/>
      <c r="O65" s="201"/>
      <c r="P65" s="449"/>
      <c r="Q65" s="449"/>
      <c r="R65" s="201"/>
    </row>
    <row r="66" spans="1:18" ht="15.75" customHeight="1">
      <c r="A66" s="625"/>
      <c r="B66" s="627"/>
      <c r="C66" s="206" t="s">
        <v>212</v>
      </c>
      <c r="D66" s="617"/>
      <c r="E66" s="629"/>
      <c r="F66" s="618"/>
      <c r="G66" s="202"/>
      <c r="H66" s="204"/>
      <c r="I66" s="205"/>
      <c r="J66" s="202"/>
      <c r="K66" s="617"/>
      <c r="L66" s="618"/>
      <c r="O66" s="201"/>
      <c r="P66" s="449"/>
      <c r="Q66" s="449"/>
      <c r="R66" s="201"/>
    </row>
    <row r="67" spans="1:18" ht="15.75" customHeight="1">
      <c r="A67" s="625"/>
      <c r="B67" s="627"/>
      <c r="C67" s="206" t="s">
        <v>208</v>
      </c>
      <c r="D67" s="617"/>
      <c r="E67" s="629"/>
      <c r="F67" s="618"/>
      <c r="G67" s="202"/>
      <c r="H67" s="204"/>
      <c r="I67" s="205"/>
      <c r="J67" s="202"/>
      <c r="K67" s="617"/>
      <c r="L67" s="618"/>
      <c r="O67" s="201"/>
      <c r="P67" s="449"/>
      <c r="Q67" s="449"/>
      <c r="R67" s="201"/>
    </row>
    <row r="68" spans="1:18" ht="15.75" customHeight="1">
      <c r="A68" s="625"/>
      <c r="B68" s="627"/>
      <c r="C68" s="206" t="s">
        <v>213</v>
      </c>
      <c r="D68" s="617"/>
      <c r="E68" s="629"/>
      <c r="F68" s="618"/>
      <c r="G68" s="202"/>
      <c r="H68" s="204"/>
      <c r="I68" s="205"/>
      <c r="J68" s="202"/>
      <c r="K68" s="617"/>
      <c r="L68" s="618"/>
      <c r="M68" s="99"/>
      <c r="O68" s="201"/>
      <c r="P68" s="449"/>
      <c r="Q68" s="449"/>
      <c r="R68" s="201"/>
    </row>
    <row r="69" spans="1:18" ht="15.75" customHeight="1">
      <c r="A69" s="621"/>
      <c r="B69" s="628"/>
      <c r="C69" s="206" t="s">
        <v>214</v>
      </c>
      <c r="D69" s="617"/>
      <c r="E69" s="629"/>
      <c r="F69" s="618"/>
      <c r="G69" s="202"/>
      <c r="H69" s="204"/>
      <c r="I69" s="205"/>
      <c r="J69" s="202"/>
      <c r="K69" s="617"/>
      <c r="L69" s="618"/>
      <c r="M69" s="99"/>
      <c r="N69" s="201"/>
      <c r="O69" s="201"/>
      <c r="P69" s="449"/>
      <c r="Q69" s="449"/>
      <c r="R69" s="201"/>
    </row>
    <row r="70" spans="1:18" s="104" customFormat="1" ht="15.75" customHeight="1">
      <c r="A70" s="633" t="s">
        <v>190</v>
      </c>
      <c r="B70" s="634"/>
      <c r="C70" s="209" t="s">
        <v>47</v>
      </c>
      <c r="D70" s="633" t="s">
        <v>12</v>
      </c>
      <c r="E70" s="635"/>
      <c r="F70" s="634"/>
      <c r="G70" s="209" t="s">
        <v>46</v>
      </c>
      <c r="H70" s="209" t="s">
        <v>394</v>
      </c>
      <c r="I70" s="209" t="s">
        <v>395</v>
      </c>
      <c r="J70" s="162" t="s">
        <v>339</v>
      </c>
      <c r="K70" s="633" t="s">
        <v>51</v>
      </c>
      <c r="L70" s="634"/>
      <c r="M70" s="130"/>
      <c r="N70" s="191"/>
      <c r="O70" s="201"/>
      <c r="P70" s="449"/>
      <c r="Q70" s="449"/>
      <c r="R70" s="201"/>
    </row>
    <row r="71" spans="1:18" ht="15.75" customHeight="1">
      <c r="A71" s="620">
        <v>8</v>
      </c>
      <c r="B71" s="626" t="s">
        <v>399</v>
      </c>
      <c r="C71" s="202">
        <v>1</v>
      </c>
      <c r="D71" s="617" t="s">
        <v>517</v>
      </c>
      <c r="E71" s="629"/>
      <c r="F71" s="618"/>
      <c r="G71" s="202">
        <v>19</v>
      </c>
      <c r="H71" s="204">
        <v>3199.1048118481735</v>
      </c>
      <c r="I71" s="205">
        <v>168.37393746569336</v>
      </c>
      <c r="J71" s="384">
        <f>I71-I45</f>
        <v>0.76476863373531501</v>
      </c>
      <c r="K71" s="609" t="s">
        <v>476</v>
      </c>
      <c r="L71" s="610"/>
      <c r="M71" s="99"/>
      <c r="O71" s="201"/>
      <c r="P71" s="449"/>
      <c r="Q71" s="449"/>
      <c r="R71" s="201"/>
    </row>
    <row r="72" spans="1:18" ht="15.75" customHeight="1">
      <c r="A72" s="625"/>
      <c r="B72" s="627"/>
      <c r="C72" s="202">
        <v>2</v>
      </c>
      <c r="D72" s="617" t="s">
        <v>515</v>
      </c>
      <c r="E72" s="629"/>
      <c r="F72" s="618"/>
      <c r="G72" s="202">
        <v>18</v>
      </c>
      <c r="H72" s="204">
        <v>1602.1541160446366</v>
      </c>
      <c r="I72" s="205">
        <v>89.00856200247982</v>
      </c>
      <c r="J72" s="384">
        <f>I72-I46</f>
        <v>9.1517133539809947E-2</v>
      </c>
      <c r="K72" s="609" t="s">
        <v>476</v>
      </c>
      <c r="L72" s="610"/>
      <c r="M72" s="99"/>
      <c r="O72" s="180"/>
      <c r="P72" s="448"/>
      <c r="Q72" s="448"/>
      <c r="R72" s="180"/>
    </row>
    <row r="73" spans="1:18" ht="15.75" customHeight="1">
      <c r="A73" s="625"/>
      <c r="B73" s="627"/>
      <c r="C73" s="202">
        <v>3</v>
      </c>
      <c r="D73" s="617" t="s">
        <v>508</v>
      </c>
      <c r="E73" s="629"/>
      <c r="F73" s="618"/>
      <c r="G73" s="202">
        <v>19</v>
      </c>
      <c r="H73" s="204">
        <v>1603.5142314530353</v>
      </c>
      <c r="I73" s="205">
        <v>84.395485865949226</v>
      </c>
      <c r="J73" s="384">
        <f>I73-I47</f>
        <v>0.25723817383712344</v>
      </c>
      <c r="K73" s="609" t="s">
        <v>476</v>
      </c>
      <c r="L73" s="610"/>
      <c r="M73" s="99"/>
      <c r="O73" s="201"/>
      <c r="P73" s="449"/>
      <c r="Q73" s="449"/>
      <c r="R73" s="201"/>
    </row>
    <row r="74" spans="1:18" ht="15.75" customHeight="1">
      <c r="A74" s="625"/>
      <c r="B74" s="627"/>
      <c r="C74" s="202">
        <v>4</v>
      </c>
      <c r="D74" s="617"/>
      <c r="E74" s="629"/>
      <c r="F74" s="618"/>
      <c r="G74" s="202"/>
      <c r="H74" s="204"/>
      <c r="I74" s="205"/>
      <c r="J74" s="202"/>
      <c r="K74" s="617"/>
      <c r="L74" s="618"/>
      <c r="M74" s="99"/>
      <c r="O74" s="201"/>
      <c r="P74" s="449"/>
      <c r="Q74" s="449"/>
      <c r="R74" s="201"/>
    </row>
    <row r="75" spans="1:18" ht="15.75" customHeight="1">
      <c r="A75" s="625"/>
      <c r="B75" s="627"/>
      <c r="C75" s="202">
        <v>5</v>
      </c>
      <c r="D75" s="617"/>
      <c r="E75" s="629"/>
      <c r="F75" s="618"/>
      <c r="G75" s="202"/>
      <c r="H75" s="204"/>
      <c r="I75" s="205"/>
      <c r="J75" s="202"/>
      <c r="K75" s="617"/>
      <c r="L75" s="618"/>
      <c r="M75" s="99"/>
      <c r="O75" s="201"/>
      <c r="P75" s="449"/>
      <c r="Q75" s="449"/>
      <c r="R75" s="201"/>
    </row>
    <row r="76" spans="1:18" ht="15.75" customHeight="1">
      <c r="A76" s="625"/>
      <c r="B76" s="627"/>
      <c r="C76" s="206" t="s">
        <v>207</v>
      </c>
      <c r="D76" s="617"/>
      <c r="E76" s="629"/>
      <c r="F76" s="618"/>
      <c r="G76" s="202"/>
      <c r="H76" s="204"/>
      <c r="I76" s="205"/>
      <c r="J76" s="202"/>
      <c r="K76" s="617"/>
      <c r="L76" s="618"/>
      <c r="M76" s="99"/>
      <c r="O76" s="201"/>
      <c r="P76" s="449"/>
      <c r="Q76" s="449"/>
      <c r="R76" s="201"/>
    </row>
    <row r="77" spans="1:18" ht="15.75" customHeight="1">
      <c r="A77" s="625"/>
      <c r="B77" s="627"/>
      <c r="C77" s="206" t="s">
        <v>212</v>
      </c>
      <c r="D77" s="617"/>
      <c r="E77" s="629"/>
      <c r="F77" s="618"/>
      <c r="G77" s="202"/>
      <c r="H77" s="204"/>
      <c r="I77" s="205"/>
      <c r="J77" s="202"/>
      <c r="K77" s="617"/>
      <c r="L77" s="618"/>
      <c r="M77" s="99"/>
      <c r="O77" s="201"/>
      <c r="P77" s="449"/>
      <c r="Q77" s="449"/>
      <c r="R77" s="201"/>
    </row>
    <row r="78" spans="1:18" ht="15.75" customHeight="1">
      <c r="A78" s="625"/>
      <c r="B78" s="627"/>
      <c r="C78" s="206" t="s">
        <v>208</v>
      </c>
      <c r="D78" s="617"/>
      <c r="E78" s="629"/>
      <c r="F78" s="618"/>
      <c r="G78" s="202"/>
      <c r="H78" s="204"/>
      <c r="I78" s="205"/>
      <c r="J78" s="202"/>
      <c r="K78" s="617"/>
      <c r="L78" s="618"/>
      <c r="M78" s="99"/>
      <c r="O78" s="201"/>
      <c r="P78" s="449"/>
      <c r="Q78" s="449"/>
      <c r="R78" s="201"/>
    </row>
    <row r="79" spans="1:18" ht="15.75" customHeight="1">
      <c r="A79" s="625"/>
      <c r="B79" s="627"/>
      <c r="C79" s="206" t="s">
        <v>213</v>
      </c>
      <c r="D79" s="617"/>
      <c r="E79" s="629"/>
      <c r="F79" s="618"/>
      <c r="G79" s="202"/>
      <c r="H79" s="204"/>
      <c r="I79" s="205"/>
      <c r="J79" s="202"/>
      <c r="K79" s="617"/>
      <c r="L79" s="618"/>
      <c r="M79" s="99"/>
      <c r="O79" s="201"/>
      <c r="P79" s="449"/>
      <c r="Q79" s="449"/>
      <c r="R79" s="201"/>
    </row>
    <row r="80" spans="1:18" ht="15.75" customHeight="1">
      <c r="A80" s="621"/>
      <c r="B80" s="628"/>
      <c r="C80" s="206" t="s">
        <v>214</v>
      </c>
      <c r="D80" s="617"/>
      <c r="E80" s="629"/>
      <c r="F80" s="618"/>
      <c r="G80" s="202"/>
      <c r="H80" s="204"/>
      <c r="I80" s="205"/>
      <c r="J80" s="202"/>
      <c r="K80" s="617"/>
      <c r="L80" s="618"/>
      <c r="M80" s="99"/>
      <c r="O80" s="201"/>
      <c r="P80" s="449"/>
      <c r="Q80" s="449"/>
      <c r="R80" s="201"/>
    </row>
    <row r="81" spans="1:18" ht="15.75" customHeight="1">
      <c r="A81" s="615" t="s">
        <v>687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99"/>
    </row>
    <row r="82" spans="1:18" s="100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N82" s="192"/>
      <c r="O82" s="192"/>
      <c r="P82" s="192"/>
      <c r="Q82" s="192"/>
      <c r="R82" s="192"/>
    </row>
    <row r="83" spans="1:18" s="106" customFormat="1" ht="16.399999999999999" customHeight="1">
      <c r="A83" s="620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93">
        <v>7</v>
      </c>
      <c r="I83" s="193">
        <v>8</v>
      </c>
      <c r="J83" s="172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99999999999999" customHeight="1">
      <c r="A84" s="621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6" t="s">
        <v>211</v>
      </c>
      <c r="I84" s="211" t="s">
        <v>393</v>
      </c>
      <c r="J84" s="198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2" t="s">
        <v>190</v>
      </c>
      <c r="B85" s="623"/>
      <c r="C85" s="162" t="s">
        <v>47</v>
      </c>
      <c r="D85" s="622" t="s">
        <v>12</v>
      </c>
      <c r="E85" s="624"/>
      <c r="F85" s="623"/>
      <c r="G85" s="162" t="s">
        <v>46</v>
      </c>
      <c r="H85" s="162" t="s">
        <v>394</v>
      </c>
      <c r="I85" s="162" t="s">
        <v>395</v>
      </c>
      <c r="J85" s="162" t="s">
        <v>339</v>
      </c>
      <c r="K85" s="622" t="s">
        <v>51</v>
      </c>
      <c r="L85" s="623"/>
      <c r="M85" s="129"/>
      <c r="N85" s="191"/>
      <c r="O85" s="201"/>
      <c r="P85" s="449"/>
      <c r="Q85" s="449"/>
      <c r="R85" s="201"/>
    </row>
    <row r="86" spans="1:18" ht="15.75" customHeight="1">
      <c r="A86" s="620">
        <v>7</v>
      </c>
      <c r="B86" s="626" t="s">
        <v>398</v>
      </c>
      <c r="C86" s="202">
        <v>1</v>
      </c>
      <c r="D86" s="641" t="s">
        <v>514</v>
      </c>
      <c r="E86" s="610"/>
      <c r="F86" s="610"/>
      <c r="G86" s="202">
        <v>21</v>
      </c>
      <c r="H86" s="204">
        <v>1775.8664909069062</v>
      </c>
      <c r="I86" s="205">
        <v>84.56507099556697</v>
      </c>
      <c r="J86" s="384">
        <f>I86-I60</f>
        <v>0.10418989678812807</v>
      </c>
      <c r="K86" s="609" t="s">
        <v>476</v>
      </c>
      <c r="L86" s="610"/>
      <c r="O86" s="201"/>
      <c r="P86" s="449"/>
      <c r="Q86" s="449"/>
      <c r="R86" s="201"/>
    </row>
    <row r="87" spans="1:18" ht="15.75" customHeight="1">
      <c r="A87" s="625"/>
      <c r="B87" s="627"/>
      <c r="C87" s="202">
        <v>2</v>
      </c>
      <c r="D87" s="641" t="s">
        <v>493</v>
      </c>
      <c r="E87" s="610"/>
      <c r="F87" s="610"/>
      <c r="G87" s="202">
        <v>22</v>
      </c>
      <c r="H87" s="204">
        <v>1598.7950230519248</v>
      </c>
      <c r="I87" s="205">
        <v>72.672501047814748</v>
      </c>
      <c r="J87" s="384">
        <f>I87-I61</f>
        <v>6.5475155267591845E-2</v>
      </c>
      <c r="K87" s="609" t="s">
        <v>476</v>
      </c>
      <c r="L87" s="610"/>
      <c r="O87" s="201"/>
      <c r="P87" s="449"/>
      <c r="Q87" s="449"/>
      <c r="R87" s="201"/>
    </row>
    <row r="88" spans="1:18" ht="15.75" customHeight="1">
      <c r="A88" s="625"/>
      <c r="B88" s="627"/>
      <c r="C88" s="202">
        <v>3</v>
      </c>
      <c r="D88" s="617"/>
      <c r="E88" s="629"/>
      <c r="F88" s="618"/>
      <c r="G88" s="202"/>
      <c r="H88" s="204"/>
      <c r="I88" s="205"/>
      <c r="J88" s="202"/>
      <c r="K88" s="617"/>
      <c r="L88" s="618"/>
      <c r="N88" s="452"/>
      <c r="O88" s="201"/>
      <c r="P88" s="449"/>
      <c r="Q88" s="449"/>
      <c r="R88" s="201"/>
    </row>
    <row r="89" spans="1:18" ht="15.75" customHeight="1">
      <c r="A89" s="625"/>
      <c r="B89" s="627"/>
      <c r="C89" s="202">
        <v>4</v>
      </c>
      <c r="D89" s="617"/>
      <c r="E89" s="629"/>
      <c r="F89" s="618"/>
      <c r="G89" s="202"/>
      <c r="H89" s="204"/>
      <c r="I89" s="205"/>
      <c r="J89" s="202"/>
      <c r="K89" s="617"/>
      <c r="L89" s="618"/>
      <c r="O89" s="201"/>
      <c r="P89" s="449"/>
      <c r="Q89" s="449"/>
      <c r="R89" s="201"/>
    </row>
    <row r="90" spans="1:18" ht="15.75" customHeight="1">
      <c r="A90" s="625"/>
      <c r="B90" s="627"/>
      <c r="C90" s="202">
        <v>5</v>
      </c>
      <c r="D90" s="617"/>
      <c r="E90" s="629"/>
      <c r="F90" s="618"/>
      <c r="G90" s="202"/>
      <c r="H90" s="204"/>
      <c r="I90" s="205"/>
      <c r="J90" s="202"/>
      <c r="K90" s="617"/>
      <c r="L90" s="618"/>
      <c r="N90" s="180"/>
      <c r="O90" s="201"/>
      <c r="P90" s="449"/>
      <c r="Q90" s="449"/>
      <c r="R90" s="201"/>
    </row>
    <row r="91" spans="1:18" ht="15.75" customHeight="1">
      <c r="A91" s="625"/>
      <c r="B91" s="627"/>
      <c r="C91" s="206" t="s">
        <v>207</v>
      </c>
      <c r="D91" s="617"/>
      <c r="E91" s="629"/>
      <c r="F91" s="618"/>
      <c r="G91" s="202"/>
      <c r="H91" s="204"/>
      <c r="I91" s="205"/>
      <c r="J91" s="202"/>
      <c r="K91" s="617"/>
      <c r="L91" s="618"/>
      <c r="N91" s="452"/>
      <c r="O91" s="201"/>
      <c r="P91" s="449"/>
      <c r="Q91" s="449"/>
      <c r="R91" s="201"/>
    </row>
    <row r="92" spans="1:18" ht="15.75" customHeight="1">
      <c r="A92" s="625"/>
      <c r="B92" s="627"/>
      <c r="C92" s="206" t="s">
        <v>212</v>
      </c>
      <c r="D92" s="617"/>
      <c r="E92" s="629"/>
      <c r="F92" s="618"/>
      <c r="G92" s="202"/>
      <c r="H92" s="204"/>
      <c r="I92" s="205"/>
      <c r="J92" s="202"/>
      <c r="K92" s="617"/>
      <c r="L92" s="618"/>
      <c r="O92" s="201"/>
      <c r="P92" s="449"/>
      <c r="Q92" s="449"/>
      <c r="R92" s="201"/>
    </row>
    <row r="93" spans="1:18" ht="15.75" customHeight="1">
      <c r="A93" s="625"/>
      <c r="B93" s="627"/>
      <c r="C93" s="206" t="s">
        <v>208</v>
      </c>
      <c r="D93" s="617"/>
      <c r="E93" s="629"/>
      <c r="F93" s="618"/>
      <c r="G93" s="202"/>
      <c r="H93" s="204"/>
      <c r="I93" s="205"/>
      <c r="J93" s="202"/>
      <c r="K93" s="617"/>
      <c r="L93" s="618"/>
      <c r="O93" s="201"/>
      <c r="P93" s="449"/>
      <c r="Q93" s="449"/>
      <c r="R93" s="201"/>
    </row>
    <row r="94" spans="1:18" ht="15.75" customHeight="1">
      <c r="A94" s="625"/>
      <c r="B94" s="627"/>
      <c r="C94" s="206" t="s">
        <v>213</v>
      </c>
      <c r="D94" s="617"/>
      <c r="E94" s="629"/>
      <c r="F94" s="618"/>
      <c r="G94" s="202"/>
      <c r="H94" s="204"/>
      <c r="I94" s="205"/>
      <c r="J94" s="202"/>
      <c r="K94" s="617"/>
      <c r="L94" s="618"/>
      <c r="M94" s="99"/>
      <c r="O94" s="201"/>
      <c r="P94" s="449"/>
      <c r="Q94" s="449"/>
      <c r="R94" s="201"/>
    </row>
    <row r="95" spans="1:18" ht="15.75" customHeight="1">
      <c r="A95" s="621"/>
      <c r="B95" s="628"/>
      <c r="C95" s="206" t="s">
        <v>214</v>
      </c>
      <c r="D95" s="617"/>
      <c r="E95" s="629"/>
      <c r="F95" s="618"/>
      <c r="G95" s="202"/>
      <c r="H95" s="204"/>
      <c r="I95" s="205"/>
      <c r="J95" s="202"/>
      <c r="K95" s="617"/>
      <c r="L95" s="618"/>
      <c r="M95" s="99"/>
      <c r="N95" s="201"/>
      <c r="O95" s="201"/>
      <c r="P95" s="449"/>
      <c r="Q95" s="449"/>
      <c r="R95" s="201"/>
    </row>
    <row r="96" spans="1:18" s="104" customFormat="1" ht="15.75" customHeight="1">
      <c r="A96" s="633" t="s">
        <v>190</v>
      </c>
      <c r="B96" s="634"/>
      <c r="C96" s="209" t="s">
        <v>47</v>
      </c>
      <c r="D96" s="633" t="s">
        <v>12</v>
      </c>
      <c r="E96" s="635"/>
      <c r="F96" s="634"/>
      <c r="G96" s="209" t="s">
        <v>46</v>
      </c>
      <c r="H96" s="209" t="s">
        <v>394</v>
      </c>
      <c r="I96" s="209" t="s">
        <v>395</v>
      </c>
      <c r="J96" s="162" t="s">
        <v>339</v>
      </c>
      <c r="K96" s="633" t="s">
        <v>51</v>
      </c>
      <c r="L96" s="634"/>
      <c r="M96" s="130"/>
      <c r="N96" s="191"/>
      <c r="O96" s="201"/>
      <c r="P96" s="449"/>
      <c r="Q96" s="449"/>
      <c r="R96" s="201"/>
    </row>
    <row r="97" spans="1:18" ht="15.75" customHeight="1">
      <c r="A97" s="620">
        <v>8</v>
      </c>
      <c r="B97" s="626" t="s">
        <v>399</v>
      </c>
      <c r="C97" s="202">
        <v>1</v>
      </c>
      <c r="D97" s="617" t="s">
        <v>517</v>
      </c>
      <c r="E97" s="629"/>
      <c r="F97" s="618"/>
      <c r="G97" s="202">
        <v>19</v>
      </c>
      <c r="H97" s="204">
        <v>3200.1818956623688</v>
      </c>
      <c r="I97" s="205">
        <v>168.4306260874931</v>
      </c>
      <c r="J97" s="384">
        <f>I97-I71</f>
        <v>5.6688621799736438E-2</v>
      </c>
      <c r="K97" s="609" t="s">
        <v>476</v>
      </c>
      <c r="L97" s="610"/>
      <c r="M97" s="99"/>
      <c r="O97" s="201"/>
      <c r="P97" s="449"/>
      <c r="Q97" s="449"/>
      <c r="R97" s="201"/>
    </row>
    <row r="98" spans="1:18" ht="15.75" customHeight="1">
      <c r="A98" s="625"/>
      <c r="B98" s="627"/>
      <c r="C98" s="202">
        <v>2</v>
      </c>
      <c r="D98" s="617" t="s">
        <v>515</v>
      </c>
      <c r="E98" s="629"/>
      <c r="F98" s="618"/>
      <c r="G98" s="202">
        <v>18</v>
      </c>
      <c r="H98" s="204">
        <v>1605.0645229199206</v>
      </c>
      <c r="I98" s="205">
        <v>89.17025127332893</v>
      </c>
      <c r="J98" s="384">
        <f>I98-I72</f>
        <v>0.16168927084910933</v>
      </c>
      <c r="K98" s="609" t="s">
        <v>476</v>
      </c>
      <c r="L98" s="610"/>
      <c r="M98" s="99"/>
      <c r="O98" s="180"/>
      <c r="P98" s="448"/>
      <c r="Q98" s="448"/>
      <c r="R98" s="180"/>
    </row>
    <row r="99" spans="1:18" ht="15.75" customHeight="1">
      <c r="A99" s="625"/>
      <c r="B99" s="627"/>
      <c r="C99" s="202">
        <v>3</v>
      </c>
      <c r="D99" s="617" t="s">
        <v>508</v>
      </c>
      <c r="E99" s="629"/>
      <c r="F99" s="618"/>
      <c r="G99" s="202">
        <v>19</v>
      </c>
      <c r="H99" s="204">
        <v>1604.3687775200619</v>
      </c>
      <c r="I99" s="205">
        <v>84.440461974740089</v>
      </c>
      <c r="J99" s="384">
        <f>I99-I73</f>
        <v>4.4976108790862668E-2</v>
      </c>
      <c r="K99" s="609" t="s">
        <v>476</v>
      </c>
      <c r="L99" s="610"/>
      <c r="M99" s="99"/>
      <c r="O99" s="201"/>
      <c r="P99" s="449"/>
      <c r="Q99" s="449"/>
      <c r="R99" s="201"/>
    </row>
    <row r="100" spans="1:18" ht="15.75" customHeight="1">
      <c r="A100" s="625"/>
      <c r="B100" s="627"/>
      <c r="C100" s="202">
        <v>4</v>
      </c>
      <c r="D100" s="617"/>
      <c r="E100" s="629"/>
      <c r="F100" s="618"/>
      <c r="G100" s="202"/>
      <c r="H100" s="204"/>
      <c r="I100" s="205"/>
      <c r="J100" s="202"/>
      <c r="K100" s="617"/>
      <c r="L100" s="618"/>
      <c r="M100" s="99"/>
      <c r="O100" s="201"/>
      <c r="P100" s="449"/>
      <c r="Q100" s="449"/>
      <c r="R100" s="201"/>
    </row>
    <row r="101" spans="1:18" ht="15.75" customHeight="1">
      <c r="A101" s="625"/>
      <c r="B101" s="627"/>
      <c r="C101" s="202">
        <v>5</v>
      </c>
      <c r="D101" s="617"/>
      <c r="E101" s="629"/>
      <c r="F101" s="618"/>
      <c r="G101" s="202"/>
      <c r="H101" s="204"/>
      <c r="I101" s="205"/>
      <c r="J101" s="202"/>
      <c r="K101" s="617"/>
      <c r="L101" s="618"/>
      <c r="M101" s="99"/>
      <c r="O101" s="201"/>
      <c r="P101" s="449"/>
      <c r="Q101" s="449"/>
      <c r="R101" s="201"/>
    </row>
    <row r="102" spans="1:18" ht="15.75" customHeight="1">
      <c r="A102" s="625"/>
      <c r="B102" s="627"/>
      <c r="C102" s="206" t="s">
        <v>207</v>
      </c>
      <c r="D102" s="617"/>
      <c r="E102" s="629"/>
      <c r="F102" s="618"/>
      <c r="G102" s="202"/>
      <c r="H102" s="204"/>
      <c r="I102" s="205"/>
      <c r="J102" s="202"/>
      <c r="K102" s="617"/>
      <c r="L102" s="618"/>
      <c r="M102" s="99"/>
      <c r="O102" s="201"/>
      <c r="P102" s="449"/>
      <c r="Q102" s="449"/>
      <c r="R102" s="201"/>
    </row>
    <row r="103" spans="1:18" ht="15.75" customHeight="1">
      <c r="A103" s="625"/>
      <c r="B103" s="627"/>
      <c r="C103" s="206" t="s">
        <v>212</v>
      </c>
      <c r="D103" s="617"/>
      <c r="E103" s="629"/>
      <c r="F103" s="618"/>
      <c r="G103" s="202"/>
      <c r="H103" s="204"/>
      <c r="I103" s="205"/>
      <c r="J103" s="202"/>
      <c r="K103" s="617"/>
      <c r="L103" s="618"/>
      <c r="M103" s="99"/>
      <c r="O103" s="201"/>
      <c r="P103" s="449"/>
      <c r="Q103" s="449"/>
      <c r="R103" s="201"/>
    </row>
    <row r="104" spans="1:18" ht="15.75" customHeight="1">
      <c r="A104" s="625"/>
      <c r="B104" s="627"/>
      <c r="C104" s="206" t="s">
        <v>208</v>
      </c>
      <c r="D104" s="617"/>
      <c r="E104" s="629"/>
      <c r="F104" s="618"/>
      <c r="G104" s="202"/>
      <c r="H104" s="204"/>
      <c r="I104" s="205"/>
      <c r="J104" s="202"/>
      <c r="K104" s="617"/>
      <c r="L104" s="618"/>
      <c r="M104" s="99"/>
      <c r="O104" s="201"/>
      <c r="P104" s="449"/>
      <c r="Q104" s="449"/>
      <c r="R104" s="201"/>
    </row>
    <row r="105" spans="1:18" ht="15.75" customHeight="1">
      <c r="A105" s="625"/>
      <c r="B105" s="627"/>
      <c r="C105" s="206" t="s">
        <v>213</v>
      </c>
      <c r="D105" s="617"/>
      <c r="E105" s="629"/>
      <c r="F105" s="618"/>
      <c r="G105" s="202"/>
      <c r="H105" s="204"/>
      <c r="I105" s="205"/>
      <c r="J105" s="202"/>
      <c r="K105" s="617"/>
      <c r="L105" s="618"/>
      <c r="M105" s="99"/>
      <c r="O105" s="201"/>
      <c r="P105" s="449"/>
      <c r="Q105" s="449"/>
      <c r="R105" s="201"/>
    </row>
    <row r="106" spans="1:18" ht="15.75" customHeight="1">
      <c r="A106" s="621"/>
      <c r="B106" s="628"/>
      <c r="C106" s="206" t="s">
        <v>214</v>
      </c>
      <c r="D106" s="617"/>
      <c r="E106" s="629"/>
      <c r="F106" s="618"/>
      <c r="G106" s="202"/>
      <c r="H106" s="204"/>
      <c r="I106" s="205"/>
      <c r="J106" s="202"/>
      <c r="K106" s="617"/>
      <c r="L106" s="618"/>
      <c r="M106" s="99"/>
      <c r="O106" s="201"/>
      <c r="P106" s="449"/>
      <c r="Q106" s="449"/>
      <c r="R106" s="201"/>
    </row>
    <row r="107" spans="1:18" ht="15.75" customHeight="1">
      <c r="A107" s="615" t="s">
        <v>746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M107" s="99"/>
    </row>
    <row r="108" spans="1:18" s="100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  <c r="N108" s="192"/>
      <c r="O108" s="192"/>
      <c r="P108" s="192"/>
      <c r="Q108" s="192"/>
      <c r="R108" s="192"/>
    </row>
    <row r="109" spans="1:18" s="106" customFormat="1" ht="16.399999999999999" customHeight="1">
      <c r="A109" s="620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93">
        <v>7</v>
      </c>
      <c r="I109" s="193">
        <v>8</v>
      </c>
      <c r="J109" s="172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99999999999999" customHeight="1">
      <c r="A110" s="621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6" t="s">
        <v>211</v>
      </c>
      <c r="I110" s="211" t="s">
        <v>393</v>
      </c>
      <c r="J110" s="198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2" t="s">
        <v>190</v>
      </c>
      <c r="B111" s="623"/>
      <c r="C111" s="162" t="s">
        <v>47</v>
      </c>
      <c r="D111" s="622" t="s">
        <v>12</v>
      </c>
      <c r="E111" s="624"/>
      <c r="F111" s="623"/>
      <c r="G111" s="162" t="s">
        <v>46</v>
      </c>
      <c r="H111" s="162" t="s">
        <v>394</v>
      </c>
      <c r="I111" s="162" t="s">
        <v>395</v>
      </c>
      <c r="J111" s="162" t="s">
        <v>339</v>
      </c>
      <c r="K111" s="622" t="s">
        <v>51</v>
      </c>
      <c r="L111" s="623"/>
      <c r="M111" s="129"/>
      <c r="N111" s="191"/>
      <c r="O111" s="201"/>
      <c r="P111" s="449"/>
      <c r="Q111" s="449"/>
      <c r="R111" s="201"/>
    </row>
    <row r="112" spans="1:18" ht="15.75" customHeight="1">
      <c r="A112" s="620">
        <v>7</v>
      </c>
      <c r="B112" s="626" t="s">
        <v>398</v>
      </c>
      <c r="C112" s="202">
        <v>1</v>
      </c>
      <c r="D112" s="641" t="s">
        <v>743</v>
      </c>
      <c r="E112" s="610"/>
      <c r="F112" s="610"/>
      <c r="G112" s="202">
        <v>22</v>
      </c>
      <c r="H112" s="204">
        <v>1599.9424157774472</v>
      </c>
      <c r="I112" s="205">
        <v>72.724655262611222</v>
      </c>
      <c r="J112" s="384">
        <f>I112-I87</f>
        <v>5.2154214796473752E-2</v>
      </c>
      <c r="K112" s="617"/>
      <c r="L112" s="618"/>
      <c r="O112" s="201"/>
      <c r="P112" s="449"/>
      <c r="Q112" s="449"/>
      <c r="R112" s="201"/>
    </row>
    <row r="113" spans="1:18" ht="15.75" customHeight="1">
      <c r="A113" s="625"/>
      <c r="B113" s="627"/>
      <c r="C113" s="202">
        <v>2</v>
      </c>
      <c r="D113" s="641"/>
      <c r="E113" s="610"/>
      <c r="F113" s="610"/>
      <c r="G113" s="202"/>
      <c r="H113" s="204"/>
      <c r="I113" s="205"/>
      <c r="J113" s="202"/>
      <c r="K113" s="617"/>
      <c r="L113" s="618"/>
      <c r="N113" s="452"/>
      <c r="O113" s="201"/>
      <c r="P113" s="449"/>
      <c r="Q113" s="449"/>
      <c r="R113" s="201"/>
    </row>
    <row r="114" spans="1:18" ht="15.75" customHeight="1">
      <c r="A114" s="625"/>
      <c r="B114" s="627"/>
      <c r="C114" s="202">
        <v>3</v>
      </c>
      <c r="D114" s="617"/>
      <c r="E114" s="629"/>
      <c r="F114" s="618"/>
      <c r="G114" s="202"/>
      <c r="H114" s="204"/>
      <c r="I114" s="205"/>
      <c r="J114" s="202"/>
      <c r="K114" s="617"/>
      <c r="L114" s="618"/>
      <c r="N114" s="452"/>
      <c r="O114" s="201"/>
      <c r="P114" s="449"/>
      <c r="Q114" s="449"/>
      <c r="R114" s="201"/>
    </row>
    <row r="115" spans="1:18" ht="15.75" customHeight="1">
      <c r="A115" s="625"/>
      <c r="B115" s="627"/>
      <c r="C115" s="202">
        <v>4</v>
      </c>
      <c r="D115" s="617"/>
      <c r="E115" s="629"/>
      <c r="F115" s="618"/>
      <c r="G115" s="202"/>
      <c r="H115" s="204"/>
      <c r="I115" s="205"/>
      <c r="J115" s="202"/>
      <c r="K115" s="617"/>
      <c r="L115" s="618"/>
      <c r="O115" s="201"/>
      <c r="P115" s="449"/>
      <c r="Q115" s="449"/>
      <c r="R115" s="201"/>
    </row>
    <row r="116" spans="1:18" ht="15.75" customHeight="1">
      <c r="A116" s="625"/>
      <c r="B116" s="627"/>
      <c r="C116" s="202">
        <v>5</v>
      </c>
      <c r="D116" s="617"/>
      <c r="E116" s="629"/>
      <c r="F116" s="618"/>
      <c r="G116" s="202"/>
      <c r="H116" s="204"/>
      <c r="I116" s="205"/>
      <c r="J116" s="202"/>
      <c r="K116" s="617"/>
      <c r="L116" s="618"/>
      <c r="N116" s="180"/>
      <c r="O116" s="201"/>
      <c r="P116" s="449"/>
      <c r="Q116" s="449"/>
      <c r="R116" s="201"/>
    </row>
    <row r="117" spans="1:18" ht="15.75" customHeight="1">
      <c r="A117" s="625"/>
      <c r="B117" s="627"/>
      <c r="C117" s="206" t="s">
        <v>207</v>
      </c>
      <c r="D117" s="617"/>
      <c r="E117" s="629"/>
      <c r="F117" s="618"/>
      <c r="G117" s="202"/>
      <c r="H117" s="204"/>
      <c r="I117" s="205"/>
      <c r="J117" s="202"/>
      <c r="K117" s="617"/>
      <c r="L117" s="618"/>
      <c r="N117" s="452"/>
      <c r="O117" s="201"/>
      <c r="P117" s="449"/>
      <c r="Q117" s="449"/>
      <c r="R117" s="201"/>
    </row>
    <row r="118" spans="1:18" ht="15.75" customHeight="1">
      <c r="A118" s="625"/>
      <c r="B118" s="627"/>
      <c r="C118" s="206" t="s">
        <v>212</v>
      </c>
      <c r="D118" s="617"/>
      <c r="E118" s="629"/>
      <c r="F118" s="618"/>
      <c r="G118" s="202"/>
      <c r="H118" s="204"/>
      <c r="I118" s="205"/>
      <c r="J118" s="202"/>
      <c r="K118" s="617"/>
      <c r="L118" s="618"/>
      <c r="O118" s="201"/>
      <c r="P118" s="449"/>
      <c r="Q118" s="449"/>
      <c r="R118" s="201"/>
    </row>
    <row r="119" spans="1:18" ht="15.75" customHeight="1">
      <c r="A119" s="625"/>
      <c r="B119" s="627"/>
      <c r="C119" s="206" t="s">
        <v>208</v>
      </c>
      <c r="D119" s="617"/>
      <c r="E119" s="629"/>
      <c r="F119" s="618"/>
      <c r="G119" s="202"/>
      <c r="H119" s="204"/>
      <c r="I119" s="205"/>
      <c r="J119" s="202"/>
      <c r="K119" s="617"/>
      <c r="L119" s="618"/>
      <c r="O119" s="201"/>
      <c r="P119" s="449"/>
      <c r="Q119" s="449"/>
      <c r="R119" s="201"/>
    </row>
    <row r="120" spans="1:18" ht="15.75" customHeight="1">
      <c r="A120" s="625"/>
      <c r="B120" s="627"/>
      <c r="C120" s="206" t="s">
        <v>213</v>
      </c>
      <c r="D120" s="617"/>
      <c r="E120" s="629"/>
      <c r="F120" s="618"/>
      <c r="G120" s="202"/>
      <c r="H120" s="204"/>
      <c r="I120" s="205"/>
      <c r="J120" s="202"/>
      <c r="K120" s="617"/>
      <c r="L120" s="618"/>
      <c r="M120" s="99"/>
      <c r="O120" s="201"/>
      <c r="P120" s="449"/>
      <c r="Q120" s="449"/>
      <c r="R120" s="201"/>
    </row>
    <row r="121" spans="1:18" ht="15.75" customHeight="1">
      <c r="A121" s="621"/>
      <c r="B121" s="628"/>
      <c r="C121" s="206" t="s">
        <v>214</v>
      </c>
      <c r="D121" s="617"/>
      <c r="E121" s="629"/>
      <c r="F121" s="618"/>
      <c r="G121" s="202"/>
      <c r="H121" s="204"/>
      <c r="I121" s="205"/>
      <c r="J121" s="202"/>
      <c r="K121" s="617"/>
      <c r="L121" s="618"/>
      <c r="M121" s="99"/>
      <c r="N121" s="201"/>
      <c r="O121" s="201"/>
      <c r="P121" s="449"/>
      <c r="Q121" s="449"/>
      <c r="R121" s="201"/>
    </row>
    <row r="122" spans="1:18" s="104" customFormat="1" ht="15.75" customHeight="1">
      <c r="A122" s="633" t="s">
        <v>190</v>
      </c>
      <c r="B122" s="634"/>
      <c r="C122" s="209" t="s">
        <v>47</v>
      </c>
      <c r="D122" s="633" t="s">
        <v>12</v>
      </c>
      <c r="E122" s="635"/>
      <c r="F122" s="634"/>
      <c r="G122" s="209" t="s">
        <v>46</v>
      </c>
      <c r="H122" s="209" t="s">
        <v>394</v>
      </c>
      <c r="I122" s="209" t="s">
        <v>395</v>
      </c>
      <c r="J122" s="162" t="s">
        <v>339</v>
      </c>
      <c r="K122" s="633" t="s">
        <v>51</v>
      </c>
      <c r="L122" s="634"/>
      <c r="M122" s="130"/>
      <c r="N122" s="191"/>
      <c r="O122" s="201"/>
      <c r="P122" s="449"/>
      <c r="Q122" s="449"/>
      <c r="R122" s="201"/>
    </row>
    <row r="123" spans="1:18" ht="15.75" customHeight="1">
      <c r="A123" s="620">
        <v>8</v>
      </c>
      <c r="B123" s="626" t="s">
        <v>399</v>
      </c>
      <c r="C123" s="202">
        <v>1</v>
      </c>
      <c r="D123" s="617" t="s">
        <v>517</v>
      </c>
      <c r="E123" s="629"/>
      <c r="F123" s="618"/>
      <c r="G123" s="202">
        <v>19</v>
      </c>
      <c r="H123" s="204">
        <v>3201.6029523646748</v>
      </c>
      <c r="I123" s="205">
        <v>168.5054185455092</v>
      </c>
      <c r="J123" s="384">
        <f>I123-I97</f>
        <v>7.4792458016105456E-2</v>
      </c>
      <c r="K123" s="617"/>
      <c r="L123" s="618"/>
      <c r="M123" s="99"/>
      <c r="O123" s="201"/>
      <c r="P123" s="449"/>
      <c r="Q123" s="449"/>
      <c r="R123" s="201"/>
    </row>
    <row r="124" spans="1:18" ht="15.75" customHeight="1">
      <c r="A124" s="625"/>
      <c r="B124" s="627"/>
      <c r="C124" s="202">
        <v>2</v>
      </c>
      <c r="D124" s="617" t="s">
        <v>515</v>
      </c>
      <c r="E124" s="629"/>
      <c r="F124" s="618"/>
      <c r="G124" s="202">
        <v>18</v>
      </c>
      <c r="H124" s="204">
        <v>1605.9607358626006</v>
      </c>
      <c r="I124" s="205">
        <v>89.220040881255599</v>
      </c>
      <c r="J124" s="384">
        <f>I124-I98</f>
        <v>4.9789607926669532E-2</v>
      </c>
      <c r="K124" s="617"/>
      <c r="L124" s="618"/>
      <c r="M124" s="99"/>
      <c r="O124" s="180"/>
      <c r="P124" s="448"/>
      <c r="Q124" s="448"/>
      <c r="R124" s="180"/>
    </row>
    <row r="125" spans="1:18" ht="15.75" customHeight="1">
      <c r="A125" s="625"/>
      <c r="B125" s="627"/>
      <c r="C125" s="202">
        <v>3</v>
      </c>
      <c r="D125" s="617" t="s">
        <v>508</v>
      </c>
      <c r="E125" s="629"/>
      <c r="F125" s="618"/>
      <c r="G125" s="202">
        <v>19</v>
      </c>
      <c r="H125" s="204">
        <v>1605.5246758602807</v>
      </c>
      <c r="I125" s="205">
        <v>84.501298729488454</v>
      </c>
      <c r="J125" s="384">
        <f>I125-I99</f>
        <v>6.0836754748365252E-2</v>
      </c>
      <c r="K125" s="617"/>
      <c r="L125" s="618"/>
      <c r="M125" s="99"/>
      <c r="O125" s="201"/>
      <c r="P125" s="449"/>
      <c r="Q125" s="449"/>
      <c r="R125" s="201"/>
    </row>
    <row r="126" spans="1:18" ht="15.75" customHeight="1">
      <c r="A126" s="625"/>
      <c r="B126" s="627"/>
      <c r="C126" s="202">
        <v>4</v>
      </c>
      <c r="D126" s="617" t="s">
        <v>742</v>
      </c>
      <c r="E126" s="629"/>
      <c r="F126" s="618"/>
      <c r="G126" s="202">
        <v>19</v>
      </c>
      <c r="H126" s="204">
        <v>1540.358131139538</v>
      </c>
      <c r="I126" s="205">
        <v>81.0714805862915</v>
      </c>
      <c r="J126" s="202"/>
      <c r="K126" s="617"/>
      <c r="L126" s="618"/>
      <c r="M126" s="99"/>
      <c r="O126" s="201"/>
      <c r="P126" s="449"/>
      <c r="Q126" s="449"/>
      <c r="R126" s="201"/>
    </row>
    <row r="127" spans="1:18" ht="15.75" customHeight="1">
      <c r="A127" s="625"/>
      <c r="B127" s="627"/>
      <c r="C127" s="202">
        <v>5</v>
      </c>
      <c r="D127" s="617"/>
      <c r="E127" s="629"/>
      <c r="F127" s="618"/>
      <c r="G127" s="202"/>
      <c r="H127" s="204"/>
      <c r="I127" s="205"/>
      <c r="J127" s="202"/>
      <c r="K127" s="617"/>
      <c r="L127" s="618"/>
      <c r="M127" s="99"/>
      <c r="O127" s="201"/>
      <c r="P127" s="449"/>
      <c r="Q127" s="449"/>
      <c r="R127" s="201"/>
    </row>
    <row r="128" spans="1:18" ht="15.75" customHeight="1">
      <c r="A128" s="625"/>
      <c r="B128" s="627"/>
      <c r="C128" s="206" t="s">
        <v>207</v>
      </c>
      <c r="D128" s="617"/>
      <c r="E128" s="629"/>
      <c r="F128" s="618"/>
      <c r="G128" s="202"/>
      <c r="H128" s="204"/>
      <c r="I128" s="205"/>
      <c r="J128" s="202"/>
      <c r="K128" s="617"/>
      <c r="L128" s="618"/>
      <c r="M128" s="99"/>
      <c r="O128" s="201"/>
      <c r="P128" s="449"/>
      <c r="Q128" s="449"/>
      <c r="R128" s="201"/>
    </row>
    <row r="129" spans="1:18" ht="15.75" customHeight="1">
      <c r="A129" s="625"/>
      <c r="B129" s="627"/>
      <c r="C129" s="206" t="s">
        <v>212</v>
      </c>
      <c r="D129" s="617"/>
      <c r="E129" s="629"/>
      <c r="F129" s="618"/>
      <c r="G129" s="202"/>
      <c r="H129" s="204"/>
      <c r="I129" s="205"/>
      <c r="J129" s="202"/>
      <c r="K129" s="617"/>
      <c r="L129" s="618"/>
      <c r="M129" s="99"/>
      <c r="O129" s="201"/>
      <c r="P129" s="449"/>
      <c r="Q129" s="449"/>
      <c r="R129" s="201"/>
    </row>
    <row r="130" spans="1:18" ht="15.75" customHeight="1">
      <c r="A130" s="625"/>
      <c r="B130" s="627"/>
      <c r="C130" s="206" t="s">
        <v>208</v>
      </c>
      <c r="D130" s="617"/>
      <c r="E130" s="629"/>
      <c r="F130" s="618"/>
      <c r="G130" s="202"/>
      <c r="H130" s="204"/>
      <c r="I130" s="205"/>
      <c r="J130" s="202"/>
      <c r="K130" s="617"/>
      <c r="L130" s="618"/>
      <c r="M130" s="99"/>
      <c r="O130" s="201"/>
      <c r="P130" s="449"/>
      <c r="Q130" s="449"/>
      <c r="R130" s="201"/>
    </row>
    <row r="131" spans="1:18" ht="15.75" customHeight="1">
      <c r="A131" s="625"/>
      <c r="B131" s="627"/>
      <c r="C131" s="206" t="s">
        <v>213</v>
      </c>
      <c r="D131" s="617"/>
      <c r="E131" s="629"/>
      <c r="F131" s="618"/>
      <c r="G131" s="202"/>
      <c r="H131" s="204"/>
      <c r="I131" s="205"/>
      <c r="J131" s="202"/>
      <c r="K131" s="617"/>
      <c r="L131" s="618"/>
      <c r="M131" s="99"/>
      <c r="O131" s="201"/>
      <c r="P131" s="449"/>
      <c r="Q131" s="449"/>
      <c r="R131" s="201"/>
    </row>
    <row r="132" spans="1:18" ht="15.75" customHeight="1">
      <c r="A132" s="621"/>
      <c r="B132" s="628"/>
      <c r="C132" s="206" t="s">
        <v>214</v>
      </c>
      <c r="D132" s="617"/>
      <c r="E132" s="629"/>
      <c r="F132" s="618"/>
      <c r="G132" s="202"/>
      <c r="H132" s="204"/>
      <c r="I132" s="205"/>
      <c r="J132" s="202"/>
      <c r="K132" s="617"/>
      <c r="L132" s="618"/>
      <c r="M132" s="99"/>
      <c r="O132" s="201"/>
      <c r="P132" s="449"/>
      <c r="Q132" s="449"/>
      <c r="R132" s="201"/>
    </row>
  </sheetData>
  <mergeCells count="259"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55:L56"/>
    <mergeCell ref="A57:A58"/>
    <mergeCell ref="A59:B59"/>
    <mergeCell ref="D59:F59"/>
    <mergeCell ref="K59:L5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K42:L42"/>
    <mergeCell ref="D43:F43"/>
    <mergeCell ref="K43:L43"/>
    <mergeCell ref="D25:F25"/>
    <mergeCell ref="K25:L25"/>
    <mergeCell ref="K40:L40"/>
    <mergeCell ref="D41:F41"/>
    <mergeCell ref="K41:L41"/>
    <mergeCell ref="D42:F42"/>
    <mergeCell ref="D26:F26"/>
    <mergeCell ref="K26:L26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6:F16"/>
    <mergeCell ref="K16:L16"/>
    <mergeCell ref="D17:F17"/>
    <mergeCell ref="K17:L17"/>
    <mergeCell ref="A18:B18"/>
    <mergeCell ref="D18:F18"/>
    <mergeCell ref="K18:L18"/>
    <mergeCell ref="D19:F19"/>
    <mergeCell ref="K19:L19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87" zoomScale="115" zoomScaleNormal="60" zoomScaleSheetLayoutView="115" workbookViewId="0">
      <selection activeCell="J115" sqref="J115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91"/>
    <col min="19" max="16384" width="12.54296875" style="99"/>
  </cols>
  <sheetData>
    <row r="1" spans="1:18" ht="15.75" customHeight="1">
      <c r="A1" s="454" t="s">
        <v>392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99"/>
    </row>
    <row r="2" spans="1:18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N2" s="192"/>
      <c r="O2" s="192"/>
      <c r="P2" s="192"/>
      <c r="Q2" s="192"/>
      <c r="R2" s="192"/>
    </row>
    <row r="3" spans="1:18" ht="15.75" customHeight="1">
      <c r="A3" s="615" t="s">
        <v>579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99"/>
      <c r="N3" s="99"/>
      <c r="O3" s="99"/>
      <c r="P3" s="99"/>
      <c r="Q3" s="99"/>
      <c r="R3" s="99"/>
    </row>
    <row r="4" spans="1:18" s="10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0" t="s">
        <v>164</v>
      </c>
      <c r="B5" s="172">
        <v>1</v>
      </c>
      <c r="C5" s="172">
        <v>2</v>
      </c>
      <c r="D5" s="172">
        <v>3</v>
      </c>
      <c r="E5" s="172">
        <v>4</v>
      </c>
      <c r="F5" s="172">
        <v>5</v>
      </c>
      <c r="G5" s="172">
        <v>6</v>
      </c>
      <c r="H5" s="172">
        <v>7</v>
      </c>
      <c r="I5" s="172">
        <v>8</v>
      </c>
      <c r="J5" s="193">
        <v>9</v>
      </c>
      <c r="K5" s="194"/>
      <c r="L5" s="194"/>
      <c r="M5" s="129"/>
    </row>
    <row r="6" spans="1:18" ht="16.399999999999999" customHeight="1">
      <c r="A6" s="621"/>
      <c r="B6" s="197" t="s">
        <v>209</v>
      </c>
      <c r="C6" s="197" t="s">
        <v>157</v>
      </c>
      <c r="D6" s="197" t="s">
        <v>210</v>
      </c>
      <c r="E6" s="197" t="s">
        <v>158</v>
      </c>
      <c r="F6" s="197" t="s">
        <v>139</v>
      </c>
      <c r="G6" s="198" t="s">
        <v>137</v>
      </c>
      <c r="H6" s="199" t="s">
        <v>211</v>
      </c>
      <c r="I6" s="198" t="s">
        <v>393</v>
      </c>
      <c r="J6" s="211" t="s">
        <v>143</v>
      </c>
      <c r="K6" s="200"/>
      <c r="L6" s="200"/>
      <c r="N6" s="99"/>
      <c r="O6" s="99"/>
      <c r="P6" s="99"/>
      <c r="Q6" s="99"/>
      <c r="R6" s="99"/>
    </row>
    <row r="7" spans="1:18" s="106" customFormat="1" ht="15.75" customHeight="1">
      <c r="A7" s="622" t="s">
        <v>190</v>
      </c>
      <c r="B7" s="623"/>
      <c r="C7" s="162" t="s">
        <v>47</v>
      </c>
      <c r="D7" s="622" t="s">
        <v>12</v>
      </c>
      <c r="E7" s="624"/>
      <c r="F7" s="623"/>
      <c r="G7" s="162" t="s">
        <v>46</v>
      </c>
      <c r="H7" s="162" t="s">
        <v>394</v>
      </c>
      <c r="I7" s="162" t="s">
        <v>395</v>
      </c>
      <c r="J7" s="162" t="s">
        <v>339</v>
      </c>
      <c r="K7" s="622" t="s">
        <v>51</v>
      </c>
      <c r="L7" s="623"/>
      <c r="M7" s="129"/>
    </row>
    <row r="8" spans="1:18" ht="15.75" customHeight="1">
      <c r="A8" s="620">
        <f>J5</f>
        <v>9</v>
      </c>
      <c r="B8" s="626" t="str">
        <f>J6</f>
        <v>微波小吃</v>
      </c>
      <c r="C8" s="202">
        <v>1</v>
      </c>
      <c r="D8" s="617" t="s">
        <v>370</v>
      </c>
      <c r="E8" s="629"/>
      <c r="F8" s="618"/>
      <c r="G8" s="202">
        <v>13</v>
      </c>
      <c r="H8" s="204">
        <v>1077.5892185115524</v>
      </c>
      <c r="I8" s="205">
        <v>82.891478347042508</v>
      </c>
      <c r="J8" s="384">
        <v>-1.5360499275402617E-2</v>
      </c>
      <c r="K8" s="609" t="s">
        <v>476</v>
      </c>
      <c r="L8" s="610"/>
      <c r="N8" s="99"/>
      <c r="O8" s="99"/>
      <c r="P8" s="99"/>
      <c r="Q8" s="99"/>
      <c r="R8" s="99"/>
    </row>
    <row r="9" spans="1:18" ht="15.75" customHeight="1">
      <c r="A9" s="625"/>
      <c r="B9" s="627"/>
      <c r="C9" s="202">
        <v>2</v>
      </c>
      <c r="D9" s="617" t="s">
        <v>481</v>
      </c>
      <c r="E9" s="629"/>
      <c r="F9" s="618"/>
      <c r="G9" s="202">
        <v>22</v>
      </c>
      <c r="H9" s="204">
        <v>1597.1717075835429</v>
      </c>
      <c r="I9" s="205">
        <v>72.598713981070134</v>
      </c>
      <c r="J9" s="384">
        <v>2.6713145896238188E-2</v>
      </c>
      <c r="K9" s="609" t="s">
        <v>476</v>
      </c>
      <c r="L9" s="610"/>
      <c r="N9" s="99"/>
      <c r="O9" s="99"/>
      <c r="P9" s="99"/>
      <c r="Q9" s="99"/>
      <c r="R9" s="99"/>
    </row>
    <row r="10" spans="1:18" ht="15.75" customHeight="1">
      <c r="A10" s="625"/>
      <c r="B10" s="627"/>
      <c r="C10" s="202">
        <v>3</v>
      </c>
      <c r="D10" s="617" t="s">
        <v>499</v>
      </c>
      <c r="E10" s="629"/>
      <c r="F10" s="618"/>
      <c r="G10" s="202">
        <v>22</v>
      </c>
      <c r="H10" s="204">
        <v>1595.1031255004705</v>
      </c>
      <c r="I10" s="205">
        <v>72.50468752274864</v>
      </c>
      <c r="J10" s="384">
        <v>-9.1593238371530106E-3</v>
      </c>
      <c r="K10" s="609" t="s">
        <v>476</v>
      </c>
      <c r="L10" s="610"/>
      <c r="N10" s="99"/>
      <c r="O10" s="99"/>
      <c r="P10" s="99"/>
      <c r="Q10" s="99"/>
      <c r="R10" s="99"/>
    </row>
    <row r="11" spans="1:18" ht="15.75" customHeight="1">
      <c r="A11" s="625"/>
      <c r="B11" s="627"/>
      <c r="C11" s="202">
        <v>4</v>
      </c>
      <c r="D11" s="617"/>
      <c r="E11" s="629"/>
      <c r="F11" s="618"/>
      <c r="G11" s="204"/>
      <c r="H11" s="204"/>
      <c r="I11" s="205"/>
      <c r="J11" s="202"/>
      <c r="K11" s="617"/>
      <c r="L11" s="618"/>
      <c r="N11" s="99"/>
      <c r="O11" s="99"/>
      <c r="P11" s="99"/>
      <c r="Q11" s="99"/>
      <c r="R11" s="99"/>
    </row>
    <row r="12" spans="1:18" ht="15.75" customHeight="1">
      <c r="A12" s="625"/>
      <c r="B12" s="627"/>
      <c r="C12" s="202">
        <v>5</v>
      </c>
      <c r="D12" s="617"/>
      <c r="E12" s="629"/>
      <c r="F12" s="618"/>
      <c r="G12" s="202"/>
      <c r="H12" s="204"/>
      <c r="I12" s="205"/>
      <c r="J12" s="202"/>
      <c r="K12" s="617"/>
      <c r="L12" s="618"/>
      <c r="N12" s="99"/>
      <c r="O12" s="99"/>
      <c r="P12" s="99"/>
      <c r="Q12" s="99"/>
      <c r="R12" s="99"/>
    </row>
    <row r="13" spans="1:18" ht="15.75" customHeight="1">
      <c r="A13" s="625"/>
      <c r="B13" s="627"/>
      <c r="C13" s="206" t="s">
        <v>207</v>
      </c>
      <c r="D13" s="617"/>
      <c r="E13" s="629"/>
      <c r="F13" s="618"/>
      <c r="G13" s="202"/>
      <c r="H13" s="204"/>
      <c r="I13" s="205"/>
      <c r="J13" s="202"/>
      <c r="K13" s="617"/>
      <c r="L13" s="618"/>
      <c r="N13" s="99"/>
      <c r="O13" s="99"/>
      <c r="P13" s="99"/>
      <c r="Q13" s="99"/>
      <c r="R13" s="99"/>
    </row>
    <row r="14" spans="1:18" ht="15.75" customHeight="1">
      <c r="A14" s="625"/>
      <c r="B14" s="627"/>
      <c r="C14" s="206" t="s">
        <v>212</v>
      </c>
      <c r="D14" s="617"/>
      <c r="E14" s="629"/>
      <c r="F14" s="618"/>
      <c r="G14" s="202"/>
      <c r="H14" s="204"/>
      <c r="I14" s="205"/>
      <c r="J14" s="202"/>
      <c r="K14" s="617"/>
      <c r="L14" s="618"/>
      <c r="N14" s="99"/>
      <c r="O14" s="99"/>
      <c r="P14" s="99"/>
      <c r="Q14" s="99"/>
      <c r="R14" s="99"/>
    </row>
    <row r="15" spans="1:18" ht="15.75" customHeight="1">
      <c r="A15" s="625"/>
      <c r="B15" s="627"/>
      <c r="C15" s="206" t="s">
        <v>208</v>
      </c>
      <c r="D15" s="617"/>
      <c r="E15" s="629"/>
      <c r="F15" s="618"/>
      <c r="G15" s="202"/>
      <c r="H15" s="204"/>
      <c r="I15" s="205"/>
      <c r="J15" s="202"/>
      <c r="K15" s="617"/>
      <c r="L15" s="618"/>
      <c r="N15" s="99"/>
      <c r="O15" s="99"/>
      <c r="P15" s="99"/>
      <c r="Q15" s="99"/>
      <c r="R15" s="99"/>
    </row>
    <row r="16" spans="1:18" ht="15.75" customHeight="1">
      <c r="A16" s="625"/>
      <c r="B16" s="627"/>
      <c r="C16" s="206" t="s">
        <v>213</v>
      </c>
      <c r="D16" s="617"/>
      <c r="E16" s="629"/>
      <c r="F16" s="618"/>
      <c r="G16" s="202"/>
      <c r="H16" s="204"/>
      <c r="I16" s="205"/>
      <c r="J16" s="202"/>
      <c r="K16" s="617"/>
      <c r="L16" s="618"/>
      <c r="M16" s="99"/>
      <c r="N16" s="99"/>
      <c r="O16" s="99"/>
      <c r="P16" s="99"/>
      <c r="Q16" s="99"/>
      <c r="R16" s="99"/>
    </row>
    <row r="17" spans="1:18" ht="15.75" customHeight="1">
      <c r="A17" s="621"/>
      <c r="B17" s="628"/>
      <c r="C17" s="206" t="s">
        <v>214</v>
      </c>
      <c r="D17" s="617"/>
      <c r="E17" s="629"/>
      <c r="F17" s="618"/>
      <c r="G17" s="202"/>
      <c r="H17" s="204"/>
      <c r="I17" s="205"/>
      <c r="J17" s="202"/>
      <c r="K17" s="617"/>
      <c r="L17" s="618"/>
      <c r="M17" s="99"/>
      <c r="N17" s="99"/>
      <c r="O17" s="99"/>
      <c r="P17" s="99"/>
      <c r="Q17" s="99"/>
      <c r="R17" s="99"/>
    </row>
    <row r="18" spans="1:18" s="104" customFormat="1" ht="15.75" customHeight="1">
      <c r="A18" s="633" t="s">
        <v>190</v>
      </c>
      <c r="B18" s="634"/>
      <c r="C18" s="209" t="s">
        <v>47</v>
      </c>
      <c r="D18" s="633" t="s">
        <v>12</v>
      </c>
      <c r="E18" s="635"/>
      <c r="F18" s="634"/>
      <c r="G18" s="209" t="s">
        <v>46</v>
      </c>
      <c r="H18" s="209" t="s">
        <v>394</v>
      </c>
      <c r="I18" s="209" t="s">
        <v>395</v>
      </c>
      <c r="J18" s="162" t="s">
        <v>339</v>
      </c>
      <c r="K18" s="633" t="s">
        <v>51</v>
      </c>
      <c r="L18" s="634"/>
      <c r="M18" s="130"/>
    </row>
    <row r="19" spans="1:18" ht="15.75" customHeight="1">
      <c r="A19" s="620"/>
      <c r="B19" s="626"/>
      <c r="C19" s="202">
        <v>1</v>
      </c>
      <c r="D19" s="617"/>
      <c r="E19" s="629"/>
      <c r="F19" s="618"/>
      <c r="G19" s="202"/>
      <c r="H19" s="204"/>
      <c r="I19" s="205"/>
      <c r="J19" s="202"/>
      <c r="K19" s="617"/>
      <c r="L19" s="618"/>
      <c r="M19" s="99"/>
      <c r="N19" s="99"/>
      <c r="O19" s="99"/>
      <c r="P19" s="99"/>
      <c r="Q19" s="99"/>
      <c r="R19" s="99"/>
    </row>
    <row r="20" spans="1:18" ht="15.75" customHeight="1">
      <c r="A20" s="625"/>
      <c r="B20" s="627"/>
      <c r="C20" s="202">
        <v>2</v>
      </c>
      <c r="D20" s="617"/>
      <c r="E20" s="629"/>
      <c r="F20" s="618"/>
      <c r="G20" s="202"/>
      <c r="H20" s="204"/>
      <c r="I20" s="205"/>
      <c r="J20" s="202"/>
      <c r="K20" s="617"/>
      <c r="L20" s="618"/>
      <c r="M20" s="99"/>
      <c r="N20" s="99"/>
      <c r="O20" s="99"/>
      <c r="P20" s="99"/>
      <c r="Q20" s="99"/>
      <c r="R20" s="99"/>
    </row>
    <row r="21" spans="1:18" ht="15.75" customHeight="1">
      <c r="A21" s="625"/>
      <c r="B21" s="627"/>
      <c r="C21" s="202">
        <v>3</v>
      </c>
      <c r="D21" s="617"/>
      <c r="E21" s="629"/>
      <c r="F21" s="618"/>
      <c r="G21" s="202"/>
      <c r="H21" s="204"/>
      <c r="I21" s="205"/>
      <c r="J21" s="202"/>
      <c r="K21" s="617"/>
      <c r="L21" s="618"/>
      <c r="M21" s="99"/>
      <c r="N21" s="99"/>
      <c r="O21" s="99"/>
      <c r="P21" s="99"/>
      <c r="Q21" s="99"/>
      <c r="R21" s="99"/>
    </row>
    <row r="22" spans="1:18" ht="15.75" customHeight="1">
      <c r="A22" s="625"/>
      <c r="B22" s="627"/>
      <c r="C22" s="202">
        <v>4</v>
      </c>
      <c r="D22" s="617"/>
      <c r="E22" s="629"/>
      <c r="F22" s="618"/>
      <c r="G22" s="202"/>
      <c r="H22" s="204"/>
      <c r="I22" s="205"/>
      <c r="J22" s="202"/>
      <c r="K22" s="617"/>
      <c r="L22" s="618"/>
      <c r="M22" s="99"/>
      <c r="N22" s="99"/>
      <c r="O22" s="99"/>
      <c r="P22" s="99"/>
      <c r="Q22" s="99"/>
      <c r="R22" s="99"/>
    </row>
    <row r="23" spans="1:18" ht="15.75" customHeight="1">
      <c r="A23" s="625"/>
      <c r="B23" s="627"/>
      <c r="C23" s="202">
        <v>5</v>
      </c>
      <c r="D23" s="617"/>
      <c r="E23" s="629"/>
      <c r="F23" s="618"/>
      <c r="G23" s="202"/>
      <c r="H23" s="204"/>
      <c r="I23" s="205"/>
      <c r="J23" s="202"/>
      <c r="K23" s="617"/>
      <c r="L23" s="618"/>
      <c r="M23" s="99"/>
      <c r="N23" s="99"/>
      <c r="O23" s="99"/>
      <c r="P23" s="99"/>
      <c r="Q23" s="99"/>
      <c r="R23" s="99"/>
    </row>
    <row r="24" spans="1:18" ht="15.75" customHeight="1">
      <c r="A24" s="625"/>
      <c r="B24" s="627"/>
      <c r="C24" s="206" t="s">
        <v>207</v>
      </c>
      <c r="D24" s="617"/>
      <c r="E24" s="629"/>
      <c r="F24" s="618"/>
      <c r="G24" s="202"/>
      <c r="H24" s="204"/>
      <c r="I24" s="205"/>
      <c r="J24" s="202"/>
      <c r="K24" s="617"/>
      <c r="L24" s="618"/>
      <c r="M24" s="99"/>
      <c r="N24" s="99"/>
      <c r="O24" s="99"/>
      <c r="P24" s="99"/>
      <c r="Q24" s="99"/>
      <c r="R24" s="99"/>
    </row>
    <row r="25" spans="1:18" ht="15.75" customHeight="1">
      <c r="A25" s="625"/>
      <c r="B25" s="627"/>
      <c r="C25" s="206" t="s">
        <v>212</v>
      </c>
      <c r="D25" s="617"/>
      <c r="E25" s="629"/>
      <c r="F25" s="618"/>
      <c r="G25" s="202"/>
      <c r="H25" s="204"/>
      <c r="I25" s="205"/>
      <c r="J25" s="202"/>
      <c r="K25" s="617"/>
      <c r="L25" s="618"/>
      <c r="M25" s="99"/>
      <c r="N25" s="99"/>
      <c r="O25" s="99"/>
      <c r="P25" s="99"/>
      <c r="Q25" s="99"/>
      <c r="R25" s="99"/>
    </row>
    <row r="26" spans="1:18" ht="15.75" customHeight="1">
      <c r="A26" s="625"/>
      <c r="B26" s="627"/>
      <c r="C26" s="206" t="s">
        <v>208</v>
      </c>
      <c r="D26" s="617"/>
      <c r="E26" s="629"/>
      <c r="F26" s="618"/>
      <c r="G26" s="202"/>
      <c r="H26" s="204"/>
      <c r="I26" s="205"/>
      <c r="J26" s="202"/>
      <c r="K26" s="617"/>
      <c r="L26" s="618"/>
      <c r="M26" s="99"/>
      <c r="N26" s="99"/>
      <c r="O26" s="99"/>
      <c r="P26" s="99"/>
      <c r="Q26" s="99"/>
      <c r="R26" s="99"/>
    </row>
    <row r="27" spans="1:18" ht="15.75" customHeight="1">
      <c r="A27" s="625"/>
      <c r="B27" s="627"/>
      <c r="C27" s="206" t="s">
        <v>213</v>
      </c>
      <c r="D27" s="617"/>
      <c r="E27" s="629"/>
      <c r="F27" s="618"/>
      <c r="G27" s="202"/>
      <c r="H27" s="204"/>
      <c r="I27" s="205"/>
      <c r="J27" s="202"/>
      <c r="K27" s="617"/>
      <c r="L27" s="618"/>
      <c r="M27" s="99"/>
      <c r="N27" s="99"/>
      <c r="O27" s="99"/>
      <c r="P27" s="99"/>
      <c r="Q27" s="99"/>
      <c r="R27" s="99"/>
    </row>
    <row r="28" spans="1:18" ht="15.75" customHeight="1">
      <c r="A28" s="621"/>
      <c r="B28" s="628"/>
      <c r="C28" s="206" t="s">
        <v>214</v>
      </c>
      <c r="D28" s="617"/>
      <c r="E28" s="629"/>
      <c r="F28" s="618"/>
      <c r="G28" s="202"/>
      <c r="H28" s="204"/>
      <c r="I28" s="205"/>
      <c r="J28" s="202"/>
      <c r="K28" s="617"/>
      <c r="L28" s="618"/>
      <c r="M28" s="99"/>
      <c r="N28" s="99"/>
      <c r="O28" s="99"/>
      <c r="P28" s="99"/>
      <c r="Q28" s="99"/>
      <c r="R28" s="99"/>
    </row>
    <row r="29" spans="1:18" ht="15.75" customHeight="1">
      <c r="A29" s="615" t="s">
        <v>610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  <c r="N29" s="99"/>
      <c r="O29" s="99"/>
      <c r="P29" s="99"/>
      <c r="Q29" s="99"/>
      <c r="R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20" t="s">
        <v>164</v>
      </c>
      <c r="B31" s="172">
        <v>1</v>
      </c>
      <c r="C31" s="172">
        <v>2</v>
      </c>
      <c r="D31" s="172">
        <v>3</v>
      </c>
      <c r="E31" s="172">
        <v>4</v>
      </c>
      <c r="F31" s="172">
        <v>5</v>
      </c>
      <c r="G31" s="172">
        <v>6</v>
      </c>
      <c r="H31" s="172">
        <v>7</v>
      </c>
      <c r="I31" s="172">
        <v>8</v>
      </c>
      <c r="J31" s="193">
        <v>9</v>
      </c>
      <c r="K31" s="194"/>
      <c r="L31" s="194"/>
      <c r="M31" s="129"/>
    </row>
    <row r="32" spans="1:18" ht="16.399999999999999" customHeight="1">
      <c r="A32" s="621"/>
      <c r="B32" s="197" t="s">
        <v>209</v>
      </c>
      <c r="C32" s="197" t="s">
        <v>157</v>
      </c>
      <c r="D32" s="197" t="s">
        <v>210</v>
      </c>
      <c r="E32" s="197" t="s">
        <v>158</v>
      </c>
      <c r="F32" s="197" t="s">
        <v>139</v>
      </c>
      <c r="G32" s="198" t="s">
        <v>137</v>
      </c>
      <c r="H32" s="199" t="s">
        <v>211</v>
      </c>
      <c r="I32" s="198" t="s">
        <v>393</v>
      </c>
      <c r="J32" s="211" t="s">
        <v>143</v>
      </c>
      <c r="K32" s="200"/>
      <c r="L32" s="200"/>
      <c r="N32" s="99"/>
      <c r="O32" s="99"/>
      <c r="P32" s="99"/>
      <c r="Q32" s="99"/>
      <c r="R32" s="99"/>
    </row>
    <row r="33" spans="1:18" s="106" customFormat="1" ht="15.75" customHeight="1">
      <c r="A33" s="622" t="s">
        <v>190</v>
      </c>
      <c r="B33" s="623"/>
      <c r="C33" s="162" t="s">
        <v>47</v>
      </c>
      <c r="D33" s="622" t="s">
        <v>12</v>
      </c>
      <c r="E33" s="624"/>
      <c r="F33" s="623"/>
      <c r="G33" s="162" t="s">
        <v>46</v>
      </c>
      <c r="H33" s="162" t="s">
        <v>394</v>
      </c>
      <c r="I33" s="162" t="s">
        <v>395</v>
      </c>
      <c r="J33" s="162" t="s">
        <v>339</v>
      </c>
      <c r="K33" s="622" t="s">
        <v>51</v>
      </c>
      <c r="L33" s="623"/>
      <c r="M33" s="129"/>
    </row>
    <row r="34" spans="1:18" ht="15.75" customHeight="1">
      <c r="A34" s="620">
        <f>J31</f>
        <v>9</v>
      </c>
      <c r="B34" s="626" t="str">
        <f>J32</f>
        <v>微波小吃</v>
      </c>
      <c r="C34" s="202">
        <v>1</v>
      </c>
      <c r="D34" s="617" t="s">
        <v>370</v>
      </c>
      <c r="E34" s="629"/>
      <c r="F34" s="618"/>
      <c r="G34" s="202">
        <v>13</v>
      </c>
      <c r="H34" s="204">
        <v>1077.5297379436659</v>
      </c>
      <c r="I34" s="205">
        <v>82.886902918743544</v>
      </c>
      <c r="J34" s="384">
        <f>I34-I8</f>
        <v>-4.5754282989634021E-3</v>
      </c>
      <c r="K34" s="609" t="s">
        <v>476</v>
      </c>
      <c r="L34" s="610"/>
      <c r="N34" s="99"/>
      <c r="O34" s="99"/>
      <c r="P34" s="99"/>
      <c r="Q34" s="99"/>
      <c r="R34" s="99"/>
    </row>
    <row r="35" spans="1:18" ht="15.75" customHeight="1">
      <c r="A35" s="625"/>
      <c r="B35" s="627"/>
      <c r="C35" s="202">
        <v>2</v>
      </c>
      <c r="D35" s="617" t="s">
        <v>481</v>
      </c>
      <c r="E35" s="629"/>
      <c r="F35" s="618"/>
      <c r="G35" s="202">
        <v>22</v>
      </c>
      <c r="H35" s="204">
        <v>1597.1389088160445</v>
      </c>
      <c r="I35" s="205">
        <v>72.597223128002014</v>
      </c>
      <c r="J35" s="384">
        <f>I35-I9</f>
        <v>-1.4908530681196908E-3</v>
      </c>
      <c r="K35" s="609" t="s">
        <v>476</v>
      </c>
      <c r="L35" s="610"/>
      <c r="N35" s="99"/>
      <c r="O35" s="99"/>
      <c r="P35" s="99"/>
      <c r="Q35" s="99"/>
      <c r="R35" s="99"/>
    </row>
    <row r="36" spans="1:18" ht="15.75" customHeight="1">
      <c r="A36" s="625"/>
      <c r="B36" s="627"/>
      <c r="C36" s="202">
        <v>3</v>
      </c>
      <c r="D36" s="617" t="s">
        <v>499</v>
      </c>
      <c r="E36" s="629"/>
      <c r="F36" s="618"/>
      <c r="G36" s="202">
        <v>22</v>
      </c>
      <c r="H36" s="204">
        <v>1595.5294705072276</v>
      </c>
      <c r="I36" s="205">
        <v>72.524066841237627</v>
      </c>
      <c r="J36" s="384">
        <f>I36-I10</f>
        <v>1.9379318488986996E-2</v>
      </c>
      <c r="K36" s="609" t="s">
        <v>476</v>
      </c>
      <c r="L36" s="610"/>
      <c r="N36" s="99"/>
      <c r="O36" s="99"/>
      <c r="P36" s="99"/>
      <c r="Q36" s="99"/>
      <c r="R36" s="99"/>
    </row>
    <row r="37" spans="1:18" ht="15.75" customHeight="1">
      <c r="A37" s="625"/>
      <c r="B37" s="627"/>
      <c r="C37" s="202">
        <v>4</v>
      </c>
      <c r="D37" s="617"/>
      <c r="E37" s="629"/>
      <c r="F37" s="618"/>
      <c r="G37" s="204"/>
      <c r="H37" s="204"/>
      <c r="I37" s="205"/>
      <c r="J37" s="202"/>
      <c r="K37" s="617"/>
      <c r="L37" s="618"/>
      <c r="N37" s="99"/>
      <c r="O37" s="99"/>
      <c r="P37" s="99"/>
      <c r="Q37" s="99"/>
      <c r="R37" s="99"/>
    </row>
    <row r="38" spans="1:18" ht="15.75" customHeight="1">
      <c r="A38" s="625"/>
      <c r="B38" s="627"/>
      <c r="C38" s="202">
        <v>5</v>
      </c>
      <c r="D38" s="617"/>
      <c r="E38" s="629"/>
      <c r="F38" s="618"/>
      <c r="G38" s="202"/>
      <c r="H38" s="204"/>
      <c r="I38" s="205"/>
      <c r="J38" s="202"/>
      <c r="K38" s="617"/>
      <c r="L38" s="618"/>
      <c r="N38" s="99"/>
      <c r="O38" s="99"/>
      <c r="P38" s="99"/>
      <c r="Q38" s="99"/>
      <c r="R38" s="99"/>
    </row>
    <row r="39" spans="1:18" ht="15.75" customHeight="1">
      <c r="A39" s="625"/>
      <c r="B39" s="627"/>
      <c r="C39" s="206" t="s">
        <v>207</v>
      </c>
      <c r="D39" s="617"/>
      <c r="E39" s="629"/>
      <c r="F39" s="618"/>
      <c r="G39" s="202"/>
      <c r="H39" s="204"/>
      <c r="I39" s="205"/>
      <c r="J39" s="202"/>
      <c r="K39" s="617"/>
      <c r="L39" s="618"/>
      <c r="N39" s="99"/>
      <c r="O39" s="99"/>
      <c r="P39" s="99"/>
      <c r="Q39" s="99"/>
      <c r="R39" s="99"/>
    </row>
    <row r="40" spans="1:18" ht="15.75" customHeight="1">
      <c r="A40" s="625"/>
      <c r="B40" s="627"/>
      <c r="C40" s="206" t="s">
        <v>212</v>
      </c>
      <c r="D40" s="617"/>
      <c r="E40" s="629"/>
      <c r="F40" s="618"/>
      <c r="G40" s="202"/>
      <c r="H40" s="204"/>
      <c r="I40" s="205"/>
      <c r="J40" s="202"/>
      <c r="K40" s="617"/>
      <c r="L40" s="618"/>
      <c r="N40" s="99"/>
      <c r="O40" s="99"/>
      <c r="P40" s="99"/>
      <c r="Q40" s="99"/>
      <c r="R40" s="99"/>
    </row>
    <row r="41" spans="1:18" ht="15.75" customHeight="1">
      <c r="A41" s="625"/>
      <c r="B41" s="627"/>
      <c r="C41" s="206" t="s">
        <v>208</v>
      </c>
      <c r="D41" s="617"/>
      <c r="E41" s="629"/>
      <c r="F41" s="618"/>
      <c r="G41" s="202"/>
      <c r="H41" s="204"/>
      <c r="I41" s="205"/>
      <c r="J41" s="202"/>
      <c r="K41" s="617"/>
      <c r="L41" s="618"/>
      <c r="N41" s="99"/>
      <c r="O41" s="99"/>
      <c r="P41" s="99"/>
      <c r="Q41" s="99"/>
      <c r="R41" s="99"/>
    </row>
    <row r="42" spans="1:18" ht="15.75" customHeight="1">
      <c r="A42" s="625"/>
      <c r="B42" s="627"/>
      <c r="C42" s="206" t="s">
        <v>213</v>
      </c>
      <c r="D42" s="617"/>
      <c r="E42" s="629"/>
      <c r="F42" s="618"/>
      <c r="G42" s="202"/>
      <c r="H42" s="204"/>
      <c r="I42" s="205"/>
      <c r="J42" s="202"/>
      <c r="K42" s="617"/>
      <c r="L42" s="618"/>
      <c r="M42" s="99"/>
      <c r="N42" s="99"/>
      <c r="O42" s="99"/>
      <c r="P42" s="99"/>
      <c r="Q42" s="99"/>
      <c r="R42" s="99"/>
    </row>
    <row r="43" spans="1:18" ht="15.75" customHeight="1">
      <c r="A43" s="621"/>
      <c r="B43" s="628"/>
      <c r="C43" s="206" t="s">
        <v>214</v>
      </c>
      <c r="D43" s="617"/>
      <c r="E43" s="629"/>
      <c r="F43" s="618"/>
      <c r="G43" s="202"/>
      <c r="H43" s="204"/>
      <c r="I43" s="205"/>
      <c r="J43" s="202"/>
      <c r="K43" s="617"/>
      <c r="L43" s="618"/>
      <c r="M43" s="99"/>
      <c r="N43" s="99"/>
      <c r="O43" s="99"/>
      <c r="P43" s="99"/>
      <c r="Q43" s="99"/>
      <c r="R43" s="99"/>
    </row>
    <row r="44" spans="1:18" s="104" customFormat="1" ht="15.75" customHeight="1">
      <c r="A44" s="633" t="s">
        <v>190</v>
      </c>
      <c r="B44" s="634"/>
      <c r="C44" s="209" t="s">
        <v>47</v>
      </c>
      <c r="D44" s="633" t="s">
        <v>12</v>
      </c>
      <c r="E44" s="635"/>
      <c r="F44" s="634"/>
      <c r="G44" s="209" t="s">
        <v>46</v>
      </c>
      <c r="H44" s="209" t="s">
        <v>394</v>
      </c>
      <c r="I44" s="209" t="s">
        <v>395</v>
      </c>
      <c r="J44" s="162" t="s">
        <v>339</v>
      </c>
      <c r="K44" s="633" t="s">
        <v>51</v>
      </c>
      <c r="L44" s="634"/>
      <c r="M44" s="130"/>
    </row>
    <row r="45" spans="1:18" ht="15.75" customHeight="1">
      <c r="A45" s="620"/>
      <c r="B45" s="626"/>
      <c r="C45" s="202">
        <v>1</v>
      </c>
      <c r="D45" s="617"/>
      <c r="E45" s="629"/>
      <c r="F45" s="618"/>
      <c r="G45" s="202"/>
      <c r="H45" s="204"/>
      <c r="I45" s="205"/>
      <c r="J45" s="202"/>
      <c r="K45" s="617"/>
      <c r="L45" s="618"/>
      <c r="M45" s="99"/>
      <c r="N45" s="99"/>
      <c r="O45" s="99"/>
      <c r="P45" s="99"/>
      <c r="Q45" s="99"/>
      <c r="R45" s="99"/>
    </row>
    <row r="46" spans="1:18" ht="15.75" customHeight="1">
      <c r="A46" s="625"/>
      <c r="B46" s="627"/>
      <c r="C46" s="202">
        <v>2</v>
      </c>
      <c r="D46" s="617"/>
      <c r="E46" s="629"/>
      <c r="F46" s="618"/>
      <c r="G46" s="202"/>
      <c r="H46" s="204"/>
      <c r="I46" s="205"/>
      <c r="J46" s="202"/>
      <c r="K46" s="617"/>
      <c r="L46" s="618"/>
      <c r="M46" s="99"/>
      <c r="N46" s="99"/>
      <c r="O46" s="99"/>
      <c r="P46" s="99"/>
      <c r="Q46" s="99"/>
      <c r="R46" s="99"/>
    </row>
    <row r="47" spans="1:18" ht="15.75" customHeight="1">
      <c r="A47" s="625"/>
      <c r="B47" s="627"/>
      <c r="C47" s="202">
        <v>3</v>
      </c>
      <c r="D47" s="617"/>
      <c r="E47" s="629"/>
      <c r="F47" s="618"/>
      <c r="G47" s="202"/>
      <c r="H47" s="204"/>
      <c r="I47" s="205"/>
      <c r="J47" s="202"/>
      <c r="K47" s="617"/>
      <c r="L47" s="618"/>
      <c r="M47" s="99"/>
      <c r="N47" s="99"/>
      <c r="O47" s="99"/>
      <c r="P47" s="99"/>
      <c r="Q47" s="99"/>
      <c r="R47" s="99"/>
    </row>
    <row r="48" spans="1:18" ht="15.75" customHeight="1">
      <c r="A48" s="625"/>
      <c r="B48" s="627"/>
      <c r="C48" s="202">
        <v>4</v>
      </c>
      <c r="D48" s="617"/>
      <c r="E48" s="629"/>
      <c r="F48" s="618"/>
      <c r="G48" s="202"/>
      <c r="H48" s="204"/>
      <c r="I48" s="205"/>
      <c r="J48" s="202"/>
      <c r="K48" s="617"/>
      <c r="L48" s="618"/>
      <c r="M48" s="99"/>
      <c r="N48" s="99"/>
      <c r="O48" s="99"/>
      <c r="P48" s="99"/>
      <c r="Q48" s="99"/>
      <c r="R48" s="99"/>
    </row>
    <row r="49" spans="1:18" ht="15.75" customHeight="1">
      <c r="A49" s="625"/>
      <c r="B49" s="627"/>
      <c r="C49" s="202">
        <v>5</v>
      </c>
      <c r="D49" s="617"/>
      <c r="E49" s="629"/>
      <c r="F49" s="618"/>
      <c r="G49" s="202"/>
      <c r="H49" s="204"/>
      <c r="I49" s="205"/>
      <c r="J49" s="202"/>
      <c r="K49" s="617"/>
      <c r="L49" s="618"/>
      <c r="M49" s="99"/>
      <c r="N49" s="99"/>
      <c r="O49" s="99"/>
      <c r="P49" s="99"/>
      <c r="Q49" s="99"/>
      <c r="R49" s="99"/>
    </row>
    <row r="50" spans="1:18" ht="15.75" customHeight="1">
      <c r="A50" s="625"/>
      <c r="B50" s="627"/>
      <c r="C50" s="206" t="s">
        <v>207</v>
      </c>
      <c r="D50" s="617"/>
      <c r="E50" s="629"/>
      <c r="F50" s="618"/>
      <c r="G50" s="202"/>
      <c r="H50" s="204"/>
      <c r="I50" s="205"/>
      <c r="J50" s="202"/>
      <c r="K50" s="617"/>
      <c r="L50" s="618"/>
      <c r="M50" s="99"/>
      <c r="N50" s="99"/>
      <c r="O50" s="99"/>
      <c r="P50" s="99"/>
      <c r="Q50" s="99"/>
      <c r="R50" s="99"/>
    </row>
    <row r="51" spans="1:18" ht="15.75" customHeight="1">
      <c r="A51" s="625"/>
      <c r="B51" s="627"/>
      <c r="C51" s="206" t="s">
        <v>212</v>
      </c>
      <c r="D51" s="617"/>
      <c r="E51" s="629"/>
      <c r="F51" s="618"/>
      <c r="G51" s="202"/>
      <c r="H51" s="204"/>
      <c r="I51" s="205"/>
      <c r="J51" s="202"/>
      <c r="K51" s="617"/>
      <c r="L51" s="618"/>
      <c r="M51" s="99"/>
      <c r="N51" s="99"/>
      <c r="O51" s="99"/>
      <c r="P51" s="99"/>
      <c r="Q51" s="99"/>
      <c r="R51" s="99"/>
    </row>
    <row r="52" spans="1:18" ht="15.75" customHeight="1">
      <c r="A52" s="625"/>
      <c r="B52" s="627"/>
      <c r="C52" s="206" t="s">
        <v>208</v>
      </c>
      <c r="D52" s="617"/>
      <c r="E52" s="629"/>
      <c r="F52" s="618"/>
      <c r="G52" s="202"/>
      <c r="H52" s="204"/>
      <c r="I52" s="205"/>
      <c r="J52" s="202"/>
      <c r="K52" s="617"/>
      <c r="L52" s="618"/>
      <c r="M52" s="99"/>
      <c r="N52" s="99"/>
      <c r="O52" s="99"/>
      <c r="P52" s="99"/>
      <c r="Q52" s="99"/>
      <c r="R52" s="99"/>
    </row>
    <row r="53" spans="1:18" ht="15.75" customHeight="1">
      <c r="A53" s="625"/>
      <c r="B53" s="627"/>
      <c r="C53" s="206" t="s">
        <v>213</v>
      </c>
      <c r="D53" s="617"/>
      <c r="E53" s="629"/>
      <c r="F53" s="618"/>
      <c r="G53" s="202"/>
      <c r="H53" s="204"/>
      <c r="I53" s="205"/>
      <c r="J53" s="202"/>
      <c r="K53" s="617"/>
      <c r="L53" s="618"/>
      <c r="M53" s="99"/>
      <c r="N53" s="99"/>
      <c r="O53" s="99"/>
      <c r="P53" s="99"/>
      <c r="Q53" s="99"/>
      <c r="R53" s="99"/>
    </row>
    <row r="54" spans="1:18" ht="15.75" customHeight="1">
      <c r="A54" s="621"/>
      <c r="B54" s="628"/>
      <c r="C54" s="206" t="s">
        <v>214</v>
      </c>
      <c r="D54" s="617"/>
      <c r="E54" s="629"/>
      <c r="F54" s="618"/>
      <c r="G54" s="202"/>
      <c r="H54" s="204"/>
      <c r="I54" s="205"/>
      <c r="J54" s="202"/>
      <c r="K54" s="617"/>
      <c r="L54" s="618"/>
      <c r="M54" s="99"/>
      <c r="N54" s="99"/>
      <c r="O54" s="99"/>
      <c r="P54" s="99"/>
      <c r="Q54" s="99"/>
      <c r="R54" s="99"/>
    </row>
    <row r="55" spans="1:18" s="191" customFormat="1" ht="15.75" customHeight="1">
      <c r="A55" s="615" t="s">
        <v>686</v>
      </c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</row>
    <row r="56" spans="1:18" s="192" customFormat="1" ht="15.75" customHeight="1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</row>
    <row r="57" spans="1:18" s="106" customFormat="1" ht="16.399999999999999" customHeight="1">
      <c r="A57" s="620" t="s">
        <v>164</v>
      </c>
      <c r="B57" s="172">
        <v>1</v>
      </c>
      <c r="C57" s="172">
        <v>2</v>
      </c>
      <c r="D57" s="172">
        <v>3</v>
      </c>
      <c r="E57" s="172">
        <v>4</v>
      </c>
      <c r="F57" s="172">
        <v>5</v>
      </c>
      <c r="G57" s="172">
        <v>6</v>
      </c>
      <c r="H57" s="172">
        <v>7</v>
      </c>
      <c r="I57" s="172">
        <v>8</v>
      </c>
      <c r="J57" s="193">
        <v>9</v>
      </c>
      <c r="K57" s="194"/>
      <c r="L57" s="194"/>
      <c r="M57" s="129"/>
      <c r="N57" s="180"/>
      <c r="O57" s="180"/>
      <c r="P57" s="180"/>
      <c r="Q57" s="180"/>
      <c r="R57" s="180"/>
    </row>
    <row r="58" spans="1:18" ht="16.399999999999999" customHeight="1">
      <c r="A58" s="621"/>
      <c r="B58" s="197" t="s">
        <v>209</v>
      </c>
      <c r="C58" s="197" t="s">
        <v>157</v>
      </c>
      <c r="D58" s="197" t="s">
        <v>210</v>
      </c>
      <c r="E58" s="197" t="s">
        <v>158</v>
      </c>
      <c r="F58" s="197" t="s">
        <v>139</v>
      </c>
      <c r="G58" s="198" t="s">
        <v>137</v>
      </c>
      <c r="H58" s="199" t="s">
        <v>211</v>
      </c>
      <c r="I58" s="198" t="s">
        <v>393</v>
      </c>
      <c r="J58" s="211" t="s">
        <v>143</v>
      </c>
      <c r="K58" s="200"/>
      <c r="L58" s="200"/>
      <c r="N58" s="201"/>
      <c r="O58" s="201"/>
      <c r="P58" s="201"/>
      <c r="Q58" s="201"/>
      <c r="R58" s="201"/>
    </row>
    <row r="59" spans="1:18" s="106" customFormat="1" ht="15.75" customHeight="1">
      <c r="A59" s="622" t="s">
        <v>190</v>
      </c>
      <c r="B59" s="623"/>
      <c r="C59" s="162" t="s">
        <v>47</v>
      </c>
      <c r="D59" s="622" t="s">
        <v>12</v>
      </c>
      <c r="E59" s="624"/>
      <c r="F59" s="623"/>
      <c r="G59" s="162" t="s">
        <v>46</v>
      </c>
      <c r="H59" s="162" t="s">
        <v>394</v>
      </c>
      <c r="I59" s="162" t="s">
        <v>395</v>
      </c>
      <c r="J59" s="162" t="s">
        <v>339</v>
      </c>
      <c r="K59" s="622" t="s">
        <v>51</v>
      </c>
      <c r="L59" s="623"/>
      <c r="M59" s="129"/>
      <c r="N59" s="191"/>
      <c r="O59" s="201"/>
      <c r="P59" s="449"/>
      <c r="Q59" s="449"/>
      <c r="R59" s="201"/>
    </row>
    <row r="60" spans="1:18" ht="15.75" customHeight="1">
      <c r="A60" s="620">
        <f>J57</f>
        <v>9</v>
      </c>
      <c r="B60" s="626" t="str">
        <f>J58</f>
        <v>微波小吃</v>
      </c>
      <c r="C60" s="202">
        <v>1</v>
      </c>
      <c r="D60" s="617" t="s">
        <v>370</v>
      </c>
      <c r="E60" s="629"/>
      <c r="F60" s="618"/>
      <c r="G60" s="202">
        <v>13</v>
      </c>
      <c r="H60" s="204">
        <v>1077.6860989850131</v>
      </c>
      <c r="I60" s="205">
        <v>82.898930691154845</v>
      </c>
      <c r="J60" s="384">
        <f>I60-I34</f>
        <v>1.202777241130093E-2</v>
      </c>
      <c r="K60" s="609" t="s">
        <v>476</v>
      </c>
      <c r="L60" s="610"/>
      <c r="O60" s="201"/>
      <c r="P60" s="449"/>
      <c r="Q60" s="449"/>
      <c r="R60" s="201"/>
    </row>
    <row r="61" spans="1:18" ht="15.75" customHeight="1">
      <c r="A61" s="625"/>
      <c r="B61" s="627"/>
      <c r="C61" s="202">
        <v>2</v>
      </c>
      <c r="D61" s="617" t="s">
        <v>499</v>
      </c>
      <c r="E61" s="629"/>
      <c r="F61" s="618"/>
      <c r="G61" s="202">
        <v>22</v>
      </c>
      <c r="H61" s="204">
        <v>1598.2669403360335</v>
      </c>
      <c r="I61" s="205">
        <v>72.648497288001522</v>
      </c>
      <c r="J61" s="384">
        <f>I61-I36</f>
        <v>0.12443044676389547</v>
      </c>
      <c r="K61" s="609" t="s">
        <v>476</v>
      </c>
      <c r="L61" s="610"/>
      <c r="O61" s="201"/>
      <c r="P61" s="449"/>
      <c r="Q61" s="449"/>
      <c r="R61" s="201"/>
    </row>
    <row r="62" spans="1:18" ht="15.75" customHeight="1">
      <c r="A62" s="625"/>
      <c r="B62" s="627"/>
      <c r="C62" s="202">
        <v>3</v>
      </c>
      <c r="D62" s="617" t="s">
        <v>481</v>
      </c>
      <c r="E62" s="629"/>
      <c r="F62" s="618"/>
      <c r="G62" s="202">
        <v>22</v>
      </c>
      <c r="H62" s="204">
        <v>1597.9958154221699</v>
      </c>
      <c r="I62" s="205">
        <v>72.636173428280458</v>
      </c>
      <c r="J62" s="384">
        <f>I62-I35</f>
        <v>3.8950300278443706E-2</v>
      </c>
      <c r="K62" s="609" t="s">
        <v>476</v>
      </c>
      <c r="L62" s="610"/>
      <c r="O62" s="201"/>
      <c r="P62" s="449"/>
      <c r="Q62" s="449"/>
      <c r="R62" s="201"/>
    </row>
    <row r="63" spans="1:18" ht="15.75" customHeight="1">
      <c r="A63" s="625"/>
      <c r="B63" s="627"/>
      <c r="C63" s="202">
        <v>4</v>
      </c>
      <c r="D63" s="617"/>
      <c r="E63" s="629"/>
      <c r="F63" s="618"/>
      <c r="G63" s="204"/>
      <c r="H63" s="204"/>
      <c r="I63" s="205"/>
      <c r="J63" s="202"/>
      <c r="K63" s="617"/>
      <c r="L63" s="618"/>
      <c r="O63" s="201"/>
      <c r="P63" s="449"/>
      <c r="Q63" s="449"/>
      <c r="R63" s="201"/>
    </row>
    <row r="64" spans="1:18" ht="15.75" customHeight="1">
      <c r="A64" s="625"/>
      <c r="B64" s="627"/>
      <c r="C64" s="202">
        <v>5</v>
      </c>
      <c r="D64" s="617"/>
      <c r="E64" s="629"/>
      <c r="F64" s="618"/>
      <c r="G64" s="202"/>
      <c r="H64" s="204"/>
      <c r="I64" s="205"/>
      <c r="J64" s="202"/>
      <c r="K64" s="617"/>
      <c r="L64" s="618"/>
      <c r="O64" s="201"/>
      <c r="P64" s="449"/>
      <c r="Q64" s="449"/>
      <c r="R64" s="201"/>
    </row>
    <row r="65" spans="1:18" ht="15.75" customHeight="1">
      <c r="A65" s="625"/>
      <c r="B65" s="627"/>
      <c r="C65" s="206" t="s">
        <v>207</v>
      </c>
      <c r="D65" s="617"/>
      <c r="E65" s="629"/>
      <c r="F65" s="618"/>
      <c r="G65" s="202"/>
      <c r="H65" s="204"/>
      <c r="I65" s="205"/>
      <c r="J65" s="202"/>
      <c r="K65" s="617"/>
      <c r="L65" s="618"/>
      <c r="O65" s="201"/>
      <c r="P65" s="449"/>
      <c r="Q65" s="449"/>
      <c r="R65" s="201"/>
    </row>
    <row r="66" spans="1:18" ht="15.75" customHeight="1">
      <c r="A66" s="625"/>
      <c r="B66" s="627"/>
      <c r="C66" s="206" t="s">
        <v>212</v>
      </c>
      <c r="D66" s="617"/>
      <c r="E66" s="629"/>
      <c r="F66" s="618"/>
      <c r="G66" s="202"/>
      <c r="H66" s="204"/>
      <c r="I66" s="205"/>
      <c r="J66" s="202"/>
      <c r="K66" s="617"/>
      <c r="L66" s="618"/>
      <c r="N66" s="180"/>
      <c r="O66" s="180"/>
      <c r="P66" s="448"/>
      <c r="Q66" s="448"/>
      <c r="R66" s="180"/>
    </row>
    <row r="67" spans="1:18" ht="15.75" customHeight="1">
      <c r="A67" s="625"/>
      <c r="B67" s="627"/>
      <c r="C67" s="206" t="s">
        <v>208</v>
      </c>
      <c r="D67" s="617"/>
      <c r="E67" s="629"/>
      <c r="F67" s="618"/>
      <c r="G67" s="202"/>
      <c r="H67" s="204"/>
      <c r="I67" s="205"/>
      <c r="J67" s="202"/>
      <c r="K67" s="617"/>
      <c r="L67" s="618"/>
      <c r="O67" s="201"/>
      <c r="P67" s="449"/>
      <c r="Q67" s="449"/>
      <c r="R67" s="201"/>
    </row>
    <row r="68" spans="1:18" ht="15.75" customHeight="1">
      <c r="A68" s="625"/>
      <c r="B68" s="627"/>
      <c r="C68" s="206" t="s">
        <v>213</v>
      </c>
      <c r="D68" s="617"/>
      <c r="E68" s="629"/>
      <c r="F68" s="618"/>
      <c r="G68" s="202"/>
      <c r="H68" s="204"/>
      <c r="I68" s="205"/>
      <c r="J68" s="202"/>
      <c r="K68" s="617"/>
      <c r="L68" s="618"/>
      <c r="M68" s="99"/>
      <c r="O68" s="201"/>
      <c r="P68" s="449"/>
      <c r="Q68" s="449"/>
      <c r="R68" s="201"/>
    </row>
    <row r="69" spans="1:18" ht="15.75" customHeight="1">
      <c r="A69" s="621"/>
      <c r="B69" s="628"/>
      <c r="C69" s="206" t="s">
        <v>214</v>
      </c>
      <c r="D69" s="617"/>
      <c r="E69" s="629"/>
      <c r="F69" s="618"/>
      <c r="G69" s="202"/>
      <c r="H69" s="204"/>
      <c r="I69" s="205"/>
      <c r="J69" s="202"/>
      <c r="K69" s="617"/>
      <c r="L69" s="618"/>
      <c r="M69" s="99"/>
      <c r="O69" s="201"/>
      <c r="P69" s="449"/>
      <c r="Q69" s="449"/>
      <c r="R69" s="201"/>
    </row>
    <row r="70" spans="1:18" s="104" customFormat="1" ht="15.75" customHeight="1">
      <c r="A70" s="633" t="s">
        <v>190</v>
      </c>
      <c r="B70" s="634"/>
      <c r="C70" s="209" t="s">
        <v>47</v>
      </c>
      <c r="D70" s="633" t="s">
        <v>12</v>
      </c>
      <c r="E70" s="635"/>
      <c r="F70" s="634"/>
      <c r="G70" s="209" t="s">
        <v>46</v>
      </c>
      <c r="H70" s="209" t="s">
        <v>394</v>
      </c>
      <c r="I70" s="209" t="s">
        <v>395</v>
      </c>
      <c r="J70" s="162" t="s">
        <v>339</v>
      </c>
      <c r="K70" s="633" t="s">
        <v>51</v>
      </c>
      <c r="L70" s="634"/>
      <c r="M70" s="130"/>
      <c r="N70" s="191"/>
      <c r="O70" s="201"/>
      <c r="P70" s="449"/>
      <c r="Q70" s="449"/>
      <c r="R70" s="201"/>
    </row>
    <row r="71" spans="1:18" ht="15.75" customHeight="1">
      <c r="A71" s="620"/>
      <c r="B71" s="626"/>
      <c r="C71" s="202">
        <v>1</v>
      </c>
      <c r="D71" s="617"/>
      <c r="E71" s="629"/>
      <c r="F71" s="618"/>
      <c r="G71" s="202"/>
      <c r="H71" s="204"/>
      <c r="I71" s="205"/>
      <c r="J71" s="202"/>
      <c r="K71" s="617"/>
      <c r="L71" s="618"/>
      <c r="M71" s="99"/>
      <c r="N71" s="201"/>
      <c r="O71" s="201"/>
      <c r="P71" s="449"/>
      <c r="Q71" s="449"/>
      <c r="R71" s="201"/>
    </row>
    <row r="72" spans="1:18" ht="15.75" customHeight="1">
      <c r="A72" s="625"/>
      <c r="B72" s="627"/>
      <c r="C72" s="202">
        <v>2</v>
      </c>
      <c r="D72" s="617"/>
      <c r="E72" s="629"/>
      <c r="F72" s="618"/>
      <c r="G72" s="202"/>
      <c r="H72" s="204"/>
      <c r="I72" s="205"/>
      <c r="J72" s="202"/>
      <c r="K72" s="617"/>
      <c r="L72" s="618"/>
      <c r="M72" s="99"/>
      <c r="O72" s="201"/>
      <c r="P72" s="449"/>
      <c r="Q72" s="449"/>
      <c r="R72" s="201"/>
    </row>
    <row r="73" spans="1:18" ht="15.75" customHeight="1">
      <c r="A73" s="625"/>
      <c r="B73" s="627"/>
      <c r="C73" s="202">
        <v>3</v>
      </c>
      <c r="D73" s="617"/>
      <c r="E73" s="629"/>
      <c r="F73" s="618"/>
      <c r="G73" s="202"/>
      <c r="H73" s="204"/>
      <c r="I73" s="205"/>
      <c r="J73" s="202"/>
      <c r="K73" s="617"/>
      <c r="L73" s="618"/>
      <c r="M73" s="99"/>
      <c r="O73" s="201"/>
      <c r="P73" s="449"/>
      <c r="Q73" s="449"/>
      <c r="R73" s="201"/>
    </row>
    <row r="74" spans="1:18" ht="15.75" customHeight="1">
      <c r="A74" s="625"/>
      <c r="B74" s="627"/>
      <c r="C74" s="202">
        <v>4</v>
      </c>
      <c r="D74" s="617"/>
      <c r="E74" s="629"/>
      <c r="F74" s="618"/>
      <c r="G74" s="202"/>
      <c r="H74" s="204"/>
      <c r="I74" s="205"/>
      <c r="J74" s="202"/>
      <c r="K74" s="617"/>
      <c r="L74" s="618"/>
      <c r="M74" s="99"/>
      <c r="O74" s="201"/>
      <c r="P74" s="449"/>
      <c r="Q74" s="449"/>
      <c r="R74" s="201"/>
    </row>
    <row r="75" spans="1:18" ht="15.75" customHeight="1">
      <c r="A75" s="625"/>
      <c r="B75" s="627"/>
      <c r="C75" s="202">
        <v>5</v>
      </c>
      <c r="D75" s="617"/>
      <c r="E75" s="629"/>
      <c r="F75" s="618"/>
      <c r="G75" s="202"/>
      <c r="H75" s="204"/>
      <c r="I75" s="205"/>
      <c r="J75" s="202"/>
      <c r="K75" s="617"/>
      <c r="L75" s="618"/>
      <c r="M75" s="99"/>
      <c r="O75" s="201"/>
      <c r="P75" s="449"/>
      <c r="Q75" s="449"/>
      <c r="R75" s="201"/>
    </row>
    <row r="76" spans="1:18" ht="15.75" customHeight="1">
      <c r="A76" s="625"/>
      <c r="B76" s="627"/>
      <c r="C76" s="206" t="s">
        <v>207</v>
      </c>
      <c r="D76" s="617"/>
      <c r="E76" s="629"/>
      <c r="F76" s="618"/>
      <c r="G76" s="202"/>
      <c r="H76" s="204"/>
      <c r="I76" s="205"/>
      <c r="J76" s="202"/>
      <c r="K76" s="617"/>
      <c r="L76" s="618"/>
      <c r="M76" s="99"/>
      <c r="O76" s="201"/>
      <c r="P76" s="449"/>
      <c r="Q76" s="449"/>
      <c r="R76" s="201"/>
    </row>
    <row r="77" spans="1:18" ht="15.75" customHeight="1">
      <c r="A77" s="625"/>
      <c r="B77" s="627"/>
      <c r="C77" s="206" t="s">
        <v>212</v>
      </c>
      <c r="D77" s="617"/>
      <c r="E77" s="629"/>
      <c r="F77" s="618"/>
      <c r="G77" s="202"/>
      <c r="H77" s="204"/>
      <c r="I77" s="205"/>
      <c r="J77" s="202"/>
      <c r="K77" s="617"/>
      <c r="L77" s="618"/>
      <c r="M77" s="99"/>
      <c r="O77" s="201"/>
      <c r="P77" s="449"/>
      <c r="Q77" s="449"/>
      <c r="R77" s="201"/>
    </row>
    <row r="78" spans="1:18" ht="15.75" customHeight="1">
      <c r="A78" s="625"/>
      <c r="B78" s="627"/>
      <c r="C78" s="206" t="s">
        <v>208</v>
      </c>
      <c r="D78" s="617"/>
      <c r="E78" s="629"/>
      <c r="F78" s="618"/>
      <c r="G78" s="202"/>
      <c r="H78" s="204"/>
      <c r="I78" s="205"/>
      <c r="J78" s="202"/>
      <c r="K78" s="617"/>
      <c r="L78" s="618"/>
      <c r="M78" s="99"/>
      <c r="O78" s="201"/>
      <c r="P78" s="449"/>
      <c r="Q78" s="449"/>
      <c r="R78" s="201"/>
    </row>
    <row r="79" spans="1:18" ht="15.75" customHeight="1">
      <c r="A79" s="625"/>
      <c r="B79" s="627"/>
      <c r="C79" s="206" t="s">
        <v>213</v>
      </c>
      <c r="D79" s="617"/>
      <c r="E79" s="629"/>
      <c r="F79" s="618"/>
      <c r="G79" s="202"/>
      <c r="H79" s="204"/>
      <c r="I79" s="205"/>
      <c r="J79" s="202"/>
      <c r="K79" s="617"/>
      <c r="L79" s="618"/>
      <c r="M79" s="99"/>
      <c r="O79" s="201"/>
      <c r="P79" s="449"/>
      <c r="Q79" s="449"/>
      <c r="R79" s="201"/>
    </row>
    <row r="80" spans="1:18" ht="15.75" customHeight="1">
      <c r="A80" s="621"/>
      <c r="B80" s="628"/>
      <c r="C80" s="206" t="s">
        <v>214</v>
      </c>
      <c r="D80" s="617"/>
      <c r="E80" s="629"/>
      <c r="F80" s="618"/>
      <c r="G80" s="202"/>
      <c r="H80" s="204"/>
      <c r="I80" s="205"/>
      <c r="J80" s="202"/>
      <c r="K80" s="617"/>
      <c r="L80" s="618"/>
      <c r="M80" s="99"/>
      <c r="O80" s="201"/>
      <c r="P80" s="449"/>
      <c r="Q80" s="449"/>
      <c r="R80" s="201"/>
    </row>
    <row r="81" spans="1:18" ht="15.75" customHeight="1">
      <c r="A81" s="615" t="s">
        <v>687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99"/>
    </row>
    <row r="82" spans="1:18" s="100" customFormat="1" ht="15.75" customHeight="1">
      <c r="A82" s="615"/>
      <c r="B82" s="615"/>
      <c r="C82" s="615"/>
      <c r="D82" s="615"/>
      <c r="E82" s="615"/>
      <c r="F82" s="615"/>
      <c r="G82" s="615"/>
      <c r="H82" s="615"/>
      <c r="I82" s="615"/>
      <c r="J82" s="615"/>
      <c r="K82" s="615"/>
      <c r="L82" s="615"/>
      <c r="N82" s="192"/>
      <c r="O82" s="192"/>
      <c r="P82" s="192"/>
      <c r="Q82" s="192"/>
      <c r="R82" s="192"/>
    </row>
    <row r="83" spans="1:18" s="106" customFormat="1" ht="16.399999999999999" customHeight="1">
      <c r="A83" s="620" t="s">
        <v>164</v>
      </c>
      <c r="B83" s="172">
        <v>1</v>
      </c>
      <c r="C83" s="172">
        <v>2</v>
      </c>
      <c r="D83" s="172">
        <v>3</v>
      </c>
      <c r="E83" s="172">
        <v>4</v>
      </c>
      <c r="F83" s="172">
        <v>5</v>
      </c>
      <c r="G83" s="172">
        <v>6</v>
      </c>
      <c r="H83" s="172">
        <v>7</v>
      </c>
      <c r="I83" s="172">
        <v>8</v>
      </c>
      <c r="J83" s="193">
        <v>9</v>
      </c>
      <c r="K83" s="194"/>
      <c r="L83" s="194"/>
      <c r="M83" s="129"/>
      <c r="N83" s="180"/>
      <c r="O83" s="180"/>
      <c r="P83" s="180"/>
      <c r="Q83" s="180"/>
      <c r="R83" s="180"/>
    </row>
    <row r="84" spans="1:18" ht="16.399999999999999" customHeight="1">
      <c r="A84" s="621"/>
      <c r="B84" s="197" t="s">
        <v>209</v>
      </c>
      <c r="C84" s="197" t="s">
        <v>157</v>
      </c>
      <c r="D84" s="197" t="s">
        <v>210</v>
      </c>
      <c r="E84" s="197" t="s">
        <v>158</v>
      </c>
      <c r="F84" s="197" t="s">
        <v>139</v>
      </c>
      <c r="G84" s="198" t="s">
        <v>137</v>
      </c>
      <c r="H84" s="199" t="s">
        <v>211</v>
      </c>
      <c r="I84" s="198" t="s">
        <v>393</v>
      </c>
      <c r="J84" s="211" t="s">
        <v>143</v>
      </c>
      <c r="K84" s="200"/>
      <c r="L84" s="200"/>
      <c r="N84" s="201"/>
      <c r="O84" s="201"/>
      <c r="P84" s="201"/>
      <c r="Q84" s="201"/>
      <c r="R84" s="201"/>
    </row>
    <row r="85" spans="1:18" s="106" customFormat="1" ht="15.75" customHeight="1">
      <c r="A85" s="622" t="s">
        <v>190</v>
      </c>
      <c r="B85" s="623"/>
      <c r="C85" s="162" t="s">
        <v>47</v>
      </c>
      <c r="D85" s="622" t="s">
        <v>12</v>
      </c>
      <c r="E85" s="624"/>
      <c r="F85" s="623"/>
      <c r="G85" s="162" t="s">
        <v>46</v>
      </c>
      <c r="H85" s="162" t="s">
        <v>394</v>
      </c>
      <c r="I85" s="162" t="s">
        <v>395</v>
      </c>
      <c r="J85" s="162" t="s">
        <v>339</v>
      </c>
      <c r="K85" s="622" t="s">
        <v>51</v>
      </c>
      <c r="L85" s="623"/>
      <c r="M85" s="129"/>
      <c r="N85" s="191"/>
      <c r="O85" s="201"/>
      <c r="P85" s="449"/>
      <c r="Q85" s="449"/>
      <c r="R85" s="201"/>
    </row>
    <row r="86" spans="1:18" ht="15.75" customHeight="1">
      <c r="A86" s="620">
        <f>J83</f>
        <v>9</v>
      </c>
      <c r="B86" s="626" t="str">
        <f>J84</f>
        <v>微波小吃</v>
      </c>
      <c r="C86" s="202">
        <v>1</v>
      </c>
      <c r="D86" s="617" t="s">
        <v>370</v>
      </c>
      <c r="E86" s="629"/>
      <c r="F86" s="618"/>
      <c r="G86" s="202">
        <v>13</v>
      </c>
      <c r="H86" s="204">
        <v>1077.8880333912746</v>
      </c>
      <c r="I86" s="205">
        <v>82.914464107021118</v>
      </c>
      <c r="J86" s="384">
        <f>I86-I60</f>
        <v>1.5533415866272549E-2</v>
      </c>
      <c r="K86" s="609" t="s">
        <v>476</v>
      </c>
      <c r="L86" s="610"/>
      <c r="O86" s="201"/>
      <c r="P86" s="449"/>
      <c r="Q86" s="449"/>
      <c r="R86" s="201"/>
    </row>
    <row r="87" spans="1:18" ht="15.75" customHeight="1">
      <c r="A87" s="625"/>
      <c r="B87" s="627"/>
      <c r="C87" s="202">
        <v>2</v>
      </c>
      <c r="D87" s="617" t="s">
        <v>499</v>
      </c>
      <c r="E87" s="629"/>
      <c r="F87" s="618"/>
      <c r="G87" s="202">
        <v>22</v>
      </c>
      <c r="H87" s="204">
        <v>1600.8350606457589</v>
      </c>
      <c r="I87" s="205">
        <v>72.765230029352693</v>
      </c>
      <c r="J87" s="384">
        <f>I87-I61</f>
        <v>0.1167327413511714</v>
      </c>
      <c r="K87" s="609" t="s">
        <v>476</v>
      </c>
      <c r="L87" s="610"/>
      <c r="O87" s="201"/>
      <c r="P87" s="449"/>
      <c r="Q87" s="449"/>
      <c r="R87" s="201"/>
    </row>
    <row r="88" spans="1:18" ht="15.75" customHeight="1">
      <c r="A88" s="625"/>
      <c r="B88" s="627"/>
      <c r="C88" s="202">
        <v>3</v>
      </c>
      <c r="D88" s="617" t="s">
        <v>481</v>
      </c>
      <c r="E88" s="629"/>
      <c r="F88" s="618"/>
      <c r="G88" s="202">
        <v>22</v>
      </c>
      <c r="H88" s="204">
        <v>1598.8886501140944</v>
      </c>
      <c r="I88" s="205">
        <v>72.676756823367924</v>
      </c>
      <c r="J88" s="384">
        <f>I88-I62</f>
        <v>4.0583395087466556E-2</v>
      </c>
      <c r="K88" s="609" t="s">
        <v>476</v>
      </c>
      <c r="L88" s="610"/>
      <c r="O88" s="201"/>
      <c r="P88" s="449"/>
      <c r="Q88" s="449"/>
      <c r="R88" s="201"/>
    </row>
    <row r="89" spans="1:18" ht="15.75" customHeight="1">
      <c r="A89" s="625"/>
      <c r="B89" s="627"/>
      <c r="C89" s="202">
        <v>4</v>
      </c>
      <c r="D89" s="617"/>
      <c r="E89" s="629"/>
      <c r="F89" s="618"/>
      <c r="G89" s="204"/>
      <c r="H89" s="204"/>
      <c r="I89" s="205"/>
      <c r="J89" s="202"/>
      <c r="K89" s="617"/>
      <c r="L89" s="618"/>
      <c r="O89" s="201"/>
      <c r="P89" s="449"/>
      <c r="Q89" s="449"/>
      <c r="R89" s="201"/>
    </row>
    <row r="90" spans="1:18" ht="15.75" customHeight="1">
      <c r="A90" s="625"/>
      <c r="B90" s="627"/>
      <c r="C90" s="202">
        <v>5</v>
      </c>
      <c r="D90" s="617"/>
      <c r="E90" s="629"/>
      <c r="F90" s="618"/>
      <c r="G90" s="202"/>
      <c r="H90" s="204"/>
      <c r="I90" s="205"/>
      <c r="J90" s="202"/>
      <c r="K90" s="617"/>
      <c r="L90" s="618"/>
      <c r="O90" s="201"/>
      <c r="P90" s="449"/>
      <c r="Q90" s="449"/>
      <c r="R90" s="201"/>
    </row>
    <row r="91" spans="1:18" ht="15.75" customHeight="1">
      <c r="A91" s="625"/>
      <c r="B91" s="627"/>
      <c r="C91" s="206" t="s">
        <v>207</v>
      </c>
      <c r="D91" s="617"/>
      <c r="E91" s="629"/>
      <c r="F91" s="618"/>
      <c r="G91" s="202"/>
      <c r="H91" s="204"/>
      <c r="I91" s="205"/>
      <c r="J91" s="202"/>
      <c r="K91" s="617"/>
      <c r="L91" s="618"/>
      <c r="O91" s="201"/>
      <c r="P91" s="449"/>
      <c r="Q91" s="449"/>
      <c r="R91" s="201"/>
    </row>
    <row r="92" spans="1:18" ht="15.75" customHeight="1">
      <c r="A92" s="625"/>
      <c r="B92" s="627"/>
      <c r="C92" s="206" t="s">
        <v>212</v>
      </c>
      <c r="D92" s="617"/>
      <c r="E92" s="629"/>
      <c r="F92" s="618"/>
      <c r="G92" s="202"/>
      <c r="H92" s="204"/>
      <c r="I92" s="205"/>
      <c r="J92" s="202"/>
      <c r="K92" s="617"/>
      <c r="L92" s="618"/>
      <c r="N92" s="180"/>
      <c r="O92" s="180"/>
      <c r="P92" s="448"/>
      <c r="Q92" s="448"/>
      <c r="R92" s="180"/>
    </row>
    <row r="93" spans="1:18" ht="15.75" customHeight="1">
      <c r="A93" s="625"/>
      <c r="B93" s="627"/>
      <c r="C93" s="206" t="s">
        <v>208</v>
      </c>
      <c r="D93" s="617"/>
      <c r="E93" s="629"/>
      <c r="F93" s="618"/>
      <c r="G93" s="202"/>
      <c r="H93" s="204"/>
      <c r="I93" s="205"/>
      <c r="J93" s="202"/>
      <c r="K93" s="617"/>
      <c r="L93" s="618"/>
      <c r="O93" s="201"/>
      <c r="P93" s="449"/>
      <c r="Q93" s="449"/>
      <c r="R93" s="201"/>
    </row>
    <row r="94" spans="1:18" ht="15.75" customHeight="1">
      <c r="A94" s="625"/>
      <c r="B94" s="627"/>
      <c r="C94" s="206" t="s">
        <v>213</v>
      </c>
      <c r="D94" s="617"/>
      <c r="E94" s="629"/>
      <c r="F94" s="618"/>
      <c r="G94" s="202"/>
      <c r="H94" s="204"/>
      <c r="I94" s="205"/>
      <c r="J94" s="202"/>
      <c r="K94" s="617"/>
      <c r="L94" s="618"/>
      <c r="M94" s="99"/>
      <c r="O94" s="201"/>
      <c r="P94" s="449"/>
      <c r="Q94" s="449"/>
      <c r="R94" s="201"/>
    </row>
    <row r="95" spans="1:18" ht="15.75" customHeight="1">
      <c r="A95" s="621"/>
      <c r="B95" s="628"/>
      <c r="C95" s="206" t="s">
        <v>214</v>
      </c>
      <c r="D95" s="617"/>
      <c r="E95" s="629"/>
      <c r="F95" s="618"/>
      <c r="G95" s="202"/>
      <c r="H95" s="204"/>
      <c r="I95" s="205"/>
      <c r="J95" s="202"/>
      <c r="K95" s="617"/>
      <c r="L95" s="618"/>
      <c r="M95" s="99"/>
      <c r="O95" s="201"/>
      <c r="P95" s="449"/>
      <c r="Q95" s="449"/>
      <c r="R95" s="201"/>
    </row>
    <row r="96" spans="1:18" s="104" customFormat="1" ht="15.75" customHeight="1">
      <c r="A96" s="633" t="s">
        <v>190</v>
      </c>
      <c r="B96" s="634"/>
      <c r="C96" s="209" t="s">
        <v>47</v>
      </c>
      <c r="D96" s="633" t="s">
        <v>12</v>
      </c>
      <c r="E96" s="635"/>
      <c r="F96" s="634"/>
      <c r="G96" s="209" t="s">
        <v>46</v>
      </c>
      <c r="H96" s="209" t="s">
        <v>394</v>
      </c>
      <c r="I96" s="209" t="s">
        <v>395</v>
      </c>
      <c r="J96" s="162" t="s">
        <v>339</v>
      </c>
      <c r="K96" s="633" t="s">
        <v>51</v>
      </c>
      <c r="L96" s="634"/>
      <c r="M96" s="130"/>
      <c r="N96" s="191"/>
      <c r="O96" s="201"/>
      <c r="P96" s="449"/>
      <c r="Q96" s="449"/>
      <c r="R96" s="201"/>
    </row>
    <row r="97" spans="1:18" ht="15.75" customHeight="1">
      <c r="A97" s="620"/>
      <c r="B97" s="626"/>
      <c r="C97" s="202">
        <v>1</v>
      </c>
      <c r="D97" s="617"/>
      <c r="E97" s="629"/>
      <c r="F97" s="618"/>
      <c r="G97" s="202"/>
      <c r="H97" s="204"/>
      <c r="I97" s="205"/>
      <c r="J97" s="202"/>
      <c r="K97" s="617"/>
      <c r="L97" s="618"/>
      <c r="M97" s="99"/>
      <c r="N97" s="201"/>
      <c r="O97" s="201"/>
      <c r="P97" s="449"/>
      <c r="Q97" s="449"/>
      <c r="R97" s="201"/>
    </row>
    <row r="98" spans="1:18" ht="15.75" customHeight="1">
      <c r="A98" s="625"/>
      <c r="B98" s="627"/>
      <c r="C98" s="202">
        <v>2</v>
      </c>
      <c r="D98" s="617"/>
      <c r="E98" s="629"/>
      <c r="F98" s="618"/>
      <c r="G98" s="202"/>
      <c r="H98" s="204"/>
      <c r="I98" s="205"/>
      <c r="J98" s="202"/>
      <c r="K98" s="617"/>
      <c r="L98" s="618"/>
      <c r="M98" s="99"/>
      <c r="O98" s="201"/>
      <c r="P98" s="449"/>
      <c r="Q98" s="449"/>
      <c r="R98" s="201"/>
    </row>
    <row r="99" spans="1:18" ht="15.75" customHeight="1">
      <c r="A99" s="625"/>
      <c r="B99" s="627"/>
      <c r="C99" s="202">
        <v>3</v>
      </c>
      <c r="D99" s="617"/>
      <c r="E99" s="629"/>
      <c r="F99" s="618"/>
      <c r="G99" s="202"/>
      <c r="H99" s="204"/>
      <c r="I99" s="205"/>
      <c r="J99" s="202"/>
      <c r="K99" s="617"/>
      <c r="L99" s="618"/>
      <c r="M99" s="99"/>
      <c r="O99" s="201"/>
      <c r="P99" s="449"/>
      <c r="Q99" s="449"/>
      <c r="R99" s="201"/>
    </row>
    <row r="100" spans="1:18" ht="15.75" customHeight="1">
      <c r="A100" s="625"/>
      <c r="B100" s="627"/>
      <c r="C100" s="202">
        <v>4</v>
      </c>
      <c r="D100" s="617"/>
      <c r="E100" s="629"/>
      <c r="F100" s="618"/>
      <c r="G100" s="202"/>
      <c r="H100" s="204"/>
      <c r="I100" s="205"/>
      <c r="J100" s="202"/>
      <c r="K100" s="617"/>
      <c r="L100" s="618"/>
      <c r="M100" s="99"/>
      <c r="O100" s="201"/>
      <c r="P100" s="449"/>
      <c r="Q100" s="449"/>
      <c r="R100" s="201"/>
    </row>
    <row r="101" spans="1:18" ht="15.75" customHeight="1">
      <c r="A101" s="625"/>
      <c r="B101" s="627"/>
      <c r="C101" s="202">
        <v>5</v>
      </c>
      <c r="D101" s="617"/>
      <c r="E101" s="629"/>
      <c r="F101" s="618"/>
      <c r="G101" s="202"/>
      <c r="H101" s="204"/>
      <c r="I101" s="205"/>
      <c r="J101" s="202"/>
      <c r="K101" s="617"/>
      <c r="L101" s="618"/>
      <c r="M101" s="99"/>
      <c r="O101" s="201"/>
      <c r="P101" s="449"/>
      <c r="Q101" s="449"/>
      <c r="R101" s="201"/>
    </row>
    <row r="102" spans="1:18" ht="15.75" customHeight="1">
      <c r="A102" s="625"/>
      <c r="B102" s="627"/>
      <c r="C102" s="206" t="s">
        <v>207</v>
      </c>
      <c r="D102" s="617"/>
      <c r="E102" s="629"/>
      <c r="F102" s="618"/>
      <c r="G102" s="202"/>
      <c r="H102" s="204"/>
      <c r="I102" s="205"/>
      <c r="J102" s="202"/>
      <c r="K102" s="617"/>
      <c r="L102" s="618"/>
      <c r="M102" s="99"/>
      <c r="O102" s="201"/>
      <c r="P102" s="449"/>
      <c r="Q102" s="449"/>
      <c r="R102" s="201"/>
    </row>
    <row r="103" spans="1:18" ht="15.75" customHeight="1">
      <c r="A103" s="625"/>
      <c r="B103" s="627"/>
      <c r="C103" s="206" t="s">
        <v>212</v>
      </c>
      <c r="D103" s="617"/>
      <c r="E103" s="629"/>
      <c r="F103" s="618"/>
      <c r="G103" s="202"/>
      <c r="H103" s="204"/>
      <c r="I103" s="205"/>
      <c r="J103" s="202"/>
      <c r="K103" s="617"/>
      <c r="L103" s="618"/>
      <c r="M103" s="99"/>
      <c r="O103" s="201"/>
      <c r="P103" s="449"/>
      <c r="Q103" s="449"/>
      <c r="R103" s="201"/>
    </row>
    <row r="104" spans="1:18" ht="15.75" customHeight="1">
      <c r="A104" s="625"/>
      <c r="B104" s="627"/>
      <c r="C104" s="206" t="s">
        <v>208</v>
      </c>
      <c r="D104" s="617"/>
      <c r="E104" s="629"/>
      <c r="F104" s="618"/>
      <c r="G104" s="202"/>
      <c r="H104" s="204"/>
      <c r="I104" s="205"/>
      <c r="J104" s="202"/>
      <c r="K104" s="617"/>
      <c r="L104" s="618"/>
      <c r="M104" s="99"/>
      <c r="O104" s="201"/>
      <c r="P104" s="449"/>
      <c r="Q104" s="449"/>
      <c r="R104" s="201"/>
    </row>
    <row r="105" spans="1:18" ht="15.75" customHeight="1">
      <c r="A105" s="625"/>
      <c r="B105" s="627"/>
      <c r="C105" s="206" t="s">
        <v>213</v>
      </c>
      <c r="D105" s="617"/>
      <c r="E105" s="629"/>
      <c r="F105" s="618"/>
      <c r="G105" s="202"/>
      <c r="H105" s="204"/>
      <c r="I105" s="205"/>
      <c r="J105" s="202"/>
      <c r="K105" s="617"/>
      <c r="L105" s="618"/>
      <c r="M105" s="99"/>
      <c r="O105" s="201"/>
      <c r="P105" s="449"/>
      <c r="Q105" s="449"/>
      <c r="R105" s="201"/>
    </row>
    <row r="106" spans="1:18" ht="15.75" customHeight="1">
      <c r="A106" s="621"/>
      <c r="B106" s="628"/>
      <c r="C106" s="206" t="s">
        <v>214</v>
      </c>
      <c r="D106" s="617"/>
      <c r="E106" s="629"/>
      <c r="F106" s="618"/>
      <c r="G106" s="202"/>
      <c r="H106" s="204"/>
      <c r="I106" s="205"/>
      <c r="J106" s="202"/>
      <c r="K106" s="617"/>
      <c r="L106" s="618"/>
      <c r="M106" s="99"/>
      <c r="O106" s="201"/>
      <c r="P106" s="449"/>
      <c r="Q106" s="449"/>
      <c r="R106" s="201"/>
    </row>
    <row r="107" spans="1:18" ht="15.75" customHeight="1">
      <c r="A107" s="615" t="s">
        <v>746</v>
      </c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M107" s="99"/>
    </row>
    <row r="108" spans="1:18" s="100" customFormat="1" ht="15.75" customHeight="1">
      <c r="A108" s="615"/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  <c r="N108" s="192"/>
      <c r="O108" s="192"/>
      <c r="P108" s="192"/>
      <c r="Q108" s="192"/>
      <c r="R108" s="192"/>
    </row>
    <row r="109" spans="1:18" s="106" customFormat="1" ht="16.399999999999999" customHeight="1">
      <c r="A109" s="620" t="s">
        <v>164</v>
      </c>
      <c r="B109" s="172">
        <v>1</v>
      </c>
      <c r="C109" s="172">
        <v>2</v>
      </c>
      <c r="D109" s="172">
        <v>3</v>
      </c>
      <c r="E109" s="172">
        <v>4</v>
      </c>
      <c r="F109" s="172">
        <v>5</v>
      </c>
      <c r="G109" s="172">
        <v>6</v>
      </c>
      <c r="H109" s="172">
        <v>7</v>
      </c>
      <c r="I109" s="172">
        <v>8</v>
      </c>
      <c r="J109" s="193">
        <v>9</v>
      </c>
      <c r="K109" s="194"/>
      <c r="L109" s="194"/>
      <c r="M109" s="129"/>
      <c r="N109" s="180"/>
      <c r="O109" s="180"/>
      <c r="P109" s="180"/>
      <c r="Q109" s="180"/>
      <c r="R109" s="180"/>
    </row>
    <row r="110" spans="1:18" ht="16.399999999999999" customHeight="1">
      <c r="A110" s="621"/>
      <c r="B110" s="197" t="s">
        <v>209</v>
      </c>
      <c r="C110" s="197" t="s">
        <v>157</v>
      </c>
      <c r="D110" s="197" t="s">
        <v>210</v>
      </c>
      <c r="E110" s="197" t="s">
        <v>158</v>
      </c>
      <c r="F110" s="197" t="s">
        <v>139</v>
      </c>
      <c r="G110" s="198" t="s">
        <v>137</v>
      </c>
      <c r="H110" s="199" t="s">
        <v>211</v>
      </c>
      <c r="I110" s="198" t="s">
        <v>393</v>
      </c>
      <c r="J110" s="211" t="s">
        <v>143</v>
      </c>
      <c r="K110" s="200"/>
      <c r="L110" s="200"/>
      <c r="N110" s="201"/>
      <c r="O110" s="201"/>
      <c r="P110" s="201"/>
      <c r="Q110" s="201"/>
      <c r="R110" s="201"/>
    </row>
    <row r="111" spans="1:18" s="106" customFormat="1" ht="15.75" customHeight="1">
      <c r="A111" s="622" t="s">
        <v>190</v>
      </c>
      <c r="B111" s="623"/>
      <c r="C111" s="162" t="s">
        <v>47</v>
      </c>
      <c r="D111" s="622" t="s">
        <v>12</v>
      </c>
      <c r="E111" s="624"/>
      <c r="F111" s="623"/>
      <c r="G111" s="162" t="s">
        <v>46</v>
      </c>
      <c r="H111" s="162" t="s">
        <v>394</v>
      </c>
      <c r="I111" s="162" t="s">
        <v>395</v>
      </c>
      <c r="J111" s="162" t="s">
        <v>339</v>
      </c>
      <c r="K111" s="622" t="s">
        <v>51</v>
      </c>
      <c r="L111" s="623"/>
      <c r="M111" s="129"/>
      <c r="N111" s="191"/>
      <c r="O111" s="201"/>
      <c r="P111" s="449"/>
      <c r="Q111" s="449"/>
      <c r="R111" s="201"/>
    </row>
    <row r="112" spans="1:18" ht="15.75" customHeight="1">
      <c r="A112" s="620">
        <f>J109</f>
        <v>9</v>
      </c>
      <c r="B112" s="626" t="str">
        <f>J110</f>
        <v>微波小吃</v>
      </c>
      <c r="C112" s="202">
        <v>1</v>
      </c>
      <c r="D112" s="617" t="s">
        <v>370</v>
      </c>
      <c r="E112" s="629"/>
      <c r="F112" s="618"/>
      <c r="G112" s="202">
        <v>13</v>
      </c>
      <c r="H112" s="204">
        <v>1078.265573871922</v>
      </c>
      <c r="I112" s="205">
        <v>82.943505682455552</v>
      </c>
      <c r="J112" s="384">
        <f>I112-I86</f>
        <v>2.9041575434433753E-2</v>
      </c>
      <c r="K112" s="617"/>
      <c r="L112" s="618"/>
      <c r="O112" s="201"/>
      <c r="P112" s="449"/>
      <c r="Q112" s="449"/>
      <c r="R112" s="201"/>
    </row>
    <row r="113" spans="1:18" ht="15.75" customHeight="1">
      <c r="A113" s="625"/>
      <c r="B113" s="627"/>
      <c r="C113" s="202">
        <v>2</v>
      </c>
      <c r="D113" s="617" t="s">
        <v>499</v>
      </c>
      <c r="E113" s="629"/>
      <c r="F113" s="618"/>
      <c r="G113" s="202">
        <v>22</v>
      </c>
      <c r="H113" s="204">
        <v>1602.5422359139068</v>
      </c>
      <c r="I113" s="205">
        <v>72.842828905177583</v>
      </c>
      <c r="J113" s="384">
        <f>I113-I87</f>
        <v>7.7598875824890001E-2</v>
      </c>
      <c r="K113" s="617"/>
      <c r="L113" s="618"/>
      <c r="O113" s="201"/>
      <c r="P113" s="449"/>
      <c r="Q113" s="449"/>
      <c r="R113" s="201"/>
    </row>
    <row r="114" spans="1:18" ht="15.75" customHeight="1">
      <c r="A114" s="625"/>
      <c r="B114" s="627"/>
      <c r="C114" s="202">
        <v>3</v>
      </c>
      <c r="D114" s="617" t="s">
        <v>481</v>
      </c>
      <c r="E114" s="629"/>
      <c r="F114" s="618"/>
      <c r="G114" s="202">
        <v>22</v>
      </c>
      <c r="H114" s="204">
        <v>1600.8297550077455</v>
      </c>
      <c r="I114" s="205">
        <v>72.764988863988421</v>
      </c>
      <c r="J114" s="384">
        <f>I114-I88</f>
        <v>8.8232040620496832E-2</v>
      </c>
      <c r="K114" s="617"/>
      <c r="L114" s="618"/>
      <c r="O114" s="201"/>
      <c r="P114" s="449"/>
      <c r="Q114" s="449"/>
      <c r="R114" s="201"/>
    </row>
    <row r="115" spans="1:18" ht="15.75" customHeight="1">
      <c r="A115" s="625"/>
      <c r="B115" s="627"/>
      <c r="C115" s="202">
        <v>4</v>
      </c>
      <c r="D115" s="617"/>
      <c r="E115" s="629"/>
      <c r="F115" s="618"/>
      <c r="G115" s="204"/>
      <c r="H115" s="204"/>
      <c r="I115" s="205"/>
      <c r="J115" s="202"/>
      <c r="K115" s="617"/>
      <c r="L115" s="618"/>
      <c r="O115" s="201"/>
      <c r="P115" s="449"/>
      <c r="Q115" s="449"/>
      <c r="R115" s="201"/>
    </row>
    <row r="116" spans="1:18" ht="15.75" customHeight="1">
      <c r="A116" s="625"/>
      <c r="B116" s="627"/>
      <c r="C116" s="202">
        <v>5</v>
      </c>
      <c r="D116" s="617"/>
      <c r="E116" s="629"/>
      <c r="F116" s="618"/>
      <c r="G116" s="202"/>
      <c r="H116" s="204"/>
      <c r="I116" s="205"/>
      <c r="J116" s="202"/>
      <c r="K116" s="617"/>
      <c r="L116" s="618"/>
      <c r="O116" s="201"/>
      <c r="P116" s="449"/>
      <c r="Q116" s="449"/>
      <c r="R116" s="201"/>
    </row>
    <row r="117" spans="1:18" ht="15.75" customHeight="1">
      <c r="A117" s="625"/>
      <c r="B117" s="627"/>
      <c r="C117" s="206" t="s">
        <v>207</v>
      </c>
      <c r="D117" s="617"/>
      <c r="E117" s="629"/>
      <c r="F117" s="618"/>
      <c r="G117" s="202"/>
      <c r="H117" s="204"/>
      <c r="I117" s="205"/>
      <c r="J117" s="202"/>
      <c r="K117" s="617"/>
      <c r="L117" s="618"/>
      <c r="O117" s="201"/>
      <c r="P117" s="449"/>
      <c r="Q117" s="449"/>
      <c r="R117" s="201"/>
    </row>
    <row r="118" spans="1:18" ht="15.75" customHeight="1">
      <c r="A118" s="625"/>
      <c r="B118" s="627"/>
      <c r="C118" s="206" t="s">
        <v>212</v>
      </c>
      <c r="D118" s="617"/>
      <c r="E118" s="629"/>
      <c r="F118" s="618"/>
      <c r="G118" s="202"/>
      <c r="H118" s="204"/>
      <c r="I118" s="205"/>
      <c r="J118" s="202"/>
      <c r="K118" s="617"/>
      <c r="L118" s="618"/>
      <c r="N118" s="180"/>
      <c r="O118" s="180"/>
      <c r="P118" s="448"/>
      <c r="Q118" s="448"/>
      <c r="R118" s="180"/>
    </row>
    <row r="119" spans="1:18" ht="15.75" customHeight="1">
      <c r="A119" s="625"/>
      <c r="B119" s="627"/>
      <c r="C119" s="206" t="s">
        <v>208</v>
      </c>
      <c r="D119" s="617"/>
      <c r="E119" s="629"/>
      <c r="F119" s="618"/>
      <c r="G119" s="202"/>
      <c r="H119" s="204"/>
      <c r="I119" s="205"/>
      <c r="J119" s="202"/>
      <c r="K119" s="617"/>
      <c r="L119" s="618"/>
      <c r="O119" s="201"/>
      <c r="P119" s="449"/>
      <c r="Q119" s="449"/>
      <c r="R119" s="201"/>
    </row>
    <row r="120" spans="1:18" ht="15.75" customHeight="1">
      <c r="A120" s="625"/>
      <c r="B120" s="627"/>
      <c r="C120" s="206" t="s">
        <v>213</v>
      </c>
      <c r="D120" s="617"/>
      <c r="E120" s="629"/>
      <c r="F120" s="618"/>
      <c r="G120" s="202"/>
      <c r="H120" s="204"/>
      <c r="I120" s="205"/>
      <c r="J120" s="202"/>
      <c r="K120" s="617"/>
      <c r="L120" s="618"/>
      <c r="M120" s="99"/>
      <c r="O120" s="201"/>
      <c r="P120" s="449"/>
      <c r="Q120" s="449"/>
      <c r="R120" s="201"/>
    </row>
    <row r="121" spans="1:18" ht="15.75" customHeight="1">
      <c r="A121" s="621"/>
      <c r="B121" s="628"/>
      <c r="C121" s="206" t="s">
        <v>214</v>
      </c>
      <c r="D121" s="617"/>
      <c r="E121" s="629"/>
      <c r="F121" s="618"/>
      <c r="G121" s="202"/>
      <c r="H121" s="204"/>
      <c r="I121" s="205"/>
      <c r="J121" s="202"/>
      <c r="K121" s="617"/>
      <c r="L121" s="618"/>
      <c r="M121" s="99"/>
      <c r="O121" s="201"/>
      <c r="P121" s="449"/>
      <c r="Q121" s="449"/>
      <c r="R121" s="201"/>
    </row>
    <row r="122" spans="1:18" s="104" customFormat="1" ht="15.75" customHeight="1">
      <c r="A122" s="633" t="s">
        <v>190</v>
      </c>
      <c r="B122" s="634"/>
      <c r="C122" s="209" t="s">
        <v>47</v>
      </c>
      <c r="D122" s="633" t="s">
        <v>12</v>
      </c>
      <c r="E122" s="635"/>
      <c r="F122" s="634"/>
      <c r="G122" s="209" t="s">
        <v>46</v>
      </c>
      <c r="H122" s="209" t="s">
        <v>394</v>
      </c>
      <c r="I122" s="209" t="s">
        <v>395</v>
      </c>
      <c r="J122" s="162" t="s">
        <v>339</v>
      </c>
      <c r="K122" s="633" t="s">
        <v>51</v>
      </c>
      <c r="L122" s="634"/>
      <c r="M122" s="130"/>
      <c r="N122" s="191"/>
      <c r="O122" s="201"/>
      <c r="P122" s="449"/>
      <c r="Q122" s="449"/>
      <c r="R122" s="201"/>
    </row>
    <row r="123" spans="1:18" ht="15.75" customHeight="1">
      <c r="A123" s="620"/>
      <c r="B123" s="626"/>
      <c r="C123" s="202">
        <v>1</v>
      </c>
      <c r="D123" s="617"/>
      <c r="E123" s="629"/>
      <c r="F123" s="618"/>
      <c r="G123" s="202"/>
      <c r="H123" s="204"/>
      <c r="I123" s="205"/>
      <c r="J123" s="202"/>
      <c r="K123" s="617"/>
      <c r="L123" s="618"/>
      <c r="M123" s="99"/>
      <c r="N123" s="201"/>
      <c r="O123" s="201"/>
      <c r="P123" s="449"/>
      <c r="Q123" s="449"/>
      <c r="R123" s="201"/>
    </row>
    <row r="124" spans="1:18" ht="15.75" customHeight="1">
      <c r="A124" s="625"/>
      <c r="B124" s="627"/>
      <c r="C124" s="202">
        <v>2</v>
      </c>
      <c r="D124" s="617"/>
      <c r="E124" s="629"/>
      <c r="F124" s="618"/>
      <c r="G124" s="202"/>
      <c r="H124" s="204"/>
      <c r="I124" s="205"/>
      <c r="J124" s="202"/>
      <c r="K124" s="617"/>
      <c r="L124" s="618"/>
      <c r="M124" s="99"/>
      <c r="O124" s="201"/>
      <c r="P124" s="449"/>
      <c r="Q124" s="449"/>
      <c r="R124" s="201"/>
    </row>
    <row r="125" spans="1:18" ht="15.75" customHeight="1">
      <c r="A125" s="625"/>
      <c r="B125" s="627"/>
      <c r="C125" s="202">
        <v>3</v>
      </c>
      <c r="D125" s="617"/>
      <c r="E125" s="629"/>
      <c r="F125" s="618"/>
      <c r="G125" s="202"/>
      <c r="H125" s="204"/>
      <c r="I125" s="205"/>
      <c r="J125" s="202"/>
      <c r="K125" s="617"/>
      <c r="L125" s="618"/>
      <c r="M125" s="99"/>
      <c r="O125" s="201"/>
      <c r="P125" s="449"/>
      <c r="Q125" s="449"/>
      <c r="R125" s="201"/>
    </row>
    <row r="126" spans="1:18" ht="15.75" customHeight="1">
      <c r="A126" s="625"/>
      <c r="B126" s="627"/>
      <c r="C126" s="202">
        <v>4</v>
      </c>
      <c r="D126" s="617"/>
      <c r="E126" s="629"/>
      <c r="F126" s="618"/>
      <c r="G126" s="202"/>
      <c r="H126" s="204"/>
      <c r="I126" s="205"/>
      <c r="J126" s="202"/>
      <c r="K126" s="617"/>
      <c r="L126" s="618"/>
      <c r="M126" s="99"/>
      <c r="O126" s="201"/>
      <c r="P126" s="449"/>
      <c r="Q126" s="449"/>
      <c r="R126" s="201"/>
    </row>
    <row r="127" spans="1:18" ht="15.75" customHeight="1">
      <c r="A127" s="625"/>
      <c r="B127" s="627"/>
      <c r="C127" s="202">
        <v>5</v>
      </c>
      <c r="D127" s="617"/>
      <c r="E127" s="629"/>
      <c r="F127" s="618"/>
      <c r="G127" s="202"/>
      <c r="H127" s="204"/>
      <c r="I127" s="205"/>
      <c r="J127" s="202"/>
      <c r="K127" s="617"/>
      <c r="L127" s="618"/>
      <c r="M127" s="99"/>
      <c r="O127" s="201"/>
      <c r="P127" s="449"/>
      <c r="Q127" s="449"/>
      <c r="R127" s="201"/>
    </row>
    <row r="128" spans="1:18" ht="15.75" customHeight="1">
      <c r="A128" s="625"/>
      <c r="B128" s="627"/>
      <c r="C128" s="206" t="s">
        <v>207</v>
      </c>
      <c r="D128" s="617"/>
      <c r="E128" s="629"/>
      <c r="F128" s="618"/>
      <c r="G128" s="202"/>
      <c r="H128" s="204"/>
      <c r="I128" s="205"/>
      <c r="J128" s="202"/>
      <c r="K128" s="617"/>
      <c r="L128" s="618"/>
      <c r="M128" s="99"/>
      <c r="O128" s="201"/>
      <c r="P128" s="449"/>
      <c r="Q128" s="449"/>
      <c r="R128" s="201"/>
    </row>
    <row r="129" spans="1:18" ht="15.75" customHeight="1">
      <c r="A129" s="625"/>
      <c r="B129" s="627"/>
      <c r="C129" s="206" t="s">
        <v>212</v>
      </c>
      <c r="D129" s="617"/>
      <c r="E129" s="629"/>
      <c r="F129" s="618"/>
      <c r="G129" s="202"/>
      <c r="H129" s="204"/>
      <c r="I129" s="205"/>
      <c r="J129" s="202"/>
      <c r="K129" s="617"/>
      <c r="L129" s="618"/>
      <c r="M129" s="99"/>
      <c r="O129" s="201"/>
      <c r="P129" s="449"/>
      <c r="Q129" s="449"/>
      <c r="R129" s="201"/>
    </row>
    <row r="130" spans="1:18" ht="15.75" customHeight="1">
      <c r="A130" s="625"/>
      <c r="B130" s="627"/>
      <c r="C130" s="206" t="s">
        <v>208</v>
      </c>
      <c r="D130" s="617"/>
      <c r="E130" s="629"/>
      <c r="F130" s="618"/>
      <c r="G130" s="202"/>
      <c r="H130" s="204"/>
      <c r="I130" s="205"/>
      <c r="J130" s="202"/>
      <c r="K130" s="617"/>
      <c r="L130" s="618"/>
      <c r="M130" s="99"/>
      <c r="O130" s="201"/>
      <c r="P130" s="449"/>
      <c r="Q130" s="449"/>
      <c r="R130" s="201"/>
    </row>
    <row r="131" spans="1:18" ht="15.75" customHeight="1">
      <c r="A131" s="625"/>
      <c r="B131" s="627"/>
      <c r="C131" s="206" t="s">
        <v>213</v>
      </c>
      <c r="D131" s="617"/>
      <c r="E131" s="629"/>
      <c r="F131" s="618"/>
      <c r="G131" s="202"/>
      <c r="H131" s="204"/>
      <c r="I131" s="205"/>
      <c r="J131" s="202"/>
      <c r="K131" s="617"/>
      <c r="L131" s="618"/>
      <c r="M131" s="99"/>
      <c r="O131" s="201"/>
      <c r="P131" s="449"/>
      <c r="Q131" s="449"/>
      <c r="R131" s="201"/>
    </row>
    <row r="132" spans="1:18" ht="15.75" customHeight="1">
      <c r="A132" s="621"/>
      <c r="B132" s="628"/>
      <c r="C132" s="206" t="s">
        <v>214</v>
      </c>
      <c r="D132" s="617"/>
      <c r="E132" s="629"/>
      <c r="F132" s="618"/>
      <c r="G132" s="202"/>
      <c r="H132" s="204"/>
      <c r="I132" s="205"/>
      <c r="J132" s="202"/>
      <c r="K132" s="617"/>
      <c r="L132" s="618"/>
      <c r="M132" s="99"/>
      <c r="O132" s="201"/>
      <c r="P132" s="449"/>
      <c r="Q132" s="449"/>
      <c r="R132" s="201"/>
    </row>
  </sheetData>
  <mergeCells count="261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43:F43"/>
    <mergeCell ref="K43:L43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Q12" sqref="Q12"/>
    </sheetView>
  </sheetViews>
  <sheetFormatPr defaultColWidth="12.54296875" defaultRowHeight="15.75" customHeight="1"/>
  <cols>
    <col min="1" max="1" width="18" style="138" bestFit="1" customWidth="1"/>
    <col min="2" max="2" width="14.81640625" style="138" customWidth="1"/>
    <col min="3" max="3" width="12.81640625" style="138" customWidth="1"/>
    <col min="4" max="4" width="2.54296875" style="138" customWidth="1"/>
    <col min="5" max="5" width="7.54296875" style="138" customWidth="1"/>
    <col min="6" max="6" width="12.81640625" style="138" customWidth="1"/>
    <col min="7" max="7" width="9.453125" style="138" customWidth="1"/>
    <col min="8" max="8" width="12.81640625" style="138" customWidth="1"/>
    <col min="9" max="9" width="9.453125" style="138" customWidth="1"/>
    <col min="10" max="10" width="12.81640625" style="138" customWidth="1"/>
    <col min="11" max="11" width="9.453125" style="138" customWidth="1"/>
    <col min="12" max="12" width="12.81640625" style="138" customWidth="1"/>
    <col min="13" max="13" width="9.453125" style="138" customWidth="1"/>
    <col min="14" max="16384" width="12.54296875" style="138"/>
  </cols>
  <sheetData>
    <row r="1" spans="1:13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 ht="15.75" customHeight="1">
      <c r="A3" s="643" t="s">
        <v>241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3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13" ht="15.75" customHeight="1">
      <c r="A5" s="231" t="s">
        <v>458</v>
      </c>
      <c r="B5" s="140">
        <f>'生產管理報表(月)'!B6</f>
        <v>124565.12631000004</v>
      </c>
    </row>
    <row r="6" spans="1:13" ht="15.75" customHeight="1">
      <c r="A6" s="644" t="s">
        <v>242</v>
      </c>
      <c r="B6" s="645" t="s">
        <v>10</v>
      </c>
      <c r="C6" s="645"/>
      <c r="D6" s="646"/>
      <c r="E6" s="644" t="s">
        <v>242</v>
      </c>
      <c r="F6" s="648">
        <v>1</v>
      </c>
      <c r="G6" s="648"/>
      <c r="H6" s="648">
        <v>2</v>
      </c>
      <c r="I6" s="648"/>
      <c r="J6" s="648">
        <v>3</v>
      </c>
      <c r="K6" s="648"/>
      <c r="L6" s="648">
        <v>4</v>
      </c>
      <c r="M6" s="648"/>
    </row>
    <row r="7" spans="1:13" ht="31.4" customHeight="1">
      <c r="A7" s="644"/>
      <c r="B7" s="645"/>
      <c r="C7" s="645"/>
      <c r="D7" s="647"/>
      <c r="E7" s="644"/>
      <c r="F7" s="650" t="s">
        <v>538</v>
      </c>
      <c r="G7" s="650"/>
      <c r="H7" s="650" t="s">
        <v>243</v>
      </c>
      <c r="I7" s="650"/>
      <c r="J7" s="650" t="s">
        <v>244</v>
      </c>
      <c r="K7" s="650"/>
      <c r="L7" s="650" t="s">
        <v>478</v>
      </c>
      <c r="M7" s="650"/>
    </row>
    <row r="8" spans="1:13" ht="15.75" customHeight="1">
      <c r="A8" s="644"/>
      <c r="B8" s="157" t="s">
        <v>11</v>
      </c>
      <c r="C8" s="157" t="s">
        <v>245</v>
      </c>
      <c r="D8" s="647"/>
      <c r="E8" s="644"/>
      <c r="F8" s="157" t="s">
        <v>11</v>
      </c>
      <c r="G8" s="157" t="s">
        <v>245</v>
      </c>
      <c r="H8" s="157" t="s">
        <v>11</v>
      </c>
      <c r="I8" s="157" t="s">
        <v>245</v>
      </c>
      <c r="J8" s="157" t="s">
        <v>11</v>
      </c>
      <c r="K8" s="157" t="s">
        <v>245</v>
      </c>
      <c r="L8" s="157" t="s">
        <v>11</v>
      </c>
      <c r="M8" s="157" t="s">
        <v>245</v>
      </c>
    </row>
    <row r="9" spans="1:13" ht="19.399999999999999" customHeight="1">
      <c r="A9" s="141" t="s">
        <v>246</v>
      </c>
      <c r="B9" s="142">
        <f>日別報廢率總表!AI3</f>
        <v>0</v>
      </c>
      <c r="C9" s="143">
        <f>B9/($B$5*1000)</f>
        <v>0</v>
      </c>
      <c r="D9" s="647"/>
      <c r="E9" s="141" t="s">
        <v>246</v>
      </c>
      <c r="F9" s="144" t="e">
        <f>'報廢20大－原因別分析'!#REF!</f>
        <v>#REF!</v>
      </c>
      <c r="G9" s="391" t="e">
        <f>'報廢20大－原因別分析'!#REF!</f>
        <v>#REF!</v>
      </c>
      <c r="H9" s="144" t="e">
        <f>'報廢20大－原因別分析'!#REF!</f>
        <v>#REF!</v>
      </c>
      <c r="I9" s="391" t="e">
        <f>'報廢20大－原因別分析'!#REF!</f>
        <v>#REF!</v>
      </c>
      <c r="J9" s="144" t="e">
        <f>'報廢20大－原因別分析'!#REF!</f>
        <v>#REF!</v>
      </c>
      <c r="K9" s="391" t="e">
        <f>'報廢20大－原因別分析'!#REF!</f>
        <v>#REF!</v>
      </c>
      <c r="L9" s="144" t="e">
        <f>'報廢20大－原因別分析'!#REF!</f>
        <v>#REF!</v>
      </c>
      <c r="M9" s="391" t="e">
        <f>'報廢20大－原因別分析'!#REF!</f>
        <v>#REF!</v>
      </c>
    </row>
    <row r="10" spans="1:13" ht="19.399999999999999" customHeight="1">
      <c r="A10" s="146" t="s">
        <v>247</v>
      </c>
      <c r="B10" s="147">
        <f>日別報廢率總表!AL3</f>
        <v>0</v>
      </c>
      <c r="C10" s="143">
        <f>B10/($B$5*1000)</f>
        <v>0</v>
      </c>
      <c r="D10" s="647"/>
      <c r="E10" s="146" t="s">
        <v>247</v>
      </c>
      <c r="F10" s="144" t="e">
        <f>'超用20大－原因別分析'!#REF!</f>
        <v>#REF!</v>
      </c>
      <c r="G10" s="391" t="e">
        <f>'超用20大－原因別分析'!#REF!</f>
        <v>#REF!</v>
      </c>
      <c r="H10" s="144" t="e">
        <f>'超用20大－原因別分析'!#REF!</f>
        <v>#REF!</v>
      </c>
      <c r="I10" s="391" t="e">
        <f>'超用20大－原因別分析'!#REF!</f>
        <v>#REF!</v>
      </c>
      <c r="J10" s="144" t="e">
        <f>'超用20大－原因別分析'!#REF!</f>
        <v>#REF!</v>
      </c>
      <c r="K10" s="391" t="e">
        <f>'超用20大－原因別分析'!#REF!</f>
        <v>#REF!</v>
      </c>
      <c r="L10" s="144" t="e">
        <f>'超用20大－原因別分析'!#REF!</f>
        <v>#REF!</v>
      </c>
      <c r="M10" s="391" t="e">
        <f>'超用20大－原因別分析'!#REF!</f>
        <v>#REF!</v>
      </c>
    </row>
    <row r="11" spans="1:13" ht="15.75" customHeight="1">
      <c r="D11" s="647"/>
      <c r="E11" s="644" t="s">
        <v>242</v>
      </c>
      <c r="F11" s="648">
        <v>5</v>
      </c>
      <c r="G11" s="648"/>
      <c r="H11" s="648">
        <v>6</v>
      </c>
      <c r="I11" s="648"/>
      <c r="J11" s="648">
        <v>7</v>
      </c>
      <c r="K11" s="648"/>
      <c r="L11" s="649">
        <v>8</v>
      </c>
      <c r="M11" s="649"/>
    </row>
    <row r="12" spans="1:13" ht="31.4" customHeight="1">
      <c r="D12" s="647"/>
      <c r="E12" s="644"/>
      <c r="F12" s="650" t="s">
        <v>248</v>
      </c>
      <c r="G12" s="650"/>
      <c r="H12" s="650" t="s">
        <v>249</v>
      </c>
      <c r="I12" s="650"/>
      <c r="J12" s="650" t="s">
        <v>250</v>
      </c>
      <c r="K12" s="650"/>
      <c r="L12" s="651"/>
      <c r="M12" s="651"/>
    </row>
    <row r="13" spans="1:13" ht="15.75" customHeight="1">
      <c r="D13" s="647"/>
      <c r="E13" s="644"/>
      <c r="F13" s="157" t="s">
        <v>11</v>
      </c>
      <c r="G13" s="157" t="s">
        <v>245</v>
      </c>
      <c r="H13" s="157" t="s">
        <v>11</v>
      </c>
      <c r="I13" s="157" t="s">
        <v>245</v>
      </c>
      <c r="J13" s="157" t="s">
        <v>11</v>
      </c>
      <c r="K13" s="157" t="s">
        <v>245</v>
      </c>
      <c r="L13" s="157"/>
      <c r="M13" s="157"/>
    </row>
    <row r="14" spans="1:13" ht="19.399999999999999" customHeight="1">
      <c r="D14" s="647"/>
      <c r="E14" s="141" t="s">
        <v>246</v>
      </c>
      <c r="F14" s="144" t="e">
        <f>'報廢20大－原因別分析'!#REF!</f>
        <v>#REF!</v>
      </c>
      <c r="G14" s="391" t="e">
        <f>'報廢20大－原因別分析'!#REF!</f>
        <v>#REF!</v>
      </c>
      <c r="H14" s="144" t="e">
        <f>'報廢20大－原因別分析'!#REF!</f>
        <v>#REF!</v>
      </c>
      <c r="I14" s="391" t="e">
        <f>'報廢20大－原因別分析'!#REF!</f>
        <v>#REF!</v>
      </c>
      <c r="J14" s="144" t="e">
        <f>'報廢20大－原因別分析'!#REF!</f>
        <v>#REF!</v>
      </c>
      <c r="K14" s="391" t="e">
        <f>'報廢20大－原因別分析'!#REF!</f>
        <v>#REF!</v>
      </c>
      <c r="L14" s="144"/>
      <c r="M14" s="145"/>
    </row>
    <row r="15" spans="1:13" ht="19.399999999999999" customHeight="1">
      <c r="D15" s="647"/>
      <c r="E15" s="146" t="s">
        <v>247</v>
      </c>
      <c r="F15" s="144" t="e">
        <f>'超用20大－原因別分析'!#REF!</f>
        <v>#REF!</v>
      </c>
      <c r="G15" s="391" t="e">
        <f>'超用20大－原因別分析'!#REF!</f>
        <v>#REF!</v>
      </c>
      <c r="H15" s="144" t="e">
        <f>'超用20大－原因別分析'!#REF!</f>
        <v>#REF!</v>
      </c>
      <c r="I15" s="391" t="e">
        <f>'超用20大－原因別分析'!#REF!</f>
        <v>#REF!</v>
      </c>
      <c r="J15" s="144" t="e">
        <f>'超用20大－原因別分析'!#REF!</f>
        <v>#REF!</v>
      </c>
      <c r="K15" s="391" t="e">
        <f>'超用20大－原因別分析'!#REF!</f>
        <v>#REF!</v>
      </c>
      <c r="L15" s="144"/>
      <c r="M15" s="145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Q12" sqref="Q12"/>
    </sheetView>
  </sheetViews>
  <sheetFormatPr defaultColWidth="12.54296875" defaultRowHeight="15.75" customHeight="1"/>
  <cols>
    <col min="1" max="1" width="5.453125" style="138" customWidth="1"/>
    <col min="2" max="2" width="11.453125" style="244" customWidth="1"/>
    <col min="3" max="3" width="4" style="245" customWidth="1"/>
    <col min="4" max="15" width="9.54296875" style="138" customWidth="1"/>
    <col min="16" max="16" width="55.453125" style="138" customWidth="1"/>
    <col min="17" max="20" width="12.54296875" style="243"/>
    <col min="21" max="21" width="24.453125" style="138" bestFit="1" customWidth="1"/>
    <col min="22" max="22" width="19.453125" style="138" bestFit="1" customWidth="1"/>
    <col min="23" max="23" width="23" style="138" bestFit="1" customWidth="1"/>
    <col min="24" max="24" width="11.7265625" style="138" bestFit="1" customWidth="1"/>
    <col min="25" max="25" width="15.81640625" style="138" bestFit="1" customWidth="1"/>
    <col min="26" max="26" width="23.54296875" style="138" bestFit="1" customWidth="1"/>
    <col min="27" max="27" width="23" style="138" bestFit="1" customWidth="1"/>
    <col min="28" max="28" width="11.7265625" style="138" bestFit="1" customWidth="1"/>
    <col min="29" max="29" width="20.54296875" style="138" bestFit="1" customWidth="1"/>
    <col min="30" max="30" width="15" style="138" bestFit="1" customWidth="1"/>
    <col min="31" max="31" width="23" style="138" bestFit="1" customWidth="1"/>
    <col min="32" max="32" width="11.7265625" style="138" bestFit="1" customWidth="1"/>
    <col min="33" max="33" width="15.81640625" style="138" bestFit="1" customWidth="1"/>
    <col min="34" max="34" width="15" style="138" bestFit="1" customWidth="1"/>
    <col min="35" max="35" width="23" style="138" bestFit="1" customWidth="1"/>
    <col min="36" max="36" width="15" style="138" bestFit="1" customWidth="1"/>
    <col min="37" max="37" width="23" style="138" bestFit="1" customWidth="1"/>
    <col min="38" max="38" width="11.7265625" style="138" bestFit="1" customWidth="1"/>
    <col min="39" max="39" width="13.81640625" style="138" bestFit="1" customWidth="1"/>
    <col min="40" max="40" width="27.81640625" style="138" bestFit="1" customWidth="1"/>
    <col min="41" max="41" width="23" style="138" bestFit="1" customWidth="1"/>
    <col min="42" max="42" width="8" style="138" bestFit="1" customWidth="1"/>
    <col min="43" max="43" width="30.7265625" style="138" bestFit="1" customWidth="1"/>
    <col min="44" max="44" width="25.7265625" style="138" bestFit="1" customWidth="1"/>
    <col min="45" max="45" width="23" style="138" bestFit="1" customWidth="1"/>
    <col min="46" max="46" width="15" style="138" bestFit="1" customWidth="1"/>
    <col min="47" max="47" width="23" style="138" bestFit="1" customWidth="1"/>
    <col min="48" max="48" width="11.7265625" style="138" bestFit="1" customWidth="1"/>
    <col min="49" max="49" width="20.1796875" style="138" bestFit="1" customWidth="1"/>
    <col min="50" max="50" width="23.54296875" style="138" bestFit="1" customWidth="1"/>
    <col min="51" max="51" width="23" style="138" bestFit="1" customWidth="1"/>
    <col min="52" max="52" width="11.7265625" style="138" bestFit="1" customWidth="1"/>
    <col min="53" max="53" width="21.453125" style="138" bestFit="1" customWidth="1"/>
    <col min="54" max="54" width="15" style="138" bestFit="1" customWidth="1"/>
    <col min="55" max="55" width="23" style="138" bestFit="1" customWidth="1"/>
    <col min="56" max="56" width="11.7265625" style="138" bestFit="1" customWidth="1"/>
    <col min="57" max="57" width="13.81640625" style="138" bestFit="1" customWidth="1"/>
    <col min="58" max="58" width="22" style="138" bestFit="1" customWidth="1"/>
    <col min="59" max="59" width="23" style="138" bestFit="1" customWidth="1"/>
    <col min="60" max="60" width="15" style="138" bestFit="1" customWidth="1"/>
    <col min="61" max="61" width="23" style="138" bestFit="1" customWidth="1"/>
    <col min="62" max="62" width="11.7265625" style="138" bestFit="1" customWidth="1"/>
    <col min="63" max="63" width="24.7265625" style="138" bestFit="1" customWidth="1"/>
    <col min="64" max="64" width="18.7265625" style="138" bestFit="1" customWidth="1"/>
    <col min="65" max="65" width="23" style="138" bestFit="1" customWidth="1"/>
    <col min="66" max="66" width="15" style="138" bestFit="1" customWidth="1"/>
    <col min="67" max="67" width="23" style="138" bestFit="1" customWidth="1"/>
    <col min="68" max="68" width="15" style="138" bestFit="1" customWidth="1"/>
    <col min="69" max="69" width="23" style="138" bestFit="1" customWidth="1"/>
    <col min="70" max="70" width="15" style="138" bestFit="1" customWidth="1"/>
    <col min="71" max="71" width="21.81640625" style="138" bestFit="1" customWidth="1"/>
    <col min="72" max="72" width="10.54296875" style="138" bestFit="1" customWidth="1"/>
    <col min="73" max="73" width="21.453125" style="138" bestFit="1" customWidth="1"/>
    <col min="74" max="74" width="5.453125" style="138" bestFit="1" customWidth="1"/>
    <col min="75" max="16384" width="12.54296875" style="138"/>
  </cols>
  <sheetData>
    <row r="1" spans="1:74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74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74" ht="15.75" customHeight="1">
      <c r="A3" s="643" t="s">
        <v>479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1:74" s="13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  <c r="M4" s="667"/>
    </row>
    <row r="5" spans="1:74" ht="15.75" customHeight="1">
      <c r="A5" s="645" t="s">
        <v>193</v>
      </c>
      <c r="B5" s="668">
        <v>1</v>
      </c>
      <c r="C5" s="668"/>
      <c r="D5" s="668">
        <v>2</v>
      </c>
      <c r="E5" s="668"/>
      <c r="F5" s="668">
        <v>3</v>
      </c>
      <c r="G5" s="668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387">
        <v>8</v>
      </c>
    </row>
    <row r="6" spans="1:74" ht="15.75" customHeight="1">
      <c r="A6" s="645"/>
      <c r="B6" s="669" t="s">
        <v>538</v>
      </c>
      <c r="C6" s="669"/>
      <c r="D6" s="669" t="s">
        <v>215</v>
      </c>
      <c r="E6" s="669"/>
      <c r="F6" s="669" t="s">
        <v>168</v>
      </c>
      <c r="G6" s="669"/>
      <c r="H6" s="645" t="s">
        <v>477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388" t="s">
        <v>220</v>
      </c>
    </row>
    <row r="8" spans="1:74" s="247" customFormat="1" ht="15.75" customHeight="1">
      <c r="A8" s="648" t="s">
        <v>193</v>
      </c>
      <c r="B8" s="648"/>
      <c r="C8" s="246" t="s">
        <v>47</v>
      </c>
      <c r="D8" s="666" t="s">
        <v>12</v>
      </c>
      <c r="E8" s="666"/>
      <c r="F8" s="666"/>
      <c r="G8" s="660" t="s">
        <v>53</v>
      </c>
      <c r="H8" s="661"/>
      <c r="I8" s="662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2" t="s">
        <v>51</v>
      </c>
      <c r="P8" s="652"/>
    </row>
    <row r="9" spans="1:74" ht="40" customHeight="1">
      <c r="A9" s="648">
        <v>1</v>
      </c>
      <c r="B9" s="663" t="s">
        <v>539</v>
      </c>
      <c r="C9" s="248">
        <v>1</v>
      </c>
      <c r="D9" s="249" t="s">
        <v>497</v>
      </c>
      <c r="E9" s="250"/>
      <c r="F9" s="251"/>
      <c r="G9" s="394" t="s">
        <v>500</v>
      </c>
      <c r="H9" s="395"/>
      <c r="I9" s="396"/>
      <c r="J9" s="248">
        <v>181.60999999999999</v>
      </c>
      <c r="K9" s="254">
        <v>2.3750416679362289E-2</v>
      </c>
      <c r="L9" s="248">
        <v>48.13</v>
      </c>
      <c r="M9" s="340">
        <f>L9*J9</f>
        <v>8740.8892999999989</v>
      </c>
      <c r="N9" s="255"/>
      <c r="O9" s="653"/>
      <c r="P9" s="653"/>
    </row>
    <row r="10" spans="1:74" ht="40" customHeight="1">
      <c r="A10" s="648"/>
      <c r="B10" s="663"/>
      <c r="C10" s="248">
        <v>2</v>
      </c>
      <c r="D10" s="249" t="s">
        <v>507</v>
      </c>
      <c r="E10" s="250"/>
      <c r="F10" s="251"/>
      <c r="G10" s="394" t="s">
        <v>509</v>
      </c>
      <c r="H10" s="395"/>
      <c r="I10" s="396"/>
      <c r="J10" s="248">
        <v>155.84</v>
      </c>
      <c r="K10" s="254">
        <v>2.833030794159062E-2</v>
      </c>
      <c r="L10" s="248">
        <v>43.28</v>
      </c>
      <c r="M10" s="340">
        <f t="shared" ref="M10:M13" si="0">L10*J10</f>
        <v>6744.7552000000005</v>
      </c>
      <c r="N10" s="255"/>
      <c r="O10" s="653"/>
      <c r="P10" s="65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</row>
    <row r="11" spans="1:74" ht="40" customHeight="1">
      <c r="A11" s="648"/>
      <c r="B11" s="663"/>
      <c r="C11" s="248">
        <v>3</v>
      </c>
      <c r="D11" s="249" t="s">
        <v>378</v>
      </c>
      <c r="E11" s="250"/>
      <c r="F11" s="251"/>
      <c r="G11" s="394" t="s">
        <v>375</v>
      </c>
      <c r="H11" s="395"/>
      <c r="I11" s="396"/>
      <c r="J11" s="248">
        <v>152.75</v>
      </c>
      <c r="K11" s="254">
        <v>1.6522830460961063E-2</v>
      </c>
      <c r="L11" s="248">
        <v>37.870000000000005</v>
      </c>
      <c r="M11" s="340">
        <f t="shared" si="0"/>
        <v>5784.6425000000008</v>
      </c>
      <c r="N11" s="255"/>
      <c r="O11" s="664"/>
      <c r="P11" s="664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</row>
    <row r="12" spans="1:74" ht="40" customHeight="1">
      <c r="A12" s="648"/>
      <c r="B12" s="663"/>
      <c r="C12" s="248">
        <v>4</v>
      </c>
      <c r="D12" s="249" t="s">
        <v>351</v>
      </c>
      <c r="E12" s="250"/>
      <c r="F12" s="251"/>
      <c r="G12" s="394" t="s">
        <v>343</v>
      </c>
      <c r="H12" s="395"/>
      <c r="I12" s="396"/>
      <c r="J12" s="248">
        <v>141.66999999999999</v>
      </c>
      <c r="K12" s="254">
        <v>1.9693373256045265E-2</v>
      </c>
      <c r="L12" s="248">
        <v>38.179999999999993</v>
      </c>
      <c r="M12" s="340">
        <f t="shared" si="0"/>
        <v>5408.9605999999985</v>
      </c>
      <c r="N12" s="255"/>
      <c r="O12" s="664"/>
      <c r="P12" s="664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</row>
    <row r="13" spans="1:74" ht="40" customHeight="1" thickBot="1">
      <c r="A13" s="648"/>
      <c r="B13" s="663"/>
      <c r="C13" s="248">
        <v>5</v>
      </c>
      <c r="D13" s="256" t="s">
        <v>366</v>
      </c>
      <c r="E13" s="257"/>
      <c r="F13" s="258"/>
      <c r="G13" s="394" t="s">
        <v>373</v>
      </c>
      <c r="H13" s="395"/>
      <c r="I13" s="396"/>
      <c r="J13" s="259">
        <v>183.65</v>
      </c>
      <c r="K13" s="260">
        <v>3.1451581202566421E-2</v>
      </c>
      <c r="L13" s="259">
        <v>26.09</v>
      </c>
      <c r="M13" s="341">
        <f t="shared" si="0"/>
        <v>4791.4285</v>
      </c>
      <c r="N13" s="255"/>
      <c r="O13" s="664"/>
      <c r="P13" s="664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</row>
    <row r="14" spans="1:74" ht="15.75" customHeight="1" thickTop="1">
      <c r="A14" s="648"/>
      <c r="B14" s="663"/>
      <c r="C14" s="654"/>
      <c r="D14" s="655"/>
      <c r="E14" s="655"/>
      <c r="F14" s="655"/>
      <c r="G14" s="655"/>
      <c r="H14" s="655"/>
      <c r="I14" s="656"/>
      <c r="J14" s="261" t="s">
        <v>58</v>
      </c>
      <c r="K14" s="360" t="e">
        <f>M14/'生產管理報表 7-1(月)'!$B$9</f>
        <v>#DIV/0!</v>
      </c>
      <c r="L14" s="261" t="s">
        <v>59</v>
      </c>
      <c r="M14" s="389">
        <f>SUM(M9:M13)</f>
        <v>31470.676099999997</v>
      </c>
      <c r="N14" s="665"/>
      <c r="O14" s="665"/>
      <c r="P14" s="665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</row>
    <row r="15" spans="1:74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</row>
    <row r="16" spans="1:74" ht="15.75" customHeight="1">
      <c r="A16" s="648" t="s">
        <v>193</v>
      </c>
      <c r="B16" s="648"/>
      <c r="C16" s="264" t="s">
        <v>47</v>
      </c>
      <c r="D16" s="657" t="s">
        <v>12</v>
      </c>
      <c r="E16" s="658"/>
      <c r="F16" s="659"/>
      <c r="G16" s="660" t="s">
        <v>53</v>
      </c>
      <c r="H16" s="661"/>
      <c r="I16" s="662"/>
      <c r="J16" s="266" t="s">
        <v>54</v>
      </c>
      <c r="K16" s="266" t="s">
        <v>55</v>
      </c>
      <c r="L16" s="266" t="s">
        <v>56</v>
      </c>
      <c r="M16" s="266" t="s">
        <v>11</v>
      </c>
      <c r="N16" s="246" t="s">
        <v>340</v>
      </c>
      <c r="O16" s="652" t="s">
        <v>51</v>
      </c>
      <c r="P16" s="652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</row>
    <row r="17" spans="1:35" ht="20.149999999999999" customHeight="1">
      <c r="A17" s="648">
        <v>2</v>
      </c>
      <c r="B17" s="663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55"/>
      <c r="O17" s="653"/>
      <c r="P17" s="65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</row>
    <row r="18" spans="1:35" ht="20.149999999999999" customHeight="1">
      <c r="A18" s="648"/>
      <c r="B18" s="663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55"/>
      <c r="O18" s="653"/>
      <c r="P18" s="65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</row>
    <row r="19" spans="1:35" ht="20.149999999999999" customHeight="1">
      <c r="A19" s="648"/>
      <c r="B19" s="663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55"/>
      <c r="O19" s="664"/>
      <c r="P19" s="664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</row>
    <row r="20" spans="1:35" ht="20.149999999999999" customHeight="1">
      <c r="A20" s="648"/>
      <c r="B20" s="663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55"/>
      <c r="O20" s="664"/>
      <c r="P20" s="664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</row>
    <row r="21" spans="1:35" ht="20.149999999999999" customHeight="1" thickBot="1">
      <c r="A21" s="648"/>
      <c r="B21" s="663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55"/>
      <c r="O21" s="664"/>
      <c r="P21" s="664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</row>
    <row r="22" spans="1:35" ht="15.75" customHeight="1" thickTop="1">
      <c r="A22" s="648"/>
      <c r="B22" s="663"/>
      <c r="C22" s="654"/>
      <c r="D22" s="655"/>
      <c r="E22" s="655"/>
      <c r="F22" s="655"/>
      <c r="G22" s="655"/>
      <c r="H22" s="655"/>
      <c r="I22" s="656"/>
      <c r="J22" s="261" t="s">
        <v>58</v>
      </c>
      <c r="K22" s="360" t="e">
        <f>M22/'生產管理報表 7-1(月)'!$B$9</f>
        <v>#DIV/0!</v>
      </c>
      <c r="L22" s="261" t="s">
        <v>59</v>
      </c>
      <c r="M22" s="262">
        <f>SUM(M17:M21)</f>
        <v>0</v>
      </c>
      <c r="N22" s="665"/>
      <c r="O22" s="665"/>
      <c r="P22" s="665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</row>
    <row r="23" spans="1:35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</row>
    <row r="24" spans="1:35" ht="15.75" customHeight="1">
      <c r="A24" s="648" t="s">
        <v>193</v>
      </c>
      <c r="B24" s="648"/>
      <c r="C24" s="264" t="s">
        <v>47</v>
      </c>
      <c r="D24" s="657" t="s">
        <v>12</v>
      </c>
      <c r="E24" s="658"/>
      <c r="F24" s="659"/>
      <c r="G24" s="660" t="s">
        <v>53</v>
      </c>
      <c r="H24" s="661"/>
      <c r="I24" s="662"/>
      <c r="J24" s="265" t="s">
        <v>54</v>
      </c>
      <c r="K24" s="266" t="s">
        <v>55</v>
      </c>
      <c r="L24" s="266" t="s">
        <v>56</v>
      </c>
      <c r="M24" s="266" t="s">
        <v>11</v>
      </c>
      <c r="N24" s="246" t="s">
        <v>340</v>
      </c>
      <c r="O24" s="652" t="s">
        <v>51</v>
      </c>
      <c r="P24" s="652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</row>
    <row r="25" spans="1:35" ht="40" customHeight="1">
      <c r="A25" s="648">
        <v>3</v>
      </c>
      <c r="B25" s="663" t="s">
        <v>459</v>
      </c>
      <c r="C25" s="268">
        <v>1</v>
      </c>
      <c r="D25" s="249" t="s">
        <v>493</v>
      </c>
      <c r="E25" s="250"/>
      <c r="F25" s="251"/>
      <c r="G25" s="328" t="s">
        <v>491</v>
      </c>
      <c r="H25" s="327"/>
      <c r="I25" s="328"/>
      <c r="J25" s="281">
        <v>13.950000000000001</v>
      </c>
      <c r="K25" s="270">
        <v>8.8547124203261808E-3</v>
      </c>
      <c r="L25" s="269">
        <v>642</v>
      </c>
      <c r="M25" s="343">
        <f t="shared" ref="M25:M29" si="2">L25*J25</f>
        <v>8955.9000000000015</v>
      </c>
      <c r="N25" s="255"/>
      <c r="O25" s="653"/>
      <c r="P25" s="65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</row>
    <row r="26" spans="1:35" ht="40" customHeight="1">
      <c r="A26" s="648"/>
      <c r="B26" s="663"/>
      <c r="C26" s="268">
        <v>2</v>
      </c>
      <c r="D26" s="249" t="s">
        <v>444</v>
      </c>
      <c r="E26" s="250"/>
      <c r="F26" s="251"/>
      <c r="G26" s="328" t="s">
        <v>461</v>
      </c>
      <c r="H26" s="327"/>
      <c r="I26" s="328"/>
      <c r="J26" s="281">
        <v>122.81999999999996</v>
      </c>
      <c r="K26" s="270">
        <v>2.0355957071716863E-2</v>
      </c>
      <c r="L26" s="269">
        <v>52.120000000000005</v>
      </c>
      <c r="M26" s="343">
        <f t="shared" si="2"/>
        <v>6401.3783999999987</v>
      </c>
      <c r="N26" s="255"/>
      <c r="O26" s="653"/>
      <c r="P26" s="65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</row>
    <row r="27" spans="1:35" ht="40" customHeight="1">
      <c r="A27" s="648"/>
      <c r="B27" s="663"/>
      <c r="C27" s="268">
        <v>3</v>
      </c>
      <c r="D27" s="249" t="s">
        <v>524</v>
      </c>
      <c r="E27" s="250"/>
      <c r="F27" s="251"/>
      <c r="G27" s="328" t="s">
        <v>531</v>
      </c>
      <c r="H27" s="327"/>
      <c r="I27" s="328"/>
      <c r="J27" s="281">
        <v>1.17</v>
      </c>
      <c r="K27" s="270">
        <v>5.1907558229559569E-3</v>
      </c>
      <c r="L27" s="269">
        <v>4744</v>
      </c>
      <c r="M27" s="343">
        <f t="shared" si="2"/>
        <v>5550.48</v>
      </c>
      <c r="N27" s="255"/>
      <c r="O27" s="664"/>
      <c r="P27" s="664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</row>
    <row r="28" spans="1:35" ht="40" customHeight="1">
      <c r="A28" s="648"/>
      <c r="B28" s="663"/>
      <c r="C28" s="268">
        <v>4</v>
      </c>
      <c r="D28" s="249" t="s">
        <v>349</v>
      </c>
      <c r="E28" s="250"/>
      <c r="F28" s="251"/>
      <c r="G28" s="280" t="s">
        <v>556</v>
      </c>
      <c r="H28" s="250"/>
      <c r="I28" s="280"/>
      <c r="J28" s="281">
        <v>5.36</v>
      </c>
      <c r="K28" s="270">
        <v>3.951690093664726E-3</v>
      </c>
      <c r="L28" s="269">
        <v>866</v>
      </c>
      <c r="M28" s="343">
        <f t="shared" si="2"/>
        <v>4641.76</v>
      </c>
      <c r="N28" s="255"/>
      <c r="O28" s="664"/>
      <c r="P28" s="664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</row>
    <row r="29" spans="1:35" ht="40" customHeight="1" thickBot="1">
      <c r="A29" s="648"/>
      <c r="B29" s="663"/>
      <c r="C29" s="274">
        <v>5</v>
      </c>
      <c r="D29" s="256" t="s">
        <v>349</v>
      </c>
      <c r="E29" s="257"/>
      <c r="F29" s="258"/>
      <c r="G29" s="283" t="s">
        <v>532</v>
      </c>
      <c r="H29" s="257"/>
      <c r="I29" s="283"/>
      <c r="J29" s="284">
        <v>2.4499999999999997</v>
      </c>
      <c r="K29" s="276">
        <v>4.3085487704634983E-3</v>
      </c>
      <c r="L29" s="285">
        <v>1740</v>
      </c>
      <c r="M29" s="343">
        <f t="shared" si="2"/>
        <v>4262.9999999999991</v>
      </c>
      <c r="N29" s="255"/>
      <c r="O29" s="664"/>
      <c r="P29" s="664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</row>
    <row r="30" spans="1:35" ht="15.75" customHeight="1" thickTop="1">
      <c r="A30" s="648"/>
      <c r="B30" s="663"/>
      <c r="C30" s="654"/>
      <c r="D30" s="655"/>
      <c r="E30" s="655"/>
      <c r="F30" s="655"/>
      <c r="G30" s="655"/>
      <c r="H30" s="655"/>
      <c r="I30" s="656"/>
      <c r="J30" s="286" t="s">
        <v>58</v>
      </c>
      <c r="K30" s="360" t="e">
        <f>M30/'生產管理報表 7-1(月)'!$B$9</f>
        <v>#DIV/0!</v>
      </c>
      <c r="L30" s="286" t="s">
        <v>59</v>
      </c>
      <c r="M30" s="344">
        <f>SUM(M25:M29)</f>
        <v>29812.518400000001</v>
      </c>
      <c r="N30" s="665"/>
      <c r="O30" s="665"/>
      <c r="P30" s="665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4296875" defaultRowHeight="15.75" customHeight="1"/>
  <cols>
    <col min="1" max="1" width="5.453125" style="301" customWidth="1"/>
    <col min="2" max="2" width="11.453125" style="310" customWidth="1"/>
    <col min="3" max="3" width="4" style="311" customWidth="1"/>
    <col min="4" max="4" width="9.54296875" style="301" customWidth="1"/>
    <col min="5" max="5" width="10.26953125" style="301" customWidth="1"/>
    <col min="6" max="15" width="9.54296875" style="301" customWidth="1"/>
    <col min="16" max="16" width="38" style="301" customWidth="1"/>
    <col min="17" max="16384" width="12.54296875" style="301"/>
  </cols>
  <sheetData>
    <row r="1" spans="1:20" s="138" customFormat="1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479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01" t="s">
        <v>12</v>
      </c>
      <c r="E8" s="702"/>
      <c r="F8" s="703"/>
      <c r="G8" s="704" t="s">
        <v>53</v>
      </c>
      <c r="H8" s="705"/>
      <c r="I8" s="706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361"/>
      <c r="S8" s="362"/>
    </row>
    <row r="9" spans="1:20" s="311" customFormat="1" ht="40" customHeight="1">
      <c r="A9" s="683">
        <v>4</v>
      </c>
      <c r="B9" s="717" t="s">
        <v>477</v>
      </c>
      <c r="C9" s="291">
        <v>1</v>
      </c>
      <c r="D9" s="249"/>
      <c r="E9" s="250"/>
      <c r="F9" s="251"/>
      <c r="G9" s="252"/>
      <c r="H9" s="253"/>
      <c r="I9" s="252"/>
      <c r="J9" s="329"/>
      <c r="K9" s="330"/>
      <c r="L9" s="331"/>
      <c r="M9" s="340">
        <f t="shared" ref="M9:M13" si="0">L9*J9</f>
        <v>0</v>
      </c>
      <c r="N9" s="331"/>
      <c r="O9" s="720"/>
      <c r="P9" s="721"/>
      <c r="R9" s="363"/>
      <c r="S9" s="363"/>
    </row>
    <row r="10" spans="1:20" s="311" customFormat="1" ht="40" customHeight="1">
      <c r="A10" s="684"/>
      <c r="B10" s="718"/>
      <c r="C10" s="291">
        <v>2</v>
      </c>
      <c r="D10" s="390"/>
      <c r="E10" s="250"/>
      <c r="F10" s="251"/>
      <c r="G10" s="252"/>
      <c r="H10" s="253"/>
      <c r="I10" s="252"/>
      <c r="J10" s="329"/>
      <c r="K10" s="330"/>
      <c r="L10" s="331"/>
      <c r="M10" s="340">
        <f t="shared" si="0"/>
        <v>0</v>
      </c>
      <c r="N10" s="331"/>
      <c r="O10" s="713"/>
      <c r="P10" s="714"/>
      <c r="R10" s="363"/>
      <c r="S10" s="363"/>
    </row>
    <row r="11" spans="1:20" s="311" customFormat="1" ht="40" customHeight="1">
      <c r="A11" s="684"/>
      <c r="B11" s="718"/>
      <c r="C11" s="291">
        <v>3</v>
      </c>
      <c r="D11" s="249"/>
      <c r="E11" s="250"/>
      <c r="F11" s="251"/>
      <c r="G11" s="252"/>
      <c r="H11" s="253"/>
      <c r="I11" s="252"/>
      <c r="J11" s="329"/>
      <c r="K11" s="330"/>
      <c r="L11" s="331"/>
      <c r="M11" s="340">
        <f t="shared" si="0"/>
        <v>0</v>
      </c>
      <c r="N11" s="331"/>
      <c r="O11" s="722"/>
      <c r="P11" s="723"/>
      <c r="R11" s="363"/>
      <c r="S11" s="361"/>
    </row>
    <row r="12" spans="1:20" s="311" customFormat="1" ht="40" customHeight="1">
      <c r="A12" s="684"/>
      <c r="B12" s="718"/>
      <c r="C12" s="291">
        <v>4</v>
      </c>
      <c r="D12" s="256"/>
      <c r="E12" s="250"/>
      <c r="F12" s="251"/>
      <c r="G12" s="252"/>
      <c r="H12" s="253"/>
      <c r="I12" s="252"/>
      <c r="J12" s="329"/>
      <c r="K12" s="330"/>
      <c r="L12" s="331"/>
      <c r="M12" s="340">
        <f t="shared" si="0"/>
        <v>0</v>
      </c>
      <c r="N12" s="331"/>
      <c r="O12" s="713"/>
      <c r="P12" s="714"/>
      <c r="R12" s="363"/>
      <c r="S12" s="361"/>
    </row>
    <row r="13" spans="1:20" s="311" customFormat="1" ht="40" customHeight="1" thickBot="1">
      <c r="A13" s="684"/>
      <c r="B13" s="718"/>
      <c r="C13" s="291">
        <v>5</v>
      </c>
      <c r="D13" s="249"/>
      <c r="E13" s="257"/>
      <c r="F13" s="258"/>
      <c r="G13" s="252"/>
      <c r="H13" s="253"/>
      <c r="I13" s="252"/>
      <c r="J13" s="333"/>
      <c r="K13" s="276"/>
      <c r="L13" s="335"/>
      <c r="M13" s="340">
        <f t="shared" si="0"/>
        <v>0</v>
      </c>
      <c r="N13" s="331"/>
      <c r="O13" s="699"/>
      <c r="P13" s="700"/>
      <c r="R13" s="364"/>
      <c r="S13" s="361"/>
      <c r="T13" s="301"/>
    </row>
    <row r="14" spans="1:20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08" t="s">
        <v>58</v>
      </c>
      <c r="K14" s="360" t="e">
        <f>M14/'生產管理報表 7-1(月)'!$B$9</f>
        <v>#DIV/0!</v>
      </c>
      <c r="L14" s="309" t="s">
        <v>59</v>
      </c>
      <c r="M14" s="352">
        <f>SUM(M9:M13)</f>
        <v>0</v>
      </c>
      <c r="N14" s="670"/>
      <c r="O14" s="671"/>
      <c r="P14" s="672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362"/>
      <c r="T16" s="311"/>
    </row>
    <row r="17" spans="1:20" s="311" customFormat="1" ht="40" customHeight="1">
      <c r="A17" s="683">
        <v>5</v>
      </c>
      <c r="B17" s="696" t="s">
        <v>218</v>
      </c>
      <c r="C17" s="291">
        <v>1</v>
      </c>
      <c r="D17" s="249" t="s">
        <v>365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2.1007987325896094E-2</v>
      </c>
      <c r="L17" s="331">
        <v>12.729999999999999</v>
      </c>
      <c r="M17" s="340">
        <f t="shared" ref="M17:M21" si="1">L17*J17</f>
        <v>1222.08</v>
      </c>
      <c r="N17" s="331"/>
      <c r="O17" s="707"/>
      <c r="P17" s="708"/>
      <c r="S17" s="361"/>
    </row>
    <row r="18" spans="1:20" s="311" customFormat="1" ht="40" customHeight="1">
      <c r="A18" s="684"/>
      <c r="B18" s="697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si="1"/>
        <v>0</v>
      </c>
      <c r="N18" s="331"/>
      <c r="O18" s="709"/>
      <c r="P18" s="710"/>
      <c r="S18" s="301"/>
      <c r="T18" s="301"/>
    </row>
    <row r="19" spans="1:20" ht="40" customHeight="1">
      <c r="A19" s="684"/>
      <c r="B19" s="697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11"/>
      <c r="P19" s="712"/>
    </row>
    <row r="20" spans="1:20" ht="40" customHeight="1">
      <c r="A20" s="684"/>
      <c r="B20" s="697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3"/>
      <c r="P20" s="714"/>
    </row>
    <row r="21" spans="1:20" ht="40" customHeight="1" thickBot="1">
      <c r="A21" s="684"/>
      <c r="B21" s="697"/>
      <c r="C21" s="291">
        <v>5</v>
      </c>
      <c r="D21" s="256"/>
      <c r="E21" s="303"/>
      <c r="F21" s="304"/>
      <c r="G21" s="378"/>
      <c r="H21" s="318"/>
      <c r="I21" s="319"/>
      <c r="J21" s="333"/>
      <c r="K21" s="276"/>
      <c r="L21" s="335"/>
      <c r="M21" s="340">
        <f t="shared" si="1"/>
        <v>0</v>
      </c>
      <c r="N21" s="300"/>
      <c r="O21" s="715"/>
      <c r="P21" s="716"/>
      <c r="R21" s="365"/>
    </row>
    <row r="22" spans="1:20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08" t="s">
        <v>58</v>
      </c>
      <c r="K22" s="360" t="e">
        <f>M22/'生產管理報表 7-1(月)'!$B$9</f>
        <v>#DIV/0!</v>
      </c>
      <c r="L22" s="309" t="s">
        <v>59</v>
      </c>
      <c r="M22" s="352">
        <f>SUM(M17:M21)</f>
        <v>1222.08</v>
      </c>
      <c r="N22" s="670"/>
      <c r="O22" s="671"/>
      <c r="P22" s="672"/>
      <c r="R22" s="361"/>
    </row>
    <row r="23" spans="1:20" ht="15.75" customHeight="1" thickTop="1">
      <c r="M23" s="347"/>
      <c r="R23" s="361"/>
    </row>
    <row r="24" spans="1:20" ht="15.7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361"/>
    </row>
    <row r="25" spans="1:20" ht="20.149999999999999" customHeight="1">
      <c r="A25" s="683">
        <v>6</v>
      </c>
      <c r="B25" s="696" t="s">
        <v>219</v>
      </c>
      <c r="C25" s="291">
        <v>1</v>
      </c>
      <c r="D25" s="292" t="s">
        <v>348</v>
      </c>
      <c r="E25" s="293"/>
      <c r="F25" s="294"/>
      <c r="G25" s="297" t="s">
        <v>342</v>
      </c>
      <c r="H25" s="296"/>
      <c r="I25" s="297"/>
      <c r="J25" s="298">
        <v>15.450000000000001</v>
      </c>
      <c r="K25" s="299">
        <v>3.7262013148694935E-3</v>
      </c>
      <c r="L25" s="300">
        <v>164</v>
      </c>
      <c r="M25" s="349">
        <f t="shared" ref="M25" si="2">L25*J25</f>
        <v>2533.8000000000002</v>
      </c>
      <c r="N25" s="300"/>
      <c r="O25" s="699"/>
      <c r="P25" s="700"/>
    </row>
    <row r="26" spans="1:20" ht="20.149999999999999" customHeight="1">
      <c r="A26" s="684"/>
      <c r="B26" s="697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</row>
    <row r="27" spans="1:20" ht="20.149999999999999" customHeight="1">
      <c r="A27" s="684"/>
      <c r="B27" s="697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</row>
    <row r="28" spans="1:20" ht="20.149999999999999" customHeight="1">
      <c r="A28" s="684"/>
      <c r="B28" s="697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</row>
    <row r="29" spans="1:20" ht="20.149999999999999" customHeight="1" thickBot="1">
      <c r="A29" s="684"/>
      <c r="B29" s="697"/>
      <c r="C29" s="291">
        <v>5</v>
      </c>
      <c r="D29" s="302"/>
      <c r="E29" s="303"/>
      <c r="F29" s="304"/>
      <c r="G29" s="295"/>
      <c r="H29" s="296"/>
      <c r="I29" s="297"/>
      <c r="J29" s="305"/>
      <c r="K29" s="386"/>
      <c r="L29" s="307"/>
      <c r="M29" s="349">
        <v>0</v>
      </c>
      <c r="N29" s="300"/>
      <c r="O29" s="314"/>
      <c r="P29" s="315"/>
    </row>
    <row r="30" spans="1:20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08" t="s">
        <v>58</v>
      </c>
      <c r="K30" s="360" t="e">
        <f>M30/'生產管理報表 7-1(月)'!$B$9</f>
        <v>#DIV/0!</v>
      </c>
      <c r="L30" s="309" t="s">
        <v>59</v>
      </c>
      <c r="M30" s="352">
        <f>SUM(M25:M29)</f>
        <v>2533.8000000000002</v>
      </c>
      <c r="N30" s="670"/>
      <c r="O30" s="671"/>
      <c r="P30" s="672"/>
    </row>
    <row r="31" spans="1:20" ht="15.75" customHeight="1" thickTop="1">
      <c r="M31" s="347"/>
    </row>
    <row r="32" spans="1:20" ht="15.75" customHeight="1">
      <c r="A32" s="673" t="s">
        <v>193</v>
      </c>
      <c r="B32" s="674"/>
      <c r="C32" s="316" t="s">
        <v>47</v>
      </c>
      <c r="D32" s="675" t="s">
        <v>12</v>
      </c>
      <c r="E32" s="676"/>
      <c r="F32" s="677"/>
      <c r="G32" s="678" t="s">
        <v>53</v>
      </c>
      <c r="H32" s="679"/>
      <c r="I32" s="680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1" t="s">
        <v>51</v>
      </c>
      <c r="P32" s="682"/>
    </row>
    <row r="33" spans="1:16" ht="15.75" customHeight="1">
      <c r="A33" s="683">
        <v>7</v>
      </c>
      <c r="B33" s="686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89"/>
      <c r="P33" s="690"/>
    </row>
    <row r="34" spans="1:16" ht="15.75" customHeight="1">
      <c r="A34" s="684"/>
      <c r="B34" s="687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1"/>
      <c r="P34" s="692"/>
    </row>
    <row r="35" spans="1:16" ht="15.75" customHeight="1">
      <c r="A35" s="684"/>
      <c r="B35" s="687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1"/>
      <c r="P35" s="692"/>
    </row>
    <row r="36" spans="1:16" ht="15.75" customHeight="1">
      <c r="A36" s="684"/>
      <c r="B36" s="687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84"/>
      <c r="B37" s="687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5"/>
      <c r="B38" s="688"/>
      <c r="C38" s="693"/>
      <c r="D38" s="694"/>
      <c r="E38" s="694"/>
      <c r="F38" s="694"/>
      <c r="G38" s="694"/>
      <c r="H38" s="694"/>
      <c r="I38" s="695"/>
      <c r="J38" s="308" t="s">
        <v>58</v>
      </c>
      <c r="K38" s="360" t="e">
        <f>M38/'生產管理報表 7-1(月)'!$B$9</f>
        <v>#DIV/0!</v>
      </c>
      <c r="L38" s="309" t="s">
        <v>59</v>
      </c>
      <c r="M38" s="352">
        <f>SUM(M33:M37)</f>
        <v>0</v>
      </c>
      <c r="N38" s="670"/>
      <c r="O38" s="671"/>
      <c r="P38" s="672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Q12" sqref="Q12"/>
    </sheetView>
  </sheetViews>
  <sheetFormatPr defaultColWidth="12.54296875" defaultRowHeight="15.75" customHeight="1"/>
  <cols>
    <col min="1" max="1" width="5.453125" style="138" customWidth="1"/>
    <col min="2" max="2" width="11.453125" style="244" customWidth="1"/>
    <col min="3" max="3" width="4" style="245" customWidth="1"/>
    <col min="4" max="15" width="9.54296875" style="138" customWidth="1"/>
    <col min="16" max="16" width="47.81640625" style="138" customWidth="1"/>
    <col min="17" max="17" width="9.54296875" style="138" customWidth="1"/>
    <col min="18" max="21" width="12.54296875" style="243"/>
    <col min="22" max="22" width="24.453125" style="138" bestFit="1" customWidth="1"/>
    <col min="23" max="23" width="19.453125" style="138" bestFit="1" customWidth="1"/>
    <col min="24" max="24" width="23" style="138" bestFit="1" customWidth="1"/>
    <col min="25" max="25" width="11.7265625" style="138" bestFit="1" customWidth="1"/>
    <col min="26" max="26" width="15.81640625" style="138" bestFit="1" customWidth="1"/>
    <col min="27" max="27" width="23.54296875" style="138" bestFit="1" customWidth="1"/>
    <col min="28" max="28" width="23" style="138" bestFit="1" customWidth="1"/>
    <col min="29" max="29" width="11.7265625" style="138" bestFit="1" customWidth="1"/>
    <col min="30" max="30" width="20.54296875" style="138" bestFit="1" customWidth="1"/>
    <col min="31" max="31" width="15" style="138" bestFit="1" customWidth="1"/>
    <col min="32" max="32" width="23" style="138" bestFit="1" customWidth="1"/>
    <col min="33" max="33" width="11.7265625" style="138" bestFit="1" customWidth="1"/>
    <col min="34" max="34" width="15.8164062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265625" style="138" bestFit="1" customWidth="1"/>
    <col min="40" max="40" width="13.81640625" style="138" bestFit="1" customWidth="1"/>
    <col min="41" max="41" width="27.81640625" style="138" bestFit="1" customWidth="1"/>
    <col min="42" max="42" width="23" style="138" bestFit="1" customWidth="1"/>
    <col min="43" max="43" width="8" style="138" bestFit="1" customWidth="1"/>
    <col min="44" max="44" width="30.7265625" style="138" bestFit="1" customWidth="1"/>
    <col min="45" max="45" width="25.726562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265625" style="138" bestFit="1" customWidth="1"/>
    <col min="50" max="50" width="20.1796875" style="138" bestFit="1" customWidth="1"/>
    <col min="51" max="51" width="23.54296875" style="138" bestFit="1" customWidth="1"/>
    <col min="52" max="52" width="23" style="138" bestFit="1" customWidth="1"/>
    <col min="53" max="53" width="11.7265625" style="138" bestFit="1" customWidth="1"/>
    <col min="54" max="54" width="21.453125" style="138" bestFit="1" customWidth="1"/>
    <col min="55" max="55" width="15" style="138" bestFit="1" customWidth="1"/>
    <col min="56" max="56" width="23" style="138" bestFit="1" customWidth="1"/>
    <col min="57" max="57" width="11.7265625" style="138" bestFit="1" customWidth="1"/>
    <col min="58" max="58" width="13.8164062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265625" style="138" bestFit="1" customWidth="1"/>
    <col min="64" max="64" width="24.7265625" style="138" bestFit="1" customWidth="1"/>
    <col min="65" max="65" width="18.726562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1640625" style="138" bestFit="1" customWidth="1"/>
    <col min="73" max="73" width="10.54296875" style="138" bestFit="1" customWidth="1"/>
    <col min="74" max="74" width="21.453125" style="138" bestFit="1" customWidth="1"/>
    <col min="75" max="75" width="5.453125" style="138" bestFit="1" customWidth="1"/>
    <col min="76" max="16384" width="12.54296875" style="138"/>
  </cols>
  <sheetData>
    <row r="1" spans="1:75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</row>
    <row r="2" spans="1:75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</row>
    <row r="3" spans="1:75" ht="15.75" customHeight="1">
      <c r="A3" s="643" t="s">
        <v>480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</row>
    <row r="4" spans="1:75" s="13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  <c r="M4" s="667"/>
    </row>
    <row r="5" spans="1:75" ht="15.75" customHeight="1">
      <c r="A5" s="645" t="s">
        <v>193</v>
      </c>
      <c r="B5" s="668">
        <v>1</v>
      </c>
      <c r="C5" s="668"/>
      <c r="D5" s="668">
        <v>2</v>
      </c>
      <c r="E5" s="668"/>
      <c r="F5" s="668">
        <v>3</v>
      </c>
      <c r="G5" s="668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648">
        <v>8</v>
      </c>
      <c r="Q5" s="648"/>
    </row>
    <row r="6" spans="1:75" ht="15.75" customHeight="1">
      <c r="A6" s="645"/>
      <c r="B6" s="669" t="s">
        <v>538</v>
      </c>
      <c r="C6" s="669"/>
      <c r="D6" s="669" t="s">
        <v>215</v>
      </c>
      <c r="E6" s="669"/>
      <c r="F6" s="669" t="s">
        <v>168</v>
      </c>
      <c r="G6" s="669"/>
      <c r="H6" s="645" t="s">
        <v>477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757" t="s">
        <v>220</v>
      </c>
      <c r="Q6" s="645"/>
    </row>
    <row r="8" spans="1:75" s="247" customFormat="1" ht="15.75" customHeight="1">
      <c r="A8" s="648" t="s">
        <v>193</v>
      </c>
      <c r="B8" s="648"/>
      <c r="C8" s="246" t="s">
        <v>47</v>
      </c>
      <c r="D8" s="666" t="s">
        <v>12</v>
      </c>
      <c r="E8" s="666"/>
      <c r="F8" s="666"/>
      <c r="G8" s="660" t="s">
        <v>53</v>
      </c>
      <c r="H8" s="661"/>
      <c r="I8" s="662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652" t="s">
        <v>51</v>
      </c>
      <c r="P8" s="652"/>
    </row>
    <row r="9" spans="1:75" ht="25" customHeight="1">
      <c r="A9" s="648">
        <v>1</v>
      </c>
      <c r="B9" s="663" t="s">
        <v>539</v>
      </c>
      <c r="C9" s="248">
        <v>1</v>
      </c>
      <c r="D9" s="249"/>
      <c r="E9" s="250"/>
      <c r="F9" s="251"/>
      <c r="G9" s="280"/>
      <c r="H9" s="250"/>
      <c r="I9" s="280"/>
      <c r="J9" s="248"/>
      <c r="K9" s="254"/>
      <c r="L9" s="248"/>
      <c r="M9" s="340">
        <f>L9*J9</f>
        <v>0</v>
      </c>
      <c r="N9" s="255"/>
      <c r="O9" s="720"/>
      <c r="P9" s="721"/>
    </row>
    <row r="10" spans="1:75" ht="25" customHeight="1">
      <c r="A10" s="648"/>
      <c r="B10" s="663"/>
      <c r="C10" s="248">
        <v>2</v>
      </c>
      <c r="D10" s="249"/>
      <c r="E10" s="250"/>
      <c r="F10" s="251"/>
      <c r="G10" s="249"/>
      <c r="H10" s="250"/>
      <c r="I10" s="280"/>
      <c r="J10" s="248"/>
      <c r="K10" s="254"/>
      <c r="L10" s="248"/>
      <c r="M10" s="340">
        <f t="shared" ref="M10:M13" si="0">L10*J10</f>
        <v>0</v>
      </c>
      <c r="N10" s="255"/>
      <c r="O10" s="752"/>
      <c r="P10" s="75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5" customHeight="1">
      <c r="A11" s="648"/>
      <c r="B11" s="663"/>
      <c r="C11" s="248">
        <v>3</v>
      </c>
      <c r="D11" s="249"/>
      <c r="E11" s="250"/>
      <c r="F11" s="251"/>
      <c r="G11" s="326"/>
      <c r="H11" s="327"/>
      <c r="I11" s="328"/>
      <c r="J11" s="248"/>
      <c r="K11" s="254"/>
      <c r="L11" s="248"/>
      <c r="M11" s="340">
        <f t="shared" si="0"/>
        <v>0</v>
      </c>
      <c r="N11" s="255"/>
      <c r="O11" s="752"/>
      <c r="P11" s="75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5" customHeight="1">
      <c r="A12" s="648"/>
      <c r="B12" s="663"/>
      <c r="C12" s="248">
        <v>4</v>
      </c>
      <c r="D12" s="249"/>
      <c r="E12" s="250"/>
      <c r="F12" s="251"/>
      <c r="G12" s="394"/>
      <c r="H12" s="395"/>
      <c r="I12" s="396"/>
      <c r="J12" s="248"/>
      <c r="K12" s="254"/>
      <c r="L12" s="248"/>
      <c r="M12" s="340">
        <f t="shared" si="0"/>
        <v>0</v>
      </c>
      <c r="N12" s="255"/>
      <c r="O12" s="752"/>
      <c r="P12" s="75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5" customHeight="1" thickBot="1">
      <c r="A13" s="648"/>
      <c r="B13" s="663"/>
      <c r="C13" s="248">
        <v>5</v>
      </c>
      <c r="D13" s="256"/>
      <c r="E13" s="257"/>
      <c r="F13" s="258"/>
      <c r="G13" s="394"/>
      <c r="H13" s="395"/>
      <c r="I13" s="396"/>
      <c r="J13" s="259"/>
      <c r="K13" s="260"/>
      <c r="L13" s="259"/>
      <c r="M13" s="341">
        <f t="shared" si="0"/>
        <v>0</v>
      </c>
      <c r="N13" s="255"/>
      <c r="O13" s="752"/>
      <c r="P13" s="75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>
      <c r="A14" s="648"/>
      <c r="B14" s="663"/>
      <c r="C14" s="654"/>
      <c r="D14" s="655"/>
      <c r="E14" s="655"/>
      <c r="F14" s="655"/>
      <c r="G14" s="655"/>
      <c r="H14" s="655"/>
      <c r="I14" s="656"/>
      <c r="J14" s="261" t="s">
        <v>58</v>
      </c>
      <c r="K14" s="360" t="e">
        <f>M14/'生產管理報表 7-1(月)'!$B$10</f>
        <v>#DIV/0!</v>
      </c>
      <c r="L14" s="261" t="s">
        <v>59</v>
      </c>
      <c r="M14" s="342">
        <f>SUM(M9:M13)</f>
        <v>0</v>
      </c>
      <c r="N14" s="754"/>
      <c r="O14" s="755"/>
      <c r="P14" s="756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648" t="s">
        <v>193</v>
      </c>
      <c r="B16" s="648"/>
      <c r="C16" s="264" t="s">
        <v>47</v>
      </c>
      <c r="D16" s="657" t="s">
        <v>12</v>
      </c>
      <c r="E16" s="658"/>
      <c r="F16" s="659"/>
      <c r="G16" s="660" t="s">
        <v>53</v>
      </c>
      <c r="H16" s="661"/>
      <c r="I16" s="662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5" t="s">
        <v>51</v>
      </c>
      <c r="P16" s="746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49999999999999" customHeight="1">
      <c r="A17" s="648">
        <v>2</v>
      </c>
      <c r="B17" s="663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7"/>
      <c r="P17" s="748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49999999999999" customHeight="1">
      <c r="A18" s="648"/>
      <c r="B18" s="663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7"/>
      <c r="P18" s="748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49999999999999" customHeight="1">
      <c r="A19" s="648"/>
      <c r="B19" s="663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7"/>
      <c r="P19" s="748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49999999999999" customHeight="1">
      <c r="A20" s="648"/>
      <c r="B20" s="663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7"/>
      <c r="P20" s="748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49999999999999" customHeight="1" thickBot="1">
      <c r="A21" s="648"/>
      <c r="B21" s="663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7"/>
      <c r="P21" s="748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>
      <c r="A22" s="648"/>
      <c r="B22" s="663"/>
      <c r="C22" s="654"/>
      <c r="D22" s="655"/>
      <c r="E22" s="655"/>
      <c r="F22" s="655"/>
      <c r="G22" s="655"/>
      <c r="H22" s="655"/>
      <c r="I22" s="656"/>
      <c r="J22" s="261" t="s">
        <v>58</v>
      </c>
      <c r="K22" s="360" t="e">
        <f>M22/'生產管理報表 7-1(月)'!$B$10</f>
        <v>#DIV/0!</v>
      </c>
      <c r="L22" s="261" t="s">
        <v>59</v>
      </c>
      <c r="M22" s="262">
        <f>SUM(M17:M21)</f>
        <v>0</v>
      </c>
      <c r="N22" s="749"/>
      <c r="O22" s="750"/>
      <c r="P22" s="751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648" t="s">
        <v>193</v>
      </c>
      <c r="B24" s="648"/>
      <c r="C24" s="264" t="s">
        <v>47</v>
      </c>
      <c r="D24" s="657" t="s">
        <v>12</v>
      </c>
      <c r="E24" s="658"/>
      <c r="F24" s="659"/>
      <c r="G24" s="660" t="s">
        <v>53</v>
      </c>
      <c r="H24" s="661"/>
      <c r="I24" s="662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3" t="s">
        <v>51</v>
      </c>
      <c r="P24" s="744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5" customHeight="1">
      <c r="A25" s="648">
        <v>3</v>
      </c>
      <c r="B25" s="663" t="s">
        <v>459</v>
      </c>
      <c r="C25" s="268">
        <v>1</v>
      </c>
      <c r="D25" s="249"/>
      <c r="E25" s="250"/>
      <c r="F25" s="251"/>
      <c r="G25" s="394"/>
      <c r="H25" s="395"/>
      <c r="I25" s="396"/>
      <c r="J25" s="281"/>
      <c r="K25" s="270"/>
      <c r="L25" s="269"/>
      <c r="M25" s="343">
        <f t="shared" ref="M25:M29" si="2">L25*J25</f>
        <v>0</v>
      </c>
      <c r="N25" s="282"/>
      <c r="O25" s="738"/>
      <c r="P25" s="739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5" customHeight="1">
      <c r="A26" s="648"/>
      <c r="B26" s="663"/>
      <c r="C26" s="268">
        <v>2</v>
      </c>
      <c r="D26" s="249"/>
      <c r="E26" s="250"/>
      <c r="F26" s="251"/>
      <c r="G26" s="394"/>
      <c r="H26" s="395"/>
      <c r="I26" s="396"/>
      <c r="J26" s="281"/>
      <c r="K26" s="270"/>
      <c r="L26" s="269"/>
      <c r="M26" s="343">
        <f t="shared" si="2"/>
        <v>0</v>
      </c>
      <c r="N26" s="282"/>
      <c r="O26" s="738"/>
      <c r="P26" s="739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5" customHeight="1">
      <c r="A27" s="648"/>
      <c r="B27" s="663"/>
      <c r="C27" s="268">
        <v>3</v>
      </c>
      <c r="D27" s="249"/>
      <c r="E27" s="250"/>
      <c r="F27" s="251"/>
      <c r="G27" s="394"/>
      <c r="H27" s="395"/>
      <c r="I27" s="396"/>
      <c r="J27" s="281"/>
      <c r="K27" s="270"/>
      <c r="L27" s="269"/>
      <c r="M27" s="343">
        <f t="shared" si="2"/>
        <v>0</v>
      </c>
      <c r="N27" s="282"/>
      <c r="O27" s="738"/>
      <c r="P27" s="739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5" customHeight="1">
      <c r="A28" s="648"/>
      <c r="B28" s="663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8"/>
      <c r="P28" s="739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5" customHeight="1" thickBot="1">
      <c r="A29" s="648"/>
      <c r="B29" s="663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8"/>
      <c r="P29" s="739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>
      <c r="A30" s="648"/>
      <c r="B30" s="663"/>
      <c r="C30" s="654"/>
      <c r="D30" s="655"/>
      <c r="E30" s="655"/>
      <c r="F30" s="655"/>
      <c r="G30" s="655"/>
      <c r="H30" s="655"/>
      <c r="I30" s="656"/>
      <c r="J30" s="286" t="s">
        <v>58</v>
      </c>
      <c r="K30" s="360" t="e">
        <f>M30/'生產管理報表 7-1(月)'!$B$10</f>
        <v>#DIV/0!</v>
      </c>
      <c r="L30" s="286" t="s">
        <v>59</v>
      </c>
      <c r="M30" s="344">
        <f>SUM(M25:M29)</f>
        <v>0</v>
      </c>
      <c r="N30" s="740"/>
      <c r="O30" s="741"/>
      <c r="P30" s="742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Q12" sqref="Q12"/>
    </sheetView>
  </sheetViews>
  <sheetFormatPr defaultColWidth="12.54296875" defaultRowHeight="15.75" customHeight="1"/>
  <cols>
    <col min="1" max="1" width="5.453125" style="301" customWidth="1"/>
    <col min="2" max="2" width="11.453125" style="310" customWidth="1"/>
    <col min="3" max="3" width="4" style="311" customWidth="1"/>
    <col min="4" max="4" width="9.54296875" style="301" customWidth="1"/>
    <col min="5" max="5" width="10.26953125" style="301" customWidth="1"/>
    <col min="6" max="15" width="9.54296875" style="301" customWidth="1"/>
    <col min="16" max="16" width="35.453125" style="301" customWidth="1"/>
    <col min="17" max="16384" width="12.54296875" style="301"/>
  </cols>
  <sheetData>
    <row r="1" spans="1:20" s="138" customFormat="1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480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361"/>
      <c r="S8" s="362"/>
    </row>
    <row r="9" spans="1:20" s="311" customFormat="1" ht="40" customHeight="1">
      <c r="A9" s="683">
        <v>4</v>
      </c>
      <c r="B9" s="717" t="s">
        <v>477</v>
      </c>
      <c r="C9" s="291">
        <v>1</v>
      </c>
      <c r="D9" s="422" t="s">
        <v>378</v>
      </c>
      <c r="E9" s="395"/>
      <c r="F9" s="431"/>
      <c r="G9" s="252" t="s">
        <v>377</v>
      </c>
      <c r="H9" s="253"/>
      <c r="I9" s="252"/>
      <c r="J9" s="329">
        <v>426.69</v>
      </c>
      <c r="K9" s="330">
        <v>3.7682589273479691E-4</v>
      </c>
      <c r="L9" s="331">
        <v>71.570000000000078</v>
      </c>
      <c r="M9" s="340">
        <f t="shared" ref="M9:M13" si="0">L9*J9</f>
        <v>30538.203300000034</v>
      </c>
      <c r="N9" s="331"/>
      <c r="O9" s="713"/>
      <c r="P9" s="714"/>
      <c r="R9" s="363"/>
      <c r="S9" s="363"/>
    </row>
    <row r="10" spans="1:20" s="311" customFormat="1" ht="40" customHeight="1">
      <c r="A10" s="684"/>
      <c r="B10" s="718"/>
      <c r="C10" s="291">
        <v>2</v>
      </c>
      <c r="D10" s="390" t="s">
        <v>506</v>
      </c>
      <c r="E10" s="250"/>
      <c r="F10" s="251"/>
      <c r="G10" s="252" t="s">
        <v>510</v>
      </c>
      <c r="H10" s="253"/>
      <c r="I10" s="252"/>
      <c r="J10" s="329">
        <v>421.40999999999997</v>
      </c>
      <c r="K10" s="330">
        <v>0</v>
      </c>
      <c r="L10" s="331">
        <v>54.210000000000036</v>
      </c>
      <c r="M10" s="340">
        <f t="shared" si="0"/>
        <v>22844.636100000014</v>
      </c>
      <c r="N10" s="331"/>
      <c r="O10" s="713"/>
      <c r="P10" s="714"/>
      <c r="R10" s="363"/>
      <c r="S10" s="363"/>
    </row>
    <row r="11" spans="1:20" s="311" customFormat="1" ht="40" customHeight="1">
      <c r="A11" s="684"/>
      <c r="B11" s="718"/>
      <c r="C11" s="291">
        <v>3</v>
      </c>
      <c r="D11" s="390" t="s">
        <v>349</v>
      </c>
      <c r="E11" s="250"/>
      <c r="F11" s="251"/>
      <c r="G11" s="252" t="s">
        <v>406</v>
      </c>
      <c r="H11" s="253"/>
      <c r="I11" s="252"/>
      <c r="J11" s="329">
        <v>127.84000000000002</v>
      </c>
      <c r="K11" s="330">
        <v>9.9336296763898762E-4</v>
      </c>
      <c r="L11" s="331">
        <v>153.2800000000006</v>
      </c>
      <c r="M11" s="340">
        <f t="shared" si="0"/>
        <v>19595.315200000081</v>
      </c>
      <c r="N11" s="331"/>
      <c r="O11" s="713"/>
      <c r="P11" s="714"/>
      <c r="R11" s="363"/>
      <c r="S11" s="361"/>
    </row>
    <row r="12" spans="1:20" s="311" customFormat="1" ht="40" customHeight="1">
      <c r="A12" s="684"/>
      <c r="B12" s="718"/>
      <c r="C12" s="291">
        <v>4</v>
      </c>
      <c r="D12" s="432" t="s">
        <v>364</v>
      </c>
      <c r="E12" s="250"/>
      <c r="F12" s="251"/>
      <c r="G12" s="378" t="s">
        <v>475</v>
      </c>
      <c r="H12" s="318"/>
      <c r="I12" s="319"/>
      <c r="J12" s="329">
        <v>99.51</v>
      </c>
      <c r="K12" s="330">
        <v>0</v>
      </c>
      <c r="L12" s="331">
        <v>189.50999999999976</v>
      </c>
      <c r="M12" s="340">
        <f t="shared" si="0"/>
        <v>18858.140099999979</v>
      </c>
      <c r="N12" s="331"/>
      <c r="O12" s="713"/>
      <c r="P12" s="714"/>
      <c r="R12" s="363"/>
      <c r="S12" s="361"/>
    </row>
    <row r="13" spans="1:20" s="311" customFormat="1" ht="40" customHeight="1" thickBot="1">
      <c r="A13" s="684"/>
      <c r="B13" s="718"/>
      <c r="C13" s="291">
        <v>5</v>
      </c>
      <c r="D13" s="432" t="s">
        <v>483</v>
      </c>
      <c r="E13" s="257"/>
      <c r="F13" s="258"/>
      <c r="G13" s="252" t="s">
        <v>482</v>
      </c>
      <c r="H13" s="253"/>
      <c r="I13" s="252"/>
      <c r="J13" s="333">
        <v>368.13999999999993</v>
      </c>
      <c r="K13" s="276">
        <v>2.3013194231359313E-4</v>
      </c>
      <c r="L13" s="335">
        <v>49.259999999999948</v>
      </c>
      <c r="M13" s="340">
        <f t="shared" si="0"/>
        <v>18134.576399999976</v>
      </c>
      <c r="N13" s="331"/>
      <c r="O13" s="713"/>
      <c r="P13" s="714"/>
      <c r="R13" s="364"/>
      <c r="S13" s="361"/>
      <c r="T13" s="301"/>
    </row>
    <row r="14" spans="1:20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08" t="s">
        <v>58</v>
      </c>
      <c r="K14" s="360" t="e">
        <f>M14/'生產管理報表 7-1(月)'!$B$10</f>
        <v>#DIV/0!</v>
      </c>
      <c r="L14" s="309" t="s">
        <v>59</v>
      </c>
      <c r="M14" s="352">
        <f>SUM(M9:M13)</f>
        <v>109970.87110000008</v>
      </c>
      <c r="N14" s="670"/>
      <c r="O14" s="671"/>
      <c r="P14" s="672"/>
      <c r="R14" s="361"/>
      <c r="S14" s="361"/>
    </row>
    <row r="15" spans="1:20" ht="15.75" customHeight="1" thickTop="1">
      <c r="M15" s="347"/>
      <c r="S15" s="361"/>
    </row>
    <row r="16" spans="1:20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362"/>
      <c r="T16" s="311"/>
    </row>
    <row r="17" spans="1:20" s="311" customFormat="1" ht="40" customHeight="1">
      <c r="A17" s="683">
        <v>5</v>
      </c>
      <c r="B17" s="696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2.5009330892490346E-4</v>
      </c>
      <c r="L17" s="331">
        <v>371.91999999999967</v>
      </c>
      <c r="M17" s="340">
        <f t="shared" ref="M17:M19" si="1">L17*J17</f>
        <v>54832.165599999964</v>
      </c>
      <c r="N17" s="331"/>
      <c r="O17" s="762"/>
      <c r="P17" s="763"/>
      <c r="S17" s="361"/>
    </row>
    <row r="18" spans="1:20" s="311" customFormat="1" ht="40" customHeight="1">
      <c r="A18" s="684"/>
      <c r="B18" s="697"/>
      <c r="C18" s="291">
        <v>2</v>
      </c>
      <c r="D18" s="249"/>
      <c r="E18" s="250"/>
      <c r="F18" s="251"/>
      <c r="G18" s="295"/>
      <c r="H18" s="296"/>
      <c r="I18" s="297"/>
      <c r="J18" s="329"/>
      <c r="K18" s="330"/>
      <c r="L18" s="331"/>
      <c r="M18" s="340">
        <f t="shared" si="1"/>
        <v>0</v>
      </c>
      <c r="N18" s="331"/>
      <c r="O18" s="709"/>
      <c r="P18" s="710"/>
      <c r="S18" s="301"/>
      <c r="T18" s="301"/>
    </row>
    <row r="19" spans="1:20" ht="40" customHeight="1">
      <c r="A19" s="684"/>
      <c r="B19" s="697"/>
      <c r="C19" s="291">
        <v>3</v>
      </c>
      <c r="D19" s="292"/>
      <c r="E19" s="293"/>
      <c r="F19" s="294"/>
      <c r="G19" s="295"/>
      <c r="H19" s="296"/>
      <c r="I19" s="297"/>
      <c r="J19" s="298"/>
      <c r="K19" s="299"/>
      <c r="L19" s="300"/>
      <c r="M19" s="349">
        <f t="shared" si="1"/>
        <v>0</v>
      </c>
      <c r="N19" s="300"/>
      <c r="O19" s="691"/>
      <c r="P19" s="692"/>
    </row>
    <row r="20" spans="1:20" ht="40" customHeight="1">
      <c r="A20" s="684"/>
      <c r="B20" s="697"/>
      <c r="C20" s="291">
        <v>4</v>
      </c>
      <c r="D20" s="292"/>
      <c r="E20" s="293"/>
      <c r="F20" s="294"/>
      <c r="G20" s="295"/>
      <c r="H20" s="296"/>
      <c r="I20" s="297"/>
      <c r="J20" s="298"/>
      <c r="K20" s="299"/>
      <c r="L20" s="300"/>
      <c r="M20" s="350">
        <v>0</v>
      </c>
      <c r="N20" s="300"/>
      <c r="O20" s="312"/>
      <c r="P20" s="313"/>
    </row>
    <row r="21" spans="1:20" ht="40" customHeight="1" thickBot="1">
      <c r="A21" s="684"/>
      <c r="B21" s="697"/>
      <c r="C21" s="291">
        <v>5</v>
      </c>
      <c r="D21" s="302"/>
      <c r="E21" s="303"/>
      <c r="F21" s="304"/>
      <c r="G21" s="295"/>
      <c r="H21" s="296"/>
      <c r="I21" s="297"/>
      <c r="J21" s="305"/>
      <c r="K21" s="276"/>
      <c r="L21" s="307"/>
      <c r="M21" s="351">
        <v>0</v>
      </c>
      <c r="N21" s="300"/>
      <c r="O21" s="314"/>
      <c r="P21" s="315"/>
      <c r="R21" s="365"/>
    </row>
    <row r="22" spans="1:20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08" t="s">
        <v>58</v>
      </c>
      <c r="K22" s="360" t="e">
        <f>M22/'生產管理報表 7-1(月)'!$B$10</f>
        <v>#DIV/0!</v>
      </c>
      <c r="L22" s="309" t="s">
        <v>59</v>
      </c>
      <c r="M22" s="352">
        <f>SUM(M17:M21)</f>
        <v>54832.165599999964</v>
      </c>
      <c r="N22" s="670"/>
      <c r="O22" s="671"/>
      <c r="P22" s="672"/>
      <c r="R22" s="361"/>
    </row>
    <row r="23" spans="1:20" ht="15.75" customHeight="1" thickTop="1">
      <c r="M23" s="347"/>
      <c r="R23" s="361"/>
    </row>
    <row r="24" spans="1:20" ht="15.7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361"/>
    </row>
    <row r="25" spans="1:20" ht="40" customHeight="1">
      <c r="A25" s="683">
        <v>6</v>
      </c>
      <c r="B25" s="696" t="s">
        <v>219</v>
      </c>
      <c r="C25" s="291">
        <v>1</v>
      </c>
      <c r="D25" s="249" t="s">
        <v>353</v>
      </c>
      <c r="E25" s="293"/>
      <c r="F25" s="293"/>
      <c r="G25" s="428" t="s">
        <v>470</v>
      </c>
      <c r="H25" s="318"/>
      <c r="I25" s="319"/>
      <c r="J25" s="329">
        <v>108.26</v>
      </c>
      <c r="K25" s="330">
        <v>4.6908330037199577E-3</v>
      </c>
      <c r="L25" s="331">
        <v>151.93999999999971</v>
      </c>
      <c r="M25" s="340">
        <f t="shared" ref="M25:M28" si="2">L25*J25</f>
        <v>16449.024399999969</v>
      </c>
      <c r="N25" s="300"/>
      <c r="O25" s="758"/>
      <c r="P25" s="759"/>
    </row>
    <row r="26" spans="1:20" ht="40" customHeight="1">
      <c r="A26" s="684"/>
      <c r="B26" s="697"/>
      <c r="C26" s="291">
        <v>2</v>
      </c>
      <c r="D26" s="249" t="s">
        <v>516</v>
      </c>
      <c r="E26" s="293"/>
      <c r="F26" s="293"/>
      <c r="G26" s="393" t="s">
        <v>518</v>
      </c>
      <c r="H26" s="318"/>
      <c r="I26" s="319"/>
      <c r="J26" s="329">
        <v>87.799999999999983</v>
      </c>
      <c r="K26" s="330">
        <v>2.482493048530785E-3</v>
      </c>
      <c r="L26" s="331">
        <v>100.67000000000039</v>
      </c>
      <c r="M26" s="340">
        <f t="shared" si="2"/>
        <v>8838.8260000000319</v>
      </c>
      <c r="N26" s="300"/>
      <c r="O26" s="758"/>
      <c r="P26" s="759"/>
    </row>
    <row r="27" spans="1:20" ht="40" customHeight="1">
      <c r="A27" s="684"/>
      <c r="B27" s="697"/>
      <c r="C27" s="291">
        <v>3</v>
      </c>
      <c r="D27" s="249" t="s">
        <v>514</v>
      </c>
      <c r="E27" s="293"/>
      <c r="F27" s="293"/>
      <c r="G27" s="393" t="s">
        <v>519</v>
      </c>
      <c r="H27" s="318"/>
      <c r="I27" s="319"/>
      <c r="J27" s="329">
        <v>301.48</v>
      </c>
      <c r="K27" s="330">
        <v>3.4493627465035813E-3</v>
      </c>
      <c r="L27" s="331">
        <v>27.200000000000053</v>
      </c>
      <c r="M27" s="340">
        <f t="shared" si="2"/>
        <v>8200.2560000000158</v>
      </c>
      <c r="N27" s="300"/>
      <c r="O27" s="758"/>
      <c r="P27" s="759"/>
    </row>
    <row r="28" spans="1:20" ht="40" customHeight="1">
      <c r="A28" s="684"/>
      <c r="B28" s="697"/>
      <c r="C28" s="291">
        <v>4</v>
      </c>
      <c r="D28" s="249" t="s">
        <v>443</v>
      </c>
      <c r="E28" s="293"/>
      <c r="F28" s="293"/>
      <c r="G28" s="393" t="s">
        <v>445</v>
      </c>
      <c r="H28" s="318"/>
      <c r="I28" s="319"/>
      <c r="J28" s="329">
        <v>692.59</v>
      </c>
      <c r="K28" s="330">
        <v>0</v>
      </c>
      <c r="L28" s="331">
        <v>11.650000000000034</v>
      </c>
      <c r="M28" s="340">
        <f t="shared" si="2"/>
        <v>8068.6735000000244</v>
      </c>
      <c r="N28" s="300"/>
      <c r="O28" s="758"/>
      <c r="P28" s="759"/>
    </row>
    <row r="29" spans="1:20" ht="40" customHeight="1" thickBot="1">
      <c r="A29" s="684"/>
      <c r="B29" s="697"/>
      <c r="C29" s="291">
        <v>5</v>
      </c>
      <c r="D29" s="256" t="s">
        <v>515</v>
      </c>
      <c r="E29" s="303"/>
      <c r="F29" s="303"/>
      <c r="G29" s="430" t="s">
        <v>520</v>
      </c>
      <c r="H29" s="253"/>
      <c r="I29" s="252"/>
      <c r="J29" s="333">
        <v>74.578571428571422</v>
      </c>
      <c r="K29" s="276">
        <v>2.4890984971833881E-3</v>
      </c>
      <c r="L29" s="335">
        <v>94.620000000000147</v>
      </c>
      <c r="M29" s="340">
        <f>L29*J29</f>
        <v>7056.6244285714392</v>
      </c>
      <c r="N29" s="300"/>
      <c r="O29" s="760"/>
      <c r="P29" s="761"/>
    </row>
    <row r="30" spans="1:20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08" t="s">
        <v>58</v>
      </c>
      <c r="K30" s="360" t="e">
        <f>M30/'生產管理報表 7-1(月)'!$B$10</f>
        <v>#DIV/0!</v>
      </c>
      <c r="L30" s="309" t="s">
        <v>59</v>
      </c>
      <c r="M30" s="352">
        <f>SUM(M25:M29)</f>
        <v>48613.404328571487</v>
      </c>
      <c r="N30" s="670"/>
      <c r="O30" s="671"/>
      <c r="P30" s="672"/>
    </row>
    <row r="31" spans="1:20" ht="15.75" customHeight="1" thickTop="1">
      <c r="M31" s="347"/>
    </row>
    <row r="32" spans="1:20" ht="15.75" customHeight="1">
      <c r="A32" s="673" t="s">
        <v>193</v>
      </c>
      <c r="B32" s="674"/>
      <c r="C32" s="316" t="s">
        <v>47</v>
      </c>
      <c r="D32" s="675" t="s">
        <v>12</v>
      </c>
      <c r="E32" s="676"/>
      <c r="F32" s="677"/>
      <c r="G32" s="678" t="s">
        <v>53</v>
      </c>
      <c r="H32" s="679"/>
      <c r="I32" s="680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1" t="s">
        <v>51</v>
      </c>
      <c r="P32" s="682"/>
    </row>
    <row r="33" spans="1:16" ht="15.75" customHeight="1">
      <c r="A33" s="683">
        <v>7</v>
      </c>
      <c r="B33" s="686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89"/>
      <c r="P33" s="690"/>
    </row>
    <row r="34" spans="1:16" ht="15.75" customHeight="1">
      <c r="A34" s="684"/>
      <c r="B34" s="687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1"/>
      <c r="P34" s="692"/>
    </row>
    <row r="35" spans="1:16" ht="15.75" customHeight="1">
      <c r="A35" s="684"/>
      <c r="B35" s="687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1"/>
      <c r="P35" s="692"/>
    </row>
    <row r="36" spans="1:16" ht="15.75" customHeight="1">
      <c r="A36" s="684"/>
      <c r="B36" s="687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</row>
    <row r="37" spans="1:16" ht="15.75" customHeight="1" thickBot="1">
      <c r="A37" s="684"/>
      <c r="B37" s="687"/>
      <c r="C37" s="291">
        <v>5</v>
      </c>
      <c r="D37" s="302"/>
      <c r="E37" s="303"/>
      <c r="F37" s="304"/>
      <c r="G37" s="295"/>
      <c r="H37" s="296"/>
      <c r="I37" s="297"/>
      <c r="J37" s="305"/>
      <c r="K37" s="276"/>
      <c r="L37" s="307"/>
      <c r="M37" s="351">
        <v>0</v>
      </c>
      <c r="N37" s="300"/>
      <c r="O37" s="314"/>
      <c r="P37" s="315"/>
    </row>
    <row r="38" spans="1:16" ht="15.75" customHeight="1" thickTop="1" thickBot="1">
      <c r="A38" s="685"/>
      <c r="B38" s="688"/>
      <c r="C38" s="693"/>
      <c r="D38" s="694"/>
      <c r="E38" s="694"/>
      <c r="F38" s="694"/>
      <c r="G38" s="694"/>
      <c r="H38" s="694"/>
      <c r="I38" s="695"/>
      <c r="J38" s="308" t="s">
        <v>58</v>
      </c>
      <c r="K38" s="360" t="e">
        <f>M38/'生產管理報表 7-1(月)'!$B$10</f>
        <v>#DIV/0!</v>
      </c>
      <c r="L38" s="309" t="s">
        <v>59</v>
      </c>
      <c r="M38" s="352">
        <f>SUM(M33:M37)</f>
        <v>0</v>
      </c>
      <c r="N38" s="670"/>
      <c r="O38" s="671"/>
      <c r="P38" s="672"/>
    </row>
    <row r="39" spans="1:16" ht="15.75" customHeight="1" thickTop="1"/>
    <row r="44" spans="1:16" ht="15.75" customHeight="1">
      <c r="O44" s="301" ph="1"/>
      <c r="P44" s="301" ph="1"/>
    </row>
    <row r="46" spans="1:16" ht="15.75" customHeight="1">
      <c r="O46" s="301" ph="1"/>
      <c r="P46" s="301" ph="1"/>
    </row>
    <row r="47" spans="1:16" ht="15.75" customHeight="1">
      <c r="O47" s="301" ph="1"/>
      <c r="P47" s="301" ph="1"/>
    </row>
    <row r="117" spans="15:16" ht="15.75" customHeight="1">
      <c r="O117" s="301" ph="1"/>
      <c r="P117" s="301" ph="1"/>
    </row>
    <row r="119" spans="15:16" ht="15.75" customHeight="1">
      <c r="O119" s="301" ph="1"/>
      <c r="P119" s="301" ph="1"/>
    </row>
    <row r="120" spans="15:16" ht="15.75" customHeight="1">
      <c r="O120" s="301" ph="1"/>
      <c r="P120" s="301" ph="1"/>
    </row>
    <row r="153" spans="15:16" ht="15.75" customHeight="1">
      <c r="O153" s="301" ph="1"/>
      <c r="P153" s="301" ph="1"/>
    </row>
    <row r="155" spans="15:16" ht="15.75" customHeight="1">
      <c r="O155" s="301" ph="1"/>
      <c r="P155" s="301" ph="1"/>
    </row>
    <row r="156" spans="15:16" ht="15.75" customHeight="1">
      <c r="O156" s="301" ph="1"/>
      <c r="P156" s="30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9"/>
  <sheetViews>
    <sheetView view="pageBreakPreview" topLeftCell="A41" zoomScale="115" zoomScaleNormal="60" zoomScaleSheetLayoutView="115" workbookViewId="0">
      <selection activeCell="C54" sqref="C54"/>
    </sheetView>
  </sheetViews>
  <sheetFormatPr defaultColWidth="12.54296875" defaultRowHeight="15.75" customHeight="1"/>
  <cols>
    <col min="1" max="1" width="14.1796875" style="138" customWidth="1"/>
    <col min="2" max="2" width="14.81640625" style="138" customWidth="1"/>
    <col min="3" max="3" width="12.81640625" style="138" customWidth="1"/>
    <col min="4" max="4" width="2.54296875" style="138" customWidth="1"/>
    <col min="5" max="5" width="7.54296875" style="138" customWidth="1"/>
    <col min="6" max="6" width="12.81640625" style="138" customWidth="1"/>
    <col min="7" max="7" width="9.453125" style="138" customWidth="1"/>
    <col min="8" max="8" width="12.81640625" style="138" customWidth="1"/>
    <col min="9" max="9" width="9.453125" style="138" customWidth="1"/>
    <col min="10" max="10" width="12.81640625" style="138" customWidth="1"/>
    <col min="11" max="11" width="9.453125" style="138" customWidth="1"/>
    <col min="12" max="12" width="12.81640625" style="138" customWidth="1"/>
    <col min="13" max="13" width="9.453125" style="138" customWidth="1"/>
    <col min="14" max="16384" width="12.54296875" style="138"/>
  </cols>
  <sheetData>
    <row r="1" spans="1:13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3" ht="15.75" customHeight="1">
      <c r="A3" s="643" t="s">
        <v>536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13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13" ht="15">
      <c r="A5" s="231" t="s">
        <v>458</v>
      </c>
      <c r="B5" s="232">
        <v>33889.775349999996</v>
      </c>
      <c r="E5" s="770" t="s">
        <v>537</v>
      </c>
      <c r="F5" s="770"/>
      <c r="G5" s="770"/>
      <c r="H5" s="770"/>
      <c r="I5" s="770"/>
      <c r="J5" s="770"/>
      <c r="K5" s="770"/>
      <c r="L5" s="770"/>
      <c r="M5" s="770"/>
    </row>
    <row r="6" spans="1:13" ht="13.5">
      <c r="A6" s="779" t="s">
        <v>200</v>
      </c>
      <c r="B6" s="782" t="s">
        <v>10</v>
      </c>
      <c r="C6" s="783"/>
      <c r="D6" s="646"/>
      <c r="E6" s="786" t="s">
        <v>200</v>
      </c>
      <c r="F6" s="736">
        <v>1</v>
      </c>
      <c r="G6" s="737"/>
      <c r="H6" s="736">
        <v>2</v>
      </c>
      <c r="I6" s="737"/>
      <c r="J6" s="736">
        <v>3</v>
      </c>
      <c r="K6" s="737"/>
      <c r="L6" s="736">
        <v>4</v>
      </c>
      <c r="M6" s="737"/>
    </row>
    <row r="7" spans="1:13" ht="31.4" customHeight="1">
      <c r="A7" s="780"/>
      <c r="B7" s="784"/>
      <c r="C7" s="785"/>
      <c r="D7" s="647"/>
      <c r="E7" s="787"/>
      <c r="F7" s="775" t="s">
        <v>538</v>
      </c>
      <c r="G7" s="776"/>
      <c r="H7" s="775" t="s">
        <v>243</v>
      </c>
      <c r="I7" s="776"/>
      <c r="J7" s="775" t="s">
        <v>168</v>
      </c>
      <c r="K7" s="776"/>
      <c r="L7" s="775" t="s">
        <v>477</v>
      </c>
      <c r="M7" s="776"/>
    </row>
    <row r="8" spans="1:13" ht="15">
      <c r="A8" s="781"/>
      <c r="B8" s="157" t="s">
        <v>11</v>
      </c>
      <c r="C8" s="157" t="s">
        <v>41</v>
      </c>
      <c r="D8" s="647"/>
      <c r="E8" s="788"/>
      <c r="F8" s="157" t="s">
        <v>11</v>
      </c>
      <c r="G8" s="157" t="s">
        <v>41</v>
      </c>
      <c r="H8" s="157" t="s">
        <v>11</v>
      </c>
      <c r="I8" s="157" t="s">
        <v>41</v>
      </c>
      <c r="J8" s="157" t="s">
        <v>11</v>
      </c>
      <c r="K8" s="157" t="s">
        <v>41</v>
      </c>
      <c r="L8" s="157" t="s">
        <v>11</v>
      </c>
      <c r="M8" s="157" t="s">
        <v>41</v>
      </c>
    </row>
    <row r="9" spans="1:13" ht="19.399999999999999" customHeight="1">
      <c r="A9" s="233" t="s">
        <v>246</v>
      </c>
      <c r="B9" s="142">
        <v>81950.398200000011</v>
      </c>
      <c r="C9" s="241">
        <v>2.4181452179499333E-3</v>
      </c>
      <c r="D9" s="647"/>
      <c r="E9" s="141" t="s">
        <v>246</v>
      </c>
      <c r="F9" s="144">
        <f>'報廢20大－原因別分析'!AB8</f>
        <v>22313.197499999998</v>
      </c>
      <c r="G9" s="145">
        <f>'報廢20大－原因別分析'!AB9</f>
        <v>0.75</v>
      </c>
      <c r="H9" s="144">
        <f>'報廢20大－原因別分析'!AC8</f>
        <v>0</v>
      </c>
      <c r="I9" s="145">
        <f>'報廢20大－原因別分析'!AC9</f>
        <v>0</v>
      </c>
      <c r="J9" s="144">
        <f>'報廢20大－原因別分析'!AD8</f>
        <v>5943.4953999999998</v>
      </c>
      <c r="K9" s="145">
        <f>'報廢20大－原因別分析'!AD9</f>
        <v>0.2</v>
      </c>
      <c r="L9" s="144">
        <f>'報廢20大－原因別分析'!AE8</f>
        <v>0</v>
      </c>
      <c r="M9" s="145">
        <f>'報廢20大－原因別分析'!AE9</f>
        <v>0</v>
      </c>
    </row>
    <row r="10" spans="1:13" ht="19.399999999999999" customHeight="1">
      <c r="A10" s="234" t="s">
        <v>247</v>
      </c>
      <c r="B10" s="147">
        <v>200793.81850000005</v>
      </c>
      <c r="C10" s="143">
        <v>5.9249085137414491E-3</v>
      </c>
      <c r="D10" s="647"/>
      <c r="E10" s="146" t="s">
        <v>247</v>
      </c>
      <c r="F10" s="144">
        <f>'超用20大－原因別分析'!AB8</f>
        <v>0</v>
      </c>
      <c r="G10" s="145">
        <f>'超用20大－原因別分析'!AB9</f>
        <v>0</v>
      </c>
      <c r="H10" s="144">
        <f>'超用20大－原因別分析'!AC8</f>
        <v>0</v>
      </c>
      <c r="I10" s="145">
        <f>'超用20大－原因別分析'!AC9</f>
        <v>0</v>
      </c>
      <c r="J10" s="144">
        <f>'超用20大－原因別分析'!AD8</f>
        <v>0</v>
      </c>
      <c r="K10" s="145">
        <f>'超用20大－原因別分析'!AD9</f>
        <v>0</v>
      </c>
      <c r="L10" s="144">
        <f>'超用20大－原因別分析'!AE8</f>
        <v>62545.169000000024</v>
      </c>
      <c r="M10" s="145">
        <f>'超用20大－原因別分析'!AE9</f>
        <v>0.75</v>
      </c>
    </row>
    <row r="11" spans="1:13" ht="13.5">
      <c r="A11" s="230" t="s">
        <v>439</v>
      </c>
      <c r="B11" s="138" t="s">
        <v>576</v>
      </c>
      <c r="C11" s="229"/>
      <c r="D11" s="647"/>
      <c r="E11" s="789" t="s">
        <v>200</v>
      </c>
      <c r="F11" s="736">
        <v>5</v>
      </c>
      <c r="G11" s="737"/>
      <c r="H11" s="736">
        <v>6</v>
      </c>
      <c r="I11" s="737"/>
      <c r="J11" s="736">
        <v>7</v>
      </c>
      <c r="K11" s="737"/>
      <c r="L11" s="773"/>
      <c r="M11" s="774"/>
    </row>
    <row r="12" spans="1:13" ht="31.4" customHeight="1">
      <c r="A12" s="138" t="s">
        <v>440</v>
      </c>
      <c r="B12" s="138" t="s">
        <v>576</v>
      </c>
      <c r="C12" s="229"/>
      <c r="D12" s="647"/>
      <c r="E12" s="787"/>
      <c r="F12" s="775" t="s">
        <v>191</v>
      </c>
      <c r="G12" s="776"/>
      <c r="H12" s="775" t="s">
        <v>169</v>
      </c>
      <c r="I12" s="776"/>
      <c r="J12" s="775" t="s">
        <v>192</v>
      </c>
      <c r="K12" s="776"/>
      <c r="L12" s="777"/>
      <c r="M12" s="778"/>
    </row>
    <row r="13" spans="1:13" ht="15">
      <c r="D13" s="647"/>
      <c r="E13" s="788"/>
      <c r="F13" s="157" t="s">
        <v>11</v>
      </c>
      <c r="G13" s="157" t="s">
        <v>41</v>
      </c>
      <c r="H13" s="157" t="s">
        <v>11</v>
      </c>
      <c r="I13" s="157" t="s">
        <v>41</v>
      </c>
      <c r="J13" s="157" t="s">
        <v>11</v>
      </c>
      <c r="K13" s="157" t="s">
        <v>41</v>
      </c>
      <c r="L13" s="157"/>
      <c r="M13" s="157"/>
    </row>
    <row r="14" spans="1:13" ht="19.399999999999999" customHeight="1">
      <c r="D14" s="647"/>
      <c r="E14" s="141" t="s">
        <v>246</v>
      </c>
      <c r="F14" s="144">
        <f>'報廢20大－原因別分析'!AF8</f>
        <v>0</v>
      </c>
      <c r="G14" s="145">
        <f>'報廢20大－原因別分析'!AF9</f>
        <v>0</v>
      </c>
      <c r="H14" s="144">
        <f>'報廢20大－原因別分析'!AG8</f>
        <v>1328.6999999999998</v>
      </c>
      <c r="I14" s="145">
        <f>'報廢20大－原因別分析'!AG9</f>
        <v>0.05</v>
      </c>
      <c r="J14" s="144">
        <f>'報廢20大－原因別分析'!AH8</f>
        <v>0</v>
      </c>
      <c r="K14" s="145">
        <f>'報廢20大－原因別分析'!AH9</f>
        <v>0</v>
      </c>
      <c r="L14" s="144"/>
      <c r="M14" s="145"/>
    </row>
    <row r="15" spans="1:13" ht="19.399999999999999" customHeight="1">
      <c r="D15" s="647"/>
      <c r="E15" s="146" t="s">
        <v>247</v>
      </c>
      <c r="F15" s="144">
        <f>'超用20大－原因別分析'!AF8</f>
        <v>13205.305100000007</v>
      </c>
      <c r="G15" s="145">
        <f>'超用20大－原因別分析'!AF9</f>
        <v>0.05</v>
      </c>
      <c r="H15" s="144">
        <f>'超用20大－原因別分析'!AG8</f>
        <v>18004.327400000002</v>
      </c>
      <c r="I15" s="145">
        <f>'超用20大－原因別分析'!AG9</f>
        <v>0.2</v>
      </c>
      <c r="J15" s="144">
        <f>'超用20大－原因別分析'!AH8</f>
        <v>0</v>
      </c>
      <c r="K15" s="145">
        <f>'超用20大－原因別分析'!AH9</f>
        <v>0</v>
      </c>
      <c r="L15" s="144"/>
      <c r="M15" s="145"/>
    </row>
    <row r="16" spans="1:13" ht="15.75" customHeight="1">
      <c r="A16" s="231" t="s">
        <v>458</v>
      </c>
      <c r="B16" s="232">
        <v>32267.366500000004</v>
      </c>
      <c r="E16" s="770" t="s">
        <v>537</v>
      </c>
      <c r="F16" s="771"/>
      <c r="G16" s="771"/>
      <c r="H16" s="771"/>
      <c r="I16" s="771"/>
      <c r="J16" s="771"/>
      <c r="K16" s="771"/>
      <c r="L16" s="771"/>
      <c r="M16" s="771"/>
    </row>
    <row r="17" spans="1:13" ht="15.75" customHeight="1">
      <c r="A17" s="772" t="s">
        <v>200</v>
      </c>
      <c r="B17" s="645" t="s">
        <v>10</v>
      </c>
      <c r="C17" s="645"/>
      <c r="D17" s="646"/>
      <c r="E17" s="644" t="s">
        <v>200</v>
      </c>
      <c r="F17" s="648">
        <v>1</v>
      </c>
      <c r="G17" s="648"/>
      <c r="H17" s="648">
        <v>2</v>
      </c>
      <c r="I17" s="648"/>
      <c r="J17" s="648">
        <v>3</v>
      </c>
      <c r="K17" s="648"/>
      <c r="L17" s="648">
        <v>4</v>
      </c>
      <c r="M17" s="648"/>
    </row>
    <row r="18" spans="1:13" ht="31.4" customHeight="1">
      <c r="A18" s="772"/>
      <c r="B18" s="645"/>
      <c r="C18" s="645"/>
      <c r="D18" s="647"/>
      <c r="E18" s="644"/>
      <c r="F18" s="650" t="s">
        <v>538</v>
      </c>
      <c r="G18" s="650"/>
      <c r="H18" s="650" t="s">
        <v>243</v>
      </c>
      <c r="I18" s="650"/>
      <c r="J18" s="650" t="s">
        <v>168</v>
      </c>
      <c r="K18" s="650"/>
      <c r="L18" s="650" t="s">
        <v>477</v>
      </c>
      <c r="M18" s="650"/>
    </row>
    <row r="19" spans="1:13" ht="15.75" customHeight="1">
      <c r="A19" s="772"/>
      <c r="B19" s="157" t="s">
        <v>11</v>
      </c>
      <c r="C19" s="157" t="s">
        <v>41</v>
      </c>
      <c r="D19" s="647"/>
      <c r="E19" s="644"/>
      <c r="F19" s="157" t="s">
        <v>11</v>
      </c>
      <c r="G19" s="157" t="s">
        <v>41</v>
      </c>
      <c r="H19" s="157" t="s">
        <v>11</v>
      </c>
      <c r="I19" s="157" t="s">
        <v>41</v>
      </c>
      <c r="J19" s="157" t="s">
        <v>11</v>
      </c>
      <c r="K19" s="157" t="s">
        <v>41</v>
      </c>
      <c r="L19" s="157" t="s">
        <v>11</v>
      </c>
      <c r="M19" s="157" t="s">
        <v>41</v>
      </c>
    </row>
    <row r="20" spans="1:13" ht="19.399999999999999" customHeight="1">
      <c r="A20" s="233" t="s">
        <v>246</v>
      </c>
      <c r="B20" s="142">
        <f>日別報廢率總表!M4</f>
        <v>78000.197800000009</v>
      </c>
      <c r="C20" s="241">
        <f>B20/($B$16*1000)</f>
        <v>2.4173090729297663E-3</v>
      </c>
      <c r="D20" s="647"/>
      <c r="E20" s="141" t="s">
        <v>246</v>
      </c>
      <c r="F20" s="144">
        <f>'報廢20大－原因別分析'!AB32</f>
        <v>23430.887499999997</v>
      </c>
      <c r="G20" s="145">
        <f>'報廢20大－原因別分析'!AB33</f>
        <v>0.8</v>
      </c>
      <c r="H20" s="144">
        <f>'報廢20大－原因別分析'!AC32</f>
        <v>0</v>
      </c>
      <c r="I20" s="145">
        <f>'報廢20大－原因別分析'!AC33</f>
        <v>0</v>
      </c>
      <c r="J20" s="144">
        <f>'報廢20大－原因別分析'!AD32</f>
        <v>5127.1499999999996</v>
      </c>
      <c r="K20" s="145">
        <f>'報廢20大－原因別分析'!AD33</f>
        <v>0.2</v>
      </c>
      <c r="L20" s="144">
        <f>'報廢20大－原因別分析'!AE32</f>
        <v>0</v>
      </c>
      <c r="M20" s="145">
        <f>'報廢20大－原因別分析'!AE33</f>
        <v>0</v>
      </c>
    </row>
    <row r="21" spans="1:13" ht="19.399999999999999" customHeight="1">
      <c r="A21" s="234" t="s">
        <v>247</v>
      </c>
      <c r="B21" s="147">
        <f>日別報廢率總表!N4</f>
        <v>184859.35860000001</v>
      </c>
      <c r="C21" s="143">
        <f>B21/($B$16*1000)</f>
        <v>5.7289880969988672E-3</v>
      </c>
      <c r="D21" s="647"/>
      <c r="E21" s="146" t="s">
        <v>247</v>
      </c>
      <c r="F21" s="144">
        <f>'超用20大－原因別分析'!AB32</f>
        <v>0</v>
      </c>
      <c r="G21" s="145">
        <f>'超用20大－原因別分析'!AB33</f>
        <v>0</v>
      </c>
      <c r="H21" s="144">
        <f>'超用20大－原因別分析'!AC32</f>
        <v>0</v>
      </c>
      <c r="I21" s="145">
        <f>'超用20大－原因別分析'!AC33</f>
        <v>0</v>
      </c>
      <c r="J21" s="144">
        <f>'超用20大－原因別分析'!AD32</f>
        <v>0</v>
      </c>
      <c r="K21" s="145">
        <f>'超用20大－原因別分析'!AD33</f>
        <v>0</v>
      </c>
      <c r="L21" s="144">
        <f>'超用20大－原因別分析'!AE32</f>
        <v>51579.949499999995</v>
      </c>
      <c r="M21" s="145">
        <f>'超用20大－原因別分析'!AE33</f>
        <v>0.7</v>
      </c>
    </row>
    <row r="22" spans="1:13" ht="15.75" customHeight="1">
      <c r="A22" s="230" t="s">
        <v>439</v>
      </c>
      <c r="B22" s="440" t="s">
        <v>611</v>
      </c>
      <c r="C22" s="229"/>
      <c r="D22" s="647"/>
      <c r="E22" s="644" t="s">
        <v>200</v>
      </c>
      <c r="F22" s="736">
        <v>5</v>
      </c>
      <c r="G22" s="737"/>
      <c r="H22" s="736">
        <v>6</v>
      </c>
      <c r="I22" s="737"/>
      <c r="J22" s="736">
        <v>7</v>
      </c>
      <c r="K22" s="737"/>
      <c r="L22" s="773"/>
      <c r="M22" s="774"/>
    </row>
    <row r="23" spans="1:13" ht="31.4" customHeight="1">
      <c r="A23" s="138" t="s">
        <v>440</v>
      </c>
      <c r="B23" s="441" t="s">
        <v>611</v>
      </c>
      <c r="C23" s="229"/>
      <c r="D23" s="647"/>
      <c r="E23" s="644"/>
      <c r="F23" s="775" t="s">
        <v>191</v>
      </c>
      <c r="G23" s="776"/>
      <c r="H23" s="775" t="s">
        <v>169</v>
      </c>
      <c r="I23" s="776"/>
      <c r="J23" s="775" t="s">
        <v>192</v>
      </c>
      <c r="K23" s="776"/>
      <c r="L23" s="777"/>
      <c r="M23" s="778"/>
    </row>
    <row r="24" spans="1:13" ht="15.75" customHeight="1">
      <c r="D24" s="647"/>
      <c r="E24" s="644"/>
      <c r="F24" s="157" t="s">
        <v>11</v>
      </c>
      <c r="G24" s="157" t="s">
        <v>41</v>
      </c>
      <c r="H24" s="157" t="s">
        <v>11</v>
      </c>
      <c r="I24" s="157" t="s">
        <v>41</v>
      </c>
      <c r="J24" s="157" t="s">
        <v>11</v>
      </c>
      <c r="K24" s="157" t="s">
        <v>41</v>
      </c>
      <c r="L24" s="157"/>
      <c r="M24" s="157"/>
    </row>
    <row r="25" spans="1:13" ht="19.399999999999999" customHeight="1">
      <c r="D25" s="647"/>
      <c r="E25" s="141" t="s">
        <v>246</v>
      </c>
      <c r="F25" s="144">
        <f>'報廢20大－原因別分析'!AF32</f>
        <v>0</v>
      </c>
      <c r="G25" s="145">
        <f>'報廢20大－原因別分析'!AF33</f>
        <v>0</v>
      </c>
      <c r="H25" s="144">
        <f>'報廢20大－原因別分析'!AG32</f>
        <v>0</v>
      </c>
      <c r="I25" s="145">
        <f>'報廢20大－原因別分析'!AG33</f>
        <v>0</v>
      </c>
      <c r="J25" s="144">
        <f>'報廢20大－原因別分析'!AH32</f>
        <v>0</v>
      </c>
      <c r="K25" s="145">
        <f>'報廢20大－原因別分析'!AH33</f>
        <v>0</v>
      </c>
      <c r="L25" s="144"/>
      <c r="M25" s="145"/>
    </row>
    <row r="26" spans="1:13" ht="19.399999999999999" customHeight="1">
      <c r="D26" s="647"/>
      <c r="E26" s="146" t="s">
        <v>247</v>
      </c>
      <c r="F26" s="144">
        <f>'超用20大－原因別分析'!AF32</f>
        <v>9525.4523000000427</v>
      </c>
      <c r="G26" s="145">
        <f>'超用20大－原因別分析'!AF33</f>
        <v>0.05</v>
      </c>
      <c r="H26" s="144">
        <f>'超用20大－原因別分析'!AG32</f>
        <v>20928.296300000031</v>
      </c>
      <c r="I26" s="145">
        <f>'超用20大－原因別分析'!AG33</f>
        <v>0.25</v>
      </c>
      <c r="J26" s="144">
        <f>'超用20大－原因別分析'!AH32</f>
        <v>0</v>
      </c>
      <c r="K26" s="145">
        <f>'超用20大－原因別分析'!AH33</f>
        <v>0</v>
      </c>
      <c r="L26" s="144"/>
      <c r="M26" s="145"/>
    </row>
    <row r="27" spans="1:13" ht="15.75" customHeight="1">
      <c r="A27" s="231" t="s">
        <v>458</v>
      </c>
      <c r="B27" s="232">
        <v>34195.479890000002</v>
      </c>
      <c r="E27" s="770" t="s">
        <v>537</v>
      </c>
      <c r="F27" s="771"/>
      <c r="G27" s="771"/>
      <c r="H27" s="771"/>
      <c r="I27" s="771"/>
      <c r="J27" s="771"/>
      <c r="K27" s="771"/>
      <c r="L27" s="771"/>
      <c r="M27" s="771"/>
    </row>
    <row r="28" spans="1:13" ht="15.75" customHeight="1">
      <c r="A28" s="772" t="s">
        <v>200</v>
      </c>
      <c r="B28" s="645" t="s">
        <v>10</v>
      </c>
      <c r="C28" s="645"/>
      <c r="D28" s="646"/>
      <c r="E28" s="644" t="s">
        <v>200</v>
      </c>
      <c r="F28" s="648">
        <v>1</v>
      </c>
      <c r="G28" s="648"/>
      <c r="H28" s="648">
        <v>2</v>
      </c>
      <c r="I28" s="648"/>
      <c r="J28" s="648">
        <v>3</v>
      </c>
      <c r="K28" s="648"/>
      <c r="L28" s="648">
        <v>4</v>
      </c>
      <c r="M28" s="648"/>
    </row>
    <row r="29" spans="1:13" ht="31.4" customHeight="1">
      <c r="A29" s="772"/>
      <c r="B29" s="645"/>
      <c r="C29" s="645"/>
      <c r="D29" s="647"/>
      <c r="E29" s="644"/>
      <c r="F29" s="650" t="s">
        <v>538</v>
      </c>
      <c r="G29" s="650"/>
      <c r="H29" s="650" t="s">
        <v>243</v>
      </c>
      <c r="I29" s="650"/>
      <c r="J29" s="650" t="s">
        <v>168</v>
      </c>
      <c r="K29" s="650"/>
      <c r="L29" s="650" t="s">
        <v>477</v>
      </c>
      <c r="M29" s="650"/>
    </row>
    <row r="30" spans="1:13" ht="15.75" customHeight="1">
      <c r="A30" s="772"/>
      <c r="B30" s="157" t="s">
        <v>11</v>
      </c>
      <c r="C30" s="157" t="s">
        <v>41</v>
      </c>
      <c r="D30" s="647"/>
      <c r="E30" s="644"/>
      <c r="F30" s="157" t="s">
        <v>11</v>
      </c>
      <c r="G30" s="157" t="s">
        <v>41</v>
      </c>
      <c r="H30" s="157" t="s">
        <v>11</v>
      </c>
      <c r="I30" s="157" t="s">
        <v>41</v>
      </c>
      <c r="J30" s="157" t="s">
        <v>11</v>
      </c>
      <c r="K30" s="157" t="s">
        <v>41</v>
      </c>
      <c r="L30" s="157" t="s">
        <v>11</v>
      </c>
      <c r="M30" s="157" t="s">
        <v>41</v>
      </c>
    </row>
    <row r="31" spans="1:13" ht="19.399999999999999" customHeight="1">
      <c r="A31" s="233" t="s">
        <v>246</v>
      </c>
      <c r="B31" s="142">
        <f>日別報廢率總表!M11</f>
        <v>82426.149700000009</v>
      </c>
      <c r="C31" s="241">
        <f>B31/($B$27*1000)</f>
        <v>2.4104399167711173E-3</v>
      </c>
      <c r="D31" s="647"/>
      <c r="E31" s="141" t="s">
        <v>246</v>
      </c>
      <c r="F31" s="144">
        <f>'報廢20大－原因別分析'!AB56</f>
        <v>24922.672200000001</v>
      </c>
      <c r="G31" s="145">
        <f>'報廢20大－原因別分析'!AB57</f>
        <v>0.9</v>
      </c>
      <c r="H31" s="144">
        <f>'報廢20大－原因別分析'!AC56</f>
        <v>0</v>
      </c>
      <c r="I31" s="145">
        <f>'報廢20大－原因別分析'!AC57</f>
        <v>0</v>
      </c>
      <c r="J31" s="144">
        <f>'報廢20大－原因別分析'!AD56</f>
        <v>3184.8359999999993</v>
      </c>
      <c r="K31" s="145">
        <f>'報廢20大－原因別分析'!AD57</f>
        <v>0.1</v>
      </c>
      <c r="L31" s="144">
        <f>'報廢20大－原因別分析'!AE56</f>
        <v>0</v>
      </c>
      <c r="M31" s="145">
        <f>'報廢20大－原因別分析'!AE57</f>
        <v>0</v>
      </c>
    </row>
    <row r="32" spans="1:13" ht="19.399999999999999" customHeight="1">
      <c r="A32" s="234" t="s">
        <v>247</v>
      </c>
      <c r="B32" s="147">
        <f>日別報廢率總表!N11</f>
        <v>191058.63130000001</v>
      </c>
      <c r="C32" s="143">
        <f>B32/($B$27*1000)</f>
        <v>5.5872481367302725E-3</v>
      </c>
      <c r="D32" s="647"/>
      <c r="E32" s="146" t="s">
        <v>247</v>
      </c>
      <c r="F32" s="144">
        <f>'超用20大－原因別分析'!AB56</f>
        <v>0</v>
      </c>
      <c r="G32" s="145">
        <f>'超用20大－原因別分析'!AB57</f>
        <v>0</v>
      </c>
      <c r="H32" s="144">
        <f>'超用20大－原因別分析'!AC56</f>
        <v>0</v>
      </c>
      <c r="I32" s="145">
        <f>'超用20大－原因別分析'!AC57</f>
        <v>0</v>
      </c>
      <c r="J32" s="144">
        <f>'超用20大－原因別分析'!AD56</f>
        <v>0</v>
      </c>
      <c r="K32" s="145">
        <f>'超用20大－原因別分析'!AD57</f>
        <v>0</v>
      </c>
      <c r="L32" s="144">
        <f>'超用20大－原因別分析'!AE56</f>
        <v>56404.805599999985</v>
      </c>
      <c r="M32" s="145">
        <f>'超用20大－原因別分析'!AE57</f>
        <v>0.8</v>
      </c>
    </row>
    <row r="33" spans="1:13" ht="15.75" customHeight="1">
      <c r="A33" s="230" t="s">
        <v>439</v>
      </c>
      <c r="B33" s="440" t="s">
        <v>659</v>
      </c>
      <c r="C33" s="229"/>
      <c r="D33" s="647"/>
      <c r="E33" s="644" t="s">
        <v>200</v>
      </c>
      <c r="F33" s="736">
        <v>5</v>
      </c>
      <c r="G33" s="737"/>
      <c r="H33" s="736">
        <v>6</v>
      </c>
      <c r="I33" s="737"/>
      <c r="J33" s="736">
        <v>7</v>
      </c>
      <c r="K33" s="737"/>
      <c r="L33" s="773"/>
      <c r="M33" s="774"/>
    </row>
    <row r="34" spans="1:13" ht="31.4" customHeight="1">
      <c r="A34" s="138" t="s">
        <v>440</v>
      </c>
      <c r="B34" s="441" t="s">
        <v>659</v>
      </c>
      <c r="C34" s="229"/>
      <c r="D34" s="647"/>
      <c r="E34" s="644"/>
      <c r="F34" s="775" t="s">
        <v>191</v>
      </c>
      <c r="G34" s="776"/>
      <c r="H34" s="775" t="s">
        <v>169</v>
      </c>
      <c r="I34" s="776"/>
      <c r="J34" s="775" t="s">
        <v>192</v>
      </c>
      <c r="K34" s="776"/>
      <c r="L34" s="777"/>
      <c r="M34" s="778"/>
    </row>
    <row r="35" spans="1:13" ht="15.75" customHeight="1">
      <c r="D35" s="647"/>
      <c r="E35" s="644"/>
      <c r="F35" s="157" t="s">
        <v>11</v>
      </c>
      <c r="G35" s="157" t="s">
        <v>41</v>
      </c>
      <c r="H35" s="157" t="s">
        <v>11</v>
      </c>
      <c r="I35" s="157" t="s">
        <v>41</v>
      </c>
      <c r="J35" s="157" t="s">
        <v>11</v>
      </c>
      <c r="K35" s="157" t="s">
        <v>41</v>
      </c>
      <c r="L35" s="157"/>
      <c r="M35" s="157"/>
    </row>
    <row r="36" spans="1:13" ht="19.399999999999999" customHeight="1">
      <c r="D36" s="647"/>
      <c r="E36" s="141" t="s">
        <v>246</v>
      </c>
      <c r="F36" s="144">
        <f>'報廢20大－原因別分析'!AF56</f>
        <v>0</v>
      </c>
      <c r="G36" s="145">
        <f>'報廢20大－原因別分析'!AF57</f>
        <v>0</v>
      </c>
      <c r="H36" s="144">
        <f>'報廢20大－原因別分析'!AG56</f>
        <v>0</v>
      </c>
      <c r="I36" s="145">
        <f>'報廢20大－原因別分析'!AG57</f>
        <v>0</v>
      </c>
      <c r="J36" s="144">
        <f>'報廢20大－原因別分析'!AH56</f>
        <v>0</v>
      </c>
      <c r="K36" s="145">
        <f>'報廢20大－原因別分析'!AH57</f>
        <v>0</v>
      </c>
      <c r="L36" s="144"/>
      <c r="M36" s="145"/>
    </row>
    <row r="37" spans="1:13" ht="19.399999999999999" customHeight="1">
      <c r="D37" s="647"/>
      <c r="E37" s="146" t="s">
        <v>247</v>
      </c>
      <c r="F37" s="144">
        <f>'超用20大－原因別分析'!AF56</f>
        <v>9777.5575999999983</v>
      </c>
      <c r="G37" s="145">
        <f>'超用20大－原因別分析'!AF57</f>
        <v>0.05</v>
      </c>
      <c r="H37" s="144">
        <f>'超用20大－原因別分析'!AG56</f>
        <v>17526.676600000043</v>
      </c>
      <c r="I37" s="145">
        <f>'超用20大－原因別分析'!AG57</f>
        <v>0.15</v>
      </c>
      <c r="J37" s="144">
        <f>'超用20大－原因別分析'!AH56</f>
        <v>0</v>
      </c>
      <c r="K37" s="145">
        <f>'超用20大－原因別分析'!AH57</f>
        <v>0</v>
      </c>
      <c r="L37" s="144"/>
      <c r="M37" s="145"/>
    </row>
    <row r="38" spans="1:13" ht="15.75" customHeight="1">
      <c r="A38" s="231" t="s">
        <v>458</v>
      </c>
      <c r="B38" s="232">
        <v>33161.158969999997</v>
      </c>
      <c r="E38" s="770" t="s">
        <v>537</v>
      </c>
      <c r="F38" s="771"/>
      <c r="G38" s="771"/>
      <c r="H38" s="771"/>
      <c r="I38" s="771"/>
      <c r="J38" s="771"/>
      <c r="K38" s="771"/>
      <c r="L38" s="771"/>
      <c r="M38" s="771"/>
    </row>
    <row r="39" spans="1:13" ht="15.75" customHeight="1">
      <c r="A39" s="772" t="s">
        <v>200</v>
      </c>
      <c r="B39" s="645" t="s">
        <v>10</v>
      </c>
      <c r="C39" s="645"/>
      <c r="D39" s="646"/>
      <c r="E39" s="644" t="s">
        <v>200</v>
      </c>
      <c r="F39" s="648">
        <v>1</v>
      </c>
      <c r="G39" s="648"/>
      <c r="H39" s="648">
        <v>2</v>
      </c>
      <c r="I39" s="648"/>
      <c r="J39" s="648">
        <v>3</v>
      </c>
      <c r="K39" s="648"/>
      <c r="L39" s="648">
        <v>4</v>
      </c>
      <c r="M39" s="648"/>
    </row>
    <row r="40" spans="1:13" ht="31.4" customHeight="1">
      <c r="A40" s="772"/>
      <c r="B40" s="645"/>
      <c r="C40" s="645"/>
      <c r="D40" s="647"/>
      <c r="E40" s="644"/>
      <c r="F40" s="650" t="s">
        <v>538</v>
      </c>
      <c r="G40" s="650"/>
      <c r="H40" s="650" t="s">
        <v>243</v>
      </c>
      <c r="I40" s="650"/>
      <c r="J40" s="650" t="s">
        <v>168</v>
      </c>
      <c r="K40" s="650"/>
      <c r="L40" s="650" t="s">
        <v>477</v>
      </c>
      <c r="M40" s="650"/>
    </row>
    <row r="41" spans="1:13" ht="15.75" customHeight="1">
      <c r="A41" s="772"/>
      <c r="B41" s="157" t="s">
        <v>11</v>
      </c>
      <c r="C41" s="157" t="s">
        <v>41</v>
      </c>
      <c r="D41" s="647"/>
      <c r="E41" s="644"/>
      <c r="F41" s="157" t="s">
        <v>11</v>
      </c>
      <c r="G41" s="157" t="s">
        <v>41</v>
      </c>
      <c r="H41" s="157" t="s">
        <v>11</v>
      </c>
      <c r="I41" s="157" t="s">
        <v>41</v>
      </c>
      <c r="J41" s="157" t="s">
        <v>11</v>
      </c>
      <c r="K41" s="157" t="s">
        <v>41</v>
      </c>
      <c r="L41" s="157" t="s">
        <v>11</v>
      </c>
      <c r="M41" s="157" t="s">
        <v>41</v>
      </c>
    </row>
    <row r="42" spans="1:13" ht="19.399999999999999" customHeight="1">
      <c r="A42" s="233" t="s">
        <v>246</v>
      </c>
      <c r="B42" s="142">
        <f>日別報廢率總表!M18</f>
        <v>79974.080700000006</v>
      </c>
      <c r="C42" s="241">
        <f>B42/($B$38*1000)</f>
        <v>2.4116793014487339E-3</v>
      </c>
      <c r="D42" s="647"/>
      <c r="E42" s="141" t="s">
        <v>246</v>
      </c>
      <c r="F42" s="144">
        <f>'報廢20大－原因別分析'!AB80</f>
        <v>23676.237499999999</v>
      </c>
      <c r="G42" s="145">
        <f>'報廢20大－原因別分析'!AB81</f>
        <v>0.9</v>
      </c>
      <c r="H42" s="144">
        <f>'報廢20大－原因別分析'!AC80</f>
        <v>0</v>
      </c>
      <c r="I42" s="145">
        <f>'報廢20大－原因別分析'!AC81</f>
        <v>0</v>
      </c>
      <c r="J42" s="144">
        <f>'報廢20大－原因別分析'!AD80</f>
        <v>1843.5282000000002</v>
      </c>
      <c r="K42" s="145">
        <f>'報廢20大－原因別分析'!AD81</f>
        <v>0.05</v>
      </c>
      <c r="L42" s="144">
        <f>'報廢20大－原因別分析'!AE80</f>
        <v>0</v>
      </c>
      <c r="M42" s="145">
        <f>'報廢20大－原因別分析'!AE81</f>
        <v>0</v>
      </c>
    </row>
    <row r="43" spans="1:13" ht="19.399999999999999" customHeight="1">
      <c r="A43" s="234" t="s">
        <v>247</v>
      </c>
      <c r="B43" s="147">
        <f>日別報廢率總表!N18</f>
        <v>184809.54610000004</v>
      </c>
      <c r="C43" s="143">
        <f>B43/($B$38*1000)</f>
        <v>5.573072589748514E-3</v>
      </c>
      <c r="D43" s="647"/>
      <c r="E43" s="146" t="s">
        <v>247</v>
      </c>
      <c r="F43" s="144">
        <f>'超用20大－原因別分析'!AB80</f>
        <v>0</v>
      </c>
      <c r="G43" s="145">
        <f>'超用20大－原因別分析'!AB81</f>
        <v>0</v>
      </c>
      <c r="H43" s="144">
        <f>'超用20大－原因別分析'!AC80</f>
        <v>0</v>
      </c>
      <c r="I43" s="145">
        <f>'超用20大－原因別分析'!AC81</f>
        <v>0</v>
      </c>
      <c r="J43" s="144">
        <f>'超用20大－原因別分析'!AD80</f>
        <v>0</v>
      </c>
      <c r="K43" s="145">
        <f>'超用20大－原因別分析'!AD81</f>
        <v>0</v>
      </c>
      <c r="L43" s="144">
        <f>'超用20大－原因別分析'!AE80</f>
        <v>63161.680899999927</v>
      </c>
      <c r="M43" s="145">
        <f>'超用20大－原因別分析'!AE81</f>
        <v>0.7</v>
      </c>
    </row>
    <row r="44" spans="1:13" ht="15.75" customHeight="1">
      <c r="A44" s="230" t="s">
        <v>439</v>
      </c>
      <c r="B44" s="440" t="s">
        <v>681</v>
      </c>
      <c r="C44" s="229"/>
      <c r="D44" s="647"/>
      <c r="E44" s="644" t="s">
        <v>200</v>
      </c>
      <c r="F44" s="736">
        <v>5</v>
      </c>
      <c r="G44" s="737"/>
      <c r="H44" s="736">
        <v>6</v>
      </c>
      <c r="I44" s="737"/>
      <c r="J44" s="736">
        <v>7</v>
      </c>
      <c r="K44" s="737"/>
      <c r="L44" s="773"/>
      <c r="M44" s="774"/>
    </row>
    <row r="45" spans="1:13" ht="31.4" customHeight="1">
      <c r="A45" s="138" t="s">
        <v>440</v>
      </c>
      <c r="B45" s="441" t="s">
        <v>681</v>
      </c>
      <c r="C45" s="229"/>
      <c r="D45" s="647"/>
      <c r="E45" s="644"/>
      <c r="F45" s="775" t="s">
        <v>191</v>
      </c>
      <c r="G45" s="776"/>
      <c r="H45" s="775" t="s">
        <v>169</v>
      </c>
      <c r="I45" s="776"/>
      <c r="J45" s="775" t="s">
        <v>192</v>
      </c>
      <c r="K45" s="776"/>
      <c r="L45" s="777"/>
      <c r="M45" s="778"/>
    </row>
    <row r="46" spans="1:13" ht="15.75" customHeight="1">
      <c r="D46" s="647"/>
      <c r="E46" s="644"/>
      <c r="F46" s="157" t="s">
        <v>11</v>
      </c>
      <c r="G46" s="157" t="s">
        <v>41</v>
      </c>
      <c r="H46" s="157" t="s">
        <v>11</v>
      </c>
      <c r="I46" s="157" t="s">
        <v>41</v>
      </c>
      <c r="J46" s="157" t="s">
        <v>11</v>
      </c>
      <c r="K46" s="157" t="s">
        <v>41</v>
      </c>
      <c r="L46" s="157"/>
      <c r="M46" s="157"/>
    </row>
    <row r="47" spans="1:13" ht="19.399999999999999" customHeight="1">
      <c r="D47" s="647"/>
      <c r="E47" s="141" t="s">
        <v>246</v>
      </c>
      <c r="F47" s="144">
        <f>'報廢20大－原因別分析'!AF80</f>
        <v>1200.96</v>
      </c>
      <c r="G47" s="145">
        <f>'報廢20大－原因別分析'!AF81</f>
        <v>0.05</v>
      </c>
      <c r="H47" s="144">
        <f>'報廢20大－原因別分析'!AG80</f>
        <v>0</v>
      </c>
      <c r="I47" s="145">
        <f>'報廢20大－原因別分析'!AG81</f>
        <v>0</v>
      </c>
      <c r="J47" s="144">
        <f>'報廢20大－原因別分析'!AH80</f>
        <v>0</v>
      </c>
      <c r="K47" s="145">
        <f>'報廢20大－原因別分析'!AH81</f>
        <v>0</v>
      </c>
      <c r="L47" s="144"/>
      <c r="M47" s="145"/>
    </row>
    <row r="48" spans="1:13" ht="19.399999999999999" customHeight="1">
      <c r="D48" s="647"/>
      <c r="E48" s="146" t="s">
        <v>247</v>
      </c>
      <c r="F48" s="144">
        <f>'超用20大－原因別分析'!AF80</f>
        <v>10138.761100000007</v>
      </c>
      <c r="G48" s="145">
        <f>'超用20大－原因別分析'!AF81</f>
        <v>0.05</v>
      </c>
      <c r="H48" s="144">
        <f>'超用20大－原因別分析'!AG80</f>
        <v>17183.859700000023</v>
      </c>
      <c r="I48" s="145">
        <f>'超用20大－原因別分析'!AG81</f>
        <v>0.25</v>
      </c>
      <c r="J48" s="144">
        <f>'超用20大－原因別分析'!AH80</f>
        <v>0</v>
      </c>
      <c r="K48" s="145">
        <f>'超用20大－原因別分析'!AH81</f>
        <v>0</v>
      </c>
      <c r="L48" s="144"/>
      <c r="M48" s="145"/>
    </row>
    <row r="49" spans="1:13" ht="15.75" customHeight="1">
      <c r="A49" s="231" t="s">
        <v>458</v>
      </c>
      <c r="B49" s="232">
        <f>'生產管理報表(週) '!B6</f>
        <v>33925.347980000006</v>
      </c>
      <c r="E49" s="770" t="s">
        <v>537</v>
      </c>
      <c r="F49" s="771"/>
      <c r="G49" s="771"/>
      <c r="H49" s="771"/>
      <c r="I49" s="771"/>
      <c r="J49" s="771"/>
      <c r="K49" s="771"/>
      <c r="L49" s="771"/>
      <c r="M49" s="771"/>
    </row>
    <row r="50" spans="1:13" ht="15.75" customHeight="1">
      <c r="A50" s="772" t="s">
        <v>200</v>
      </c>
      <c r="B50" s="645" t="s">
        <v>10</v>
      </c>
      <c r="C50" s="645"/>
      <c r="D50" s="646"/>
      <c r="E50" s="644" t="s">
        <v>200</v>
      </c>
      <c r="F50" s="648">
        <v>1</v>
      </c>
      <c r="G50" s="648"/>
      <c r="H50" s="648">
        <v>2</v>
      </c>
      <c r="I50" s="648"/>
      <c r="J50" s="648">
        <v>3</v>
      </c>
      <c r="K50" s="648"/>
      <c r="L50" s="648">
        <v>4</v>
      </c>
      <c r="M50" s="648"/>
    </row>
    <row r="51" spans="1:13" ht="31.4" customHeight="1">
      <c r="A51" s="772"/>
      <c r="B51" s="645"/>
      <c r="C51" s="645"/>
      <c r="D51" s="647"/>
      <c r="E51" s="644"/>
      <c r="F51" s="650" t="s">
        <v>538</v>
      </c>
      <c r="G51" s="650"/>
      <c r="H51" s="650" t="s">
        <v>243</v>
      </c>
      <c r="I51" s="650"/>
      <c r="J51" s="650" t="s">
        <v>168</v>
      </c>
      <c r="K51" s="650"/>
      <c r="L51" s="650" t="s">
        <v>477</v>
      </c>
      <c r="M51" s="650"/>
    </row>
    <row r="52" spans="1:13" ht="15.75" customHeight="1">
      <c r="A52" s="772"/>
      <c r="B52" s="157" t="s">
        <v>11</v>
      </c>
      <c r="C52" s="157" t="s">
        <v>41</v>
      </c>
      <c r="D52" s="647"/>
      <c r="E52" s="644"/>
      <c r="F52" s="157" t="s">
        <v>11</v>
      </c>
      <c r="G52" s="157" t="s">
        <v>41</v>
      </c>
      <c r="H52" s="157" t="s">
        <v>11</v>
      </c>
      <c r="I52" s="157" t="s">
        <v>41</v>
      </c>
      <c r="J52" s="157" t="s">
        <v>11</v>
      </c>
      <c r="K52" s="157" t="s">
        <v>41</v>
      </c>
      <c r="L52" s="157" t="s">
        <v>11</v>
      </c>
      <c r="M52" s="157" t="s">
        <v>41</v>
      </c>
    </row>
    <row r="53" spans="1:13" ht="19.399999999999999" customHeight="1">
      <c r="A53" s="233" t="s">
        <v>246</v>
      </c>
      <c r="B53" s="142">
        <f>日別報廢率總表!M25</f>
        <v>82084.173299999995</v>
      </c>
      <c r="C53" s="241">
        <f>B53/($B$49*1000)</f>
        <v>2.4195528767572568E-3</v>
      </c>
      <c r="D53" s="647"/>
      <c r="E53" s="141" t="s">
        <v>246</v>
      </c>
      <c r="F53" s="144">
        <f>'報廢20大－原因別分析'!AB104</f>
        <v>22629.948400000005</v>
      </c>
      <c r="G53" s="145">
        <f>'報廢20大－原因別分析'!AB105</f>
        <v>0.85</v>
      </c>
      <c r="H53" s="144">
        <f>'報廢20大－原因別分析'!AC104</f>
        <v>0</v>
      </c>
      <c r="I53" s="145">
        <f>'報廢20大－原因別分析'!AC105</f>
        <v>0</v>
      </c>
      <c r="J53" s="144">
        <f>'報廢20大－原因別分析'!AD104</f>
        <v>1891.4279999999999</v>
      </c>
      <c r="K53" s="145">
        <f>'報廢20大－原因別分析'!AD105</f>
        <v>0.05</v>
      </c>
      <c r="L53" s="144">
        <f>'報廢20大－原因別分析'!AE104</f>
        <v>0</v>
      </c>
      <c r="M53" s="145">
        <f>'報廢20大－原因別分析'!AE105</f>
        <v>0</v>
      </c>
    </row>
    <row r="54" spans="1:13" ht="19.399999999999999" customHeight="1">
      <c r="A54" s="234" t="s">
        <v>247</v>
      </c>
      <c r="B54" s="147">
        <f>日別報廢率總表!N25</f>
        <v>191570.08617999995</v>
      </c>
      <c r="C54" s="143">
        <f>B54/($B$49*1000)</f>
        <v>5.6468127104528504E-3</v>
      </c>
      <c r="D54" s="647"/>
      <c r="E54" s="146" t="s">
        <v>247</v>
      </c>
      <c r="F54" s="144">
        <f>'超用20大－原因別分析'!AB104</f>
        <v>0</v>
      </c>
      <c r="G54" s="145">
        <f>'超用20大－原因別分析'!AB105</f>
        <v>0</v>
      </c>
      <c r="H54" s="144">
        <f>'超用20大－原因別分析'!AC104</f>
        <v>0</v>
      </c>
      <c r="I54" s="145">
        <f>'超用20大－原因別分析'!AC105</f>
        <v>0</v>
      </c>
      <c r="J54" s="144">
        <f>'超用20大－原因別分析'!AD104</f>
        <v>0</v>
      </c>
      <c r="K54" s="145">
        <f>'超用20大－原因別分析'!AD105</f>
        <v>0</v>
      </c>
      <c r="L54" s="144">
        <f>'超用20大－原因別分析'!AE104</f>
        <v>54954.452999999987</v>
      </c>
      <c r="M54" s="145">
        <f>'超用20大－原因別分析'!AE105</f>
        <v>0.65</v>
      </c>
    </row>
    <row r="55" spans="1:13" ht="15.75" customHeight="1">
      <c r="A55" s="230" t="s">
        <v>439</v>
      </c>
      <c r="B55" s="440" t="s">
        <v>738</v>
      </c>
      <c r="C55" s="229"/>
      <c r="D55" s="647"/>
      <c r="E55" s="644" t="s">
        <v>200</v>
      </c>
      <c r="F55" s="736">
        <v>5</v>
      </c>
      <c r="G55" s="737"/>
      <c r="H55" s="736">
        <v>6</v>
      </c>
      <c r="I55" s="737"/>
      <c r="J55" s="736">
        <v>7</v>
      </c>
      <c r="K55" s="737"/>
      <c r="L55" s="773"/>
      <c r="M55" s="774"/>
    </row>
    <row r="56" spans="1:13" ht="31.4" customHeight="1">
      <c r="A56" s="138" t="s">
        <v>440</v>
      </c>
      <c r="B56" s="441" t="s">
        <v>738</v>
      </c>
      <c r="C56" s="229"/>
      <c r="D56" s="647"/>
      <c r="E56" s="644"/>
      <c r="F56" s="775" t="s">
        <v>191</v>
      </c>
      <c r="G56" s="776"/>
      <c r="H56" s="775" t="s">
        <v>169</v>
      </c>
      <c r="I56" s="776"/>
      <c r="J56" s="775" t="s">
        <v>192</v>
      </c>
      <c r="K56" s="776"/>
      <c r="L56" s="777"/>
      <c r="M56" s="778"/>
    </row>
    <row r="57" spans="1:13" ht="15.75" customHeight="1">
      <c r="D57" s="647"/>
      <c r="E57" s="644"/>
      <c r="F57" s="157" t="s">
        <v>11</v>
      </c>
      <c r="G57" s="157" t="s">
        <v>41</v>
      </c>
      <c r="H57" s="157" t="s">
        <v>11</v>
      </c>
      <c r="I57" s="157" t="s">
        <v>41</v>
      </c>
      <c r="J57" s="157" t="s">
        <v>11</v>
      </c>
      <c r="K57" s="157" t="s">
        <v>41</v>
      </c>
      <c r="L57" s="157"/>
      <c r="M57" s="157"/>
    </row>
    <row r="58" spans="1:13" ht="19.399999999999999" customHeight="1">
      <c r="D58" s="647"/>
      <c r="E58" s="141" t="s">
        <v>246</v>
      </c>
      <c r="F58" s="144">
        <f>'報廢20大－原因別分析'!AF104</f>
        <v>1082.8799999999999</v>
      </c>
      <c r="G58" s="145">
        <f>'報廢20大－原因別分析'!AF105</f>
        <v>0.05</v>
      </c>
      <c r="H58" s="144">
        <f>'報廢20大－原因別分析'!AG104</f>
        <v>1266.9000000000001</v>
      </c>
      <c r="I58" s="145">
        <f>'報廢20大－原因別分析'!AG105</f>
        <v>0.05</v>
      </c>
      <c r="J58" s="144">
        <f>'報廢20大－原因別分析'!AH104</f>
        <v>0</v>
      </c>
      <c r="K58" s="145">
        <f>'報廢20大－原因別分析'!AH105</f>
        <v>0</v>
      </c>
      <c r="L58" s="144"/>
      <c r="M58" s="145"/>
    </row>
    <row r="59" spans="1:13" ht="19.399999999999999" customHeight="1">
      <c r="D59" s="647"/>
      <c r="E59" s="146" t="s">
        <v>247</v>
      </c>
      <c r="F59" s="144">
        <f>'超用20大－原因別分析'!AF104</f>
        <v>17196.235200000003</v>
      </c>
      <c r="G59" s="145">
        <f>'超用20大－原因別分析'!AF105</f>
        <v>0.05</v>
      </c>
      <c r="H59" s="144">
        <f>'超用20大－原因別分析'!AG104</f>
        <v>26970.093900000003</v>
      </c>
      <c r="I59" s="145">
        <f>'超用20大－原因別分析'!AG105</f>
        <v>0.3</v>
      </c>
      <c r="J59" s="144">
        <f>'超用20大－原因別分析'!AH104</f>
        <v>0</v>
      </c>
      <c r="K59" s="145">
        <f>'超用20大－原因別分析'!AH105</f>
        <v>0</v>
      </c>
      <c r="L59" s="144"/>
      <c r="M59" s="145"/>
    </row>
  </sheetData>
  <mergeCells count="112"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22:K22"/>
    <mergeCell ref="L22:M22"/>
    <mergeCell ref="L6:M6"/>
    <mergeCell ref="F7:G7"/>
    <mergeCell ref="H7:I7"/>
    <mergeCell ref="J7:K7"/>
    <mergeCell ref="L7:M7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:M2"/>
    <mergeCell ref="A3:M4"/>
    <mergeCell ref="J11:K11"/>
    <mergeCell ref="L11:M11"/>
    <mergeCell ref="F12:G12"/>
    <mergeCell ref="H12:I12"/>
    <mergeCell ref="J12:K12"/>
    <mergeCell ref="L12:M12"/>
    <mergeCell ref="E5:M5"/>
    <mergeCell ref="A6:A8"/>
    <mergeCell ref="B6:C7"/>
    <mergeCell ref="D6:D15"/>
    <mergeCell ref="E6:E8"/>
    <mergeCell ref="F6:G6"/>
    <mergeCell ref="H6:I6"/>
    <mergeCell ref="J6:K6"/>
    <mergeCell ref="E11:E13"/>
    <mergeCell ref="F11:G11"/>
    <mergeCell ref="H11:I11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86"/>
  <sheetViews>
    <sheetView view="pageBreakPreview" topLeftCell="A65" zoomScaleNormal="60" zoomScaleSheetLayoutView="100" workbookViewId="0">
      <selection activeCell="Q70" sqref="Q70"/>
    </sheetView>
  </sheetViews>
  <sheetFormatPr defaultColWidth="12.54296875" defaultRowHeight="15.75" customHeight="1"/>
  <cols>
    <col min="1" max="1" width="5.453125" style="99" customWidth="1"/>
    <col min="2" max="2" width="11.453125" style="134" customWidth="1"/>
    <col min="3" max="3" width="4" style="132" customWidth="1"/>
    <col min="4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75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75" s="138" customFormat="1" ht="15.75" customHeight="1">
      <c r="A3" s="809" t="s">
        <v>624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R3" s="243"/>
      <c r="S3" s="243"/>
      <c r="T3" s="243"/>
      <c r="U3" s="243"/>
    </row>
    <row r="4" spans="1:75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75" s="138" customFormat="1" ht="15.75" customHeight="1">
      <c r="A5" s="734" t="s">
        <v>193</v>
      </c>
      <c r="B5" s="727">
        <v>1</v>
      </c>
      <c r="C5" s="728"/>
      <c r="D5" s="727">
        <v>2</v>
      </c>
      <c r="E5" s="728"/>
      <c r="F5" s="727">
        <v>3</v>
      </c>
      <c r="G5" s="728"/>
      <c r="H5" s="736">
        <v>4</v>
      </c>
      <c r="I5" s="737"/>
      <c r="J5" s="736">
        <v>5</v>
      </c>
      <c r="K5" s="737"/>
      <c r="L5" s="736">
        <v>6</v>
      </c>
      <c r="M5" s="737"/>
      <c r="N5" s="736">
        <v>7</v>
      </c>
      <c r="O5" s="737"/>
      <c r="P5" s="736">
        <v>8</v>
      </c>
      <c r="Q5" s="737"/>
      <c r="R5" s="243"/>
      <c r="S5" s="243"/>
      <c r="T5" s="243"/>
      <c r="U5" s="243"/>
    </row>
    <row r="6" spans="1:75" s="138" customFormat="1" ht="15.75" customHeight="1">
      <c r="A6" s="735"/>
      <c r="B6" s="729" t="s">
        <v>538</v>
      </c>
      <c r="C6" s="730"/>
      <c r="D6" s="729" t="s">
        <v>215</v>
      </c>
      <c r="E6" s="730"/>
      <c r="F6" s="729" t="s">
        <v>168</v>
      </c>
      <c r="G6" s="730"/>
      <c r="H6" s="731" t="s">
        <v>477</v>
      </c>
      <c r="I6" s="732"/>
      <c r="J6" s="731" t="s">
        <v>191</v>
      </c>
      <c r="K6" s="732"/>
      <c r="L6" s="731" t="s">
        <v>169</v>
      </c>
      <c r="M6" s="732"/>
      <c r="N6" s="731" t="s">
        <v>192</v>
      </c>
      <c r="O6" s="732"/>
      <c r="P6" s="807" t="s">
        <v>220</v>
      </c>
      <c r="Q6" s="808"/>
      <c r="R6" s="243"/>
      <c r="S6" s="243"/>
      <c r="T6" s="243"/>
      <c r="U6" s="243"/>
    </row>
    <row r="7" spans="1:75" s="138" customFormat="1" ht="15.75" customHeight="1">
      <c r="B7" s="244"/>
      <c r="C7" s="245"/>
      <c r="R7" s="243"/>
      <c r="S7" s="243"/>
      <c r="T7" s="243"/>
      <c r="U7" s="243"/>
    </row>
    <row r="8" spans="1:75" s="247" customFormat="1" ht="15.75" customHeight="1">
      <c r="A8" s="736" t="s">
        <v>193</v>
      </c>
      <c r="B8" s="737"/>
      <c r="C8" s="246" t="s">
        <v>47</v>
      </c>
      <c r="D8" s="800" t="s">
        <v>12</v>
      </c>
      <c r="E8" s="658"/>
      <c r="F8" s="790"/>
      <c r="G8" s="801" t="s">
        <v>53</v>
      </c>
      <c r="H8" s="802"/>
      <c r="I8" s="803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4" t="s">
        <v>51</v>
      </c>
      <c r="P8" s="805"/>
    </row>
    <row r="9" spans="1:75" s="138" customFormat="1" ht="45" customHeight="1">
      <c r="A9" s="791">
        <v>1</v>
      </c>
      <c r="B9" s="794" t="s">
        <v>539</v>
      </c>
      <c r="C9" s="248">
        <v>1</v>
      </c>
      <c r="D9" s="249" t="s">
        <v>378</v>
      </c>
      <c r="E9" s="250"/>
      <c r="F9" s="250"/>
      <c r="G9" s="428" t="s">
        <v>375</v>
      </c>
      <c r="H9" s="318"/>
      <c r="I9" s="319"/>
      <c r="J9" s="248">
        <v>152.75</v>
      </c>
      <c r="K9" s="254">
        <v>1.8823067098929166E-2</v>
      </c>
      <c r="L9" s="248">
        <v>19.159999999999997</v>
      </c>
      <c r="M9" s="340">
        <f>L9*J9</f>
        <v>2926.6899999999996</v>
      </c>
      <c r="N9" s="255"/>
      <c r="O9" s="720" t="s">
        <v>632</v>
      </c>
      <c r="P9" s="721"/>
      <c r="R9" s="243"/>
      <c r="S9" s="273"/>
      <c r="T9" s="273"/>
      <c r="U9" s="243"/>
    </row>
    <row r="10" spans="1:75" s="138" customFormat="1" ht="45" customHeight="1">
      <c r="A10" s="792"/>
      <c r="B10" s="795"/>
      <c r="C10" s="248">
        <v>2</v>
      </c>
      <c r="D10" s="249" t="s">
        <v>351</v>
      </c>
      <c r="E10" s="250"/>
      <c r="F10" s="250"/>
      <c r="G10" s="423" t="s">
        <v>343</v>
      </c>
      <c r="H10" s="395"/>
      <c r="I10" s="396"/>
      <c r="J10" s="248">
        <v>141.66999999999999</v>
      </c>
      <c r="K10" s="254">
        <v>2.3041399720316103E-2</v>
      </c>
      <c r="L10" s="248">
        <v>14.169999999999998</v>
      </c>
      <c r="M10" s="340">
        <f t="shared" ref="M10:M13" si="0">L10*J10</f>
        <v>2007.4638999999995</v>
      </c>
      <c r="N10" s="255"/>
      <c r="O10" s="720" t="s">
        <v>632</v>
      </c>
      <c r="P10" s="721"/>
      <c r="R10" s="243"/>
      <c r="S10" s="213"/>
      <c r="T10" s="21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s="138" customFormat="1" ht="45" customHeight="1">
      <c r="A11" s="792"/>
      <c r="B11" s="795"/>
      <c r="C11" s="248">
        <v>3</v>
      </c>
      <c r="D11" s="249" t="s">
        <v>620</v>
      </c>
      <c r="E11" s="250"/>
      <c r="F11" s="250"/>
      <c r="G11" s="423" t="s">
        <v>615</v>
      </c>
      <c r="H11" s="395"/>
      <c r="I11" s="396"/>
      <c r="J11" s="248">
        <v>153.19000000000003</v>
      </c>
      <c r="K11" s="254">
        <v>4.3518199563669771E-2</v>
      </c>
      <c r="L11" s="248">
        <v>11.370000000000001</v>
      </c>
      <c r="M11" s="340">
        <f t="shared" si="0"/>
        <v>1741.7703000000004</v>
      </c>
      <c r="N11" s="255"/>
      <c r="O11" s="806" t="s">
        <v>635</v>
      </c>
      <c r="P11" s="739"/>
      <c r="R11" s="243"/>
      <c r="S11" s="273"/>
      <c r="T11" s="27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s="138" customFormat="1" ht="45" customHeight="1">
      <c r="A12" s="792"/>
      <c r="B12" s="795"/>
      <c r="C12" s="248">
        <v>4</v>
      </c>
      <c r="D12" s="249" t="s">
        <v>366</v>
      </c>
      <c r="E12" s="250"/>
      <c r="F12" s="250"/>
      <c r="G12" s="423" t="s">
        <v>374</v>
      </c>
      <c r="H12" s="395"/>
      <c r="I12" s="396"/>
      <c r="J12" s="248">
        <v>253.92000000000002</v>
      </c>
      <c r="K12" s="254">
        <v>2.7767510626501568E-2</v>
      </c>
      <c r="L12" s="248">
        <v>6.01</v>
      </c>
      <c r="M12" s="340">
        <f t="shared" si="0"/>
        <v>1526.0592000000001</v>
      </c>
      <c r="N12" s="255"/>
      <c r="O12" s="806" t="s">
        <v>638</v>
      </c>
      <c r="P12" s="739"/>
      <c r="R12" s="243"/>
      <c r="S12" s="213"/>
      <c r="T12" s="21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s="138" customFormat="1" ht="45" customHeight="1" thickBot="1">
      <c r="A13" s="792"/>
      <c r="B13" s="795"/>
      <c r="C13" s="248">
        <v>5</v>
      </c>
      <c r="D13" s="256" t="s">
        <v>366</v>
      </c>
      <c r="E13" s="257"/>
      <c r="F13" s="257"/>
      <c r="G13" s="428" t="s">
        <v>373</v>
      </c>
      <c r="H13" s="318"/>
      <c r="I13" s="319"/>
      <c r="J13" s="259">
        <v>183.65000000000003</v>
      </c>
      <c r="K13" s="260">
        <v>2.9104477611940297E-2</v>
      </c>
      <c r="L13" s="259">
        <v>7.8</v>
      </c>
      <c r="M13" s="341">
        <f t="shared" si="0"/>
        <v>1432.4700000000003</v>
      </c>
      <c r="N13" s="255"/>
      <c r="O13" s="806" t="s">
        <v>641</v>
      </c>
      <c r="P13" s="739"/>
      <c r="R13" s="243"/>
      <c r="S13" s="273"/>
      <c r="T13" s="27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s="138" customFormat="1" ht="15.75" customHeight="1" thickTop="1">
      <c r="A14" s="793"/>
      <c r="B14" s="796"/>
      <c r="C14" s="660"/>
      <c r="D14" s="661"/>
      <c r="E14" s="661"/>
      <c r="F14" s="661"/>
      <c r="G14" s="661"/>
      <c r="H14" s="661"/>
      <c r="I14" s="799"/>
      <c r="J14" s="261" t="s">
        <v>58</v>
      </c>
      <c r="K14" s="215">
        <f>M14/'生產管理報表 7-1 (週)'!$B$20</f>
        <v>0.12351832010354206</v>
      </c>
      <c r="L14" s="261" t="s">
        <v>59</v>
      </c>
      <c r="M14" s="342">
        <f>SUM(M9:M13)</f>
        <v>9634.4533999999985</v>
      </c>
      <c r="N14" s="754"/>
      <c r="O14" s="755"/>
      <c r="P14" s="756"/>
      <c r="R14" s="243"/>
      <c r="S14" s="213"/>
      <c r="T14" s="21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s="138" customFormat="1" ht="15.75" customHeight="1">
      <c r="B15" s="244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R15" s="243"/>
      <c r="S15" s="273"/>
      <c r="T15" s="27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s="138" customFormat="1" ht="15.75" customHeight="1">
      <c r="A16" s="736" t="s">
        <v>193</v>
      </c>
      <c r="B16" s="737"/>
      <c r="C16" s="264" t="s">
        <v>47</v>
      </c>
      <c r="D16" s="657" t="s">
        <v>12</v>
      </c>
      <c r="E16" s="658"/>
      <c r="F16" s="659"/>
      <c r="G16" s="657" t="s">
        <v>53</v>
      </c>
      <c r="H16" s="658"/>
      <c r="I16" s="659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5" t="s">
        <v>51</v>
      </c>
      <c r="P16" s="746"/>
      <c r="R16" s="243"/>
      <c r="S16" s="213"/>
      <c r="T16" s="21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s="138" customFormat="1" ht="20.149999999999999" customHeight="1">
      <c r="A17" s="791">
        <v>2</v>
      </c>
      <c r="B17" s="79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7"/>
      <c r="P17" s="748"/>
      <c r="R17" s="243"/>
      <c r="S17" s="273"/>
      <c r="T17" s="27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s="138" customFormat="1" ht="20.149999999999999" customHeight="1">
      <c r="A18" s="792"/>
      <c r="B18" s="795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7"/>
      <c r="P18" s="748"/>
      <c r="R18" s="243"/>
      <c r="S18" s="213"/>
      <c r="T18" s="21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s="138" customFormat="1" ht="20.149999999999999" customHeight="1">
      <c r="A19" s="792"/>
      <c r="B19" s="795"/>
      <c r="C19" s="268">
        <v>3</v>
      </c>
      <c r="D19" s="249"/>
      <c r="E19" s="250"/>
      <c r="F19" s="251"/>
      <c r="G19" s="249"/>
      <c r="H19" s="250"/>
      <c r="I19" s="280"/>
      <c r="J19" s="269"/>
      <c r="K19" s="270"/>
      <c r="L19" s="269"/>
      <c r="M19" s="271">
        <f t="shared" si="1"/>
        <v>0</v>
      </c>
      <c r="N19" s="272"/>
      <c r="O19" s="747"/>
      <c r="P19" s="748"/>
      <c r="R19" s="243"/>
      <c r="S19" s="273"/>
      <c r="T19" s="27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s="138" customFormat="1" ht="20.149999999999999" customHeight="1">
      <c r="A20" s="792"/>
      <c r="B20" s="795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7"/>
      <c r="P20" s="748"/>
      <c r="R20" s="243"/>
      <c r="S20" s="213"/>
      <c r="T20" s="21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s="138" customFormat="1" ht="20.149999999999999" customHeight="1" thickBot="1">
      <c r="A21" s="792"/>
      <c r="B21" s="795"/>
      <c r="C21" s="274">
        <v>5</v>
      </c>
      <c r="D21" s="256"/>
      <c r="E21" s="257"/>
      <c r="F21" s="258"/>
      <c r="G21" s="249"/>
      <c r="H21" s="250"/>
      <c r="I21" s="251"/>
      <c r="J21" s="275"/>
      <c r="K21" s="276"/>
      <c r="L21" s="275"/>
      <c r="M21" s="277">
        <f t="shared" si="1"/>
        <v>0</v>
      </c>
      <c r="N21" s="278"/>
      <c r="O21" s="747"/>
      <c r="P21" s="748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s="138" customFormat="1" ht="15.75" customHeight="1" thickTop="1">
      <c r="A22" s="793"/>
      <c r="B22" s="796"/>
      <c r="C22" s="660"/>
      <c r="D22" s="661"/>
      <c r="E22" s="661"/>
      <c r="F22" s="661"/>
      <c r="G22" s="661"/>
      <c r="H22" s="661"/>
      <c r="I22" s="799"/>
      <c r="J22" s="261" t="s">
        <v>58</v>
      </c>
      <c r="K22" s="215">
        <f>M22/'生產管理報表 7-1 (週)'!$B$20</f>
        <v>0</v>
      </c>
      <c r="L22" s="261" t="s">
        <v>59</v>
      </c>
      <c r="M22" s="262">
        <f>SUM(M17:M21)</f>
        <v>0</v>
      </c>
      <c r="N22" s="749"/>
      <c r="O22" s="750"/>
      <c r="P22" s="751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s="138" customFormat="1" ht="15.75" customHeight="1">
      <c r="B23" s="244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s="138" customFormat="1" ht="15.75" customHeight="1">
      <c r="A24" s="736" t="s">
        <v>193</v>
      </c>
      <c r="B24" s="737"/>
      <c r="C24" s="264" t="s">
        <v>47</v>
      </c>
      <c r="D24" s="657" t="s">
        <v>12</v>
      </c>
      <c r="E24" s="658"/>
      <c r="F24" s="659"/>
      <c r="G24" s="657" t="s">
        <v>53</v>
      </c>
      <c r="H24" s="658"/>
      <c r="I24" s="790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3" t="s">
        <v>51</v>
      </c>
      <c r="P24" s="744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s="138" customFormat="1" ht="50.15" customHeight="1">
      <c r="A25" s="791">
        <v>3</v>
      </c>
      <c r="B25" s="794" t="s">
        <v>459</v>
      </c>
      <c r="C25" s="268">
        <v>1</v>
      </c>
      <c r="D25" s="249" t="s">
        <v>444</v>
      </c>
      <c r="E25" s="250"/>
      <c r="F25" s="251"/>
      <c r="G25" s="392" t="s">
        <v>461</v>
      </c>
      <c r="H25" s="327"/>
      <c r="I25" s="392"/>
      <c r="J25" s="269">
        <v>122.81999999999996</v>
      </c>
      <c r="K25" s="270">
        <v>2.5736142418487422E-2</v>
      </c>
      <c r="L25" s="269">
        <v>14.5</v>
      </c>
      <c r="M25" s="343">
        <f t="shared" ref="M25:M29" si="2">L25*J25</f>
        <v>1780.8899999999994</v>
      </c>
      <c r="N25" s="282"/>
      <c r="O25" s="797" t="s">
        <v>644</v>
      </c>
      <c r="P25" s="798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s="138" customFormat="1" ht="50.15" customHeight="1">
      <c r="A26" s="792"/>
      <c r="B26" s="795"/>
      <c r="C26" s="268">
        <v>2</v>
      </c>
      <c r="D26" s="249" t="s">
        <v>349</v>
      </c>
      <c r="E26" s="250"/>
      <c r="F26" s="251"/>
      <c r="G26" s="251" t="s">
        <v>532</v>
      </c>
      <c r="H26" s="250"/>
      <c r="I26" s="251"/>
      <c r="J26" s="269">
        <v>2.4499999999999997</v>
      </c>
      <c r="K26" s="270">
        <v>4.004004004004004E-3</v>
      </c>
      <c r="L26" s="269">
        <v>480</v>
      </c>
      <c r="M26" s="343">
        <f t="shared" si="2"/>
        <v>1175.9999999999998</v>
      </c>
      <c r="N26" s="282"/>
      <c r="O26" s="738" t="s">
        <v>647</v>
      </c>
      <c r="P26" s="739"/>
      <c r="R26" s="243"/>
      <c r="S26" s="243"/>
      <c r="T26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s="138" customFormat="1" ht="50.15" customHeight="1">
      <c r="A27" s="792"/>
      <c r="B27" s="795"/>
      <c r="C27" s="268">
        <v>3</v>
      </c>
      <c r="D27" s="249" t="s">
        <v>349</v>
      </c>
      <c r="E27" s="250"/>
      <c r="F27" s="251"/>
      <c r="G27" s="251" t="s">
        <v>531</v>
      </c>
      <c r="H27" s="250"/>
      <c r="I27" s="251"/>
      <c r="J27" s="269">
        <v>1.17</v>
      </c>
      <c r="K27" s="270">
        <v>4.5662549820400531E-3</v>
      </c>
      <c r="L27" s="269">
        <v>928</v>
      </c>
      <c r="M27" s="343">
        <f t="shared" si="2"/>
        <v>1085.76</v>
      </c>
      <c r="N27" s="282"/>
      <c r="O27" s="738" t="s">
        <v>648</v>
      </c>
      <c r="P27" s="739"/>
      <c r="R27" s="243"/>
      <c r="S27" s="243"/>
      <c r="T27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s="138" customFormat="1" ht="50.15" customHeight="1">
      <c r="A28" s="792"/>
      <c r="B28" s="795"/>
      <c r="C28" s="268">
        <v>4</v>
      </c>
      <c r="D28" s="249" t="s">
        <v>555</v>
      </c>
      <c r="E28" s="250"/>
      <c r="F28" s="251"/>
      <c r="G28" s="326" t="s">
        <v>619</v>
      </c>
      <c r="H28" s="327"/>
      <c r="I28" s="328"/>
      <c r="J28" s="281">
        <v>4.5</v>
      </c>
      <c r="K28" s="270">
        <v>1.2862251160804824E-2</v>
      </c>
      <c r="L28" s="269">
        <v>241</v>
      </c>
      <c r="M28" s="343">
        <f t="shared" si="2"/>
        <v>1084.5</v>
      </c>
      <c r="N28" s="282"/>
      <c r="O28" s="738" t="s">
        <v>651</v>
      </c>
      <c r="P28" s="739"/>
      <c r="R28" s="243"/>
      <c r="S28" s="243"/>
      <c r="T28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s="138" customFormat="1" ht="50.15" customHeight="1" thickBot="1">
      <c r="A29" s="792"/>
      <c r="B29" s="795"/>
      <c r="C29" s="274">
        <v>5</v>
      </c>
      <c r="D29" s="256"/>
      <c r="E29" s="257"/>
      <c r="F29" s="258"/>
      <c r="G29" s="425"/>
      <c r="H29" s="426"/>
      <c r="I29" s="427"/>
      <c r="J29" s="284"/>
      <c r="K29" s="276"/>
      <c r="L29" s="285"/>
      <c r="M29" s="343">
        <f t="shared" si="2"/>
        <v>0</v>
      </c>
      <c r="N29" s="282"/>
      <c r="O29" s="738"/>
      <c r="P29" s="739"/>
      <c r="R29" s="243"/>
      <c r="S29" s="243"/>
      <c r="T29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s="138" customFormat="1" ht="15.75" customHeight="1" thickTop="1">
      <c r="A30" s="793"/>
      <c r="B30" s="796"/>
      <c r="C30" s="660"/>
      <c r="D30" s="661"/>
      <c r="E30" s="661"/>
      <c r="F30" s="661"/>
      <c r="G30" s="661"/>
      <c r="H30" s="661"/>
      <c r="I30" s="799"/>
      <c r="J30" s="286" t="s">
        <v>58</v>
      </c>
      <c r="K30" s="215">
        <f>M30/'生產管理報表 7-1 (週)'!$B$20</f>
        <v>6.5732525616749124E-2</v>
      </c>
      <c r="L30" s="286" t="s">
        <v>59</v>
      </c>
      <c r="M30" s="344">
        <f>SUM(M25:M29)</f>
        <v>5127.1499999999996</v>
      </c>
      <c r="N30" s="740"/>
      <c r="O30" s="741"/>
      <c r="P30" s="742"/>
      <c r="R30" s="243"/>
      <c r="S30" s="243"/>
      <c r="T30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s="138" customFormat="1" ht="15.75" customHeight="1">
      <c r="A31" s="809" t="s">
        <v>683</v>
      </c>
      <c r="B31" s="809"/>
      <c r="C31" s="809"/>
      <c r="D31" s="809"/>
      <c r="E31" s="809"/>
      <c r="F31" s="809"/>
      <c r="G31" s="809"/>
      <c r="H31" s="809"/>
      <c r="I31" s="809"/>
      <c r="J31" s="809"/>
      <c r="K31" s="809"/>
      <c r="L31" s="809"/>
      <c r="M31" s="809"/>
      <c r="R31" s="243"/>
      <c r="S31" s="243"/>
      <c r="T31" s="243"/>
      <c r="U31" s="243"/>
    </row>
    <row r="32" spans="1:36" s="139" customFormat="1" ht="15.75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</row>
    <row r="33" spans="1:75" s="138" customFormat="1" ht="15.75" customHeight="1">
      <c r="A33" s="734" t="s">
        <v>193</v>
      </c>
      <c r="B33" s="727">
        <v>1</v>
      </c>
      <c r="C33" s="728"/>
      <c r="D33" s="727">
        <v>2</v>
      </c>
      <c r="E33" s="728"/>
      <c r="F33" s="727">
        <v>3</v>
      </c>
      <c r="G33" s="728"/>
      <c r="H33" s="736">
        <v>4</v>
      </c>
      <c r="I33" s="737"/>
      <c r="J33" s="736">
        <v>5</v>
      </c>
      <c r="K33" s="737"/>
      <c r="L33" s="736">
        <v>6</v>
      </c>
      <c r="M33" s="737"/>
      <c r="N33" s="736">
        <v>7</v>
      </c>
      <c r="O33" s="737"/>
      <c r="P33" s="736">
        <v>8</v>
      </c>
      <c r="Q33" s="737"/>
      <c r="R33" s="243"/>
      <c r="S33" s="243"/>
      <c r="T33" s="243"/>
      <c r="U33" s="243"/>
    </row>
    <row r="34" spans="1:75" s="138" customFormat="1" ht="15.75" customHeight="1">
      <c r="A34" s="735"/>
      <c r="B34" s="729" t="s">
        <v>538</v>
      </c>
      <c r="C34" s="730"/>
      <c r="D34" s="729" t="s">
        <v>215</v>
      </c>
      <c r="E34" s="730"/>
      <c r="F34" s="729" t="s">
        <v>168</v>
      </c>
      <c r="G34" s="730"/>
      <c r="H34" s="731" t="s">
        <v>477</v>
      </c>
      <c r="I34" s="732"/>
      <c r="J34" s="731" t="s">
        <v>191</v>
      </c>
      <c r="K34" s="732"/>
      <c r="L34" s="731" t="s">
        <v>169</v>
      </c>
      <c r="M34" s="732"/>
      <c r="N34" s="731" t="s">
        <v>192</v>
      </c>
      <c r="O34" s="732"/>
      <c r="P34" s="807" t="s">
        <v>220</v>
      </c>
      <c r="Q34" s="808"/>
      <c r="R34" s="243"/>
      <c r="S34" s="243"/>
      <c r="T34" s="243"/>
      <c r="U34" s="243"/>
    </row>
    <row r="35" spans="1:75" s="138" customFormat="1" ht="15.75" customHeight="1">
      <c r="B35" s="244"/>
      <c r="C35" s="245"/>
      <c r="R35" s="243"/>
      <c r="S35" s="243"/>
      <c r="T35" s="243"/>
      <c r="U35" s="243"/>
    </row>
    <row r="36" spans="1:75" s="247" customFormat="1" ht="15.75" customHeight="1">
      <c r="A36" s="736" t="s">
        <v>193</v>
      </c>
      <c r="B36" s="737"/>
      <c r="C36" s="246" t="s">
        <v>47</v>
      </c>
      <c r="D36" s="800" t="s">
        <v>12</v>
      </c>
      <c r="E36" s="658"/>
      <c r="F36" s="790"/>
      <c r="G36" s="801" t="s">
        <v>53</v>
      </c>
      <c r="H36" s="802"/>
      <c r="I36" s="803"/>
      <c r="J36" s="246" t="s">
        <v>54</v>
      </c>
      <c r="K36" s="246" t="s">
        <v>55</v>
      </c>
      <c r="L36" s="246" t="s">
        <v>56</v>
      </c>
      <c r="M36" s="246" t="s">
        <v>11</v>
      </c>
      <c r="N36" s="246" t="s">
        <v>340</v>
      </c>
      <c r="O36" s="804" t="s">
        <v>51</v>
      </c>
      <c r="P36" s="805"/>
    </row>
    <row r="37" spans="1:75" s="138" customFormat="1" ht="50.15" customHeight="1">
      <c r="A37" s="791">
        <v>1</v>
      </c>
      <c r="B37" s="794" t="s">
        <v>539</v>
      </c>
      <c r="C37" s="248">
        <v>1</v>
      </c>
      <c r="D37" s="249" t="s">
        <v>351</v>
      </c>
      <c r="E37" s="250"/>
      <c r="F37" s="250"/>
      <c r="G37" s="393" t="s">
        <v>343</v>
      </c>
      <c r="H37" s="318"/>
      <c r="I37" s="319"/>
      <c r="J37" s="248">
        <v>141.66999999999999</v>
      </c>
      <c r="K37" s="254">
        <v>3.0353830788985587E-2</v>
      </c>
      <c r="L37" s="248">
        <v>17.02</v>
      </c>
      <c r="M37" s="340">
        <f>L37*J37</f>
        <v>2411.2233999999999</v>
      </c>
      <c r="N37" s="255"/>
      <c r="O37" s="720" t="s">
        <v>700</v>
      </c>
      <c r="P37" s="721"/>
      <c r="R37" s="243"/>
      <c r="S37" s="273"/>
      <c r="T37" s="273"/>
      <c r="U37" s="243"/>
    </row>
    <row r="38" spans="1:75" s="138" customFormat="1" ht="50.15" customHeight="1">
      <c r="A38" s="792"/>
      <c r="B38" s="795"/>
      <c r="C38" s="248">
        <v>2</v>
      </c>
      <c r="D38" s="249" t="s">
        <v>378</v>
      </c>
      <c r="E38" s="250"/>
      <c r="F38" s="250"/>
      <c r="G38" s="428" t="s">
        <v>375</v>
      </c>
      <c r="H38" s="318"/>
      <c r="I38" s="319"/>
      <c r="J38" s="248">
        <v>152.75</v>
      </c>
      <c r="K38" s="254">
        <v>1.2651992930336774E-2</v>
      </c>
      <c r="L38" s="248">
        <v>13.1</v>
      </c>
      <c r="M38" s="340">
        <f t="shared" ref="M38:M41" si="3">L38*J38</f>
        <v>2001.0249999999999</v>
      </c>
      <c r="N38" s="255"/>
      <c r="O38" s="720" t="s">
        <v>700</v>
      </c>
      <c r="P38" s="721"/>
      <c r="R38" s="243"/>
      <c r="S38" s="213"/>
      <c r="T38" s="21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3"/>
      <c r="BI38" s="243"/>
      <c r="BJ38" s="243"/>
      <c r="BK38" s="243"/>
      <c r="BL38" s="243"/>
      <c r="BM38" s="243"/>
      <c r="BN38" s="243"/>
      <c r="BO38" s="243"/>
      <c r="BP38" s="243"/>
      <c r="BQ38" s="243"/>
      <c r="BR38" s="243"/>
      <c r="BS38" s="243"/>
      <c r="BT38" s="243"/>
      <c r="BU38" s="243"/>
      <c r="BV38" s="243"/>
      <c r="BW38" s="243"/>
    </row>
    <row r="39" spans="1:75" s="138" customFormat="1" ht="50.15" customHeight="1">
      <c r="A39" s="792"/>
      <c r="B39" s="795"/>
      <c r="C39" s="248">
        <v>3</v>
      </c>
      <c r="D39" s="249" t="s">
        <v>366</v>
      </c>
      <c r="E39" s="250"/>
      <c r="F39" s="250"/>
      <c r="G39" s="428" t="s">
        <v>373</v>
      </c>
      <c r="H39" s="318"/>
      <c r="I39" s="319"/>
      <c r="J39" s="248">
        <v>183.65000000000003</v>
      </c>
      <c r="K39" s="254">
        <v>3.4792724196277505E-2</v>
      </c>
      <c r="L39" s="248">
        <v>9.870000000000001</v>
      </c>
      <c r="M39" s="340">
        <f t="shared" si="3"/>
        <v>1812.6255000000006</v>
      </c>
      <c r="N39" s="255"/>
      <c r="O39" s="806" t="s">
        <v>641</v>
      </c>
      <c r="P39" s="739"/>
      <c r="R39" s="243"/>
      <c r="S39" s="273"/>
      <c r="T39" s="27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  <c r="BD39" s="243"/>
      <c r="BE39" s="243"/>
      <c r="BF39" s="243"/>
      <c r="BG39" s="243"/>
      <c r="BH39" s="243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</row>
    <row r="40" spans="1:75" s="138" customFormat="1" ht="50.15" customHeight="1">
      <c r="A40" s="792"/>
      <c r="B40" s="795"/>
      <c r="C40" s="248">
        <v>4</v>
      </c>
      <c r="D40" s="249" t="s">
        <v>507</v>
      </c>
      <c r="E40" s="250"/>
      <c r="F40" s="250"/>
      <c r="G40" s="393" t="s">
        <v>511</v>
      </c>
      <c r="H40" s="318"/>
      <c r="I40" s="319"/>
      <c r="J40" s="248">
        <v>456.29</v>
      </c>
      <c r="K40" s="254">
        <v>5.5351232070614202E-2</v>
      </c>
      <c r="L40" s="248">
        <v>3.0100000000000002</v>
      </c>
      <c r="M40" s="340">
        <f t="shared" si="3"/>
        <v>1373.4329000000002</v>
      </c>
      <c r="N40" s="255"/>
      <c r="O40" s="806" t="s">
        <v>632</v>
      </c>
      <c r="P40" s="739"/>
      <c r="R40" s="243"/>
      <c r="S40" s="213"/>
      <c r="T40" s="21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3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</row>
    <row r="41" spans="1:75" s="138" customFormat="1" ht="50.15" customHeight="1" thickBot="1">
      <c r="A41" s="792"/>
      <c r="B41" s="795"/>
      <c r="C41" s="248">
        <v>5</v>
      </c>
      <c r="D41" s="256" t="s">
        <v>366</v>
      </c>
      <c r="E41" s="257"/>
      <c r="F41" s="257"/>
      <c r="G41" s="393" t="s">
        <v>374</v>
      </c>
      <c r="H41" s="318"/>
      <c r="I41" s="319"/>
      <c r="J41" s="259">
        <v>253.92000000000002</v>
      </c>
      <c r="K41" s="260">
        <v>2.3567407148780164E-2</v>
      </c>
      <c r="L41" s="259">
        <v>5.3999999999999995</v>
      </c>
      <c r="M41" s="341">
        <f t="shared" si="3"/>
        <v>1371.1679999999999</v>
      </c>
      <c r="N41" s="255"/>
      <c r="O41" s="806" t="s">
        <v>638</v>
      </c>
      <c r="P41" s="739"/>
      <c r="R41" s="243"/>
      <c r="S41" s="273"/>
      <c r="T41" s="27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3"/>
      <c r="BA41" s="243"/>
      <c r="BB41" s="243"/>
      <c r="BC41" s="243"/>
      <c r="BD41" s="243"/>
      <c r="BE41" s="243"/>
      <c r="BF41" s="243"/>
      <c r="BG41" s="243"/>
      <c r="BH41" s="243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</row>
    <row r="42" spans="1:75" s="138" customFormat="1" ht="15.75" customHeight="1" thickTop="1">
      <c r="A42" s="793"/>
      <c r="B42" s="796"/>
      <c r="C42" s="660"/>
      <c r="D42" s="661"/>
      <c r="E42" s="661"/>
      <c r="F42" s="661"/>
      <c r="G42" s="661"/>
      <c r="H42" s="661"/>
      <c r="I42" s="799"/>
      <c r="J42" s="261" t="s">
        <v>58</v>
      </c>
      <c r="K42" s="215">
        <f>M42/'生產管理報表 7-1 (週)'!$B$31</f>
        <v>0.10881831594276202</v>
      </c>
      <c r="L42" s="261" t="s">
        <v>59</v>
      </c>
      <c r="M42" s="342">
        <f>SUM(M37:M41)</f>
        <v>8969.4748</v>
      </c>
      <c r="N42" s="754"/>
      <c r="O42" s="755"/>
      <c r="P42" s="756"/>
      <c r="R42" s="243"/>
      <c r="S42" s="213"/>
      <c r="T42" s="21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3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</row>
    <row r="43" spans="1:75" s="138" customFormat="1" ht="15.75" customHeight="1">
      <c r="B43" s="244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63"/>
      <c r="O43" s="263"/>
      <c r="P43" s="263"/>
      <c r="R43" s="243"/>
      <c r="S43" s="273"/>
      <c r="T43" s="27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</row>
    <row r="44" spans="1:75" s="138" customFormat="1" ht="15.75" customHeight="1">
      <c r="A44" s="736" t="s">
        <v>193</v>
      </c>
      <c r="B44" s="737"/>
      <c r="C44" s="264" t="s">
        <v>47</v>
      </c>
      <c r="D44" s="657" t="s">
        <v>12</v>
      </c>
      <c r="E44" s="658"/>
      <c r="F44" s="659"/>
      <c r="G44" s="657" t="s">
        <v>53</v>
      </c>
      <c r="H44" s="658"/>
      <c r="I44" s="659"/>
      <c r="J44" s="266" t="s">
        <v>54</v>
      </c>
      <c r="K44" s="266" t="s">
        <v>55</v>
      </c>
      <c r="L44" s="266" t="s">
        <v>56</v>
      </c>
      <c r="M44" s="266" t="s">
        <v>11</v>
      </c>
      <c r="N44" s="267" t="s">
        <v>340</v>
      </c>
      <c r="O44" s="745" t="s">
        <v>51</v>
      </c>
      <c r="P44" s="746"/>
      <c r="R44" s="243"/>
      <c r="S44" s="213"/>
      <c r="T44" s="21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</row>
    <row r="45" spans="1:75" s="138" customFormat="1" ht="20.149999999999999" customHeight="1">
      <c r="A45" s="791">
        <v>2</v>
      </c>
      <c r="B45" s="794" t="s">
        <v>216</v>
      </c>
      <c r="C45" s="268">
        <v>1</v>
      </c>
      <c r="D45" s="249"/>
      <c r="E45" s="250"/>
      <c r="F45" s="251"/>
      <c r="G45" s="249"/>
      <c r="H45" s="250"/>
      <c r="I45" s="251"/>
      <c r="J45" s="269"/>
      <c r="K45" s="270"/>
      <c r="L45" s="269"/>
      <c r="M45" s="271">
        <f t="shared" ref="M45:M49" si="4">L45*J45</f>
        <v>0</v>
      </c>
      <c r="N45" s="272"/>
      <c r="O45" s="747"/>
      <c r="P45" s="748"/>
      <c r="R45" s="243"/>
      <c r="S45" s="273"/>
      <c r="T45" s="27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</row>
    <row r="46" spans="1:75" s="138" customFormat="1" ht="20.149999999999999" customHeight="1">
      <c r="A46" s="792"/>
      <c r="B46" s="795"/>
      <c r="C46" s="268">
        <v>2</v>
      </c>
      <c r="D46" s="249"/>
      <c r="E46" s="250"/>
      <c r="F46" s="251"/>
      <c r="G46" s="249"/>
      <c r="H46" s="250"/>
      <c r="I46" s="251"/>
      <c r="J46" s="269"/>
      <c r="K46" s="270"/>
      <c r="L46" s="269"/>
      <c r="M46" s="271">
        <f t="shared" si="4"/>
        <v>0</v>
      </c>
      <c r="N46" s="272"/>
      <c r="O46" s="747"/>
      <c r="P46" s="748"/>
      <c r="R46" s="243"/>
      <c r="S46" s="213"/>
      <c r="T46" s="21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</row>
    <row r="47" spans="1:75" s="138" customFormat="1" ht="20.149999999999999" customHeight="1">
      <c r="A47" s="792"/>
      <c r="B47" s="795"/>
      <c r="C47" s="268">
        <v>3</v>
      </c>
      <c r="D47" s="249"/>
      <c r="E47" s="250"/>
      <c r="F47" s="251"/>
      <c r="G47" s="249"/>
      <c r="H47" s="250"/>
      <c r="I47" s="280"/>
      <c r="J47" s="269"/>
      <c r="K47" s="270"/>
      <c r="L47" s="269"/>
      <c r="M47" s="271">
        <f t="shared" si="4"/>
        <v>0</v>
      </c>
      <c r="N47" s="272"/>
      <c r="O47" s="747"/>
      <c r="P47" s="748"/>
      <c r="R47" s="243"/>
      <c r="S47" s="273"/>
      <c r="T47" s="27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</row>
    <row r="48" spans="1:75" s="138" customFormat="1" ht="20.149999999999999" customHeight="1">
      <c r="A48" s="792"/>
      <c r="B48" s="795"/>
      <c r="C48" s="268">
        <v>4</v>
      </c>
      <c r="D48" s="249"/>
      <c r="E48" s="250"/>
      <c r="F48" s="251"/>
      <c r="G48" s="249"/>
      <c r="H48" s="250"/>
      <c r="I48" s="251"/>
      <c r="J48" s="269"/>
      <c r="K48" s="270"/>
      <c r="L48" s="269"/>
      <c r="M48" s="271">
        <f t="shared" si="4"/>
        <v>0</v>
      </c>
      <c r="N48" s="272"/>
      <c r="O48" s="747"/>
      <c r="P48" s="748"/>
      <c r="R48" s="243"/>
      <c r="S48" s="213"/>
      <c r="T48" s="21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</row>
    <row r="49" spans="1:36" s="138" customFormat="1" ht="20.149999999999999" customHeight="1" thickBot="1">
      <c r="A49" s="792"/>
      <c r="B49" s="795"/>
      <c r="C49" s="274">
        <v>5</v>
      </c>
      <c r="D49" s="256"/>
      <c r="E49" s="257"/>
      <c r="F49" s="258"/>
      <c r="G49" s="249"/>
      <c r="H49" s="250"/>
      <c r="I49" s="251"/>
      <c r="J49" s="275"/>
      <c r="K49" s="276"/>
      <c r="L49" s="275"/>
      <c r="M49" s="277">
        <f t="shared" si="4"/>
        <v>0</v>
      </c>
      <c r="N49" s="278"/>
      <c r="O49" s="747"/>
      <c r="P49" s="748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</row>
    <row r="50" spans="1:36" s="138" customFormat="1" ht="15.75" customHeight="1" thickTop="1">
      <c r="A50" s="793"/>
      <c r="B50" s="796"/>
      <c r="C50" s="660"/>
      <c r="D50" s="661"/>
      <c r="E50" s="661"/>
      <c r="F50" s="661"/>
      <c r="G50" s="661"/>
      <c r="H50" s="661"/>
      <c r="I50" s="799"/>
      <c r="J50" s="261" t="s">
        <v>58</v>
      </c>
      <c r="K50" s="215">
        <f>M50/'生產管理報表 7-1 (週)'!$B$31</f>
        <v>0</v>
      </c>
      <c r="L50" s="261" t="s">
        <v>59</v>
      </c>
      <c r="M50" s="262">
        <f>SUM(M45:M49)</f>
        <v>0</v>
      </c>
      <c r="N50" s="749"/>
      <c r="O50" s="750"/>
      <c r="P50" s="751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</row>
    <row r="51" spans="1:36" s="138" customFormat="1" ht="15.75" customHeight="1">
      <c r="B51" s="244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79"/>
      <c r="O51" s="279"/>
      <c r="P51" s="279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</row>
    <row r="52" spans="1:36" s="138" customFormat="1" ht="15.75" customHeight="1">
      <c r="A52" s="736" t="s">
        <v>193</v>
      </c>
      <c r="B52" s="737"/>
      <c r="C52" s="264" t="s">
        <v>47</v>
      </c>
      <c r="D52" s="657" t="s">
        <v>12</v>
      </c>
      <c r="E52" s="658"/>
      <c r="F52" s="659"/>
      <c r="G52" s="657" t="s">
        <v>53</v>
      </c>
      <c r="H52" s="658"/>
      <c r="I52" s="790"/>
      <c r="J52" s="265" t="s">
        <v>54</v>
      </c>
      <c r="K52" s="266" t="s">
        <v>55</v>
      </c>
      <c r="L52" s="266" t="s">
        <v>56</v>
      </c>
      <c r="M52" s="266" t="s">
        <v>11</v>
      </c>
      <c r="N52" s="267" t="s">
        <v>340</v>
      </c>
      <c r="O52" s="743" t="s">
        <v>51</v>
      </c>
      <c r="P52" s="744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</row>
    <row r="53" spans="1:36" s="138" customFormat="1" ht="50.15" customHeight="1">
      <c r="A53" s="791">
        <v>3</v>
      </c>
      <c r="B53" s="794" t="s">
        <v>459</v>
      </c>
      <c r="C53" s="268">
        <v>1</v>
      </c>
      <c r="D53" s="249" t="s">
        <v>444</v>
      </c>
      <c r="E53" s="250"/>
      <c r="F53" s="251"/>
      <c r="G53" s="392" t="s">
        <v>461</v>
      </c>
      <c r="H53" s="327"/>
      <c r="I53" s="392"/>
      <c r="J53" s="269">
        <v>122.81999999999996</v>
      </c>
      <c r="K53" s="270">
        <v>2.4019345310547415E-2</v>
      </c>
      <c r="L53" s="269">
        <v>14.8</v>
      </c>
      <c r="M53" s="343">
        <f t="shared" ref="M53:M57" si="5">L53*J53</f>
        <v>1817.7359999999996</v>
      </c>
      <c r="N53" s="282"/>
      <c r="O53" s="797" t="s">
        <v>644</v>
      </c>
      <c r="P53" s="798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</row>
    <row r="54" spans="1:36" s="138" customFormat="1" ht="50.15" customHeight="1">
      <c r="A54" s="792"/>
      <c r="B54" s="795"/>
      <c r="C54" s="268">
        <v>2</v>
      </c>
      <c r="D54" s="249" t="s">
        <v>493</v>
      </c>
      <c r="E54" s="250"/>
      <c r="F54" s="251"/>
      <c r="G54" s="251" t="s">
        <v>491</v>
      </c>
      <c r="H54" s="250"/>
      <c r="I54" s="251"/>
      <c r="J54" s="269">
        <v>13.950000000000001</v>
      </c>
      <c r="K54" s="270">
        <v>6.8454875663593179E-3</v>
      </c>
      <c r="L54" s="269">
        <v>98</v>
      </c>
      <c r="M54" s="343">
        <f t="shared" si="5"/>
        <v>1367.1000000000001</v>
      </c>
      <c r="N54" s="282"/>
      <c r="O54" s="738" t="s">
        <v>699</v>
      </c>
      <c r="P54" s="739"/>
      <c r="R54" s="243"/>
      <c r="S54" s="243"/>
      <c r="T54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</row>
    <row r="55" spans="1:36" s="138" customFormat="1" ht="20.149999999999999" customHeight="1">
      <c r="A55" s="792"/>
      <c r="B55" s="795"/>
      <c r="C55" s="268">
        <v>3</v>
      </c>
      <c r="D55" s="249"/>
      <c r="E55" s="250"/>
      <c r="F55" s="251"/>
      <c r="G55" s="326"/>
      <c r="H55" s="327"/>
      <c r="I55" s="328"/>
      <c r="J55" s="269"/>
      <c r="K55" s="270"/>
      <c r="L55" s="269"/>
      <c r="M55" s="343">
        <f t="shared" si="5"/>
        <v>0</v>
      </c>
      <c r="N55" s="282"/>
      <c r="O55" s="738"/>
      <c r="P55" s="739"/>
      <c r="R55" s="243"/>
      <c r="S55" s="243"/>
      <c r="T55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</row>
    <row r="56" spans="1:36" s="138" customFormat="1" ht="20.149999999999999" customHeight="1">
      <c r="A56" s="792"/>
      <c r="B56" s="795"/>
      <c r="C56" s="268">
        <v>4</v>
      </c>
      <c r="D56" s="249"/>
      <c r="E56" s="250"/>
      <c r="F56" s="251"/>
      <c r="G56" s="326"/>
      <c r="H56" s="327"/>
      <c r="I56" s="328"/>
      <c r="J56" s="281"/>
      <c r="K56" s="270"/>
      <c r="L56" s="269"/>
      <c r="M56" s="343">
        <f t="shared" si="5"/>
        <v>0</v>
      </c>
      <c r="N56" s="282"/>
      <c r="O56" s="738"/>
      <c r="P56" s="739"/>
      <c r="R56" s="243"/>
      <c r="S56" s="243"/>
      <c r="T56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</row>
    <row r="57" spans="1:36" s="138" customFormat="1" ht="20.149999999999999" customHeight="1" thickBot="1">
      <c r="A57" s="792"/>
      <c r="B57" s="795"/>
      <c r="C57" s="274">
        <v>5</v>
      </c>
      <c r="D57" s="256"/>
      <c r="E57" s="257"/>
      <c r="F57" s="258"/>
      <c r="G57" s="425"/>
      <c r="H57" s="426"/>
      <c r="I57" s="427"/>
      <c r="J57" s="284"/>
      <c r="K57" s="276"/>
      <c r="L57" s="285"/>
      <c r="M57" s="343">
        <f t="shared" si="5"/>
        <v>0</v>
      </c>
      <c r="N57" s="282"/>
      <c r="O57" s="738"/>
      <c r="P57" s="739"/>
      <c r="R57" s="243"/>
      <c r="S57" s="243"/>
      <c r="T57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</row>
    <row r="58" spans="1:36" s="138" customFormat="1" ht="15.75" customHeight="1" thickTop="1">
      <c r="A58" s="793"/>
      <c r="B58" s="796"/>
      <c r="C58" s="660"/>
      <c r="D58" s="661"/>
      <c r="E58" s="661"/>
      <c r="F58" s="661"/>
      <c r="G58" s="661"/>
      <c r="H58" s="661"/>
      <c r="I58" s="799"/>
      <c r="J58" s="286" t="s">
        <v>58</v>
      </c>
      <c r="K58" s="215">
        <f>M58/'生產管理報表 7-1 (週)'!$B$31</f>
        <v>3.8638660323108594E-2</v>
      </c>
      <c r="L58" s="286" t="s">
        <v>59</v>
      </c>
      <c r="M58" s="344">
        <f>SUM(M53:M57)</f>
        <v>3184.8359999999998</v>
      </c>
      <c r="N58" s="740"/>
      <c r="O58" s="741"/>
      <c r="P58" s="742"/>
      <c r="R58" s="243"/>
      <c r="S58" s="243"/>
      <c r="T58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</row>
    <row r="59" spans="1:36" s="138" customFormat="1" ht="15.75" customHeight="1">
      <c r="A59" s="809" t="s">
        <v>725</v>
      </c>
      <c r="B59" s="809"/>
      <c r="C59" s="809"/>
      <c r="D59" s="809"/>
      <c r="E59" s="809"/>
      <c r="F59" s="809"/>
      <c r="G59" s="809"/>
      <c r="H59" s="809"/>
      <c r="I59" s="809"/>
      <c r="J59" s="809"/>
      <c r="K59" s="809"/>
      <c r="L59" s="809"/>
      <c r="M59" s="809"/>
      <c r="R59" s="243"/>
      <c r="S59" s="243"/>
      <c r="T59" s="243"/>
      <c r="U59" s="243"/>
    </row>
    <row r="60" spans="1:36" s="139" customFormat="1" ht="15.75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</row>
    <row r="61" spans="1:36" s="138" customFormat="1" ht="15.75" customHeight="1">
      <c r="A61" s="734" t="s">
        <v>193</v>
      </c>
      <c r="B61" s="727">
        <v>1</v>
      </c>
      <c r="C61" s="728"/>
      <c r="D61" s="727">
        <v>2</v>
      </c>
      <c r="E61" s="728"/>
      <c r="F61" s="727">
        <v>3</v>
      </c>
      <c r="G61" s="728"/>
      <c r="H61" s="736">
        <v>4</v>
      </c>
      <c r="I61" s="737"/>
      <c r="J61" s="736">
        <v>5</v>
      </c>
      <c r="K61" s="737"/>
      <c r="L61" s="736">
        <v>6</v>
      </c>
      <c r="M61" s="737"/>
      <c r="N61" s="736">
        <v>7</v>
      </c>
      <c r="O61" s="737"/>
      <c r="P61" s="736">
        <v>8</v>
      </c>
      <c r="Q61" s="737"/>
      <c r="R61" s="243"/>
      <c r="S61" s="243"/>
      <c r="T61" s="243"/>
      <c r="U61" s="243"/>
    </row>
    <row r="62" spans="1:36" s="138" customFormat="1" ht="15.75" customHeight="1">
      <c r="A62" s="735"/>
      <c r="B62" s="729" t="s">
        <v>538</v>
      </c>
      <c r="C62" s="730"/>
      <c r="D62" s="729" t="s">
        <v>215</v>
      </c>
      <c r="E62" s="730"/>
      <c r="F62" s="729" t="s">
        <v>168</v>
      </c>
      <c r="G62" s="730"/>
      <c r="H62" s="731" t="s">
        <v>477</v>
      </c>
      <c r="I62" s="732"/>
      <c r="J62" s="731" t="s">
        <v>191</v>
      </c>
      <c r="K62" s="732"/>
      <c r="L62" s="731" t="s">
        <v>169</v>
      </c>
      <c r="M62" s="732"/>
      <c r="N62" s="731" t="s">
        <v>192</v>
      </c>
      <c r="O62" s="732"/>
      <c r="P62" s="807" t="s">
        <v>220</v>
      </c>
      <c r="Q62" s="808"/>
      <c r="R62" s="243"/>
      <c r="S62" s="243"/>
      <c r="T62" s="243"/>
      <c r="U62" s="243"/>
    </row>
    <row r="63" spans="1:36" s="138" customFormat="1" ht="15.75" customHeight="1">
      <c r="B63" s="244"/>
      <c r="C63" s="245"/>
      <c r="R63" s="243"/>
      <c r="S63" s="243"/>
      <c r="T63" s="243"/>
      <c r="U63" s="243"/>
    </row>
    <row r="64" spans="1:36" s="247" customFormat="1" ht="15.75" customHeight="1">
      <c r="A64" s="736" t="s">
        <v>193</v>
      </c>
      <c r="B64" s="737"/>
      <c r="C64" s="246" t="s">
        <v>47</v>
      </c>
      <c r="D64" s="800" t="s">
        <v>12</v>
      </c>
      <c r="E64" s="658"/>
      <c r="F64" s="790"/>
      <c r="G64" s="801" t="s">
        <v>53</v>
      </c>
      <c r="H64" s="802"/>
      <c r="I64" s="803"/>
      <c r="J64" s="246" t="s">
        <v>54</v>
      </c>
      <c r="K64" s="246" t="s">
        <v>55</v>
      </c>
      <c r="L64" s="246" t="s">
        <v>56</v>
      </c>
      <c r="M64" s="246" t="s">
        <v>11</v>
      </c>
      <c r="N64" s="246" t="s">
        <v>340</v>
      </c>
      <c r="O64" s="804" t="s">
        <v>51</v>
      </c>
      <c r="P64" s="805"/>
    </row>
    <row r="65" spans="1:75" s="138" customFormat="1" ht="50.15" customHeight="1">
      <c r="A65" s="791">
        <v>1</v>
      </c>
      <c r="B65" s="794" t="s">
        <v>539</v>
      </c>
      <c r="C65" s="248">
        <v>1</v>
      </c>
      <c r="D65" s="249" t="s">
        <v>378</v>
      </c>
      <c r="E65" s="250"/>
      <c r="F65" s="250"/>
      <c r="G65" s="428" t="s">
        <v>375</v>
      </c>
      <c r="H65" s="318"/>
      <c r="I65" s="319"/>
      <c r="J65" s="248">
        <v>152.75</v>
      </c>
      <c r="K65" s="254">
        <v>1.5528259441380822E-2</v>
      </c>
      <c r="L65" s="248">
        <v>15.600000000000001</v>
      </c>
      <c r="M65" s="340">
        <f>L65*J65</f>
        <v>2382.9</v>
      </c>
      <c r="N65" s="255"/>
      <c r="O65" s="720" t="s">
        <v>700</v>
      </c>
      <c r="P65" s="721"/>
      <c r="R65" s="243"/>
      <c r="S65" s="273"/>
      <c r="T65" s="273"/>
      <c r="U65" s="243"/>
    </row>
    <row r="66" spans="1:75" s="138" customFormat="1" ht="50.15" customHeight="1">
      <c r="A66" s="792"/>
      <c r="B66" s="795"/>
      <c r="C66" s="248">
        <v>2</v>
      </c>
      <c r="D66" s="249" t="s">
        <v>497</v>
      </c>
      <c r="E66" s="250"/>
      <c r="F66" s="250"/>
      <c r="G66" s="393" t="s">
        <v>500</v>
      </c>
      <c r="H66" s="318"/>
      <c r="I66" s="319"/>
      <c r="J66" s="248">
        <v>181.60999999999999</v>
      </c>
      <c r="K66" s="254">
        <v>2.255817464254135E-2</v>
      </c>
      <c r="L66" s="248">
        <v>10.459999999999999</v>
      </c>
      <c r="M66" s="340">
        <f t="shared" ref="M66:M69" si="6">L66*J66</f>
        <v>1899.6405999999997</v>
      </c>
      <c r="N66" s="255"/>
      <c r="O66" s="720" t="s">
        <v>731</v>
      </c>
      <c r="P66" s="721"/>
      <c r="R66" s="243"/>
      <c r="S66" s="213"/>
      <c r="T66" s="21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  <c r="BF66" s="243"/>
      <c r="BG66" s="243"/>
      <c r="BH66" s="243"/>
      <c r="BI66" s="243"/>
      <c r="BJ66" s="243"/>
      <c r="BK66" s="243"/>
      <c r="BL66" s="243"/>
      <c r="BM66" s="243"/>
      <c r="BN66" s="243"/>
      <c r="BO66" s="243"/>
      <c r="BP66" s="243"/>
      <c r="BQ66" s="243"/>
      <c r="BR66" s="243"/>
      <c r="BS66" s="243"/>
      <c r="BT66" s="243"/>
      <c r="BU66" s="243"/>
      <c r="BV66" s="243"/>
      <c r="BW66" s="243"/>
    </row>
    <row r="67" spans="1:75" s="138" customFormat="1" ht="50.15" customHeight="1">
      <c r="A67" s="792"/>
      <c r="B67" s="795"/>
      <c r="C67" s="248">
        <v>3</v>
      </c>
      <c r="D67" s="249" t="s">
        <v>493</v>
      </c>
      <c r="E67" s="250"/>
      <c r="F67" s="250"/>
      <c r="G67" s="393" t="s">
        <v>672</v>
      </c>
      <c r="H67" s="318"/>
      <c r="I67" s="319"/>
      <c r="J67" s="248">
        <v>94.570000000000007</v>
      </c>
      <c r="K67" s="254">
        <v>9.4810948924950404E-3</v>
      </c>
      <c r="L67" s="248">
        <v>17.440000000000001</v>
      </c>
      <c r="M67" s="340">
        <f t="shared" si="6"/>
        <v>1649.3008000000002</v>
      </c>
      <c r="N67" s="255"/>
      <c r="O67" s="806" t="s">
        <v>733</v>
      </c>
      <c r="P67" s="739"/>
      <c r="R67" s="243"/>
      <c r="S67" s="273"/>
      <c r="T67" s="27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  <c r="BF67" s="243"/>
      <c r="BG67" s="243"/>
      <c r="BH67" s="243"/>
      <c r="BI67" s="243"/>
      <c r="BJ67" s="243"/>
      <c r="BK67" s="243"/>
      <c r="BL67" s="243"/>
      <c r="BM67" s="243"/>
      <c r="BN67" s="243"/>
      <c r="BO67" s="243"/>
      <c r="BP67" s="243"/>
      <c r="BQ67" s="243"/>
      <c r="BR67" s="243"/>
      <c r="BS67" s="243"/>
      <c r="BT67" s="243"/>
      <c r="BU67" s="243"/>
      <c r="BV67" s="243"/>
      <c r="BW67" s="243"/>
    </row>
    <row r="68" spans="1:75" s="138" customFormat="1" ht="50.15" customHeight="1">
      <c r="A68" s="792"/>
      <c r="B68" s="795"/>
      <c r="C68" s="248">
        <v>4</v>
      </c>
      <c r="D68" s="249" t="s">
        <v>366</v>
      </c>
      <c r="E68" s="250"/>
      <c r="F68" s="250"/>
      <c r="G68" s="428" t="s">
        <v>373</v>
      </c>
      <c r="H68" s="318"/>
      <c r="I68" s="319"/>
      <c r="J68" s="248">
        <v>183.65000000000003</v>
      </c>
      <c r="K68" s="254">
        <v>2.4632236974163398E-2</v>
      </c>
      <c r="L68" s="248">
        <v>8.5900000000000016</v>
      </c>
      <c r="M68" s="340">
        <f t="shared" si="6"/>
        <v>1577.5535000000007</v>
      </c>
      <c r="N68" s="255"/>
      <c r="O68" s="806" t="s">
        <v>641</v>
      </c>
      <c r="P68" s="739"/>
      <c r="R68" s="243"/>
      <c r="S68" s="213"/>
      <c r="T68" s="21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43"/>
      <c r="AZ68" s="243"/>
      <c r="BA68" s="243"/>
      <c r="BB68" s="243"/>
      <c r="BC68" s="243"/>
      <c r="BD68" s="243"/>
      <c r="BE68" s="243"/>
      <c r="BF68" s="243"/>
      <c r="BG68" s="243"/>
      <c r="BH68" s="243"/>
      <c r="BI68" s="243"/>
      <c r="BJ68" s="243"/>
      <c r="BK68" s="243"/>
      <c r="BL68" s="243"/>
      <c r="BM68" s="243"/>
      <c r="BN68" s="243"/>
      <c r="BO68" s="243"/>
      <c r="BP68" s="243"/>
      <c r="BQ68" s="243"/>
      <c r="BR68" s="243"/>
      <c r="BS68" s="243"/>
      <c r="BT68" s="243"/>
      <c r="BU68" s="243"/>
      <c r="BV68" s="243"/>
      <c r="BW68" s="243"/>
    </row>
    <row r="69" spans="1:75" s="138" customFormat="1" ht="50.15" customHeight="1" thickBot="1">
      <c r="A69" s="792"/>
      <c r="B69" s="795"/>
      <c r="C69" s="248">
        <v>5</v>
      </c>
      <c r="D69" s="256" t="s">
        <v>366</v>
      </c>
      <c r="E69" s="257"/>
      <c r="F69" s="257"/>
      <c r="G69" s="393" t="s">
        <v>374</v>
      </c>
      <c r="H69" s="318"/>
      <c r="I69" s="319"/>
      <c r="J69" s="259">
        <v>253.92000000000002</v>
      </c>
      <c r="K69" s="260">
        <v>1.8709837753399374E-2</v>
      </c>
      <c r="L69" s="259">
        <v>5.2700000000000005</v>
      </c>
      <c r="M69" s="341">
        <f t="shared" si="6"/>
        <v>1338.1584000000003</v>
      </c>
      <c r="N69" s="255"/>
      <c r="O69" s="806" t="s">
        <v>638</v>
      </c>
      <c r="P69" s="739"/>
      <c r="R69" s="243"/>
      <c r="S69" s="273"/>
      <c r="T69" s="27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43"/>
      <c r="AZ69" s="243"/>
      <c r="BA69" s="243"/>
      <c r="BB69" s="243"/>
      <c r="BC69" s="243"/>
      <c r="BD69" s="243"/>
      <c r="BE69" s="243"/>
      <c r="BF69" s="243"/>
      <c r="BG69" s="243"/>
      <c r="BH69" s="243"/>
      <c r="BI69" s="243"/>
      <c r="BJ69" s="243"/>
      <c r="BK69" s="243"/>
      <c r="BL69" s="243"/>
      <c r="BM69" s="243"/>
      <c r="BN69" s="243"/>
      <c r="BO69" s="243"/>
      <c r="BP69" s="243"/>
      <c r="BQ69" s="243"/>
      <c r="BR69" s="243"/>
      <c r="BS69" s="243"/>
      <c r="BT69" s="243"/>
      <c r="BU69" s="243"/>
      <c r="BV69" s="243"/>
      <c r="BW69" s="243"/>
    </row>
    <row r="70" spans="1:75" s="138" customFormat="1" ht="15.75" customHeight="1" thickTop="1">
      <c r="A70" s="793"/>
      <c r="B70" s="796"/>
      <c r="C70" s="660"/>
      <c r="D70" s="661"/>
      <c r="E70" s="661"/>
      <c r="F70" s="661"/>
      <c r="G70" s="661"/>
      <c r="H70" s="661"/>
      <c r="I70" s="799"/>
      <c r="J70" s="261" t="s">
        <v>58</v>
      </c>
      <c r="K70" s="215">
        <f>M70/'生產管理報表 7-1 (週)'!$B$42</f>
        <v>0.11063025948605872</v>
      </c>
      <c r="L70" s="261" t="s">
        <v>59</v>
      </c>
      <c r="M70" s="342">
        <f>SUM(M65:M69)</f>
        <v>8847.5533000000014</v>
      </c>
      <c r="N70" s="754"/>
      <c r="O70" s="755"/>
      <c r="P70" s="756"/>
      <c r="R70" s="243"/>
      <c r="S70" s="213"/>
      <c r="T70" s="21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  <c r="BF70" s="243"/>
      <c r="BG70" s="243"/>
      <c r="BH70" s="243"/>
      <c r="BI70" s="243"/>
      <c r="BJ70" s="243"/>
      <c r="BK70" s="243"/>
      <c r="BL70" s="243"/>
      <c r="BM70" s="243"/>
      <c r="BN70" s="243"/>
      <c r="BO70" s="243"/>
      <c r="BP70" s="243"/>
      <c r="BQ70" s="243"/>
      <c r="BR70" s="243"/>
      <c r="BS70" s="243"/>
      <c r="BT70" s="243"/>
      <c r="BU70" s="243"/>
      <c r="BV70" s="243"/>
      <c r="BW70" s="243"/>
    </row>
    <row r="71" spans="1:75" s="138" customFormat="1" ht="15.75" customHeight="1">
      <c r="B71" s="244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63"/>
      <c r="O71" s="263"/>
      <c r="P71" s="263"/>
      <c r="R71" s="243"/>
      <c r="S71" s="273"/>
      <c r="T71" s="27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  <c r="BF71" s="243"/>
      <c r="BG71" s="243"/>
      <c r="BH71" s="243"/>
      <c r="BI71" s="243"/>
      <c r="BJ71" s="243"/>
      <c r="BK71" s="243"/>
      <c r="BL71" s="243"/>
      <c r="BM71" s="243"/>
      <c r="BN71" s="243"/>
      <c r="BO71" s="243"/>
      <c r="BP71" s="243"/>
      <c r="BQ71" s="243"/>
      <c r="BR71" s="243"/>
      <c r="BS71" s="243"/>
      <c r="BT71" s="243"/>
      <c r="BU71" s="243"/>
      <c r="BV71" s="243"/>
      <c r="BW71" s="243"/>
    </row>
    <row r="72" spans="1:75" s="138" customFormat="1" ht="15.75" customHeight="1">
      <c r="A72" s="736" t="s">
        <v>193</v>
      </c>
      <c r="B72" s="737"/>
      <c r="C72" s="264" t="s">
        <v>47</v>
      </c>
      <c r="D72" s="657" t="s">
        <v>12</v>
      </c>
      <c r="E72" s="658"/>
      <c r="F72" s="659"/>
      <c r="G72" s="657" t="s">
        <v>53</v>
      </c>
      <c r="H72" s="658"/>
      <c r="I72" s="659"/>
      <c r="J72" s="266" t="s">
        <v>54</v>
      </c>
      <c r="K72" s="266" t="s">
        <v>55</v>
      </c>
      <c r="L72" s="266" t="s">
        <v>56</v>
      </c>
      <c r="M72" s="266" t="s">
        <v>11</v>
      </c>
      <c r="N72" s="267" t="s">
        <v>340</v>
      </c>
      <c r="O72" s="745" t="s">
        <v>51</v>
      </c>
      <c r="P72" s="746"/>
      <c r="R72" s="243"/>
      <c r="S72" s="213"/>
      <c r="T72" s="21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</row>
    <row r="73" spans="1:75" s="138" customFormat="1" ht="20.149999999999999" customHeight="1">
      <c r="A73" s="791">
        <v>2</v>
      </c>
      <c r="B73" s="794" t="s">
        <v>216</v>
      </c>
      <c r="C73" s="268">
        <v>1</v>
      </c>
      <c r="D73" s="249"/>
      <c r="E73" s="250"/>
      <c r="F73" s="251"/>
      <c r="G73" s="249"/>
      <c r="H73" s="250"/>
      <c r="I73" s="251"/>
      <c r="J73" s="269"/>
      <c r="K73" s="270"/>
      <c r="L73" s="269"/>
      <c r="M73" s="271">
        <f t="shared" ref="M73:M77" si="7">L73*J73</f>
        <v>0</v>
      </c>
      <c r="N73" s="272"/>
      <c r="O73" s="747"/>
      <c r="P73" s="748"/>
      <c r="R73" s="243"/>
      <c r="S73" s="273"/>
      <c r="T73" s="27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</row>
    <row r="74" spans="1:75" s="138" customFormat="1" ht="20.149999999999999" customHeight="1">
      <c r="A74" s="792"/>
      <c r="B74" s="795"/>
      <c r="C74" s="268">
        <v>2</v>
      </c>
      <c r="D74" s="249"/>
      <c r="E74" s="250"/>
      <c r="F74" s="251"/>
      <c r="G74" s="249"/>
      <c r="H74" s="250"/>
      <c r="I74" s="251"/>
      <c r="J74" s="269"/>
      <c r="K74" s="270"/>
      <c r="L74" s="269"/>
      <c r="M74" s="271">
        <f t="shared" si="7"/>
        <v>0</v>
      </c>
      <c r="N74" s="272"/>
      <c r="O74" s="747"/>
      <c r="P74" s="748"/>
      <c r="R74" s="243"/>
      <c r="S74" s="213"/>
      <c r="T74" s="21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</row>
    <row r="75" spans="1:75" s="138" customFormat="1" ht="20.149999999999999" customHeight="1">
      <c r="A75" s="792"/>
      <c r="B75" s="795"/>
      <c r="C75" s="268">
        <v>3</v>
      </c>
      <c r="D75" s="249"/>
      <c r="E75" s="250"/>
      <c r="F75" s="251"/>
      <c r="G75" s="249"/>
      <c r="H75" s="250"/>
      <c r="I75" s="280"/>
      <c r="J75" s="269"/>
      <c r="K75" s="270"/>
      <c r="L75" s="269"/>
      <c r="M75" s="271">
        <f t="shared" si="7"/>
        <v>0</v>
      </c>
      <c r="N75" s="272"/>
      <c r="O75" s="747"/>
      <c r="P75" s="748"/>
      <c r="R75" s="243"/>
      <c r="S75" s="273"/>
      <c r="T75" s="27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</row>
    <row r="76" spans="1:75" s="138" customFormat="1" ht="20.149999999999999" customHeight="1">
      <c r="A76" s="792"/>
      <c r="B76" s="795"/>
      <c r="C76" s="268">
        <v>4</v>
      </c>
      <c r="D76" s="249"/>
      <c r="E76" s="250"/>
      <c r="F76" s="251"/>
      <c r="G76" s="249"/>
      <c r="H76" s="250"/>
      <c r="I76" s="251"/>
      <c r="J76" s="269"/>
      <c r="K76" s="270"/>
      <c r="L76" s="269"/>
      <c r="M76" s="271">
        <f t="shared" si="7"/>
        <v>0</v>
      </c>
      <c r="N76" s="272"/>
      <c r="O76" s="747"/>
      <c r="P76" s="748"/>
      <c r="R76" s="243"/>
      <c r="S76" s="213"/>
      <c r="T76" s="21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</row>
    <row r="77" spans="1:75" s="138" customFormat="1" ht="20.149999999999999" customHeight="1" thickBot="1">
      <c r="A77" s="792"/>
      <c r="B77" s="795"/>
      <c r="C77" s="274">
        <v>5</v>
      </c>
      <c r="D77" s="256"/>
      <c r="E77" s="257"/>
      <c r="F77" s="258"/>
      <c r="G77" s="249"/>
      <c r="H77" s="250"/>
      <c r="I77" s="251"/>
      <c r="J77" s="275"/>
      <c r="K77" s="276"/>
      <c r="L77" s="275"/>
      <c r="M77" s="277">
        <f t="shared" si="7"/>
        <v>0</v>
      </c>
      <c r="N77" s="278"/>
      <c r="O77" s="747"/>
      <c r="P77" s="748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</row>
    <row r="78" spans="1:75" s="138" customFormat="1" ht="15.75" customHeight="1" thickTop="1">
      <c r="A78" s="793"/>
      <c r="B78" s="796"/>
      <c r="C78" s="660"/>
      <c r="D78" s="661"/>
      <c r="E78" s="661"/>
      <c r="F78" s="661"/>
      <c r="G78" s="661"/>
      <c r="H78" s="661"/>
      <c r="I78" s="799"/>
      <c r="J78" s="261" t="s">
        <v>58</v>
      </c>
      <c r="K78" s="215">
        <f>M78/'生產管理報表 7-1 (週)'!$B$42</f>
        <v>0</v>
      </c>
      <c r="L78" s="261" t="s">
        <v>59</v>
      </c>
      <c r="M78" s="262">
        <f>SUM(M73:M77)</f>
        <v>0</v>
      </c>
      <c r="N78" s="749"/>
      <c r="O78" s="750"/>
      <c r="P78" s="751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</row>
    <row r="79" spans="1:75" s="138" customFormat="1" ht="15.75" customHeight="1">
      <c r="B79" s="244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79"/>
      <c r="O79" s="279"/>
      <c r="P79" s="279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</row>
    <row r="80" spans="1:75" s="138" customFormat="1" ht="15.75" customHeight="1">
      <c r="A80" s="736" t="s">
        <v>193</v>
      </c>
      <c r="B80" s="737"/>
      <c r="C80" s="264" t="s">
        <v>47</v>
      </c>
      <c r="D80" s="657" t="s">
        <v>12</v>
      </c>
      <c r="E80" s="658"/>
      <c r="F80" s="659"/>
      <c r="G80" s="657" t="s">
        <v>53</v>
      </c>
      <c r="H80" s="658"/>
      <c r="I80" s="790"/>
      <c r="J80" s="265" t="s">
        <v>54</v>
      </c>
      <c r="K80" s="266" t="s">
        <v>55</v>
      </c>
      <c r="L80" s="266" t="s">
        <v>56</v>
      </c>
      <c r="M80" s="266" t="s">
        <v>11</v>
      </c>
      <c r="N80" s="267" t="s">
        <v>340</v>
      </c>
      <c r="O80" s="743" t="s">
        <v>51</v>
      </c>
      <c r="P80" s="744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</row>
    <row r="81" spans="1:36" s="138" customFormat="1" ht="50.15" customHeight="1">
      <c r="A81" s="791">
        <v>3</v>
      </c>
      <c r="B81" s="794" t="s">
        <v>459</v>
      </c>
      <c r="C81" s="268">
        <v>1</v>
      </c>
      <c r="D81" s="249" t="s">
        <v>444</v>
      </c>
      <c r="E81" s="250"/>
      <c r="F81" s="251"/>
      <c r="G81" s="319" t="s">
        <v>461</v>
      </c>
      <c r="H81" s="318"/>
      <c r="I81" s="319"/>
      <c r="J81" s="269">
        <v>122.81999999999996</v>
      </c>
      <c r="K81" s="270">
        <v>2.6936812447283884E-2</v>
      </c>
      <c r="L81" s="269">
        <v>15.01</v>
      </c>
      <c r="M81" s="343">
        <f t="shared" ref="M81:M85" si="8">L81*J81</f>
        <v>1843.5281999999995</v>
      </c>
      <c r="N81" s="282"/>
      <c r="O81" s="797" t="s">
        <v>644</v>
      </c>
      <c r="P81" s="798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</row>
    <row r="82" spans="1:36" s="138" customFormat="1" ht="20.149999999999999" customHeight="1">
      <c r="A82" s="792"/>
      <c r="B82" s="795"/>
      <c r="C82" s="268">
        <v>2</v>
      </c>
      <c r="D82" s="249"/>
      <c r="E82" s="250"/>
      <c r="F82" s="251"/>
      <c r="G82" s="428"/>
      <c r="H82" s="318"/>
      <c r="I82" s="319"/>
      <c r="J82" s="269"/>
      <c r="K82" s="270"/>
      <c r="L82" s="269"/>
      <c r="M82" s="343">
        <f t="shared" si="8"/>
        <v>0</v>
      </c>
      <c r="N82" s="282"/>
      <c r="O82" s="738"/>
      <c r="P82" s="739"/>
      <c r="R82" s="243"/>
      <c r="S82" s="243"/>
      <c r="T82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</row>
    <row r="83" spans="1:36" s="138" customFormat="1" ht="20.149999999999999" customHeight="1">
      <c r="A83" s="792"/>
      <c r="B83" s="795"/>
      <c r="C83" s="268">
        <v>3</v>
      </c>
      <c r="D83" s="249"/>
      <c r="E83" s="250"/>
      <c r="F83" s="251"/>
      <c r="G83" s="428"/>
      <c r="H83" s="318"/>
      <c r="I83" s="319"/>
      <c r="J83" s="269"/>
      <c r="K83" s="270"/>
      <c r="L83" s="269"/>
      <c r="M83" s="343">
        <f t="shared" si="8"/>
        <v>0</v>
      </c>
      <c r="N83" s="282"/>
      <c r="O83" s="738"/>
      <c r="P83" s="739"/>
      <c r="R83" s="243"/>
      <c r="S83" s="243"/>
      <c r="T8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</row>
    <row r="84" spans="1:36" s="138" customFormat="1" ht="20.149999999999999" customHeight="1">
      <c r="A84" s="792"/>
      <c r="B84" s="795"/>
      <c r="C84" s="268">
        <v>4</v>
      </c>
      <c r="D84" s="249"/>
      <c r="E84" s="250"/>
      <c r="F84" s="251"/>
      <c r="G84" s="326"/>
      <c r="H84" s="327"/>
      <c r="I84" s="328"/>
      <c r="J84" s="281"/>
      <c r="K84" s="270"/>
      <c r="L84" s="269"/>
      <c r="M84" s="343">
        <f t="shared" si="8"/>
        <v>0</v>
      </c>
      <c r="N84" s="282"/>
      <c r="O84" s="738"/>
      <c r="P84" s="739"/>
      <c r="R84" s="243"/>
      <c r="S84" s="243"/>
      <c r="T84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</row>
    <row r="85" spans="1:36" s="138" customFormat="1" ht="20.149999999999999" customHeight="1" thickBot="1">
      <c r="A85" s="792"/>
      <c r="B85" s="795"/>
      <c r="C85" s="274">
        <v>5</v>
      </c>
      <c r="D85" s="256"/>
      <c r="E85" s="257"/>
      <c r="F85" s="258"/>
      <c r="G85" s="425"/>
      <c r="H85" s="426"/>
      <c r="I85" s="427"/>
      <c r="J85" s="284"/>
      <c r="K85" s="276"/>
      <c r="L85" s="285"/>
      <c r="M85" s="343">
        <f t="shared" si="8"/>
        <v>0</v>
      </c>
      <c r="N85" s="282"/>
      <c r="O85" s="738"/>
      <c r="P85" s="739"/>
      <c r="R85" s="243"/>
      <c r="S85" s="243"/>
      <c r="T85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</row>
    <row r="86" spans="1:36" s="138" customFormat="1" ht="15.75" customHeight="1" thickTop="1">
      <c r="A86" s="793"/>
      <c r="B86" s="796"/>
      <c r="C86" s="660"/>
      <c r="D86" s="661"/>
      <c r="E86" s="661"/>
      <c r="F86" s="661"/>
      <c r="G86" s="661"/>
      <c r="H86" s="661"/>
      <c r="I86" s="799"/>
      <c r="J86" s="286" t="s">
        <v>58</v>
      </c>
      <c r="K86" s="215">
        <f>M86/'生產管理報表 7-1 (週)'!$B$42</f>
        <v>2.3051571007305111E-2</v>
      </c>
      <c r="L86" s="286" t="s">
        <v>59</v>
      </c>
      <c r="M86" s="344">
        <f>SUM(M81:M85)</f>
        <v>1843.5281999999995</v>
      </c>
      <c r="N86" s="740"/>
      <c r="O86" s="741"/>
      <c r="P86" s="742"/>
      <c r="R86" s="243"/>
      <c r="S86" s="243"/>
      <c r="T86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</row>
  </sheetData>
  <mergeCells count="172"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1:M32"/>
    <mergeCell ref="A33:A34"/>
    <mergeCell ref="B33:C33"/>
    <mergeCell ref="D33:E33"/>
    <mergeCell ref="F33:G33"/>
    <mergeCell ref="H33:I33"/>
    <mergeCell ref="J33:K33"/>
    <mergeCell ref="L33:M33"/>
    <mergeCell ref="A24:B24"/>
    <mergeCell ref="D24:F24"/>
    <mergeCell ref="G24:I24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1" manualBreakCount="1"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39"/>
  <sheetViews>
    <sheetView view="pageBreakPreview" topLeftCell="A7" zoomScale="91" zoomScaleNormal="60" zoomScaleSheetLayoutView="91" workbookViewId="0">
      <selection activeCell="N17" sqref="N17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0" s="99" customFormat="1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20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</row>
    <row r="3" spans="1:20" s="138" customFormat="1" ht="15.75" customHeight="1">
      <c r="A3" s="643" t="s">
        <v>725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01" t="s">
        <v>12</v>
      </c>
      <c r="E8" s="702"/>
      <c r="F8" s="703"/>
      <c r="G8" s="704" t="s">
        <v>53</v>
      </c>
      <c r="H8" s="705"/>
      <c r="I8" s="706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213"/>
      <c r="S8" s="273"/>
    </row>
    <row r="9" spans="1:20" s="311" customFormat="1" ht="20.149999999999999" customHeight="1">
      <c r="A9" s="683">
        <v>4</v>
      </c>
      <c r="B9" s="717" t="s">
        <v>477</v>
      </c>
      <c r="C9" s="291">
        <v>1</v>
      </c>
      <c r="D9" s="249"/>
      <c r="E9" s="250"/>
      <c r="F9" s="251"/>
      <c r="G9" s="378"/>
      <c r="H9" s="318"/>
      <c r="I9" s="319"/>
      <c r="J9" s="329"/>
      <c r="K9" s="330"/>
      <c r="L9" s="331"/>
      <c r="M9" s="340">
        <f t="shared" ref="M9:M13" si="0">L9*J9</f>
        <v>0</v>
      </c>
      <c r="N9" s="331"/>
      <c r="O9" s="720"/>
      <c r="P9" s="721"/>
      <c r="R9" s="332"/>
      <c r="S9" s="273"/>
    </row>
    <row r="10" spans="1:20" s="311" customFormat="1" ht="20.149999999999999" customHeight="1">
      <c r="A10" s="684"/>
      <c r="B10" s="718"/>
      <c r="C10" s="291">
        <v>2</v>
      </c>
      <c r="D10" s="249"/>
      <c r="E10" s="250"/>
      <c r="F10" s="251"/>
      <c r="G10" s="378"/>
      <c r="H10" s="318"/>
      <c r="I10" s="319"/>
      <c r="J10" s="329"/>
      <c r="K10" s="330"/>
      <c r="L10" s="331"/>
      <c r="M10" s="340">
        <f t="shared" si="0"/>
        <v>0</v>
      </c>
      <c r="N10" s="331"/>
      <c r="O10" s="713"/>
      <c r="P10" s="714"/>
      <c r="R10" s="332"/>
      <c r="S10" s="213"/>
      <c r="T10" s="357"/>
    </row>
    <row r="11" spans="1:20" s="311" customFormat="1" ht="20.149999999999999" customHeight="1">
      <c r="A11" s="684"/>
      <c r="B11" s="718"/>
      <c r="C11" s="291">
        <v>3</v>
      </c>
      <c r="D11" s="249"/>
      <c r="E11" s="250"/>
      <c r="F11" s="251"/>
      <c r="G11" s="378"/>
      <c r="H11" s="318"/>
      <c r="I11" s="319"/>
      <c r="J11" s="329"/>
      <c r="K11" s="330"/>
      <c r="L11" s="331"/>
      <c r="M11" s="340">
        <f t="shared" si="0"/>
        <v>0</v>
      </c>
      <c r="N11" s="331"/>
      <c r="O11" s="720"/>
      <c r="P11" s="721"/>
      <c r="R11" s="332"/>
      <c r="S11" s="273"/>
    </row>
    <row r="12" spans="1:20" s="311" customFormat="1" ht="20.149999999999999" customHeight="1">
      <c r="A12" s="684"/>
      <c r="B12" s="718"/>
      <c r="C12" s="291">
        <v>4</v>
      </c>
      <c r="D12" s="249"/>
      <c r="E12" s="250"/>
      <c r="F12" s="251"/>
      <c r="G12" s="378"/>
      <c r="H12" s="318"/>
      <c r="I12" s="319"/>
      <c r="J12" s="329"/>
      <c r="K12" s="330"/>
      <c r="L12" s="331"/>
      <c r="M12" s="340">
        <f t="shared" si="0"/>
        <v>0</v>
      </c>
      <c r="N12" s="331"/>
      <c r="O12" s="720"/>
      <c r="P12" s="721"/>
      <c r="R12" s="332"/>
      <c r="S12" s="213"/>
      <c r="T12" s="357"/>
    </row>
    <row r="13" spans="1:20" s="311" customFormat="1" ht="20.149999999999999" customHeight="1" thickBot="1">
      <c r="A13" s="684"/>
      <c r="B13" s="718"/>
      <c r="C13" s="291">
        <v>5</v>
      </c>
      <c r="D13" s="249"/>
      <c r="E13" s="257"/>
      <c r="F13" s="258"/>
      <c r="G13" s="378"/>
      <c r="H13" s="318"/>
      <c r="I13" s="319"/>
      <c r="J13" s="333"/>
      <c r="K13" s="445"/>
      <c r="L13" s="335"/>
      <c r="M13" s="340">
        <f t="shared" si="0"/>
        <v>0</v>
      </c>
      <c r="N13" s="331"/>
      <c r="O13" s="720"/>
      <c r="P13" s="721"/>
      <c r="R13" s="336"/>
      <c r="S13" s="273"/>
      <c r="T13" s="301"/>
    </row>
    <row r="14" spans="1:20" s="301" customFormat="1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08" t="s">
        <v>58</v>
      </c>
      <c r="K14" s="446">
        <f>M14/'生產管理報表 7-1 (週)'!$B$42</f>
        <v>0</v>
      </c>
      <c r="L14" s="309" t="s">
        <v>59</v>
      </c>
      <c r="M14" s="228">
        <f>SUM(M9:M13)</f>
        <v>0</v>
      </c>
      <c r="N14" s="670"/>
      <c r="O14" s="671"/>
      <c r="P14" s="672"/>
      <c r="R14" s="213"/>
      <c r="S14" s="213"/>
    </row>
    <row r="15" spans="1:20" s="301" customFormat="1" ht="15.75" customHeight="1" thickTop="1">
      <c r="B15" s="310"/>
      <c r="C15" s="311"/>
      <c r="M15" s="347"/>
      <c r="S15" s="273"/>
    </row>
    <row r="16" spans="1:20" s="301" customFormat="1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288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213"/>
      <c r="T16" s="357"/>
    </row>
    <row r="17" spans="1:20" s="311" customFormat="1" ht="40" customHeight="1">
      <c r="A17" s="683">
        <v>5</v>
      </c>
      <c r="B17" s="696" t="s">
        <v>218</v>
      </c>
      <c r="C17" s="291">
        <v>1</v>
      </c>
      <c r="D17" s="249" t="s">
        <v>365</v>
      </c>
      <c r="E17" s="250"/>
      <c r="F17" s="251"/>
      <c r="G17" s="319" t="s">
        <v>376</v>
      </c>
      <c r="H17" s="318"/>
      <c r="I17" s="319"/>
      <c r="J17" s="329">
        <v>96</v>
      </c>
      <c r="K17" s="330">
        <v>2.336919973100202E-2</v>
      </c>
      <c r="L17" s="331">
        <v>12.510000000000002</v>
      </c>
      <c r="M17" s="340">
        <f>L17*J17</f>
        <v>1200.96</v>
      </c>
      <c r="N17" s="331"/>
      <c r="O17" s="713" t="s">
        <v>728</v>
      </c>
      <c r="P17" s="714"/>
      <c r="S17" s="273"/>
    </row>
    <row r="18" spans="1:20" s="311" customFormat="1" ht="20.149999999999999" customHeight="1">
      <c r="A18" s="684"/>
      <c r="B18" s="697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13"/>
      <c r="P18" s="714"/>
      <c r="S18" s="213"/>
      <c r="T18" s="358"/>
    </row>
    <row r="19" spans="1:20" s="301" customFormat="1" ht="20.149999999999999" customHeight="1">
      <c r="A19" s="684"/>
      <c r="B19" s="697"/>
      <c r="C19" s="291">
        <v>3</v>
      </c>
      <c r="D19" s="249"/>
      <c r="E19" s="293"/>
      <c r="F19" s="294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709"/>
      <c r="P19" s="710"/>
    </row>
    <row r="20" spans="1:20" s="301" customFormat="1" ht="20.149999999999999" customHeight="1">
      <c r="A20" s="684"/>
      <c r="B20" s="697"/>
      <c r="C20" s="291">
        <v>4</v>
      </c>
      <c r="D20" s="249"/>
      <c r="E20" s="293"/>
      <c r="F20" s="294"/>
      <c r="G20" s="378"/>
      <c r="H20" s="318"/>
      <c r="I20" s="319"/>
      <c r="J20" s="329"/>
      <c r="K20" s="330"/>
      <c r="L20" s="331"/>
      <c r="M20" s="340">
        <f t="shared" si="1"/>
        <v>0</v>
      </c>
      <c r="N20" s="300"/>
      <c r="O20" s="713"/>
      <c r="P20" s="714"/>
    </row>
    <row r="21" spans="1:20" s="301" customFormat="1" ht="20.149999999999999" customHeight="1" thickBot="1">
      <c r="A21" s="684"/>
      <c r="B21" s="697"/>
      <c r="C21" s="291">
        <v>5</v>
      </c>
      <c r="D21" s="256"/>
      <c r="E21" s="303"/>
      <c r="F21" s="304"/>
      <c r="G21" s="378"/>
      <c r="H21" s="318"/>
      <c r="I21" s="319"/>
      <c r="J21" s="333"/>
      <c r="K21" s="334"/>
      <c r="L21" s="335"/>
      <c r="M21" s="340">
        <f t="shared" si="1"/>
        <v>0</v>
      </c>
      <c r="N21" s="300"/>
      <c r="O21" s="810"/>
      <c r="P21" s="811"/>
      <c r="R21" s="214"/>
    </row>
    <row r="22" spans="1:20" s="301" customFormat="1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08" t="s">
        <v>58</v>
      </c>
      <c r="K22" s="446">
        <f>M22/'生產管理報表 7-1 (週)'!$B$42</f>
        <v>1.501686533297031E-2</v>
      </c>
      <c r="L22" s="309" t="s">
        <v>59</v>
      </c>
      <c r="M22" s="352">
        <f>SUM(M17:M21)</f>
        <v>1200.96</v>
      </c>
      <c r="N22" s="670"/>
      <c r="O22" s="671"/>
      <c r="P22" s="672"/>
      <c r="R22" s="213"/>
    </row>
    <row r="23" spans="1:20" s="301" customFormat="1" ht="15.75" customHeight="1" thickTop="1">
      <c r="B23" s="310"/>
      <c r="C23" s="311"/>
      <c r="M23" s="347"/>
      <c r="R23" s="213"/>
    </row>
    <row r="24" spans="1:20" s="301" customFormat="1" ht="15.7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213"/>
      <c r="S24" s="2"/>
    </row>
    <row r="25" spans="1:20" s="301" customFormat="1" ht="20.149999999999999" customHeight="1">
      <c r="A25" s="683">
        <v>6</v>
      </c>
      <c r="B25" s="696" t="s">
        <v>219</v>
      </c>
      <c r="C25" s="291">
        <v>1</v>
      </c>
      <c r="D25" s="359"/>
      <c r="E25" s="293"/>
      <c r="F25" s="294"/>
      <c r="G25" s="378"/>
      <c r="H25" s="318"/>
      <c r="I25" s="319"/>
      <c r="J25" s="329"/>
      <c r="K25" s="330"/>
      <c r="L25" s="331"/>
      <c r="M25" s="340">
        <f t="shared" ref="M25" si="2">L25*J25</f>
        <v>0</v>
      </c>
      <c r="N25" s="300"/>
      <c r="O25" s="709"/>
      <c r="P25" s="710"/>
      <c r="S25" s="2"/>
    </row>
    <row r="26" spans="1:20" s="301" customFormat="1" ht="20.149999999999999" customHeight="1">
      <c r="A26" s="684"/>
      <c r="B26" s="697"/>
      <c r="C26" s="291">
        <v>2</v>
      </c>
      <c r="D26" s="292"/>
      <c r="E26" s="293"/>
      <c r="F26" s="294"/>
      <c r="G26" s="295"/>
      <c r="H26" s="296"/>
      <c r="I26" s="297"/>
      <c r="J26" s="298"/>
      <c r="K26" s="299"/>
      <c r="L26" s="300"/>
      <c r="M26" s="349">
        <v>0</v>
      </c>
      <c r="N26" s="300"/>
      <c r="O26" s="312"/>
      <c r="P26" s="313"/>
      <c r="S26" s="2"/>
    </row>
    <row r="27" spans="1:20" s="301" customFormat="1" ht="20.149999999999999" customHeight="1">
      <c r="A27" s="684"/>
      <c r="B27" s="697"/>
      <c r="C27" s="291">
        <v>3</v>
      </c>
      <c r="D27" s="292"/>
      <c r="E27" s="293"/>
      <c r="F27" s="294"/>
      <c r="G27" s="295"/>
      <c r="H27" s="296"/>
      <c r="I27" s="297"/>
      <c r="J27" s="298"/>
      <c r="K27" s="299"/>
      <c r="L27" s="300"/>
      <c r="M27" s="349">
        <v>0</v>
      </c>
      <c r="N27" s="300"/>
      <c r="O27" s="312"/>
      <c r="P27" s="313"/>
      <c r="S27" s="2"/>
    </row>
    <row r="28" spans="1:20" s="301" customFormat="1" ht="20.149999999999999" customHeight="1">
      <c r="A28" s="684"/>
      <c r="B28" s="697"/>
      <c r="C28" s="291">
        <v>4</v>
      </c>
      <c r="D28" s="292"/>
      <c r="E28" s="293"/>
      <c r="F28" s="294"/>
      <c r="G28" s="295"/>
      <c r="H28" s="296"/>
      <c r="I28" s="297"/>
      <c r="J28" s="298"/>
      <c r="K28" s="299"/>
      <c r="L28" s="300"/>
      <c r="M28" s="349">
        <v>0</v>
      </c>
      <c r="N28" s="300"/>
      <c r="O28" s="312"/>
      <c r="P28" s="313"/>
      <c r="R28" s="2"/>
      <c r="S28" s="2"/>
    </row>
    <row r="29" spans="1:20" s="301" customFormat="1" ht="20.149999999999999" customHeight="1" thickBot="1">
      <c r="A29" s="684"/>
      <c r="B29" s="697"/>
      <c r="C29" s="291">
        <v>5</v>
      </c>
      <c r="D29" s="302"/>
      <c r="E29" s="303"/>
      <c r="F29" s="304"/>
      <c r="G29" s="295"/>
      <c r="H29" s="296"/>
      <c r="I29" s="297"/>
      <c r="J29" s="305"/>
      <c r="K29" s="306"/>
      <c r="L29" s="307"/>
      <c r="M29" s="349">
        <v>0</v>
      </c>
      <c r="N29" s="300"/>
      <c r="O29" s="314"/>
      <c r="P29" s="315"/>
      <c r="R29" s="2"/>
      <c r="S29" s="2"/>
    </row>
    <row r="30" spans="1:20" s="301" customFormat="1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08" t="s">
        <v>58</v>
      </c>
      <c r="K30" s="446">
        <f>M30/'生產管理報表 7-1 (週)'!$B$42</f>
        <v>0</v>
      </c>
      <c r="L30" s="309" t="s">
        <v>59</v>
      </c>
      <c r="M30" s="352">
        <f>SUM(M25:M29)</f>
        <v>0</v>
      </c>
      <c r="N30" s="670"/>
      <c r="O30" s="671"/>
      <c r="P30" s="672"/>
      <c r="R30" s="2"/>
      <c r="S30" s="2"/>
    </row>
    <row r="31" spans="1:20" s="301" customFormat="1" ht="15.75" customHeight="1" thickTop="1">
      <c r="B31" s="310"/>
      <c r="C31" s="311"/>
      <c r="M31" s="347"/>
      <c r="R31" s="2"/>
      <c r="S31" s="2"/>
    </row>
    <row r="32" spans="1:20" s="301" customFormat="1" ht="15.75" customHeight="1">
      <c r="A32" s="673" t="s">
        <v>193</v>
      </c>
      <c r="B32" s="674"/>
      <c r="C32" s="316" t="s">
        <v>47</v>
      </c>
      <c r="D32" s="675" t="s">
        <v>12</v>
      </c>
      <c r="E32" s="676"/>
      <c r="F32" s="677"/>
      <c r="G32" s="678" t="s">
        <v>53</v>
      </c>
      <c r="H32" s="679"/>
      <c r="I32" s="680"/>
      <c r="J32" s="317" t="s">
        <v>54</v>
      </c>
      <c r="K32" s="288" t="s">
        <v>55</v>
      </c>
      <c r="L32" s="288" t="s">
        <v>56</v>
      </c>
      <c r="M32" s="348" t="s">
        <v>11</v>
      </c>
      <c r="N32" s="289" t="s">
        <v>340</v>
      </c>
      <c r="O32" s="681" t="s">
        <v>51</v>
      </c>
      <c r="P32" s="682"/>
      <c r="R32" s="2"/>
      <c r="S32" s="2"/>
    </row>
    <row r="33" spans="1:20" s="301" customFormat="1" ht="20.149999999999999" customHeight="1">
      <c r="A33" s="683">
        <v>7</v>
      </c>
      <c r="B33" s="686" t="s">
        <v>256</v>
      </c>
      <c r="C33" s="291">
        <v>1</v>
      </c>
      <c r="D33" s="292"/>
      <c r="E33" s="293"/>
      <c r="F33" s="294"/>
      <c r="G33" s="295"/>
      <c r="H33" s="296"/>
      <c r="I33" s="297"/>
      <c r="J33" s="298"/>
      <c r="K33" s="299"/>
      <c r="L33" s="300"/>
      <c r="M33" s="349">
        <f t="shared" ref="M33:M35" si="3">L33*J33</f>
        <v>0</v>
      </c>
      <c r="N33" s="300"/>
      <c r="O33" s="689"/>
      <c r="P33" s="690"/>
      <c r="R33" s="2"/>
      <c r="S33" s="2"/>
    </row>
    <row r="34" spans="1:20" s="301" customFormat="1" ht="20.149999999999999" customHeight="1">
      <c r="A34" s="684"/>
      <c r="B34" s="687"/>
      <c r="C34" s="291">
        <v>2</v>
      </c>
      <c r="D34" s="292"/>
      <c r="E34" s="293"/>
      <c r="F34" s="294"/>
      <c r="G34" s="295"/>
      <c r="H34" s="296"/>
      <c r="I34" s="297"/>
      <c r="J34" s="298"/>
      <c r="K34" s="299"/>
      <c r="L34" s="300"/>
      <c r="M34" s="349">
        <f t="shared" si="3"/>
        <v>0</v>
      </c>
      <c r="N34" s="300"/>
      <c r="O34" s="691"/>
      <c r="P34" s="692"/>
      <c r="R34" s="2"/>
      <c r="S34" s="2"/>
    </row>
    <row r="35" spans="1:20" s="301" customFormat="1" ht="20.149999999999999" customHeight="1">
      <c r="A35" s="684"/>
      <c r="B35" s="687"/>
      <c r="C35" s="291">
        <v>3</v>
      </c>
      <c r="D35" s="292"/>
      <c r="E35" s="293"/>
      <c r="F35" s="294"/>
      <c r="G35" s="295"/>
      <c r="H35" s="296"/>
      <c r="I35" s="297"/>
      <c r="J35" s="298"/>
      <c r="K35" s="299"/>
      <c r="L35" s="300"/>
      <c r="M35" s="349">
        <f t="shared" si="3"/>
        <v>0</v>
      </c>
      <c r="N35" s="300"/>
      <c r="O35" s="691"/>
      <c r="P35" s="692"/>
      <c r="R35" s="2"/>
      <c r="S35" s="2"/>
    </row>
    <row r="36" spans="1:20" s="301" customFormat="1" ht="20.149999999999999" customHeight="1">
      <c r="A36" s="684"/>
      <c r="B36" s="687"/>
      <c r="C36" s="291">
        <v>4</v>
      </c>
      <c r="D36" s="292"/>
      <c r="E36" s="293"/>
      <c r="F36" s="294"/>
      <c r="G36" s="295"/>
      <c r="H36" s="296"/>
      <c r="I36" s="297"/>
      <c r="J36" s="298"/>
      <c r="K36" s="299"/>
      <c r="L36" s="300"/>
      <c r="M36" s="350">
        <v>0</v>
      </c>
      <c r="N36" s="300"/>
      <c r="O36" s="312"/>
      <c r="P36" s="313"/>
      <c r="R36" s="2"/>
      <c r="S36" s="2"/>
    </row>
    <row r="37" spans="1:20" s="301" customFormat="1" ht="20.149999999999999" customHeight="1" thickBot="1">
      <c r="A37" s="684"/>
      <c r="B37" s="687"/>
      <c r="C37" s="291">
        <v>5</v>
      </c>
      <c r="D37" s="302"/>
      <c r="E37" s="303"/>
      <c r="F37" s="304"/>
      <c r="G37" s="295"/>
      <c r="H37" s="296"/>
      <c r="I37" s="297"/>
      <c r="J37" s="305"/>
      <c r="K37" s="306"/>
      <c r="L37" s="307"/>
      <c r="M37" s="351">
        <v>0</v>
      </c>
      <c r="N37" s="300"/>
      <c r="O37" s="314"/>
      <c r="P37" s="315"/>
      <c r="R37" s="2"/>
      <c r="S37" s="2"/>
    </row>
    <row r="38" spans="1:20" s="301" customFormat="1" ht="15.75" customHeight="1" thickTop="1" thickBot="1">
      <c r="A38" s="685"/>
      <c r="B38" s="688"/>
      <c r="C38" s="693"/>
      <c r="D38" s="694"/>
      <c r="E38" s="694"/>
      <c r="F38" s="694"/>
      <c r="G38" s="694"/>
      <c r="H38" s="694"/>
      <c r="I38" s="695"/>
      <c r="J38" s="308" t="s">
        <v>58</v>
      </c>
      <c r="K38" s="446">
        <f>M38/'生產管理報表 7-1 (週)'!$B$42</f>
        <v>0</v>
      </c>
      <c r="L38" s="309" t="s">
        <v>59</v>
      </c>
      <c r="M38" s="352">
        <f>SUM(M33:M37)</f>
        <v>0</v>
      </c>
      <c r="N38" s="670"/>
      <c r="O38" s="671"/>
      <c r="P38" s="672"/>
      <c r="R38" s="2"/>
      <c r="S38" s="2"/>
      <c r="T38" s="2"/>
    </row>
    <row r="39" spans="1:20" ht="15.75" customHeight="1" thickTop="1"/>
  </sheetData>
  <mergeCells count="63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4296875" defaultRowHeight="15.75" customHeight="1"/>
  <cols>
    <col min="1" max="1" width="5.453125" style="138" customWidth="1"/>
    <col min="2" max="2" width="11.453125" style="244" customWidth="1"/>
    <col min="3" max="3" width="4" style="245" customWidth="1"/>
    <col min="4" max="15" width="9.54296875" style="138" customWidth="1"/>
    <col min="16" max="16" width="47.81640625" style="138" customWidth="1"/>
    <col min="17" max="17" width="9.54296875" style="138" customWidth="1"/>
    <col min="18" max="21" width="12.54296875" style="243"/>
    <col min="22" max="22" width="24.453125" style="138" bestFit="1" customWidth="1"/>
    <col min="23" max="23" width="19.453125" style="138" bestFit="1" customWidth="1"/>
    <col min="24" max="24" width="23" style="138" bestFit="1" customWidth="1"/>
    <col min="25" max="25" width="11.7265625" style="138" bestFit="1" customWidth="1"/>
    <col min="26" max="26" width="15.81640625" style="138" bestFit="1" customWidth="1"/>
    <col min="27" max="27" width="23.54296875" style="138" bestFit="1" customWidth="1"/>
    <col min="28" max="28" width="23" style="138" bestFit="1" customWidth="1"/>
    <col min="29" max="29" width="11.7265625" style="138" bestFit="1" customWidth="1"/>
    <col min="30" max="30" width="20.54296875" style="138" bestFit="1" customWidth="1"/>
    <col min="31" max="31" width="15" style="138" bestFit="1" customWidth="1"/>
    <col min="32" max="32" width="23" style="138" bestFit="1" customWidth="1"/>
    <col min="33" max="33" width="11.7265625" style="138" bestFit="1" customWidth="1"/>
    <col min="34" max="34" width="15.81640625" style="138" bestFit="1" customWidth="1"/>
    <col min="35" max="35" width="15" style="138" bestFit="1" customWidth="1"/>
    <col min="36" max="36" width="23" style="138" bestFit="1" customWidth="1"/>
    <col min="37" max="37" width="15" style="138" bestFit="1" customWidth="1"/>
    <col min="38" max="38" width="23" style="138" bestFit="1" customWidth="1"/>
    <col min="39" max="39" width="11.7265625" style="138" bestFit="1" customWidth="1"/>
    <col min="40" max="40" width="13.81640625" style="138" bestFit="1" customWidth="1"/>
    <col min="41" max="41" width="27.81640625" style="138" bestFit="1" customWidth="1"/>
    <col min="42" max="42" width="23" style="138" bestFit="1" customWidth="1"/>
    <col min="43" max="43" width="8" style="138" bestFit="1" customWidth="1"/>
    <col min="44" max="44" width="30.7265625" style="138" bestFit="1" customWidth="1"/>
    <col min="45" max="45" width="25.7265625" style="138" bestFit="1" customWidth="1"/>
    <col min="46" max="46" width="23" style="138" bestFit="1" customWidth="1"/>
    <col min="47" max="47" width="15" style="138" bestFit="1" customWidth="1"/>
    <col min="48" max="48" width="23" style="138" bestFit="1" customWidth="1"/>
    <col min="49" max="49" width="11.7265625" style="138" bestFit="1" customWidth="1"/>
    <col min="50" max="50" width="20.1796875" style="138" bestFit="1" customWidth="1"/>
    <col min="51" max="51" width="23.54296875" style="138" bestFit="1" customWidth="1"/>
    <col min="52" max="52" width="23" style="138" bestFit="1" customWidth="1"/>
    <col min="53" max="53" width="11.7265625" style="138" bestFit="1" customWidth="1"/>
    <col min="54" max="54" width="21.453125" style="138" bestFit="1" customWidth="1"/>
    <col min="55" max="55" width="15" style="138" bestFit="1" customWidth="1"/>
    <col min="56" max="56" width="23" style="138" bestFit="1" customWidth="1"/>
    <col min="57" max="57" width="11.7265625" style="138" bestFit="1" customWidth="1"/>
    <col min="58" max="58" width="13.81640625" style="138" bestFit="1" customWidth="1"/>
    <col min="59" max="59" width="22" style="138" bestFit="1" customWidth="1"/>
    <col min="60" max="60" width="23" style="138" bestFit="1" customWidth="1"/>
    <col min="61" max="61" width="15" style="138" bestFit="1" customWidth="1"/>
    <col min="62" max="62" width="23" style="138" bestFit="1" customWidth="1"/>
    <col min="63" max="63" width="11.7265625" style="138" bestFit="1" customWidth="1"/>
    <col min="64" max="64" width="24.7265625" style="138" bestFit="1" customWidth="1"/>
    <col min="65" max="65" width="18.7265625" style="138" bestFit="1" customWidth="1"/>
    <col min="66" max="66" width="23" style="138" bestFit="1" customWidth="1"/>
    <col min="67" max="67" width="15" style="138" bestFit="1" customWidth="1"/>
    <col min="68" max="68" width="23" style="138" bestFit="1" customWidth="1"/>
    <col min="69" max="69" width="15" style="138" bestFit="1" customWidth="1"/>
    <col min="70" max="70" width="23" style="138" bestFit="1" customWidth="1"/>
    <col min="71" max="71" width="15" style="138" bestFit="1" customWidth="1"/>
    <col min="72" max="72" width="21.81640625" style="138" bestFit="1" customWidth="1"/>
    <col min="73" max="73" width="10.54296875" style="138" bestFit="1" customWidth="1"/>
    <col min="74" max="74" width="21.453125" style="138" bestFit="1" customWidth="1"/>
    <col min="75" max="75" width="5.453125" style="138" bestFit="1" customWidth="1"/>
    <col min="76" max="16384" width="12.54296875" style="138"/>
  </cols>
  <sheetData>
    <row r="1" spans="1:75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</row>
    <row r="2" spans="1:75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</row>
    <row r="3" spans="1:75" ht="15.75" customHeight="1">
      <c r="A3" s="643" t="s">
        <v>480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75" s="139" customFormat="1" ht="15.75" customHeight="1">
      <c r="A4" s="643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</row>
    <row r="5" spans="1:75" ht="15.75" customHeight="1">
      <c r="A5" s="645" t="s">
        <v>193</v>
      </c>
      <c r="B5" s="668">
        <v>1</v>
      </c>
      <c r="C5" s="668"/>
      <c r="D5" s="668">
        <v>2</v>
      </c>
      <c r="E5" s="668"/>
      <c r="F5" s="668">
        <v>3</v>
      </c>
      <c r="G5" s="668"/>
      <c r="H5" s="648">
        <v>4</v>
      </c>
      <c r="I5" s="648"/>
      <c r="J5" s="648">
        <v>5</v>
      </c>
      <c r="K5" s="648"/>
      <c r="L5" s="648">
        <v>6</v>
      </c>
      <c r="M5" s="648"/>
      <c r="N5" s="648">
        <v>7</v>
      </c>
      <c r="O5" s="648"/>
      <c r="P5" s="648">
        <v>8</v>
      </c>
      <c r="Q5" s="648"/>
    </row>
    <row r="6" spans="1:75" ht="15.75" customHeight="1">
      <c r="A6" s="645"/>
      <c r="B6" s="669" t="s">
        <v>538</v>
      </c>
      <c r="C6" s="669"/>
      <c r="D6" s="669" t="s">
        <v>215</v>
      </c>
      <c r="E6" s="669"/>
      <c r="F6" s="669" t="s">
        <v>168</v>
      </c>
      <c r="G6" s="669"/>
      <c r="H6" s="645" t="s">
        <v>477</v>
      </c>
      <c r="I6" s="645"/>
      <c r="J6" s="645" t="s">
        <v>191</v>
      </c>
      <c r="K6" s="645"/>
      <c r="L6" s="645" t="s">
        <v>169</v>
      </c>
      <c r="M6" s="645"/>
      <c r="N6" s="645" t="s">
        <v>192</v>
      </c>
      <c r="O6" s="645"/>
      <c r="P6" s="757" t="s">
        <v>220</v>
      </c>
      <c r="Q6" s="757"/>
    </row>
    <row r="8" spans="1:75" s="247" customFormat="1" ht="15.75" customHeight="1">
      <c r="A8" s="736" t="s">
        <v>193</v>
      </c>
      <c r="B8" s="737"/>
      <c r="C8" s="246" t="s">
        <v>47</v>
      </c>
      <c r="D8" s="800" t="s">
        <v>12</v>
      </c>
      <c r="E8" s="658"/>
      <c r="F8" s="790"/>
      <c r="G8" s="801" t="s">
        <v>53</v>
      </c>
      <c r="H8" s="802"/>
      <c r="I8" s="803"/>
      <c r="J8" s="246" t="s">
        <v>54</v>
      </c>
      <c r="K8" s="246" t="s">
        <v>55</v>
      </c>
      <c r="L8" s="246" t="s">
        <v>56</v>
      </c>
      <c r="M8" s="246" t="s">
        <v>11</v>
      </c>
      <c r="N8" s="246" t="s">
        <v>340</v>
      </c>
      <c r="O8" s="804" t="s">
        <v>51</v>
      </c>
      <c r="P8" s="805"/>
    </row>
    <row r="9" spans="1:75" ht="20.149999999999999" customHeight="1">
      <c r="A9" s="791">
        <v>1</v>
      </c>
      <c r="B9" s="794" t="s">
        <v>539</v>
      </c>
      <c r="C9" s="248">
        <v>1</v>
      </c>
      <c r="D9" s="249"/>
      <c r="E9" s="250"/>
      <c r="F9" s="250"/>
      <c r="G9" s="249"/>
      <c r="H9" s="250"/>
      <c r="I9" s="251"/>
      <c r="J9" s="248"/>
      <c r="K9" s="254"/>
      <c r="L9" s="248"/>
      <c r="M9" s="340">
        <f>L9*J9</f>
        <v>0</v>
      </c>
      <c r="N9" s="255"/>
      <c r="O9" s="720"/>
      <c r="P9" s="721"/>
      <c r="S9" s="362"/>
      <c r="T9" s="361"/>
    </row>
    <row r="10" spans="1:75" ht="20.149999999999999" customHeight="1">
      <c r="A10" s="792"/>
      <c r="B10" s="795"/>
      <c r="C10" s="248">
        <v>2</v>
      </c>
      <c r="D10" s="249"/>
      <c r="E10" s="250"/>
      <c r="F10" s="251"/>
      <c r="G10" s="249"/>
      <c r="H10" s="250"/>
      <c r="I10" s="251"/>
      <c r="J10" s="248"/>
      <c r="K10" s="254"/>
      <c r="L10" s="248"/>
      <c r="M10" s="340">
        <f t="shared" ref="M10:M13" si="0">L10*J10</f>
        <v>0</v>
      </c>
      <c r="N10" s="255"/>
      <c r="O10" s="806"/>
      <c r="P10" s="739"/>
      <c r="S10" s="361"/>
      <c r="T10" s="361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43"/>
      <c r="BL10" s="243"/>
      <c r="BM10" s="243"/>
      <c r="BN10" s="243"/>
      <c r="BO10" s="243"/>
      <c r="BP10" s="243"/>
      <c r="BQ10" s="243"/>
      <c r="BR10" s="243"/>
      <c r="BS10" s="243"/>
      <c r="BT10" s="243"/>
      <c r="BU10" s="243"/>
      <c r="BV10" s="243"/>
      <c r="BW10" s="243"/>
    </row>
    <row r="11" spans="1:75" ht="20.149999999999999" customHeight="1">
      <c r="A11" s="792"/>
      <c r="B11" s="795"/>
      <c r="C11" s="248">
        <v>3</v>
      </c>
      <c r="D11" s="249"/>
      <c r="E11" s="250"/>
      <c r="F11" s="251"/>
      <c r="G11" s="249"/>
      <c r="H11" s="250"/>
      <c r="I11" s="251"/>
      <c r="J11" s="248"/>
      <c r="K11" s="254"/>
      <c r="L11" s="248"/>
      <c r="M11" s="340">
        <f t="shared" si="0"/>
        <v>0</v>
      </c>
      <c r="N11" s="255"/>
      <c r="O11" s="806"/>
      <c r="P11" s="739"/>
      <c r="S11" s="362"/>
      <c r="T11" s="361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243"/>
      <c r="BQ11" s="243"/>
      <c r="BR11" s="243"/>
      <c r="BS11" s="243"/>
      <c r="BT11" s="243"/>
      <c r="BU11" s="243"/>
      <c r="BV11" s="243"/>
      <c r="BW11" s="243"/>
    </row>
    <row r="12" spans="1:75" ht="20.149999999999999" customHeight="1">
      <c r="A12" s="792"/>
      <c r="B12" s="795"/>
      <c r="C12" s="248">
        <v>4</v>
      </c>
      <c r="D12" s="249"/>
      <c r="E12" s="250"/>
      <c r="F12" s="251"/>
      <c r="G12" s="249"/>
      <c r="H12" s="250"/>
      <c r="I12" s="251"/>
      <c r="J12" s="248"/>
      <c r="K12" s="254"/>
      <c r="L12" s="248"/>
      <c r="M12" s="340">
        <f t="shared" si="0"/>
        <v>0</v>
      </c>
      <c r="N12" s="255"/>
      <c r="O12" s="806"/>
      <c r="P12" s="739"/>
      <c r="S12" s="361"/>
      <c r="T12" s="361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3"/>
      <c r="AG12" s="243"/>
      <c r="AH12" s="243"/>
      <c r="AI12" s="243"/>
      <c r="AJ12" s="243"/>
      <c r="AK12" s="243"/>
      <c r="AL12" s="243"/>
      <c r="AM12" s="243"/>
      <c r="AN12" s="243"/>
      <c r="AO12" s="243"/>
      <c r="AP12" s="243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3"/>
      <c r="BR12" s="243"/>
      <c r="BS12" s="243"/>
      <c r="BT12" s="243"/>
      <c r="BU12" s="243"/>
      <c r="BV12" s="243"/>
      <c r="BW12" s="243"/>
    </row>
    <row r="13" spans="1:75" ht="20.149999999999999" customHeight="1" thickBot="1">
      <c r="A13" s="792"/>
      <c r="B13" s="795"/>
      <c r="C13" s="248">
        <v>5</v>
      </c>
      <c r="D13" s="256"/>
      <c r="E13" s="257"/>
      <c r="F13" s="258"/>
      <c r="G13" s="249"/>
      <c r="H13" s="250"/>
      <c r="I13" s="280"/>
      <c r="J13" s="259"/>
      <c r="K13" s="260"/>
      <c r="L13" s="259"/>
      <c r="M13" s="341">
        <f t="shared" si="0"/>
        <v>0</v>
      </c>
      <c r="N13" s="255"/>
      <c r="O13" s="806"/>
      <c r="P13" s="739"/>
      <c r="S13" s="362"/>
      <c r="T13" s="361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243"/>
      <c r="AG13" s="243"/>
      <c r="AH13" s="243"/>
      <c r="AI13" s="243"/>
      <c r="AJ13" s="243"/>
      <c r="AK13" s="243"/>
      <c r="AL13" s="243"/>
      <c r="AM13" s="243"/>
      <c r="AN13" s="243"/>
      <c r="AO13" s="243"/>
      <c r="AP13" s="243"/>
      <c r="AQ13" s="243"/>
      <c r="AR13" s="243"/>
      <c r="AS13" s="243"/>
      <c r="AT13" s="243"/>
      <c r="AU13" s="243"/>
      <c r="AV13" s="243"/>
      <c r="AW13" s="243"/>
      <c r="AX13" s="243"/>
      <c r="AY13" s="243"/>
      <c r="AZ13" s="243"/>
      <c r="BA13" s="243"/>
      <c r="BB13" s="243"/>
      <c r="BC13" s="243"/>
      <c r="BD13" s="243"/>
      <c r="BE13" s="243"/>
      <c r="BF13" s="243"/>
      <c r="BG13" s="243"/>
      <c r="BH13" s="243"/>
      <c r="BI13" s="243"/>
      <c r="BJ13" s="243"/>
      <c r="BK13" s="243"/>
      <c r="BL13" s="243"/>
      <c r="BM13" s="243"/>
      <c r="BN13" s="243"/>
      <c r="BO13" s="243"/>
      <c r="BP13" s="243"/>
      <c r="BQ13" s="243"/>
      <c r="BR13" s="243"/>
      <c r="BS13" s="243"/>
      <c r="BT13" s="243"/>
      <c r="BU13" s="243"/>
      <c r="BV13" s="243"/>
      <c r="BW13" s="243"/>
    </row>
    <row r="14" spans="1:75" ht="15.75" customHeight="1" thickTop="1" thickBot="1">
      <c r="A14" s="793"/>
      <c r="B14" s="796"/>
      <c r="C14" s="660"/>
      <c r="D14" s="661"/>
      <c r="E14" s="661"/>
      <c r="F14" s="661"/>
      <c r="G14" s="661"/>
      <c r="H14" s="661"/>
      <c r="I14" s="799"/>
      <c r="J14" s="367" t="s">
        <v>58</v>
      </c>
      <c r="K14" s="368">
        <f>M14/'生產管理報表 7-1 (週)'!$B$21</f>
        <v>0</v>
      </c>
      <c r="L14" s="367" t="s">
        <v>59</v>
      </c>
      <c r="M14" s="342">
        <f>SUM(M9:M13)</f>
        <v>0</v>
      </c>
      <c r="N14" s="754"/>
      <c r="O14" s="755"/>
      <c r="P14" s="756"/>
      <c r="S14" s="361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3"/>
      <c r="AR14" s="243"/>
      <c r="AS14" s="243"/>
      <c r="AT14" s="243"/>
      <c r="AU14" s="243"/>
      <c r="AV14" s="243"/>
      <c r="AW14" s="243"/>
      <c r="AX14" s="243"/>
      <c r="AY14" s="243"/>
      <c r="AZ14" s="243"/>
      <c r="BA14" s="243"/>
      <c r="BB14" s="243"/>
      <c r="BC14" s="243"/>
      <c r="BD14" s="243"/>
      <c r="BE14" s="243"/>
      <c r="BF14" s="243"/>
      <c r="BG14" s="243"/>
      <c r="BH14" s="243"/>
      <c r="BI14" s="243"/>
      <c r="BJ14" s="243"/>
      <c r="BK14" s="243"/>
      <c r="BL14" s="243"/>
      <c r="BM14" s="243"/>
      <c r="BN14" s="243"/>
      <c r="BO14" s="243"/>
      <c r="BP14" s="243"/>
      <c r="BQ14" s="243"/>
      <c r="BR14" s="243"/>
      <c r="BS14" s="243"/>
      <c r="BT14" s="243"/>
      <c r="BU14" s="243"/>
      <c r="BV14" s="243"/>
      <c r="BW14" s="243"/>
    </row>
    <row r="15" spans="1:75" ht="15.75" customHeight="1" thickTop="1"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63"/>
      <c r="O15" s="263"/>
      <c r="P15" s="263"/>
      <c r="S15" s="362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  <c r="AR15" s="243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243"/>
      <c r="BQ15" s="243"/>
      <c r="BR15" s="243"/>
      <c r="BS15" s="243"/>
      <c r="BT15" s="243"/>
      <c r="BU15" s="243"/>
      <c r="BV15" s="243"/>
      <c r="BW15" s="243"/>
    </row>
    <row r="16" spans="1:75" ht="15.75" customHeight="1">
      <c r="A16" s="736" t="s">
        <v>193</v>
      </c>
      <c r="B16" s="737"/>
      <c r="C16" s="264" t="s">
        <v>47</v>
      </c>
      <c r="D16" s="657" t="s">
        <v>12</v>
      </c>
      <c r="E16" s="658"/>
      <c r="F16" s="659"/>
      <c r="G16" s="657" t="s">
        <v>53</v>
      </c>
      <c r="H16" s="658"/>
      <c r="I16" s="659"/>
      <c r="J16" s="266" t="s">
        <v>54</v>
      </c>
      <c r="K16" s="266" t="s">
        <v>55</v>
      </c>
      <c r="L16" s="266" t="s">
        <v>56</v>
      </c>
      <c r="M16" s="266" t="s">
        <v>11</v>
      </c>
      <c r="N16" s="267" t="s">
        <v>340</v>
      </c>
      <c r="O16" s="745" t="s">
        <v>51</v>
      </c>
      <c r="P16" s="746"/>
      <c r="S16" s="361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</row>
    <row r="17" spans="1:36" ht="20.149999999999999" customHeight="1">
      <c r="A17" s="791">
        <v>2</v>
      </c>
      <c r="B17" s="794" t="s">
        <v>216</v>
      </c>
      <c r="C17" s="268">
        <v>1</v>
      </c>
      <c r="D17" s="249"/>
      <c r="E17" s="250"/>
      <c r="F17" s="251"/>
      <c r="G17" s="249"/>
      <c r="H17" s="250"/>
      <c r="I17" s="251"/>
      <c r="J17" s="269"/>
      <c r="K17" s="270"/>
      <c r="L17" s="269"/>
      <c r="M17" s="271">
        <f t="shared" ref="M17:M21" si="1">L17*J17</f>
        <v>0</v>
      </c>
      <c r="N17" s="272"/>
      <c r="O17" s="747"/>
      <c r="P17" s="748"/>
      <c r="S17" s="362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</row>
    <row r="18" spans="1:36" ht="20.149999999999999" customHeight="1">
      <c r="A18" s="792"/>
      <c r="B18" s="795"/>
      <c r="C18" s="268">
        <v>2</v>
      </c>
      <c r="D18" s="249"/>
      <c r="E18" s="250"/>
      <c r="F18" s="251"/>
      <c r="G18" s="249"/>
      <c r="H18" s="250"/>
      <c r="I18" s="251"/>
      <c r="J18" s="269"/>
      <c r="K18" s="270"/>
      <c r="L18" s="269"/>
      <c r="M18" s="271">
        <f t="shared" si="1"/>
        <v>0</v>
      </c>
      <c r="N18" s="272"/>
      <c r="O18" s="747"/>
      <c r="P18" s="748"/>
      <c r="S18" s="361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</row>
    <row r="19" spans="1:36" ht="20.149999999999999" customHeight="1">
      <c r="A19" s="792"/>
      <c r="B19" s="795"/>
      <c r="C19" s="268">
        <v>3</v>
      </c>
      <c r="D19" s="249"/>
      <c r="E19" s="250"/>
      <c r="F19" s="251"/>
      <c r="G19" s="249"/>
      <c r="H19" s="250"/>
      <c r="I19" s="251"/>
      <c r="J19" s="269"/>
      <c r="K19" s="270"/>
      <c r="L19" s="269"/>
      <c r="M19" s="271">
        <f t="shared" si="1"/>
        <v>0</v>
      </c>
      <c r="N19" s="272"/>
      <c r="O19" s="747"/>
      <c r="P19" s="748"/>
      <c r="S19" s="362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</row>
    <row r="20" spans="1:36" ht="20.149999999999999" customHeight="1">
      <c r="A20" s="792"/>
      <c r="B20" s="795"/>
      <c r="C20" s="268">
        <v>4</v>
      </c>
      <c r="D20" s="249"/>
      <c r="E20" s="250"/>
      <c r="F20" s="251"/>
      <c r="G20" s="249"/>
      <c r="H20" s="250"/>
      <c r="I20" s="251"/>
      <c r="J20" s="269"/>
      <c r="K20" s="270"/>
      <c r="L20" s="269"/>
      <c r="M20" s="271">
        <f t="shared" si="1"/>
        <v>0</v>
      </c>
      <c r="N20" s="272"/>
      <c r="O20" s="747"/>
      <c r="P20" s="748"/>
      <c r="S20" s="361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</row>
    <row r="21" spans="1:36" ht="20.149999999999999" customHeight="1" thickBot="1">
      <c r="A21" s="792"/>
      <c r="B21" s="795"/>
      <c r="C21" s="274">
        <v>5</v>
      </c>
      <c r="D21" s="256"/>
      <c r="E21" s="257"/>
      <c r="F21" s="258"/>
      <c r="G21" s="256"/>
      <c r="H21" s="257"/>
      <c r="I21" s="258"/>
      <c r="J21" s="275"/>
      <c r="K21" s="276"/>
      <c r="L21" s="275"/>
      <c r="M21" s="277">
        <f t="shared" si="1"/>
        <v>0</v>
      </c>
      <c r="N21" s="278"/>
      <c r="O21" s="747"/>
      <c r="P21" s="748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</row>
    <row r="22" spans="1:36" ht="15.75" customHeight="1" thickTop="1" thickBot="1">
      <c r="A22" s="793"/>
      <c r="B22" s="796"/>
      <c r="C22" s="660"/>
      <c r="D22" s="661"/>
      <c r="E22" s="661"/>
      <c r="F22" s="661"/>
      <c r="G22" s="661"/>
      <c r="H22" s="661"/>
      <c r="I22" s="799"/>
      <c r="J22" s="367" t="s">
        <v>58</v>
      </c>
      <c r="K22" s="368">
        <f>M22/'生產管理報表 7-1 (週)'!$B$21</f>
        <v>0</v>
      </c>
      <c r="L22" s="367" t="s">
        <v>59</v>
      </c>
      <c r="M22" s="262">
        <f>SUM(M17:M21)</f>
        <v>0</v>
      </c>
      <c r="N22" s="749"/>
      <c r="O22" s="750"/>
      <c r="P22" s="751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</row>
    <row r="23" spans="1:36" ht="15.75" customHeight="1" thickTop="1"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79"/>
      <c r="O23" s="279"/>
      <c r="P23" s="279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</row>
    <row r="24" spans="1:36" ht="15.75" customHeight="1">
      <c r="A24" s="736" t="s">
        <v>193</v>
      </c>
      <c r="B24" s="737"/>
      <c r="C24" s="264" t="s">
        <v>47</v>
      </c>
      <c r="D24" s="657" t="s">
        <v>12</v>
      </c>
      <c r="E24" s="658"/>
      <c r="F24" s="659"/>
      <c r="G24" s="657" t="s">
        <v>53</v>
      </c>
      <c r="H24" s="658"/>
      <c r="I24" s="790"/>
      <c r="J24" s="265" t="s">
        <v>54</v>
      </c>
      <c r="K24" s="266" t="s">
        <v>55</v>
      </c>
      <c r="L24" s="266" t="s">
        <v>56</v>
      </c>
      <c r="M24" s="266" t="s">
        <v>11</v>
      </c>
      <c r="N24" s="267" t="s">
        <v>340</v>
      </c>
      <c r="O24" s="743" t="s">
        <v>51</v>
      </c>
      <c r="P24" s="744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</row>
    <row r="25" spans="1:36" ht="20.149999999999999" customHeight="1">
      <c r="A25" s="791">
        <v>3</v>
      </c>
      <c r="B25" s="794" t="s">
        <v>459</v>
      </c>
      <c r="C25" s="268">
        <v>1</v>
      </c>
      <c r="D25" s="249"/>
      <c r="E25" s="250"/>
      <c r="F25" s="251"/>
      <c r="G25" s="249"/>
      <c r="H25" s="250"/>
      <c r="I25" s="251"/>
      <c r="J25" s="269"/>
      <c r="K25" s="270"/>
      <c r="L25" s="269"/>
      <c r="M25" s="343">
        <f t="shared" ref="M25:M29" si="2">L25*J25</f>
        <v>0</v>
      </c>
      <c r="N25" s="282"/>
      <c r="O25" s="738"/>
      <c r="P25" s="739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</row>
    <row r="26" spans="1:36" ht="20.149999999999999" customHeight="1">
      <c r="A26" s="792"/>
      <c r="B26" s="795"/>
      <c r="C26" s="268">
        <v>2</v>
      </c>
      <c r="D26" s="249"/>
      <c r="E26" s="250"/>
      <c r="F26" s="251"/>
      <c r="G26" s="249"/>
      <c r="H26" s="250"/>
      <c r="I26" s="251"/>
      <c r="J26" s="269"/>
      <c r="K26" s="270"/>
      <c r="L26" s="269"/>
      <c r="M26" s="343">
        <f t="shared" si="2"/>
        <v>0</v>
      </c>
      <c r="N26" s="282"/>
      <c r="O26" s="738"/>
      <c r="P26" s="739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</row>
    <row r="27" spans="1:36" ht="20.149999999999999" customHeight="1">
      <c r="A27" s="792"/>
      <c r="B27" s="795"/>
      <c r="C27" s="268">
        <v>3</v>
      </c>
      <c r="D27" s="249"/>
      <c r="E27" s="250"/>
      <c r="F27" s="251"/>
      <c r="G27" s="249"/>
      <c r="H27" s="250"/>
      <c r="I27" s="251"/>
      <c r="J27" s="269"/>
      <c r="K27" s="270"/>
      <c r="L27" s="269"/>
      <c r="M27" s="343">
        <f t="shared" si="2"/>
        <v>0</v>
      </c>
      <c r="N27" s="282"/>
      <c r="O27" s="738"/>
      <c r="P27" s="739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</row>
    <row r="28" spans="1:36" ht="20.149999999999999" customHeight="1">
      <c r="A28" s="792"/>
      <c r="B28" s="795"/>
      <c r="C28" s="268">
        <v>4</v>
      </c>
      <c r="D28" s="249"/>
      <c r="E28" s="250"/>
      <c r="F28" s="251"/>
      <c r="G28" s="249"/>
      <c r="H28" s="250"/>
      <c r="I28" s="280"/>
      <c r="J28" s="281"/>
      <c r="K28" s="270"/>
      <c r="L28" s="269"/>
      <c r="M28" s="343">
        <f t="shared" si="2"/>
        <v>0</v>
      </c>
      <c r="N28" s="282"/>
      <c r="O28" s="738"/>
      <c r="P28" s="739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</row>
    <row r="29" spans="1:36" ht="20.149999999999999" customHeight="1" thickBot="1">
      <c r="A29" s="792"/>
      <c r="B29" s="795"/>
      <c r="C29" s="274">
        <v>5</v>
      </c>
      <c r="D29" s="256"/>
      <c r="E29" s="257"/>
      <c r="F29" s="258"/>
      <c r="G29" s="256"/>
      <c r="H29" s="257"/>
      <c r="I29" s="283"/>
      <c r="J29" s="284"/>
      <c r="K29" s="276"/>
      <c r="L29" s="285"/>
      <c r="M29" s="343">
        <f t="shared" si="2"/>
        <v>0</v>
      </c>
      <c r="N29" s="282"/>
      <c r="O29" s="738"/>
      <c r="P29" s="739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</row>
    <row r="30" spans="1:36" ht="15.75" customHeight="1" thickTop="1" thickBot="1">
      <c r="A30" s="793"/>
      <c r="B30" s="796"/>
      <c r="C30" s="660"/>
      <c r="D30" s="661"/>
      <c r="E30" s="661"/>
      <c r="F30" s="661"/>
      <c r="G30" s="661"/>
      <c r="H30" s="661"/>
      <c r="I30" s="799"/>
      <c r="J30" s="369" t="s">
        <v>58</v>
      </c>
      <c r="K30" s="368">
        <f>M30/'生產管理報表 7-1 (週)'!$B$21</f>
        <v>0</v>
      </c>
      <c r="L30" s="369" t="s">
        <v>59</v>
      </c>
      <c r="M30" s="344">
        <f>SUM(M25:M29)</f>
        <v>0</v>
      </c>
      <c r="N30" s="740"/>
      <c r="O30" s="741"/>
      <c r="P30" s="742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87"/>
  <sheetViews>
    <sheetView view="pageBreakPreview" topLeftCell="A62" zoomScale="91" zoomScaleNormal="60" zoomScaleSheetLayoutView="91" workbookViewId="0">
      <selection activeCell="K70" sqref="K70"/>
    </sheetView>
  </sheetViews>
  <sheetFormatPr defaultColWidth="12.54296875" defaultRowHeight="15.75" customHeight="1"/>
  <cols>
    <col min="1" max="1" width="5.453125" style="301" customWidth="1"/>
    <col min="2" max="2" width="11.453125" style="310" customWidth="1"/>
    <col min="3" max="3" width="4" style="311" customWidth="1"/>
    <col min="4" max="4" width="9.54296875" style="301" customWidth="1"/>
    <col min="5" max="5" width="10.26953125" style="301" customWidth="1"/>
    <col min="6" max="15" width="9.54296875" style="301" customWidth="1"/>
    <col min="16" max="16" width="35.453125" style="301" customWidth="1"/>
    <col min="17" max="16384" width="12.54296875" style="301"/>
  </cols>
  <sheetData>
    <row r="1" spans="1:20" s="138" customFormat="1" ht="15.75" customHeight="1">
      <c r="A1" s="642" t="s">
        <v>381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</row>
    <row r="2" spans="1:20" s="139" customFormat="1" ht="15.7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</row>
    <row r="3" spans="1:20" s="138" customFormat="1" ht="15.75" customHeight="1">
      <c r="A3" s="643" t="s">
        <v>625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</row>
    <row r="4" spans="1:20" s="139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20" s="138" customFormat="1" ht="15.75" customHeight="1">
      <c r="A5" s="734" t="s">
        <v>193</v>
      </c>
      <c r="B5" s="736">
        <v>1</v>
      </c>
      <c r="C5" s="737"/>
      <c r="D5" s="736">
        <v>2</v>
      </c>
      <c r="E5" s="737"/>
      <c r="F5" s="736">
        <v>3</v>
      </c>
      <c r="G5" s="737"/>
      <c r="H5" s="727">
        <v>4</v>
      </c>
      <c r="I5" s="728"/>
      <c r="J5" s="727">
        <v>5</v>
      </c>
      <c r="K5" s="728"/>
      <c r="L5" s="727">
        <v>6</v>
      </c>
      <c r="M5" s="728"/>
      <c r="N5" s="727">
        <v>7</v>
      </c>
      <c r="O5" s="728"/>
      <c r="P5" s="345">
        <v>8</v>
      </c>
    </row>
    <row r="6" spans="1:20" s="138" customFormat="1" ht="15.75" customHeight="1">
      <c r="A6" s="735"/>
      <c r="B6" s="731" t="s">
        <v>538</v>
      </c>
      <c r="C6" s="732"/>
      <c r="D6" s="731" t="s">
        <v>215</v>
      </c>
      <c r="E6" s="732"/>
      <c r="F6" s="731" t="s">
        <v>168</v>
      </c>
      <c r="G6" s="732"/>
      <c r="H6" s="729" t="s">
        <v>477</v>
      </c>
      <c r="I6" s="730"/>
      <c r="J6" s="729" t="s">
        <v>191</v>
      </c>
      <c r="K6" s="730"/>
      <c r="L6" s="729" t="s">
        <v>169</v>
      </c>
      <c r="M6" s="730"/>
      <c r="N6" s="729" t="s">
        <v>192</v>
      </c>
      <c r="O6" s="730"/>
      <c r="P6" s="346" t="s">
        <v>220</v>
      </c>
    </row>
    <row r="7" spans="1:20" s="138" customFormat="1" ht="15.75" customHeight="1">
      <c r="B7" s="244"/>
      <c r="C7" s="245"/>
    </row>
    <row r="8" spans="1:20" s="290" customFormat="1" ht="15.75" customHeight="1">
      <c r="A8" s="673" t="s">
        <v>193</v>
      </c>
      <c r="B8" s="674"/>
      <c r="C8" s="287" t="s">
        <v>47</v>
      </c>
      <c r="D8" s="701" t="s">
        <v>12</v>
      </c>
      <c r="E8" s="702"/>
      <c r="F8" s="703"/>
      <c r="G8" s="704" t="s">
        <v>53</v>
      </c>
      <c r="H8" s="705"/>
      <c r="I8" s="706"/>
      <c r="J8" s="288" t="s">
        <v>54</v>
      </c>
      <c r="K8" s="288" t="s">
        <v>55</v>
      </c>
      <c r="L8" s="288" t="s">
        <v>56</v>
      </c>
      <c r="M8" s="289" t="s">
        <v>11</v>
      </c>
      <c r="N8" s="289" t="s">
        <v>340</v>
      </c>
      <c r="O8" s="681" t="s">
        <v>51</v>
      </c>
      <c r="P8" s="682"/>
      <c r="R8" s="361"/>
      <c r="S8" s="362"/>
    </row>
    <row r="9" spans="1:20" s="311" customFormat="1" ht="51.75" customHeight="1">
      <c r="A9" s="683">
        <v>4</v>
      </c>
      <c r="B9" s="717" t="s">
        <v>477</v>
      </c>
      <c r="C9" s="291">
        <v>1</v>
      </c>
      <c r="D9" s="249" t="s">
        <v>563</v>
      </c>
      <c r="E9" s="250"/>
      <c r="F9" s="251"/>
      <c r="G9" s="319" t="s">
        <v>582</v>
      </c>
      <c r="H9" s="318"/>
      <c r="I9" s="319"/>
      <c r="J9" s="329">
        <v>327.16000000000003</v>
      </c>
      <c r="K9" s="330">
        <v>4.0592403070261758E-4</v>
      </c>
      <c r="L9" s="331">
        <v>21.819999999999865</v>
      </c>
      <c r="M9" s="340">
        <f t="shared" ref="M9:M13" si="0">L9*J9</f>
        <v>7138.6311999999562</v>
      </c>
      <c r="N9" s="331"/>
      <c r="O9" s="713" t="s">
        <v>653</v>
      </c>
      <c r="P9" s="714"/>
      <c r="R9" s="363"/>
      <c r="S9" s="362"/>
    </row>
    <row r="10" spans="1:20" s="311" customFormat="1" ht="55.5" customHeight="1">
      <c r="A10" s="684"/>
      <c r="B10" s="718"/>
      <c r="C10" s="291">
        <v>2</v>
      </c>
      <c r="D10" s="249" t="s">
        <v>349</v>
      </c>
      <c r="E10" s="250"/>
      <c r="F10" s="251"/>
      <c r="G10" s="319" t="s">
        <v>406</v>
      </c>
      <c r="H10" s="318"/>
      <c r="I10" s="319"/>
      <c r="J10" s="329">
        <v>127.84000000000002</v>
      </c>
      <c r="K10" s="330">
        <v>1.1355774769783718E-3</v>
      </c>
      <c r="L10" s="331">
        <v>46.220000000000148</v>
      </c>
      <c r="M10" s="340">
        <f t="shared" si="0"/>
        <v>5908.7648000000199</v>
      </c>
      <c r="N10" s="331"/>
      <c r="O10" s="722" t="s">
        <v>654</v>
      </c>
      <c r="P10" s="723"/>
      <c r="R10" s="363"/>
      <c r="S10" s="361"/>
      <c r="T10" s="357"/>
    </row>
    <row r="11" spans="1:20" s="311" customFormat="1" ht="51" customHeight="1">
      <c r="A11" s="684"/>
      <c r="B11" s="718"/>
      <c r="C11" s="291">
        <v>3</v>
      </c>
      <c r="D11" s="249" t="s">
        <v>506</v>
      </c>
      <c r="E11" s="250"/>
      <c r="F11" s="251"/>
      <c r="G11" s="319" t="s">
        <v>510</v>
      </c>
      <c r="H11" s="318"/>
      <c r="I11" s="319"/>
      <c r="J11" s="329">
        <v>421.40999999999997</v>
      </c>
      <c r="K11" s="330">
        <v>1.0775862068965517E-3</v>
      </c>
      <c r="L11" s="331">
        <v>12.519999999999966</v>
      </c>
      <c r="M11" s="340">
        <f t="shared" si="0"/>
        <v>5276.0531999999848</v>
      </c>
      <c r="N11" s="331"/>
      <c r="O11" s="722" t="s">
        <v>653</v>
      </c>
      <c r="P11" s="723"/>
      <c r="R11" s="363"/>
      <c r="S11" s="362"/>
    </row>
    <row r="12" spans="1:20" s="311" customFormat="1" ht="60" customHeight="1">
      <c r="A12" s="684"/>
      <c r="B12" s="718"/>
      <c r="C12" s="291">
        <v>4</v>
      </c>
      <c r="D12" s="249" t="s">
        <v>378</v>
      </c>
      <c r="E12" s="250"/>
      <c r="F12" s="251"/>
      <c r="G12" s="319" t="s">
        <v>377</v>
      </c>
      <c r="H12" s="318"/>
      <c r="I12" s="319"/>
      <c r="J12" s="329">
        <v>426.69</v>
      </c>
      <c r="K12" s="330">
        <v>1.5006385696040864E-3</v>
      </c>
      <c r="L12" s="331">
        <v>10.529999999999914</v>
      </c>
      <c r="M12" s="340">
        <f t="shared" si="0"/>
        <v>4493.0456999999633</v>
      </c>
      <c r="N12" s="331"/>
      <c r="O12" s="713" t="s">
        <v>655</v>
      </c>
      <c r="P12" s="714"/>
      <c r="R12" s="363"/>
      <c r="S12" s="361"/>
      <c r="T12" s="357"/>
    </row>
    <row r="13" spans="1:20" s="311" customFormat="1" ht="60" customHeight="1" thickBot="1">
      <c r="A13" s="684"/>
      <c r="B13" s="718"/>
      <c r="C13" s="291">
        <v>5</v>
      </c>
      <c r="D13" s="249" t="s">
        <v>350</v>
      </c>
      <c r="E13" s="257"/>
      <c r="F13" s="258"/>
      <c r="G13" s="319" t="s">
        <v>471</v>
      </c>
      <c r="H13" s="318"/>
      <c r="I13" s="319"/>
      <c r="J13" s="333">
        <v>66.13</v>
      </c>
      <c r="K13" s="260">
        <v>2.3988821703700954E-3</v>
      </c>
      <c r="L13" s="335">
        <v>65.669999999999732</v>
      </c>
      <c r="M13" s="340">
        <f t="shared" si="0"/>
        <v>4342.7570999999816</v>
      </c>
      <c r="N13" s="331"/>
      <c r="O13" s="722" t="s">
        <v>657</v>
      </c>
      <c r="P13" s="723"/>
      <c r="R13" s="364"/>
      <c r="S13" s="362"/>
      <c r="T13" s="301"/>
    </row>
    <row r="14" spans="1:20" ht="15.75" customHeight="1" thickTop="1" thickBot="1">
      <c r="A14" s="685"/>
      <c r="B14" s="719"/>
      <c r="C14" s="724"/>
      <c r="D14" s="725"/>
      <c r="E14" s="725"/>
      <c r="F14" s="725"/>
      <c r="G14" s="725"/>
      <c r="H14" s="725"/>
      <c r="I14" s="726"/>
      <c r="J14" s="370" t="s">
        <v>58</v>
      </c>
      <c r="K14" s="368">
        <f>M14/'生產管理報表 7-1 (週)'!$B$21</f>
        <v>0.1469184584739758</v>
      </c>
      <c r="L14" s="371" t="s">
        <v>59</v>
      </c>
      <c r="M14" s="372">
        <f>SUM(M9:M13)</f>
        <v>27159.251999999902</v>
      </c>
      <c r="N14" s="670"/>
      <c r="O14" s="671"/>
      <c r="P14" s="672"/>
      <c r="R14" s="361"/>
      <c r="S14" s="361"/>
    </row>
    <row r="15" spans="1:20" ht="15.75" customHeight="1" thickTop="1">
      <c r="M15" s="347"/>
      <c r="S15" s="362"/>
    </row>
    <row r="16" spans="1:20" ht="15.75" customHeight="1">
      <c r="A16" s="673" t="s">
        <v>193</v>
      </c>
      <c r="B16" s="674"/>
      <c r="C16" s="287" t="s">
        <v>47</v>
      </c>
      <c r="D16" s="701" t="s">
        <v>12</v>
      </c>
      <c r="E16" s="702"/>
      <c r="F16" s="703"/>
      <c r="G16" s="704" t="s">
        <v>53</v>
      </c>
      <c r="H16" s="705"/>
      <c r="I16" s="706"/>
      <c r="J16" s="429" t="s">
        <v>54</v>
      </c>
      <c r="K16" s="288" t="s">
        <v>55</v>
      </c>
      <c r="L16" s="288" t="s">
        <v>56</v>
      </c>
      <c r="M16" s="348" t="s">
        <v>11</v>
      </c>
      <c r="N16" s="289" t="s">
        <v>340</v>
      </c>
      <c r="O16" s="681" t="s">
        <v>51</v>
      </c>
      <c r="P16" s="682"/>
      <c r="S16" s="361"/>
      <c r="T16" s="357"/>
    </row>
    <row r="17" spans="1:20" s="311" customFormat="1" ht="35.25" customHeight="1">
      <c r="A17" s="683">
        <v>5</v>
      </c>
      <c r="B17" s="696" t="s">
        <v>218</v>
      </c>
      <c r="C17" s="291">
        <v>1</v>
      </c>
      <c r="D17" s="249" t="s">
        <v>349</v>
      </c>
      <c r="E17" s="250"/>
      <c r="F17" s="251"/>
      <c r="G17" s="319" t="s">
        <v>344</v>
      </c>
      <c r="H17" s="318"/>
      <c r="I17" s="319"/>
      <c r="J17" s="329">
        <v>147.43000000000004</v>
      </c>
      <c r="K17" s="330">
        <v>1.6076872836695462E-3</v>
      </c>
      <c r="L17" s="331">
        <v>64.610000000000056</v>
      </c>
      <c r="M17" s="340">
        <f>L17*J17</f>
        <v>9525.4523000000099</v>
      </c>
      <c r="N17" s="331"/>
      <c r="O17" s="762" t="s">
        <v>652</v>
      </c>
      <c r="P17" s="763"/>
      <c r="S17" s="362"/>
    </row>
    <row r="18" spans="1:20" s="311" customFormat="1" ht="25" customHeight="1">
      <c r="A18" s="684"/>
      <c r="B18" s="697"/>
      <c r="C18" s="291">
        <v>2</v>
      </c>
      <c r="D18" s="249"/>
      <c r="E18" s="250"/>
      <c r="F18" s="251"/>
      <c r="G18" s="378"/>
      <c r="H18" s="318"/>
      <c r="I18" s="319"/>
      <c r="J18" s="329"/>
      <c r="K18" s="330"/>
      <c r="L18" s="331"/>
      <c r="M18" s="340">
        <f t="shared" ref="M18:M21" si="1">L18*J18</f>
        <v>0</v>
      </c>
      <c r="N18" s="331"/>
      <c r="O18" s="709"/>
      <c r="P18" s="710"/>
      <c r="S18" s="361"/>
      <c r="T18" s="358"/>
    </row>
    <row r="19" spans="1:20" ht="25" customHeight="1">
      <c r="A19" s="684"/>
      <c r="B19" s="697"/>
      <c r="C19" s="291">
        <v>3</v>
      </c>
      <c r="D19" s="249"/>
      <c r="E19" s="250"/>
      <c r="F19" s="251"/>
      <c r="G19" s="378"/>
      <c r="H19" s="318"/>
      <c r="I19" s="319"/>
      <c r="J19" s="329"/>
      <c r="K19" s="330"/>
      <c r="L19" s="331"/>
      <c r="M19" s="340">
        <f t="shared" si="1"/>
        <v>0</v>
      </c>
      <c r="N19" s="300"/>
      <c r="O19" s="691"/>
      <c r="P19" s="692"/>
    </row>
    <row r="20" spans="1:20" ht="25" customHeight="1">
      <c r="A20" s="684"/>
      <c r="B20" s="697"/>
      <c r="C20" s="291">
        <v>4</v>
      </c>
      <c r="D20" s="292"/>
      <c r="E20" s="293"/>
      <c r="F20" s="294"/>
      <c r="G20" s="378"/>
      <c r="H20" s="318"/>
      <c r="I20" s="319"/>
      <c r="J20" s="298"/>
      <c r="K20" s="299"/>
      <c r="L20" s="300"/>
      <c r="M20" s="340">
        <f t="shared" si="1"/>
        <v>0</v>
      </c>
      <c r="N20" s="300"/>
      <c r="O20" s="312"/>
      <c r="P20" s="313"/>
    </row>
    <row r="21" spans="1:20" ht="25" customHeight="1" thickBot="1">
      <c r="A21" s="684"/>
      <c r="B21" s="697"/>
      <c r="C21" s="291">
        <v>5</v>
      </c>
      <c r="D21" s="302"/>
      <c r="E21" s="303"/>
      <c r="F21" s="304"/>
      <c r="G21" s="378"/>
      <c r="H21" s="318"/>
      <c r="I21" s="319"/>
      <c r="J21" s="305"/>
      <c r="K21" s="260"/>
      <c r="L21" s="307"/>
      <c r="M21" s="340">
        <f t="shared" si="1"/>
        <v>0</v>
      </c>
      <c r="N21" s="300"/>
      <c r="O21" s="314"/>
      <c r="P21" s="315"/>
      <c r="R21" s="365"/>
    </row>
    <row r="22" spans="1:20" ht="15.75" customHeight="1" thickTop="1" thickBot="1">
      <c r="A22" s="685"/>
      <c r="B22" s="698"/>
      <c r="C22" s="693"/>
      <c r="D22" s="694"/>
      <c r="E22" s="694"/>
      <c r="F22" s="694"/>
      <c r="G22" s="694"/>
      <c r="H22" s="694"/>
      <c r="I22" s="695"/>
      <c r="J22" s="370" t="s">
        <v>58</v>
      </c>
      <c r="K22" s="368">
        <f>M22/'生產管理報表 7-1 (週)'!$B$21</f>
        <v>5.1528104241729253E-2</v>
      </c>
      <c r="L22" s="371" t="s">
        <v>59</v>
      </c>
      <c r="M22" s="372">
        <f>SUM(M17:M21)</f>
        <v>9525.4523000000099</v>
      </c>
      <c r="N22" s="670"/>
      <c r="O22" s="671"/>
      <c r="P22" s="672"/>
      <c r="R22" s="361"/>
    </row>
    <row r="23" spans="1:20" ht="25" customHeight="1" thickTop="1">
      <c r="K23" s="301" t="s">
        <v>557</v>
      </c>
      <c r="M23" s="347"/>
      <c r="R23" s="361"/>
    </row>
    <row r="24" spans="1:20" ht="25" customHeight="1">
      <c r="A24" s="673" t="s">
        <v>193</v>
      </c>
      <c r="B24" s="674"/>
      <c r="C24" s="316" t="s">
        <v>47</v>
      </c>
      <c r="D24" s="675" t="s">
        <v>12</v>
      </c>
      <c r="E24" s="676"/>
      <c r="F24" s="677"/>
      <c r="G24" s="678" t="s">
        <v>53</v>
      </c>
      <c r="H24" s="679"/>
      <c r="I24" s="680"/>
      <c r="J24" s="317" t="s">
        <v>54</v>
      </c>
      <c r="K24" s="288" t="s">
        <v>55</v>
      </c>
      <c r="L24" s="288" t="s">
        <v>56</v>
      </c>
      <c r="M24" s="348" t="s">
        <v>11</v>
      </c>
      <c r="N24" s="289" t="s">
        <v>340</v>
      </c>
      <c r="O24" s="681" t="s">
        <v>51</v>
      </c>
      <c r="P24" s="682"/>
      <c r="R24" s="361"/>
    </row>
    <row r="25" spans="1:20" ht="50.15" customHeight="1">
      <c r="A25" s="683">
        <v>6</v>
      </c>
      <c r="B25" s="696" t="s">
        <v>219</v>
      </c>
      <c r="C25" s="291">
        <v>1</v>
      </c>
      <c r="D25" s="366" t="s">
        <v>508</v>
      </c>
      <c r="E25" s="293"/>
      <c r="F25" s="294"/>
      <c r="G25" s="447" t="s">
        <v>512</v>
      </c>
      <c r="H25" s="253"/>
      <c r="I25" s="252"/>
      <c r="J25" s="329">
        <v>68.42</v>
      </c>
      <c r="K25" s="330">
        <v>7.4703420497813037E-3</v>
      </c>
      <c r="L25" s="331">
        <v>64.240000000000123</v>
      </c>
      <c r="M25" s="340">
        <f t="shared" ref="M25:M29" si="2">L25*J25</f>
        <v>4395.3008000000082</v>
      </c>
      <c r="N25" s="300"/>
      <c r="O25" s="699" t="s">
        <v>657</v>
      </c>
      <c r="P25" s="700"/>
    </row>
    <row r="26" spans="1:20" ht="50.15" customHeight="1">
      <c r="A26" s="684"/>
      <c r="B26" s="697"/>
      <c r="C26" s="291">
        <v>2</v>
      </c>
      <c r="D26" s="249" t="s">
        <v>353</v>
      </c>
      <c r="E26" s="293"/>
      <c r="F26" s="294"/>
      <c r="G26" s="447" t="s">
        <v>470</v>
      </c>
      <c r="H26" s="253"/>
      <c r="I26" s="252"/>
      <c r="J26" s="329">
        <v>108.26</v>
      </c>
      <c r="K26" s="330">
        <v>0</v>
      </c>
      <c r="L26" s="331">
        <v>38.220000000000141</v>
      </c>
      <c r="M26" s="340">
        <f t="shared" si="2"/>
        <v>4137.6972000000151</v>
      </c>
      <c r="N26" s="300"/>
      <c r="O26" s="699" t="s">
        <v>657</v>
      </c>
      <c r="P26" s="700"/>
    </row>
    <row r="27" spans="1:20" ht="50.15" customHeight="1">
      <c r="A27" s="684"/>
      <c r="B27" s="697"/>
      <c r="C27" s="291">
        <v>3</v>
      </c>
      <c r="D27" s="249" t="s">
        <v>515</v>
      </c>
      <c r="E27" s="293"/>
      <c r="F27" s="294"/>
      <c r="G27" s="447" t="s">
        <v>520</v>
      </c>
      <c r="H27" s="253"/>
      <c r="I27" s="252"/>
      <c r="J27" s="329">
        <v>71.69</v>
      </c>
      <c r="K27" s="330">
        <v>6.3997495349822292E-3</v>
      </c>
      <c r="L27" s="331">
        <v>36.990000000000052</v>
      </c>
      <c r="M27" s="340">
        <f t="shared" si="2"/>
        <v>2651.8131000000035</v>
      </c>
      <c r="N27" s="300"/>
      <c r="O27" s="699" t="s">
        <v>657</v>
      </c>
      <c r="P27" s="700"/>
    </row>
    <row r="28" spans="1:20" ht="66" customHeight="1">
      <c r="A28" s="684"/>
      <c r="B28" s="697"/>
      <c r="C28" s="291">
        <v>4</v>
      </c>
      <c r="D28" s="249" t="s">
        <v>351</v>
      </c>
      <c r="E28" s="293"/>
      <c r="F28" s="294"/>
      <c r="G28" s="447" t="s">
        <v>623</v>
      </c>
      <c r="H28" s="253"/>
      <c r="I28" s="252"/>
      <c r="J28" s="329">
        <v>605.77999999999986</v>
      </c>
      <c r="K28" s="330">
        <v>8.4403503199165046E-4</v>
      </c>
      <c r="L28" s="331">
        <v>4.3000000000000185</v>
      </c>
      <c r="M28" s="340">
        <f t="shared" si="2"/>
        <v>2604.8540000000107</v>
      </c>
      <c r="N28" s="300"/>
      <c r="O28" s="699" t="s">
        <v>658</v>
      </c>
      <c r="P28" s="700"/>
    </row>
    <row r="29" spans="1:20" ht="50.15" customHeight="1" thickBot="1">
      <c r="A29" s="684"/>
      <c r="B29" s="697"/>
      <c r="C29" s="291">
        <v>5</v>
      </c>
      <c r="D29" s="256"/>
      <c r="E29" s="303"/>
      <c r="F29" s="304"/>
      <c r="G29" s="378"/>
      <c r="H29" s="318"/>
      <c r="I29" s="319"/>
      <c r="J29" s="333"/>
      <c r="K29" s="260"/>
      <c r="L29" s="335"/>
      <c r="M29" s="340">
        <f t="shared" si="2"/>
        <v>0</v>
      </c>
      <c r="N29" s="300"/>
      <c r="O29" s="699"/>
      <c r="P29" s="700"/>
    </row>
    <row r="30" spans="1:20" ht="15.75" customHeight="1" thickTop="1" thickBot="1">
      <c r="A30" s="685"/>
      <c r="B30" s="698"/>
      <c r="C30" s="693"/>
      <c r="D30" s="694"/>
      <c r="E30" s="694"/>
      <c r="F30" s="694"/>
      <c r="G30" s="694"/>
      <c r="H30" s="694"/>
      <c r="I30" s="695"/>
      <c r="J30" s="370" t="s">
        <v>58</v>
      </c>
      <c r="K30" s="368">
        <f>M30/'生產管理報表 7-1 (週)'!$B$21</f>
        <v>7.4595439497538302E-2</v>
      </c>
      <c r="L30" s="371" t="s">
        <v>59</v>
      </c>
      <c r="M30" s="372">
        <f>SUM(M25:M29)</f>
        <v>13789.665100000037</v>
      </c>
      <c r="N30" s="670"/>
      <c r="O30" s="671"/>
      <c r="P30" s="672"/>
    </row>
    <row r="31" spans="1:20" s="138" customFormat="1" ht="15.75" customHeight="1" thickTop="1">
      <c r="A31" s="643" t="s">
        <v>684</v>
      </c>
      <c r="B31" s="643"/>
      <c r="C31" s="643"/>
      <c r="D31" s="643"/>
      <c r="E31" s="643"/>
      <c r="F31" s="643"/>
      <c r="G31" s="643"/>
      <c r="H31" s="643"/>
      <c r="I31" s="643"/>
      <c r="J31" s="643"/>
      <c r="K31" s="643"/>
      <c r="L31" s="643"/>
      <c r="M31" s="643"/>
    </row>
    <row r="32" spans="1:20" s="139" customFormat="1" ht="15.75" customHeight="1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</row>
    <row r="33" spans="1:20" s="138" customFormat="1" ht="15.75" customHeight="1">
      <c r="A33" s="734" t="s">
        <v>193</v>
      </c>
      <c r="B33" s="736">
        <v>1</v>
      </c>
      <c r="C33" s="737"/>
      <c r="D33" s="736">
        <v>2</v>
      </c>
      <c r="E33" s="737"/>
      <c r="F33" s="736">
        <v>3</v>
      </c>
      <c r="G33" s="737"/>
      <c r="H33" s="727">
        <v>4</v>
      </c>
      <c r="I33" s="728"/>
      <c r="J33" s="727">
        <v>5</v>
      </c>
      <c r="K33" s="728"/>
      <c r="L33" s="727">
        <v>6</v>
      </c>
      <c r="M33" s="728"/>
      <c r="N33" s="727">
        <v>7</v>
      </c>
      <c r="O33" s="728"/>
      <c r="P33" s="345">
        <v>8</v>
      </c>
    </row>
    <row r="34" spans="1:20" s="138" customFormat="1" ht="15.75" customHeight="1">
      <c r="A34" s="735"/>
      <c r="B34" s="731" t="s">
        <v>538</v>
      </c>
      <c r="C34" s="732"/>
      <c r="D34" s="731" t="s">
        <v>215</v>
      </c>
      <c r="E34" s="732"/>
      <c r="F34" s="731" t="s">
        <v>168</v>
      </c>
      <c r="G34" s="732"/>
      <c r="H34" s="729" t="s">
        <v>477</v>
      </c>
      <c r="I34" s="730"/>
      <c r="J34" s="729" t="s">
        <v>191</v>
      </c>
      <c r="K34" s="730"/>
      <c r="L34" s="729" t="s">
        <v>169</v>
      </c>
      <c r="M34" s="730"/>
      <c r="N34" s="729" t="s">
        <v>192</v>
      </c>
      <c r="O34" s="730"/>
      <c r="P34" s="346" t="s">
        <v>220</v>
      </c>
    </row>
    <row r="35" spans="1:20" s="138" customFormat="1" ht="15.75" customHeight="1">
      <c r="B35" s="244"/>
      <c r="C35" s="245"/>
    </row>
    <row r="36" spans="1:20" s="290" customFormat="1" ht="15.75" customHeight="1">
      <c r="A36" s="673" t="s">
        <v>193</v>
      </c>
      <c r="B36" s="674"/>
      <c r="C36" s="287" t="s">
        <v>47</v>
      </c>
      <c r="D36" s="701" t="s">
        <v>12</v>
      </c>
      <c r="E36" s="702"/>
      <c r="F36" s="703"/>
      <c r="G36" s="704" t="s">
        <v>53</v>
      </c>
      <c r="H36" s="705"/>
      <c r="I36" s="706"/>
      <c r="J36" s="288" t="s">
        <v>54</v>
      </c>
      <c r="K36" s="288" t="s">
        <v>55</v>
      </c>
      <c r="L36" s="288" t="s">
        <v>56</v>
      </c>
      <c r="M36" s="289" t="s">
        <v>11</v>
      </c>
      <c r="N36" s="289" t="s">
        <v>340</v>
      </c>
      <c r="O36" s="681" t="s">
        <v>51</v>
      </c>
      <c r="P36" s="682"/>
      <c r="R36" s="361"/>
      <c r="S36" s="362"/>
    </row>
    <row r="37" spans="1:20" s="311" customFormat="1" ht="51.75" customHeight="1">
      <c r="A37" s="683">
        <v>4</v>
      </c>
      <c r="B37" s="717" t="s">
        <v>477</v>
      </c>
      <c r="C37" s="291">
        <v>1</v>
      </c>
      <c r="D37" s="249" t="s">
        <v>563</v>
      </c>
      <c r="E37" s="250"/>
      <c r="F37" s="251"/>
      <c r="G37" s="319" t="s">
        <v>582</v>
      </c>
      <c r="H37" s="318"/>
      <c r="I37" s="319"/>
      <c r="J37" s="329">
        <v>327.16000000000003</v>
      </c>
      <c r="K37" s="330">
        <v>0</v>
      </c>
      <c r="L37" s="331">
        <v>20.299999999999955</v>
      </c>
      <c r="M37" s="340">
        <f t="shared" ref="M37:M41" si="3">L37*J37</f>
        <v>6641.3479999999854</v>
      </c>
      <c r="N37" s="331"/>
      <c r="O37" s="713" t="s">
        <v>653</v>
      </c>
      <c r="P37" s="714"/>
      <c r="R37" s="363"/>
      <c r="S37" s="362"/>
    </row>
    <row r="38" spans="1:20" s="311" customFormat="1" ht="55.5" customHeight="1">
      <c r="A38" s="684"/>
      <c r="B38" s="718"/>
      <c r="C38" s="291">
        <v>2</v>
      </c>
      <c r="D38" s="249" t="s">
        <v>349</v>
      </c>
      <c r="E38" s="250"/>
      <c r="F38" s="251"/>
      <c r="G38" s="319" t="s">
        <v>406</v>
      </c>
      <c r="H38" s="318"/>
      <c r="I38" s="319"/>
      <c r="J38" s="329">
        <v>127.84000000000002</v>
      </c>
      <c r="K38" s="330">
        <v>5.0526566075869111E-4</v>
      </c>
      <c r="L38" s="331">
        <v>48.940000000000019</v>
      </c>
      <c r="M38" s="340">
        <f t="shared" si="3"/>
        <v>6256.4896000000035</v>
      </c>
      <c r="N38" s="331"/>
      <c r="O38" s="722" t="s">
        <v>654</v>
      </c>
      <c r="P38" s="723"/>
      <c r="R38" s="363"/>
      <c r="S38" s="361"/>
      <c r="T38" s="357"/>
    </row>
    <row r="39" spans="1:20" s="311" customFormat="1" ht="51" customHeight="1">
      <c r="A39" s="684"/>
      <c r="B39" s="718"/>
      <c r="C39" s="291">
        <v>3</v>
      </c>
      <c r="D39" s="249" t="s">
        <v>378</v>
      </c>
      <c r="E39" s="250"/>
      <c r="F39" s="251"/>
      <c r="G39" s="319" t="s">
        <v>377</v>
      </c>
      <c r="H39" s="318"/>
      <c r="I39" s="319"/>
      <c r="J39" s="329">
        <v>426.69</v>
      </c>
      <c r="K39" s="330">
        <v>6.2777594676459978E-4</v>
      </c>
      <c r="L39" s="331">
        <v>11.470000000000004</v>
      </c>
      <c r="M39" s="340">
        <f t="shared" si="3"/>
        <v>4894.1343000000015</v>
      </c>
      <c r="N39" s="331"/>
      <c r="O39" s="722" t="s">
        <v>655</v>
      </c>
      <c r="P39" s="723"/>
      <c r="R39" s="363"/>
      <c r="S39" s="362"/>
    </row>
    <row r="40" spans="1:20" s="311" customFormat="1" ht="60" customHeight="1">
      <c r="A40" s="684"/>
      <c r="B40" s="718"/>
      <c r="C40" s="291">
        <v>4</v>
      </c>
      <c r="D40" s="249" t="s">
        <v>364</v>
      </c>
      <c r="E40" s="250"/>
      <c r="F40" s="251"/>
      <c r="G40" s="378" t="s">
        <v>475</v>
      </c>
      <c r="H40" s="318"/>
      <c r="I40" s="319"/>
      <c r="J40" s="329">
        <v>99.51</v>
      </c>
      <c r="K40" s="330">
        <v>2.6964123524069023E-3</v>
      </c>
      <c r="L40" s="331">
        <v>42.159999999999989</v>
      </c>
      <c r="M40" s="340">
        <f t="shared" si="3"/>
        <v>4195.3415999999988</v>
      </c>
      <c r="N40" s="331"/>
      <c r="O40" s="713" t="s">
        <v>657</v>
      </c>
      <c r="P40" s="714"/>
      <c r="R40" s="363"/>
      <c r="S40" s="361"/>
      <c r="T40" s="357"/>
    </row>
    <row r="41" spans="1:20" s="311" customFormat="1" ht="60" customHeight="1" thickBot="1">
      <c r="A41" s="684"/>
      <c r="B41" s="718"/>
      <c r="C41" s="291">
        <v>5</v>
      </c>
      <c r="D41" s="249" t="s">
        <v>349</v>
      </c>
      <c r="E41" s="257"/>
      <c r="F41" s="258"/>
      <c r="G41" s="319" t="s">
        <v>472</v>
      </c>
      <c r="H41" s="318"/>
      <c r="I41" s="319"/>
      <c r="J41" s="333">
        <v>200</v>
      </c>
      <c r="K41" s="260">
        <v>0</v>
      </c>
      <c r="L41" s="335">
        <v>20.490000000000009</v>
      </c>
      <c r="M41" s="340">
        <f t="shared" si="3"/>
        <v>4098.0000000000018</v>
      </c>
      <c r="N41" s="331"/>
      <c r="O41" s="722" t="s">
        <v>702</v>
      </c>
      <c r="P41" s="723"/>
      <c r="R41" s="364"/>
      <c r="S41" s="362"/>
      <c r="T41" s="301"/>
    </row>
    <row r="42" spans="1:20" ht="15.75" customHeight="1" thickTop="1" thickBot="1">
      <c r="A42" s="685"/>
      <c r="B42" s="719"/>
      <c r="C42" s="724"/>
      <c r="D42" s="725"/>
      <c r="E42" s="725"/>
      <c r="F42" s="725"/>
      <c r="G42" s="725"/>
      <c r="H42" s="725"/>
      <c r="I42" s="726"/>
      <c r="J42" s="370" t="s">
        <v>58</v>
      </c>
      <c r="K42" s="368">
        <f>M42/'生產管理報表 7-1 (週)'!$B$32</f>
        <v>0.13653041122774959</v>
      </c>
      <c r="L42" s="371" t="s">
        <v>59</v>
      </c>
      <c r="M42" s="372">
        <f>SUM(M37:M41)</f>
        <v>26085.313499999989</v>
      </c>
      <c r="N42" s="670"/>
      <c r="O42" s="671"/>
      <c r="P42" s="672"/>
      <c r="R42" s="361"/>
      <c r="S42" s="361"/>
    </row>
    <row r="43" spans="1:20" ht="15.75" customHeight="1" thickTop="1">
      <c r="M43" s="347"/>
      <c r="S43" s="362"/>
    </row>
    <row r="44" spans="1:20" ht="15.75" customHeight="1">
      <c r="A44" s="673" t="s">
        <v>193</v>
      </c>
      <c r="B44" s="674"/>
      <c r="C44" s="287" t="s">
        <v>47</v>
      </c>
      <c r="D44" s="701" t="s">
        <v>12</v>
      </c>
      <c r="E44" s="702"/>
      <c r="F44" s="703"/>
      <c r="G44" s="704" t="s">
        <v>53</v>
      </c>
      <c r="H44" s="705"/>
      <c r="I44" s="706"/>
      <c r="J44" s="429" t="s">
        <v>54</v>
      </c>
      <c r="K44" s="288" t="s">
        <v>55</v>
      </c>
      <c r="L44" s="288" t="s">
        <v>56</v>
      </c>
      <c r="M44" s="348" t="s">
        <v>11</v>
      </c>
      <c r="N44" s="289" t="s">
        <v>340</v>
      </c>
      <c r="O44" s="681" t="s">
        <v>51</v>
      </c>
      <c r="P44" s="682"/>
      <c r="S44" s="361"/>
      <c r="T44" s="357"/>
    </row>
    <row r="45" spans="1:20" s="311" customFormat="1" ht="35.25" customHeight="1">
      <c r="A45" s="683">
        <v>5</v>
      </c>
      <c r="B45" s="696" t="s">
        <v>218</v>
      </c>
      <c r="C45" s="291">
        <v>1</v>
      </c>
      <c r="D45" s="249" t="s">
        <v>349</v>
      </c>
      <c r="E45" s="250"/>
      <c r="F45" s="251"/>
      <c r="G45" s="319" t="s">
        <v>344</v>
      </c>
      <c r="H45" s="318"/>
      <c r="I45" s="319"/>
      <c r="J45" s="329">
        <v>147.43000000000004</v>
      </c>
      <c r="K45" s="330">
        <v>0</v>
      </c>
      <c r="L45" s="331">
        <v>66.320000000000618</v>
      </c>
      <c r="M45" s="340">
        <f>L45*J45</f>
        <v>9777.5576000000929</v>
      </c>
      <c r="N45" s="331"/>
      <c r="O45" s="762" t="s">
        <v>652</v>
      </c>
      <c r="P45" s="763"/>
      <c r="S45" s="362"/>
    </row>
    <row r="46" spans="1:20" s="311" customFormat="1" ht="25" customHeight="1">
      <c r="A46" s="684"/>
      <c r="B46" s="697"/>
      <c r="C46" s="291">
        <v>2</v>
      </c>
      <c r="D46" s="249"/>
      <c r="E46" s="250"/>
      <c r="F46" s="251"/>
      <c r="G46" s="378"/>
      <c r="H46" s="318"/>
      <c r="I46" s="319"/>
      <c r="J46" s="329"/>
      <c r="K46" s="330"/>
      <c r="L46" s="331"/>
      <c r="M46" s="340">
        <f t="shared" ref="M46:M49" si="4">L46*J46</f>
        <v>0</v>
      </c>
      <c r="N46" s="331"/>
      <c r="O46" s="709"/>
      <c r="P46" s="710"/>
      <c r="S46" s="361"/>
      <c r="T46" s="358"/>
    </row>
    <row r="47" spans="1:20" ht="25" customHeight="1">
      <c r="A47" s="684"/>
      <c r="B47" s="697"/>
      <c r="C47" s="291">
        <v>3</v>
      </c>
      <c r="D47" s="249"/>
      <c r="E47" s="250"/>
      <c r="F47" s="251"/>
      <c r="G47" s="378"/>
      <c r="H47" s="318"/>
      <c r="I47" s="319"/>
      <c r="J47" s="329"/>
      <c r="K47" s="330"/>
      <c r="L47" s="331"/>
      <c r="M47" s="340">
        <f t="shared" si="4"/>
        <v>0</v>
      </c>
      <c r="N47" s="300"/>
      <c r="O47" s="691"/>
      <c r="P47" s="692"/>
    </row>
    <row r="48" spans="1:20" ht="25" customHeight="1">
      <c r="A48" s="684"/>
      <c r="B48" s="697"/>
      <c r="C48" s="291">
        <v>4</v>
      </c>
      <c r="D48" s="292"/>
      <c r="E48" s="293"/>
      <c r="F48" s="294"/>
      <c r="G48" s="378"/>
      <c r="H48" s="318"/>
      <c r="I48" s="319"/>
      <c r="J48" s="298"/>
      <c r="K48" s="299"/>
      <c r="L48" s="300"/>
      <c r="M48" s="340">
        <f t="shared" si="4"/>
        <v>0</v>
      </c>
      <c r="N48" s="300"/>
      <c r="O48" s="312"/>
      <c r="P48" s="313"/>
    </row>
    <row r="49" spans="1:19" ht="25" customHeight="1" thickBot="1">
      <c r="A49" s="684"/>
      <c r="B49" s="697"/>
      <c r="C49" s="291">
        <v>5</v>
      </c>
      <c r="D49" s="302"/>
      <c r="E49" s="303"/>
      <c r="F49" s="304"/>
      <c r="G49" s="378"/>
      <c r="H49" s="318"/>
      <c r="I49" s="319"/>
      <c r="J49" s="305"/>
      <c r="K49" s="260"/>
      <c r="L49" s="307"/>
      <c r="M49" s="340">
        <f t="shared" si="4"/>
        <v>0</v>
      </c>
      <c r="N49" s="300"/>
      <c r="O49" s="314"/>
      <c r="P49" s="315"/>
      <c r="R49" s="365"/>
    </row>
    <row r="50" spans="1:19" ht="15.75" customHeight="1" thickTop="1" thickBot="1">
      <c r="A50" s="685"/>
      <c r="B50" s="698"/>
      <c r="C50" s="693"/>
      <c r="D50" s="694"/>
      <c r="E50" s="694"/>
      <c r="F50" s="694"/>
      <c r="G50" s="694"/>
      <c r="H50" s="694"/>
      <c r="I50" s="695"/>
      <c r="J50" s="370" t="s">
        <v>58</v>
      </c>
      <c r="K50" s="368">
        <f>M50/'生產管理報表 7-1 (週)'!$B$32</f>
        <v>5.1175691637021022E-2</v>
      </c>
      <c r="L50" s="371" t="s">
        <v>59</v>
      </c>
      <c r="M50" s="372">
        <f>SUM(M45:M49)</f>
        <v>9777.5576000000929</v>
      </c>
      <c r="N50" s="670"/>
      <c r="O50" s="671"/>
      <c r="P50" s="672"/>
      <c r="R50" s="361"/>
    </row>
    <row r="51" spans="1:19" ht="25" customHeight="1" thickTop="1">
      <c r="K51" s="301" t="s">
        <v>557</v>
      </c>
      <c r="M51" s="347"/>
      <c r="R51" s="361"/>
    </row>
    <row r="52" spans="1:19" ht="25" customHeight="1">
      <c r="A52" s="673" t="s">
        <v>193</v>
      </c>
      <c r="B52" s="674"/>
      <c r="C52" s="316" t="s">
        <v>47</v>
      </c>
      <c r="D52" s="675" t="s">
        <v>12</v>
      </c>
      <c r="E52" s="676"/>
      <c r="F52" s="677"/>
      <c r="G52" s="678" t="s">
        <v>53</v>
      </c>
      <c r="H52" s="679"/>
      <c r="I52" s="680"/>
      <c r="J52" s="317" t="s">
        <v>54</v>
      </c>
      <c r="K52" s="288" t="s">
        <v>55</v>
      </c>
      <c r="L52" s="288" t="s">
        <v>56</v>
      </c>
      <c r="M52" s="348" t="s">
        <v>11</v>
      </c>
      <c r="N52" s="289" t="s">
        <v>340</v>
      </c>
      <c r="O52" s="681" t="s">
        <v>51</v>
      </c>
      <c r="P52" s="682"/>
      <c r="R52" s="361"/>
    </row>
    <row r="53" spans="1:19" ht="50.15" customHeight="1">
      <c r="A53" s="683">
        <v>6</v>
      </c>
      <c r="B53" s="696" t="s">
        <v>219</v>
      </c>
      <c r="C53" s="291">
        <v>1</v>
      </c>
      <c r="D53" s="366" t="s">
        <v>351</v>
      </c>
      <c r="E53" s="293"/>
      <c r="F53" s="294"/>
      <c r="G53" s="252" t="s">
        <v>623</v>
      </c>
      <c r="H53" s="253"/>
      <c r="I53" s="252"/>
      <c r="J53" s="329">
        <v>605.77999999999986</v>
      </c>
      <c r="K53" s="330">
        <v>0</v>
      </c>
      <c r="L53" s="331">
        <v>9.32000000000005</v>
      </c>
      <c r="M53" s="340">
        <f t="shared" ref="M53:M57" si="5">L53*J53</f>
        <v>5645.8696000000291</v>
      </c>
      <c r="N53" s="300"/>
      <c r="O53" s="699" t="s">
        <v>658</v>
      </c>
      <c r="P53" s="700"/>
    </row>
    <row r="54" spans="1:19" ht="50.15" customHeight="1">
      <c r="A54" s="684"/>
      <c r="B54" s="697"/>
      <c r="C54" s="291">
        <v>2</v>
      </c>
      <c r="D54" s="249" t="s">
        <v>677</v>
      </c>
      <c r="E54" s="293"/>
      <c r="F54" s="294"/>
      <c r="G54" s="252" t="s">
        <v>671</v>
      </c>
      <c r="H54" s="253"/>
      <c r="I54" s="252"/>
      <c r="J54" s="329">
        <v>407.74000000000007</v>
      </c>
      <c r="K54" s="330">
        <v>1.0911471593802286E-3</v>
      </c>
      <c r="L54" s="331">
        <v>12.850000000000183</v>
      </c>
      <c r="M54" s="340">
        <f t="shared" si="5"/>
        <v>5239.4590000000753</v>
      </c>
      <c r="N54" s="300"/>
      <c r="O54" s="699" t="s">
        <v>701</v>
      </c>
      <c r="P54" s="700"/>
    </row>
    <row r="55" spans="1:19" ht="50.15" customHeight="1">
      <c r="A55" s="684"/>
      <c r="B55" s="697"/>
      <c r="C55" s="291">
        <v>3</v>
      </c>
      <c r="D55" s="249"/>
      <c r="E55" s="293"/>
      <c r="F55" s="294"/>
      <c r="G55" s="447"/>
      <c r="H55" s="253"/>
      <c r="I55" s="252"/>
      <c r="J55" s="329"/>
      <c r="K55" s="330"/>
      <c r="L55" s="331"/>
      <c r="M55" s="340">
        <f t="shared" si="5"/>
        <v>0</v>
      </c>
      <c r="N55" s="300"/>
      <c r="O55" s="699"/>
      <c r="P55" s="700"/>
    </row>
    <row r="56" spans="1:19" ht="66" customHeight="1">
      <c r="A56" s="684"/>
      <c r="B56" s="697"/>
      <c r="C56" s="291">
        <v>4</v>
      </c>
      <c r="D56" s="249"/>
      <c r="E56" s="293"/>
      <c r="F56" s="294"/>
      <c r="G56" s="447"/>
      <c r="H56" s="253"/>
      <c r="I56" s="252"/>
      <c r="J56" s="329"/>
      <c r="K56" s="330"/>
      <c r="L56" s="331"/>
      <c r="M56" s="340">
        <f t="shared" si="5"/>
        <v>0</v>
      </c>
      <c r="N56" s="300"/>
      <c r="O56" s="699"/>
      <c r="P56" s="700"/>
    </row>
    <row r="57" spans="1:19" ht="50.15" customHeight="1" thickBot="1">
      <c r="A57" s="684"/>
      <c r="B57" s="697"/>
      <c r="C57" s="291">
        <v>5</v>
      </c>
      <c r="D57" s="256"/>
      <c r="E57" s="303"/>
      <c r="F57" s="304"/>
      <c r="G57" s="378"/>
      <c r="H57" s="318"/>
      <c r="I57" s="319"/>
      <c r="J57" s="333"/>
      <c r="K57" s="260"/>
      <c r="L57" s="335"/>
      <c r="M57" s="340">
        <f t="shared" si="5"/>
        <v>0</v>
      </c>
      <c r="N57" s="300"/>
      <c r="O57" s="699"/>
      <c r="P57" s="700"/>
    </row>
    <row r="58" spans="1:19" ht="15.75" customHeight="1" thickTop="1" thickBot="1">
      <c r="A58" s="685"/>
      <c r="B58" s="698"/>
      <c r="C58" s="693"/>
      <c r="D58" s="694"/>
      <c r="E58" s="694"/>
      <c r="F58" s="694"/>
      <c r="G58" s="694"/>
      <c r="H58" s="694"/>
      <c r="I58" s="695"/>
      <c r="J58" s="370" t="s">
        <v>58</v>
      </c>
      <c r="K58" s="368">
        <f>M58/'生產管理報表 7-1 (週)'!$B$32</f>
        <v>5.697375997061329E-2</v>
      </c>
      <c r="L58" s="371" t="s">
        <v>59</v>
      </c>
      <c r="M58" s="372">
        <f>SUM(M53:M57)</f>
        <v>10885.328600000104</v>
      </c>
      <c r="N58" s="670"/>
      <c r="O58" s="671"/>
      <c r="P58" s="672"/>
    </row>
    <row r="59" spans="1:19" s="138" customFormat="1" ht="15.75" customHeight="1" thickTop="1">
      <c r="A59" s="643" t="s">
        <v>726</v>
      </c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</row>
    <row r="60" spans="1:19" s="139" customFormat="1" ht="15.75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</row>
    <row r="61" spans="1:19" s="138" customFormat="1" ht="15.75" customHeight="1">
      <c r="A61" s="734" t="s">
        <v>193</v>
      </c>
      <c r="B61" s="736">
        <v>1</v>
      </c>
      <c r="C61" s="737"/>
      <c r="D61" s="736">
        <v>2</v>
      </c>
      <c r="E61" s="737"/>
      <c r="F61" s="736">
        <v>3</v>
      </c>
      <c r="G61" s="737"/>
      <c r="H61" s="727">
        <v>4</v>
      </c>
      <c r="I61" s="728"/>
      <c r="J61" s="727">
        <v>5</v>
      </c>
      <c r="K61" s="728"/>
      <c r="L61" s="727">
        <v>6</v>
      </c>
      <c r="M61" s="728"/>
      <c r="N61" s="727">
        <v>7</v>
      </c>
      <c r="O61" s="728"/>
      <c r="P61" s="345">
        <v>8</v>
      </c>
    </row>
    <row r="62" spans="1:19" s="138" customFormat="1" ht="15.75" customHeight="1">
      <c r="A62" s="735"/>
      <c r="B62" s="731" t="s">
        <v>538</v>
      </c>
      <c r="C62" s="732"/>
      <c r="D62" s="731" t="s">
        <v>215</v>
      </c>
      <c r="E62" s="732"/>
      <c r="F62" s="731" t="s">
        <v>168</v>
      </c>
      <c r="G62" s="732"/>
      <c r="H62" s="729" t="s">
        <v>477</v>
      </c>
      <c r="I62" s="730"/>
      <c r="J62" s="729" t="s">
        <v>191</v>
      </c>
      <c r="K62" s="730"/>
      <c r="L62" s="729" t="s">
        <v>169</v>
      </c>
      <c r="M62" s="730"/>
      <c r="N62" s="729" t="s">
        <v>192</v>
      </c>
      <c r="O62" s="730"/>
      <c r="P62" s="346" t="s">
        <v>220</v>
      </c>
    </row>
    <row r="63" spans="1:19" s="138" customFormat="1" ht="15.75" customHeight="1">
      <c r="B63" s="244"/>
      <c r="C63" s="245"/>
    </row>
    <row r="64" spans="1:19" s="290" customFormat="1" ht="15.75" customHeight="1">
      <c r="A64" s="673" t="s">
        <v>193</v>
      </c>
      <c r="B64" s="674"/>
      <c r="C64" s="287" t="s">
        <v>47</v>
      </c>
      <c r="D64" s="701" t="s">
        <v>12</v>
      </c>
      <c r="E64" s="702"/>
      <c r="F64" s="703"/>
      <c r="G64" s="704" t="s">
        <v>53</v>
      </c>
      <c r="H64" s="705"/>
      <c r="I64" s="706"/>
      <c r="J64" s="288" t="s">
        <v>54</v>
      </c>
      <c r="K64" s="288" t="s">
        <v>55</v>
      </c>
      <c r="L64" s="288" t="s">
        <v>56</v>
      </c>
      <c r="M64" s="289" t="s">
        <v>11</v>
      </c>
      <c r="N64" s="289" t="s">
        <v>340</v>
      </c>
      <c r="O64" s="681" t="s">
        <v>51</v>
      </c>
      <c r="P64" s="682"/>
      <c r="R64" s="361"/>
      <c r="S64" s="362"/>
    </row>
    <row r="65" spans="1:20" s="311" customFormat="1" ht="51.75" customHeight="1">
      <c r="A65" s="683">
        <v>4</v>
      </c>
      <c r="B65" s="717" t="s">
        <v>477</v>
      </c>
      <c r="C65" s="291">
        <v>1</v>
      </c>
      <c r="D65" s="249" t="s">
        <v>349</v>
      </c>
      <c r="E65" s="250"/>
      <c r="F65" s="251"/>
      <c r="G65" s="319" t="s">
        <v>406</v>
      </c>
      <c r="H65" s="318"/>
      <c r="I65" s="319"/>
      <c r="J65" s="329">
        <v>127.84000000000002</v>
      </c>
      <c r="K65" s="330">
        <v>5.6715534246499534E-4</v>
      </c>
      <c r="L65" s="331">
        <v>76.759999999999948</v>
      </c>
      <c r="M65" s="340">
        <f t="shared" ref="M65:M69" si="6">L65*J65</f>
        <v>9812.9983999999949</v>
      </c>
      <c r="N65" s="331"/>
      <c r="O65" s="713" t="s">
        <v>654</v>
      </c>
      <c r="P65" s="714"/>
      <c r="R65" s="363"/>
      <c r="S65" s="362"/>
    </row>
    <row r="66" spans="1:20" s="311" customFormat="1" ht="55.5" customHeight="1">
      <c r="A66" s="684"/>
      <c r="B66" s="718"/>
      <c r="C66" s="291">
        <v>2</v>
      </c>
      <c r="D66" s="249" t="s">
        <v>563</v>
      </c>
      <c r="E66" s="250"/>
      <c r="F66" s="251"/>
      <c r="G66" s="319" t="s">
        <v>584</v>
      </c>
      <c r="H66" s="318"/>
      <c r="I66" s="319"/>
      <c r="J66" s="329">
        <v>144.78</v>
      </c>
      <c r="K66" s="330">
        <v>0</v>
      </c>
      <c r="L66" s="331">
        <v>67.020000000000209</v>
      </c>
      <c r="M66" s="340">
        <f t="shared" si="6"/>
        <v>9703.155600000031</v>
      </c>
      <c r="N66" s="331"/>
      <c r="O66" s="713" t="s">
        <v>654</v>
      </c>
      <c r="P66" s="714"/>
      <c r="R66" s="363"/>
      <c r="S66" s="361"/>
      <c r="T66" s="357"/>
    </row>
    <row r="67" spans="1:20" s="311" customFormat="1" ht="51" customHeight="1">
      <c r="A67" s="684"/>
      <c r="B67" s="718"/>
      <c r="C67" s="291">
        <v>3</v>
      </c>
      <c r="D67" s="249" t="s">
        <v>483</v>
      </c>
      <c r="E67" s="250"/>
      <c r="F67" s="251"/>
      <c r="G67" s="319" t="s">
        <v>482</v>
      </c>
      <c r="H67" s="318"/>
      <c r="I67" s="319"/>
      <c r="J67" s="329">
        <v>368.13999999999993</v>
      </c>
      <c r="K67" s="330">
        <v>2.2167007697554315E-3</v>
      </c>
      <c r="L67" s="331">
        <v>16.909999999999993</v>
      </c>
      <c r="M67" s="340">
        <f t="shared" si="6"/>
        <v>6225.2473999999966</v>
      </c>
      <c r="N67" s="331"/>
      <c r="O67" s="722" t="s">
        <v>734</v>
      </c>
      <c r="P67" s="723"/>
      <c r="R67" s="363"/>
      <c r="S67" s="362"/>
    </row>
    <row r="68" spans="1:20" s="311" customFormat="1" ht="60" customHeight="1">
      <c r="A68" s="684"/>
      <c r="B68" s="718"/>
      <c r="C68" s="291">
        <v>4</v>
      </c>
      <c r="D68" s="249" t="s">
        <v>483</v>
      </c>
      <c r="E68" s="250"/>
      <c r="F68" s="251"/>
      <c r="G68" s="319" t="s">
        <v>676</v>
      </c>
      <c r="H68" s="318"/>
      <c r="I68" s="319"/>
      <c r="J68" s="329">
        <v>160.49</v>
      </c>
      <c r="K68" s="330">
        <v>4.5169193079160931E-3</v>
      </c>
      <c r="L68" s="331">
        <v>30.030000000000019</v>
      </c>
      <c r="M68" s="340">
        <f t="shared" si="6"/>
        <v>4819.5147000000034</v>
      </c>
      <c r="N68" s="331"/>
      <c r="O68" s="713" t="s">
        <v>654</v>
      </c>
      <c r="P68" s="714"/>
      <c r="R68" s="363"/>
      <c r="S68" s="361"/>
      <c r="T68" s="357"/>
    </row>
    <row r="69" spans="1:20" s="311" customFormat="1" ht="60" customHeight="1" thickBot="1">
      <c r="A69" s="684"/>
      <c r="B69" s="718"/>
      <c r="C69" s="291">
        <v>5</v>
      </c>
      <c r="D69" s="249" t="s">
        <v>349</v>
      </c>
      <c r="E69" s="257"/>
      <c r="F69" s="258"/>
      <c r="G69" s="319" t="s">
        <v>472</v>
      </c>
      <c r="H69" s="318"/>
      <c r="I69" s="319"/>
      <c r="J69" s="333">
        <v>200</v>
      </c>
      <c r="K69" s="260">
        <v>1.2097122612978487E-3</v>
      </c>
      <c r="L69" s="335">
        <v>22.940000000000058</v>
      </c>
      <c r="M69" s="340">
        <f t="shared" si="6"/>
        <v>4588.0000000000118</v>
      </c>
      <c r="N69" s="331"/>
      <c r="O69" s="722" t="s">
        <v>736</v>
      </c>
      <c r="P69" s="723"/>
      <c r="R69" s="364"/>
      <c r="S69" s="362"/>
      <c r="T69" s="301"/>
    </row>
    <row r="70" spans="1:20" ht="15.75" customHeight="1" thickTop="1" thickBot="1">
      <c r="A70" s="685"/>
      <c r="B70" s="719"/>
      <c r="C70" s="724"/>
      <c r="D70" s="725"/>
      <c r="E70" s="725"/>
      <c r="F70" s="725"/>
      <c r="G70" s="725"/>
      <c r="H70" s="725"/>
      <c r="I70" s="726"/>
      <c r="J70" s="370" t="s">
        <v>58</v>
      </c>
      <c r="K70" s="368">
        <f>M70/'生產管理報表 7-1 (週)'!$B$43</f>
        <v>0.19018993792117772</v>
      </c>
      <c r="L70" s="371" t="s">
        <v>59</v>
      </c>
      <c r="M70" s="372">
        <f>SUM(M65:M69)</f>
        <v>35148.916100000039</v>
      </c>
      <c r="N70" s="670"/>
      <c r="O70" s="671"/>
      <c r="P70" s="672"/>
      <c r="R70" s="361"/>
      <c r="S70" s="361"/>
    </row>
    <row r="71" spans="1:20" ht="15.75" customHeight="1" thickTop="1">
      <c r="M71" s="347"/>
      <c r="S71" s="362"/>
    </row>
    <row r="72" spans="1:20" ht="15.75" customHeight="1">
      <c r="A72" s="673" t="s">
        <v>193</v>
      </c>
      <c r="B72" s="674"/>
      <c r="C72" s="287" t="s">
        <v>47</v>
      </c>
      <c r="D72" s="701" t="s">
        <v>12</v>
      </c>
      <c r="E72" s="702"/>
      <c r="F72" s="703"/>
      <c r="G72" s="704" t="s">
        <v>53</v>
      </c>
      <c r="H72" s="705"/>
      <c r="I72" s="706"/>
      <c r="J72" s="429" t="s">
        <v>54</v>
      </c>
      <c r="K72" s="288" t="s">
        <v>55</v>
      </c>
      <c r="L72" s="288" t="s">
        <v>56</v>
      </c>
      <c r="M72" s="348" t="s">
        <v>11</v>
      </c>
      <c r="N72" s="289" t="s">
        <v>340</v>
      </c>
      <c r="O72" s="681" t="s">
        <v>51</v>
      </c>
      <c r="P72" s="682"/>
      <c r="S72" s="361"/>
      <c r="T72" s="357"/>
    </row>
    <row r="73" spans="1:20" s="311" customFormat="1" ht="35.25" customHeight="1">
      <c r="A73" s="683">
        <v>5</v>
      </c>
      <c r="B73" s="696" t="s">
        <v>218</v>
      </c>
      <c r="C73" s="291">
        <v>1</v>
      </c>
      <c r="D73" s="249" t="s">
        <v>349</v>
      </c>
      <c r="E73" s="250"/>
      <c r="F73" s="251"/>
      <c r="G73" s="319" t="s">
        <v>344</v>
      </c>
      <c r="H73" s="318"/>
      <c r="I73" s="319"/>
      <c r="J73" s="329">
        <v>147.43000000000004</v>
      </c>
      <c r="K73" s="330">
        <v>8.6148608961021656E-4</v>
      </c>
      <c r="L73" s="331">
        <v>68.769999999999257</v>
      </c>
      <c r="M73" s="340">
        <f>L73*J73</f>
        <v>10138.761099999892</v>
      </c>
      <c r="N73" s="331"/>
      <c r="O73" s="762" t="s">
        <v>652</v>
      </c>
      <c r="P73" s="763"/>
      <c r="S73" s="362"/>
    </row>
    <row r="74" spans="1:20" s="311" customFormat="1" ht="25" customHeight="1">
      <c r="A74" s="684"/>
      <c r="B74" s="697"/>
      <c r="C74" s="291">
        <v>2</v>
      </c>
      <c r="D74" s="249"/>
      <c r="E74" s="250"/>
      <c r="F74" s="251"/>
      <c r="G74" s="378"/>
      <c r="H74" s="318"/>
      <c r="I74" s="319"/>
      <c r="J74" s="329"/>
      <c r="K74" s="330"/>
      <c r="L74" s="331"/>
      <c r="M74" s="340">
        <f t="shared" ref="M74:M77" si="7">L74*J74</f>
        <v>0</v>
      </c>
      <c r="N74" s="331"/>
      <c r="O74" s="709"/>
      <c r="P74" s="710"/>
      <c r="S74" s="361"/>
      <c r="T74" s="358"/>
    </row>
    <row r="75" spans="1:20" ht="25" customHeight="1">
      <c r="A75" s="684"/>
      <c r="B75" s="697"/>
      <c r="C75" s="291">
        <v>3</v>
      </c>
      <c r="D75" s="249"/>
      <c r="E75" s="250"/>
      <c r="F75" s="251"/>
      <c r="G75" s="378"/>
      <c r="H75" s="318"/>
      <c r="I75" s="319"/>
      <c r="J75" s="329"/>
      <c r="K75" s="330"/>
      <c r="L75" s="331"/>
      <c r="M75" s="340">
        <f t="shared" si="7"/>
        <v>0</v>
      </c>
      <c r="N75" s="300"/>
      <c r="O75" s="691"/>
      <c r="P75" s="692"/>
    </row>
    <row r="76" spans="1:20" ht="25" customHeight="1">
      <c r="A76" s="684"/>
      <c r="B76" s="697"/>
      <c r="C76" s="291">
        <v>4</v>
      </c>
      <c r="D76" s="292"/>
      <c r="E76" s="293"/>
      <c r="F76" s="294"/>
      <c r="G76" s="378"/>
      <c r="H76" s="318"/>
      <c r="I76" s="319"/>
      <c r="J76" s="298"/>
      <c r="K76" s="299"/>
      <c r="L76" s="300"/>
      <c r="M76" s="340">
        <f t="shared" si="7"/>
        <v>0</v>
      </c>
      <c r="N76" s="300"/>
      <c r="O76" s="312"/>
      <c r="P76" s="313"/>
    </row>
    <row r="77" spans="1:20" ht="25" customHeight="1" thickBot="1">
      <c r="A77" s="684"/>
      <c r="B77" s="697"/>
      <c r="C77" s="291">
        <v>5</v>
      </c>
      <c r="D77" s="302"/>
      <c r="E77" s="303"/>
      <c r="F77" s="304"/>
      <c r="G77" s="378"/>
      <c r="H77" s="318"/>
      <c r="I77" s="319"/>
      <c r="J77" s="305"/>
      <c r="K77" s="260"/>
      <c r="L77" s="307"/>
      <c r="M77" s="340">
        <f t="shared" si="7"/>
        <v>0</v>
      </c>
      <c r="N77" s="300"/>
      <c r="O77" s="314"/>
      <c r="P77" s="315"/>
      <c r="R77" s="365"/>
    </row>
    <row r="78" spans="1:20" ht="15.75" customHeight="1" thickTop="1" thickBot="1">
      <c r="A78" s="685"/>
      <c r="B78" s="698"/>
      <c r="C78" s="693"/>
      <c r="D78" s="694"/>
      <c r="E78" s="694"/>
      <c r="F78" s="694"/>
      <c r="G78" s="694"/>
      <c r="H78" s="694"/>
      <c r="I78" s="695"/>
      <c r="J78" s="370" t="s">
        <v>58</v>
      </c>
      <c r="K78" s="368">
        <f>M78/'生產管理報表 7-1 (週)'!$B$43</f>
        <v>5.4860591965924917E-2</v>
      </c>
      <c r="L78" s="371" t="s">
        <v>59</v>
      </c>
      <c r="M78" s="372">
        <f>SUM(M73:M77)</f>
        <v>10138.761099999892</v>
      </c>
      <c r="N78" s="670"/>
      <c r="O78" s="671"/>
      <c r="P78" s="672"/>
      <c r="R78" s="361"/>
    </row>
    <row r="79" spans="1:20" ht="25" customHeight="1" thickTop="1">
      <c r="K79" s="301" t="s">
        <v>557</v>
      </c>
      <c r="M79" s="347"/>
      <c r="R79" s="361"/>
    </row>
    <row r="80" spans="1:20" ht="25" customHeight="1">
      <c r="A80" s="673" t="s">
        <v>193</v>
      </c>
      <c r="B80" s="674"/>
      <c r="C80" s="316" t="s">
        <v>47</v>
      </c>
      <c r="D80" s="675" t="s">
        <v>12</v>
      </c>
      <c r="E80" s="676"/>
      <c r="F80" s="677"/>
      <c r="G80" s="678" t="s">
        <v>53</v>
      </c>
      <c r="H80" s="679"/>
      <c r="I80" s="680"/>
      <c r="J80" s="317" t="s">
        <v>54</v>
      </c>
      <c r="K80" s="288" t="s">
        <v>55</v>
      </c>
      <c r="L80" s="288" t="s">
        <v>56</v>
      </c>
      <c r="M80" s="348" t="s">
        <v>11</v>
      </c>
      <c r="N80" s="289" t="s">
        <v>340</v>
      </c>
      <c r="O80" s="681" t="s">
        <v>51</v>
      </c>
      <c r="P80" s="682"/>
      <c r="R80" s="361"/>
    </row>
    <row r="81" spans="1:16" ht="50.15" customHeight="1">
      <c r="A81" s="683">
        <v>6</v>
      </c>
      <c r="B81" s="696" t="s">
        <v>219</v>
      </c>
      <c r="C81" s="291">
        <v>1</v>
      </c>
      <c r="D81" s="366" t="s">
        <v>563</v>
      </c>
      <c r="E81" s="293"/>
      <c r="F81" s="294"/>
      <c r="G81" s="252" t="s">
        <v>582</v>
      </c>
      <c r="H81" s="253"/>
      <c r="I81" s="252"/>
      <c r="J81" s="329">
        <v>327.16000000000003</v>
      </c>
      <c r="K81" s="330">
        <v>3.0695315627919393E-3</v>
      </c>
      <c r="L81" s="331">
        <v>15.850000000000055</v>
      </c>
      <c r="M81" s="340">
        <f t="shared" ref="M81:M85" si="8">L81*J81</f>
        <v>5185.4860000000181</v>
      </c>
      <c r="N81" s="300"/>
      <c r="O81" s="699" t="s">
        <v>701</v>
      </c>
      <c r="P81" s="700"/>
    </row>
    <row r="82" spans="1:16" ht="50.15" customHeight="1">
      <c r="A82" s="684"/>
      <c r="B82" s="697"/>
      <c r="C82" s="291">
        <v>2</v>
      </c>
      <c r="D82" s="249" t="s">
        <v>508</v>
      </c>
      <c r="E82" s="293"/>
      <c r="F82" s="294"/>
      <c r="G82" s="252" t="s">
        <v>512</v>
      </c>
      <c r="H82" s="253"/>
      <c r="I82" s="252"/>
      <c r="J82" s="329">
        <v>68.42</v>
      </c>
      <c r="K82" s="330">
        <v>1.6634992480403109E-3</v>
      </c>
      <c r="L82" s="331">
        <v>65.750000000000057</v>
      </c>
      <c r="M82" s="340">
        <f t="shared" si="8"/>
        <v>4498.6150000000043</v>
      </c>
      <c r="N82" s="300"/>
      <c r="O82" s="699" t="s">
        <v>657</v>
      </c>
      <c r="P82" s="700"/>
    </row>
    <row r="83" spans="1:16" ht="50.15" customHeight="1">
      <c r="A83" s="684"/>
      <c r="B83" s="697"/>
      <c r="C83" s="291">
        <v>3</v>
      </c>
      <c r="D83" s="249" t="s">
        <v>481</v>
      </c>
      <c r="E83" s="293"/>
      <c r="F83" s="294"/>
      <c r="G83" s="252" t="s">
        <v>707</v>
      </c>
      <c r="H83" s="253"/>
      <c r="I83" s="252"/>
      <c r="J83" s="329">
        <v>51.87</v>
      </c>
      <c r="K83" s="330">
        <v>2.2658004491498233E-3</v>
      </c>
      <c r="L83" s="331">
        <v>50.149999999999963</v>
      </c>
      <c r="M83" s="340">
        <f t="shared" si="8"/>
        <v>2601.280499999998</v>
      </c>
      <c r="N83" s="300"/>
      <c r="O83" s="699" t="s">
        <v>657</v>
      </c>
      <c r="P83" s="700"/>
    </row>
    <row r="84" spans="1:16" ht="66" customHeight="1">
      <c r="A84" s="684"/>
      <c r="B84" s="697"/>
      <c r="C84" s="291">
        <v>4</v>
      </c>
      <c r="D84" s="249" t="s">
        <v>351</v>
      </c>
      <c r="E84" s="293"/>
      <c r="F84" s="294"/>
      <c r="G84" s="252" t="s">
        <v>623</v>
      </c>
      <c r="H84" s="253"/>
      <c r="I84" s="252"/>
      <c r="J84" s="329">
        <v>605.77999999999986</v>
      </c>
      <c r="K84" s="330">
        <v>2.4775826416748465E-4</v>
      </c>
      <c r="L84" s="331">
        <v>4.1900000000000457</v>
      </c>
      <c r="M84" s="340">
        <f t="shared" si="8"/>
        <v>2538.2182000000271</v>
      </c>
      <c r="N84" s="300"/>
      <c r="O84" s="699" t="s">
        <v>658</v>
      </c>
      <c r="P84" s="700"/>
    </row>
    <row r="85" spans="1:16" ht="50.15" customHeight="1" thickBot="1">
      <c r="A85" s="684"/>
      <c r="B85" s="697"/>
      <c r="C85" s="291">
        <v>5</v>
      </c>
      <c r="D85" s="256" t="s">
        <v>349</v>
      </c>
      <c r="E85" s="303"/>
      <c r="F85" s="304"/>
      <c r="G85" s="319" t="s">
        <v>566</v>
      </c>
      <c r="H85" s="318"/>
      <c r="I85" s="319"/>
      <c r="J85" s="333">
        <v>3.2199999999999998</v>
      </c>
      <c r="K85" s="260">
        <v>0</v>
      </c>
      <c r="L85" s="335">
        <v>733</v>
      </c>
      <c r="M85" s="340">
        <f t="shared" si="8"/>
        <v>2360.2599999999998</v>
      </c>
      <c r="N85" s="300"/>
      <c r="O85" s="699" t="s">
        <v>701</v>
      </c>
      <c r="P85" s="700"/>
    </row>
    <row r="86" spans="1:16" ht="15.75" customHeight="1" thickTop="1" thickBot="1">
      <c r="A86" s="685"/>
      <c r="B86" s="698"/>
      <c r="C86" s="693"/>
      <c r="D86" s="694"/>
      <c r="E86" s="694"/>
      <c r="F86" s="694"/>
      <c r="G86" s="694"/>
      <c r="H86" s="694"/>
      <c r="I86" s="695"/>
      <c r="J86" s="370" t="s">
        <v>58</v>
      </c>
      <c r="K86" s="368">
        <f>M86/'生產管理報表 7-1 (週)'!$B$43</f>
        <v>9.2981450702237539E-2</v>
      </c>
      <c r="L86" s="371" t="s">
        <v>59</v>
      </c>
      <c r="M86" s="372">
        <f>SUM(M81:M85)</f>
        <v>17183.859700000048</v>
      </c>
      <c r="N86" s="670"/>
      <c r="O86" s="671"/>
      <c r="P86" s="672"/>
    </row>
    <row r="87" spans="1:16" ht="15.75" customHeight="1" thickTop="1"/>
  </sheetData>
  <mergeCells count="160">
    <mergeCell ref="N6:O6"/>
    <mergeCell ref="A8:B8"/>
    <mergeCell ref="D8:F8"/>
    <mergeCell ref="G8:I8"/>
    <mergeCell ref="O8:P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4296875" defaultRowHeight="15.75" customHeight="1"/>
  <cols>
    <col min="1" max="1" width="5.453125" style="99" customWidth="1"/>
    <col min="2" max="2" width="7.81640625" style="135" customWidth="1"/>
    <col min="3" max="3" width="4" style="132" customWidth="1"/>
    <col min="4" max="17" width="8.54296875" style="99" customWidth="1"/>
    <col min="18" max="16384" width="12.54296875" style="99"/>
  </cols>
  <sheetData>
    <row r="1" spans="1:17" ht="15.75" customHeight="1">
      <c r="A1" s="454" t="s">
        <v>381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</row>
    <row r="2" spans="1:17" s="100" customFormat="1" ht="15.75" customHeight="1">
      <c r="A2" s="454"/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</row>
    <row r="3" spans="1:17" ht="15.75" customHeight="1">
      <c r="A3" s="615" t="s">
        <v>402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</row>
    <row r="4" spans="1:17" s="100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</row>
    <row r="5" spans="1:17" ht="15.75" customHeight="1">
      <c r="A5" s="487" t="s">
        <v>193</v>
      </c>
      <c r="B5" s="813">
        <v>1</v>
      </c>
      <c r="C5" s="813"/>
      <c r="D5" s="813">
        <v>2</v>
      </c>
      <c r="E5" s="813"/>
      <c r="F5" s="813">
        <v>3</v>
      </c>
      <c r="G5" s="813"/>
      <c r="H5" s="813">
        <v>4</v>
      </c>
      <c r="I5" s="813"/>
      <c r="J5" s="813">
        <v>5</v>
      </c>
      <c r="K5" s="813"/>
      <c r="L5" s="813">
        <v>6</v>
      </c>
      <c r="M5" s="813"/>
      <c r="N5" s="813">
        <v>7</v>
      </c>
      <c r="O5" s="813"/>
      <c r="P5" s="815">
        <v>8</v>
      </c>
      <c r="Q5" s="815"/>
    </row>
    <row r="6" spans="1:17" ht="15.75" customHeight="1">
      <c r="A6" s="487"/>
      <c r="B6" s="487" t="s">
        <v>258</v>
      </c>
      <c r="C6" s="487"/>
      <c r="D6" s="487" t="s">
        <v>347</v>
      </c>
      <c r="E6" s="487"/>
      <c r="F6" s="487" t="s">
        <v>168</v>
      </c>
      <c r="G6" s="487"/>
      <c r="H6" s="487" t="s">
        <v>477</v>
      </c>
      <c r="I6" s="487"/>
      <c r="J6" s="487" t="s">
        <v>191</v>
      </c>
      <c r="K6" s="487"/>
      <c r="L6" s="487" t="s">
        <v>169</v>
      </c>
      <c r="M6" s="487"/>
      <c r="N6" s="487" t="s">
        <v>192</v>
      </c>
      <c r="O6" s="487"/>
      <c r="P6" s="818" t="s">
        <v>221</v>
      </c>
      <c r="Q6" s="818"/>
    </row>
    <row r="8" spans="1:17" s="106" customFormat="1" ht="15.75" customHeight="1">
      <c r="A8" s="133" t="s">
        <v>195</v>
      </c>
      <c r="B8" s="133" t="s">
        <v>18</v>
      </c>
      <c r="C8" s="812" t="s">
        <v>12</v>
      </c>
      <c r="D8" s="812"/>
      <c r="E8" s="812"/>
      <c r="F8" s="812" t="s">
        <v>53</v>
      </c>
      <c r="G8" s="812"/>
      <c r="H8" s="812"/>
      <c r="I8" s="133" t="s">
        <v>54</v>
      </c>
      <c r="J8" s="136" t="s">
        <v>19</v>
      </c>
      <c r="K8" s="133" t="s">
        <v>57</v>
      </c>
      <c r="L8" s="133" t="s">
        <v>2</v>
      </c>
      <c r="M8" s="812" t="s">
        <v>50</v>
      </c>
      <c r="N8" s="812"/>
      <c r="O8" s="812"/>
      <c r="P8" s="812"/>
      <c r="Q8" s="812"/>
    </row>
    <row r="9" spans="1:17" ht="15.75" customHeight="1">
      <c r="A9" s="812" t="s">
        <v>194</v>
      </c>
      <c r="B9" s="131">
        <v>1</v>
      </c>
      <c r="C9" s="816"/>
      <c r="D9" s="817"/>
      <c r="E9" s="817"/>
      <c r="F9" s="816"/>
      <c r="G9" s="817"/>
      <c r="H9" s="817"/>
      <c r="I9" s="108"/>
      <c r="J9" s="119"/>
      <c r="K9" s="119"/>
      <c r="L9" s="137">
        <f t="shared" ref="L9:L13" si="0">K9-J9</f>
        <v>0</v>
      </c>
      <c r="M9" s="816"/>
      <c r="N9" s="816"/>
      <c r="O9" s="816"/>
      <c r="P9" s="816"/>
      <c r="Q9" s="816"/>
    </row>
    <row r="10" spans="1:17" ht="15.75" customHeight="1">
      <c r="A10" s="812"/>
      <c r="B10" s="131">
        <v>2</v>
      </c>
      <c r="C10" s="816"/>
      <c r="D10" s="817"/>
      <c r="E10" s="817"/>
      <c r="F10" s="816"/>
      <c r="G10" s="817"/>
      <c r="H10" s="817"/>
      <c r="I10" s="108"/>
      <c r="J10" s="119"/>
      <c r="K10" s="119"/>
      <c r="L10" s="137">
        <f t="shared" si="0"/>
        <v>0</v>
      </c>
      <c r="M10" s="816"/>
      <c r="N10" s="816"/>
      <c r="O10" s="816"/>
      <c r="P10" s="816"/>
      <c r="Q10" s="816"/>
    </row>
    <row r="11" spans="1:17" ht="15.75" customHeight="1">
      <c r="A11" s="812"/>
      <c r="B11" s="131">
        <v>3</v>
      </c>
      <c r="C11" s="816"/>
      <c r="D11" s="817"/>
      <c r="E11" s="817"/>
      <c r="F11" s="816"/>
      <c r="G11" s="817"/>
      <c r="H11" s="817"/>
      <c r="I11" s="108"/>
      <c r="J11" s="119"/>
      <c r="K11" s="119"/>
      <c r="L11" s="137">
        <f t="shared" si="0"/>
        <v>0</v>
      </c>
      <c r="M11" s="816"/>
      <c r="N11" s="816"/>
      <c r="O11" s="816"/>
      <c r="P11" s="816"/>
      <c r="Q11" s="816"/>
    </row>
    <row r="12" spans="1:17" ht="15.75" customHeight="1">
      <c r="A12" s="812"/>
      <c r="B12" s="131">
        <v>4</v>
      </c>
      <c r="C12" s="816"/>
      <c r="D12" s="817"/>
      <c r="E12" s="817"/>
      <c r="F12" s="816"/>
      <c r="G12" s="817"/>
      <c r="H12" s="817"/>
      <c r="I12" s="108"/>
      <c r="J12" s="119"/>
      <c r="K12" s="119"/>
      <c r="L12" s="137">
        <f t="shared" si="0"/>
        <v>0</v>
      </c>
      <c r="M12" s="816"/>
      <c r="N12" s="816"/>
      <c r="O12" s="816"/>
      <c r="P12" s="816"/>
      <c r="Q12" s="816"/>
    </row>
    <row r="13" spans="1:17" ht="15.75" customHeight="1">
      <c r="A13" s="812"/>
      <c r="B13" s="131">
        <v>5</v>
      </c>
      <c r="C13" s="816"/>
      <c r="D13" s="817"/>
      <c r="E13" s="817"/>
      <c r="F13" s="816"/>
      <c r="G13" s="817"/>
      <c r="H13" s="817"/>
      <c r="I13" s="108"/>
      <c r="J13" s="119"/>
      <c r="K13" s="119"/>
      <c r="L13" s="137">
        <f t="shared" si="0"/>
        <v>0</v>
      </c>
      <c r="M13" s="816"/>
      <c r="N13" s="816"/>
      <c r="O13" s="816"/>
      <c r="P13" s="816"/>
      <c r="Q13" s="816"/>
    </row>
    <row r="14" spans="1:17" ht="15.75" customHeight="1">
      <c r="A14" s="819"/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19"/>
      <c r="N14" s="819"/>
      <c r="O14" s="820"/>
    </row>
    <row r="15" spans="1:17" s="106" customFormat="1" ht="15.75" customHeight="1">
      <c r="A15" s="133" t="s">
        <v>195</v>
      </c>
      <c r="B15" s="133" t="s">
        <v>18</v>
      </c>
      <c r="C15" s="812" t="s">
        <v>12</v>
      </c>
      <c r="D15" s="812"/>
      <c r="E15" s="812"/>
      <c r="F15" s="812" t="s">
        <v>53</v>
      </c>
      <c r="G15" s="812"/>
      <c r="H15" s="812"/>
      <c r="I15" s="133" t="s">
        <v>54</v>
      </c>
      <c r="J15" s="136" t="s">
        <v>19</v>
      </c>
      <c r="K15" s="133" t="s">
        <v>57</v>
      </c>
      <c r="L15" s="133" t="s">
        <v>2</v>
      </c>
      <c r="M15" s="812" t="s">
        <v>50</v>
      </c>
      <c r="N15" s="812"/>
      <c r="O15" s="812"/>
      <c r="P15" s="812"/>
      <c r="Q15" s="812"/>
    </row>
    <row r="16" spans="1:17" ht="15.75" customHeight="1">
      <c r="A16" s="812" t="s">
        <v>196</v>
      </c>
      <c r="B16" s="131">
        <v>1</v>
      </c>
      <c r="C16" s="816"/>
      <c r="D16" s="817"/>
      <c r="E16" s="817"/>
      <c r="F16" s="816"/>
      <c r="G16" s="817"/>
      <c r="H16" s="817"/>
      <c r="I16" s="108"/>
      <c r="J16" s="119"/>
      <c r="K16" s="119"/>
      <c r="L16" s="137">
        <f t="shared" ref="L16:L19" si="1">K16-J16</f>
        <v>0</v>
      </c>
      <c r="M16" s="816"/>
      <c r="N16" s="816"/>
      <c r="O16" s="816"/>
      <c r="P16" s="816"/>
      <c r="Q16" s="816"/>
    </row>
    <row r="17" spans="1:17" ht="15.75" customHeight="1">
      <c r="A17" s="812"/>
      <c r="B17" s="131">
        <v>2</v>
      </c>
      <c r="C17" s="816"/>
      <c r="D17" s="817"/>
      <c r="E17" s="817"/>
      <c r="F17" s="816"/>
      <c r="G17" s="817"/>
      <c r="H17" s="817"/>
      <c r="I17" s="108"/>
      <c r="J17" s="119"/>
      <c r="K17" s="119"/>
      <c r="L17" s="137">
        <f t="shared" si="1"/>
        <v>0</v>
      </c>
      <c r="M17" s="816"/>
      <c r="N17" s="816"/>
      <c r="O17" s="816"/>
      <c r="P17" s="816"/>
      <c r="Q17" s="816"/>
    </row>
    <row r="18" spans="1:17" ht="15.75" customHeight="1">
      <c r="A18" s="812"/>
      <c r="B18" s="131">
        <v>3</v>
      </c>
      <c r="C18" s="816"/>
      <c r="D18" s="817"/>
      <c r="E18" s="817"/>
      <c r="F18" s="816"/>
      <c r="G18" s="817"/>
      <c r="H18" s="817"/>
      <c r="I18" s="108"/>
      <c r="J18" s="119"/>
      <c r="K18" s="119"/>
      <c r="L18" s="137">
        <f t="shared" si="1"/>
        <v>0</v>
      </c>
      <c r="M18" s="816"/>
      <c r="N18" s="816"/>
      <c r="O18" s="816"/>
      <c r="P18" s="816"/>
      <c r="Q18" s="816"/>
    </row>
    <row r="19" spans="1:17" ht="15.75" customHeight="1">
      <c r="A19" s="812"/>
      <c r="B19" s="131">
        <v>4</v>
      </c>
      <c r="C19" s="816"/>
      <c r="D19" s="817"/>
      <c r="E19" s="817"/>
      <c r="F19" s="816"/>
      <c r="G19" s="817"/>
      <c r="H19" s="817"/>
      <c r="I19" s="108"/>
      <c r="J19" s="119"/>
      <c r="K19" s="119"/>
      <c r="L19" s="137">
        <f t="shared" si="1"/>
        <v>0</v>
      </c>
      <c r="M19" s="816"/>
      <c r="N19" s="816"/>
      <c r="O19" s="816"/>
      <c r="P19" s="816"/>
      <c r="Q19" s="816"/>
    </row>
    <row r="20" spans="1:17" ht="15.75" customHeight="1">
      <c r="A20" s="812"/>
      <c r="B20" s="131">
        <v>5</v>
      </c>
      <c r="C20" s="816"/>
      <c r="D20" s="817"/>
      <c r="E20" s="817"/>
      <c r="F20" s="816"/>
      <c r="G20" s="817"/>
      <c r="H20" s="817"/>
      <c r="I20" s="108"/>
      <c r="J20" s="119"/>
      <c r="K20" s="119"/>
      <c r="L20" s="137">
        <f>K20-J20</f>
        <v>0</v>
      </c>
      <c r="M20" s="816"/>
      <c r="N20" s="816"/>
      <c r="O20" s="816"/>
      <c r="P20" s="816"/>
      <c r="Q20" s="81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L38"/>
  <sheetViews>
    <sheetView topLeftCell="A7" zoomScale="70" zoomScaleNormal="70" workbookViewId="0">
      <selection activeCell="Q35" sqref="Q35"/>
    </sheetView>
  </sheetViews>
  <sheetFormatPr defaultColWidth="9.1796875" defaultRowHeight="15.5"/>
  <cols>
    <col min="1" max="1" width="20.26953125" style="236" customWidth="1"/>
    <col min="2" max="2" width="20.7265625" style="236" bestFit="1" customWidth="1"/>
    <col min="3" max="4" width="15.7265625" style="236" customWidth="1"/>
    <col min="5" max="5" width="18.81640625" style="236" bestFit="1" customWidth="1"/>
    <col min="6" max="6" width="15.7265625" style="236" customWidth="1"/>
    <col min="7" max="10" width="20.26953125" style="236" customWidth="1"/>
    <col min="11" max="11" width="18.81640625" style="356" bestFit="1" customWidth="1"/>
    <col min="12" max="12" width="17.54296875" style="356" customWidth="1"/>
    <col min="13" max="13" width="18.81640625" style="236" bestFit="1" customWidth="1"/>
    <col min="14" max="14" width="15.453125" style="236" customWidth="1"/>
    <col min="15" max="15" width="9.1796875" style="236"/>
    <col min="16" max="17" width="12.453125" style="236" bestFit="1" customWidth="1"/>
    <col min="18" max="19" width="9.1796875" style="236"/>
    <col min="20" max="20" width="13.81640625" style="236" bestFit="1" customWidth="1"/>
    <col min="21" max="21" width="9.1796875" style="236"/>
    <col min="22" max="23" width="12.453125" style="236" bestFit="1" customWidth="1"/>
    <col min="24" max="25" width="9.1796875" style="236"/>
    <col min="26" max="26" width="13.81640625" style="236" bestFit="1" customWidth="1"/>
    <col min="27" max="28" width="9.1796875" style="236"/>
    <col min="29" max="29" width="12.453125" style="236" bestFit="1" customWidth="1"/>
    <col min="30" max="31" width="9.1796875" style="236"/>
    <col min="32" max="32" width="13.81640625" style="236" bestFit="1" customWidth="1"/>
    <col min="33" max="34" width="9.1796875" style="236"/>
    <col min="35" max="35" width="12.453125" style="236" bestFit="1" customWidth="1"/>
    <col min="36" max="37" width="9.1796875" style="236"/>
    <col min="38" max="38" width="13.81640625" style="236" bestFit="1" customWidth="1"/>
    <col min="39" max="16384" width="9.1796875" style="236"/>
  </cols>
  <sheetData>
    <row r="1" spans="1:38" ht="25.5">
      <c r="A1" s="823" t="s">
        <v>450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</row>
    <row r="2" spans="1:38" ht="16.5" customHeight="1">
      <c r="A2" s="826" t="s">
        <v>451</v>
      </c>
      <c r="B2" s="826" t="s">
        <v>136</v>
      </c>
      <c r="C2" s="826" t="s">
        <v>452</v>
      </c>
      <c r="D2" s="826" t="s">
        <v>453</v>
      </c>
      <c r="E2" s="826" t="s">
        <v>446</v>
      </c>
      <c r="F2" s="826" t="s">
        <v>447</v>
      </c>
      <c r="G2" s="826" t="s">
        <v>454</v>
      </c>
      <c r="H2" s="826"/>
      <c r="I2" s="826" t="s">
        <v>455</v>
      </c>
      <c r="J2" s="826"/>
      <c r="K2" s="822" t="s">
        <v>467</v>
      </c>
      <c r="L2" s="822"/>
      <c r="M2" s="825" t="s">
        <v>448</v>
      </c>
      <c r="N2" s="825" t="s">
        <v>449</v>
      </c>
    </row>
    <row r="3" spans="1:38" ht="37.5" customHeight="1">
      <c r="A3" s="826"/>
      <c r="B3" s="826"/>
      <c r="C3" s="826"/>
      <c r="D3" s="826"/>
      <c r="E3" s="826"/>
      <c r="F3" s="826"/>
      <c r="G3" s="237" t="s">
        <v>456</v>
      </c>
      <c r="H3" s="237" t="s">
        <v>457</v>
      </c>
      <c r="I3" s="237" t="s">
        <v>456</v>
      </c>
      <c r="J3" s="237" t="s">
        <v>457</v>
      </c>
      <c r="K3" s="353" t="s">
        <v>468</v>
      </c>
      <c r="L3" s="353" t="s">
        <v>469</v>
      </c>
      <c r="M3" s="825"/>
      <c r="N3" s="825"/>
      <c r="P3" s="443" t="s">
        <v>612</v>
      </c>
      <c r="Q3" s="373">
        <f>C38</f>
        <v>300793.99249999993</v>
      </c>
      <c r="S3" s="444" t="s">
        <v>613</v>
      </c>
      <c r="T3" s="373">
        <f>E38</f>
        <v>700072.61297999998</v>
      </c>
      <c r="V3" s="385"/>
      <c r="W3" s="373"/>
      <c r="Y3" s="385"/>
      <c r="Z3" s="373"/>
      <c r="AB3" s="424"/>
      <c r="AC3" s="373"/>
      <c r="AE3" s="424"/>
      <c r="AF3" s="373"/>
      <c r="AH3" s="424"/>
      <c r="AI3" s="373"/>
      <c r="AK3" s="424"/>
      <c r="AL3" s="373"/>
    </row>
    <row r="4" spans="1:38" ht="18">
      <c r="A4" s="239">
        <v>46021</v>
      </c>
      <c r="B4" s="376">
        <v>4991542.16</v>
      </c>
      <c r="C4" s="377">
        <v>12059.300500000003</v>
      </c>
      <c r="D4" s="320">
        <f t="shared" ref="D4:D36" si="0">C4/B4</f>
        <v>2.415946838361474E-3</v>
      </c>
      <c r="E4" s="377">
        <v>29060.506900000015</v>
      </c>
      <c r="F4" s="235">
        <f t="shared" ref="F4:F36" si="1">E4/B4</f>
        <v>5.8219496036471452E-3</v>
      </c>
      <c r="G4" s="376">
        <v>2986.1796999999997</v>
      </c>
      <c r="H4" s="235">
        <f t="shared" ref="H4:H36" si="2">G4/C4</f>
        <v>0.24762461968668903</v>
      </c>
      <c r="I4" s="238">
        <v>8246.5270000000055</v>
      </c>
      <c r="J4" s="235">
        <f t="shared" ref="J4:J36" si="3">I4/E4</f>
        <v>0.28377092761585659</v>
      </c>
      <c r="K4" s="354">
        <v>1639.9224999999997</v>
      </c>
      <c r="L4" s="355">
        <f t="shared" ref="L4:L36" si="4">K4/C4</f>
        <v>0.13598819434012771</v>
      </c>
      <c r="M4" s="821">
        <f t="shared" ref="M4" si="5">SUM(C4:C10)</f>
        <v>78000.197800000009</v>
      </c>
      <c r="N4" s="821">
        <f t="shared" ref="N4" si="6">SUM(E4:E10)</f>
        <v>184859.35860000001</v>
      </c>
    </row>
    <row r="5" spans="1:38" ht="18">
      <c r="A5" s="240">
        <f t="shared" ref="A5" si="7">A4+1</f>
        <v>46022</v>
      </c>
      <c r="B5" s="376">
        <v>3992684.87</v>
      </c>
      <c r="C5" s="377">
        <v>9631.3084999999974</v>
      </c>
      <c r="D5" s="320">
        <f t="shared" si="0"/>
        <v>2.4122385847095409E-3</v>
      </c>
      <c r="E5" s="377">
        <v>23164.502299999971</v>
      </c>
      <c r="F5" s="235">
        <f t="shared" si="1"/>
        <v>5.8017356876952754E-3</v>
      </c>
      <c r="G5" s="376">
        <v>3073.0382</v>
      </c>
      <c r="H5" s="235">
        <f t="shared" si="2"/>
        <v>0.31906757010223491</v>
      </c>
      <c r="I5" s="238">
        <v>10071.3205</v>
      </c>
      <c r="J5" s="235">
        <f t="shared" si="3"/>
        <v>0.43477387813335461</v>
      </c>
      <c r="K5" s="354">
        <v>912.40840000000003</v>
      </c>
      <c r="L5" s="355">
        <f t="shared" si="4"/>
        <v>9.473358682260051E-2</v>
      </c>
      <c r="M5" s="821"/>
      <c r="N5" s="821"/>
    </row>
    <row r="6" spans="1:38" s="356" customFormat="1" ht="18">
      <c r="A6" s="239">
        <v>46023</v>
      </c>
      <c r="B6" s="376">
        <f>'[2]0101分析標準表'!$C$3</f>
        <v>4613445.45</v>
      </c>
      <c r="C6" s="377">
        <f>VLOOKUP("總計",'[2]0101'!$N:$Q,4,0)</f>
        <v>11174.102800000002</v>
      </c>
      <c r="D6" s="320">
        <f t="shared" si="0"/>
        <v>2.4220732467964919E-3</v>
      </c>
      <c r="E6" s="377">
        <f>VLOOKUP("總計",'[2]0101'!$N:$R,5,0)</f>
        <v>27094.063899999997</v>
      </c>
      <c r="F6" s="235">
        <f t="shared" si="1"/>
        <v>5.87284800343743E-3</v>
      </c>
      <c r="G6" s="376">
        <f>'[2]0101分析標準表'!$H$5</f>
        <v>3040.7504999999996</v>
      </c>
      <c r="H6" s="235">
        <f t="shared" si="2"/>
        <v>0.27212480092808872</v>
      </c>
      <c r="I6" s="238">
        <f>'[2]0101分析標準表'!$J$5</f>
        <v>9037.0955999999969</v>
      </c>
      <c r="J6" s="235">
        <f t="shared" si="3"/>
        <v>0.3335452235351079</v>
      </c>
      <c r="K6" s="354">
        <f>'[2]0101分析標準表'!$L$5</f>
        <v>1580.4942000000003</v>
      </c>
      <c r="L6" s="355">
        <f t="shared" si="4"/>
        <v>0.14144260423306648</v>
      </c>
      <c r="M6" s="821"/>
      <c r="N6" s="821"/>
      <c r="O6" s="236"/>
      <c r="P6" s="236"/>
      <c r="Q6" s="236"/>
      <c r="R6" s="236"/>
      <c r="S6" s="236"/>
    </row>
    <row r="7" spans="1:38" s="356" customFormat="1" ht="18">
      <c r="A7" s="239">
        <f>A6+1</f>
        <v>46024</v>
      </c>
      <c r="B7" s="376">
        <f>'[2]0102分析標準表'!$C$3</f>
        <v>3838107.8</v>
      </c>
      <c r="C7" s="377">
        <f>VLOOKUP("總計",'[2]0102'!$N:$Q,4,0)</f>
        <v>9271.3768000000018</v>
      </c>
      <c r="D7" s="320">
        <f t="shared" si="0"/>
        <v>2.4156113593265939E-3</v>
      </c>
      <c r="E7" s="377">
        <f>VLOOKUP("總計",'[2]0102'!$N:$R,5,0)</f>
        <v>21656.885099999992</v>
      </c>
      <c r="F7" s="235">
        <f t="shared" si="1"/>
        <v>5.6425942752311425E-3</v>
      </c>
      <c r="G7" s="376">
        <f>'[2]0102分析標準表'!$H$5</f>
        <v>2821.3823999999995</v>
      </c>
      <c r="H7" s="235">
        <f t="shared" si="2"/>
        <v>0.30431104903427059</v>
      </c>
      <c r="I7" s="238">
        <f>'[2]0102分析標準表'!$J$5</f>
        <v>8077.4429000000091</v>
      </c>
      <c r="J7" s="235">
        <f t="shared" si="3"/>
        <v>0.37297343836395069</v>
      </c>
      <c r="K7" s="354">
        <f>'[2]0102分析標準表'!$L$5</f>
        <v>1023.6408999999999</v>
      </c>
      <c r="L7" s="355">
        <f t="shared" si="4"/>
        <v>0.11040872591867905</v>
      </c>
      <c r="M7" s="821"/>
      <c r="N7" s="821"/>
      <c r="O7" s="236"/>
      <c r="P7" s="236"/>
      <c r="Q7" s="236"/>
      <c r="R7" s="236"/>
      <c r="S7" s="236"/>
    </row>
    <row r="8" spans="1:38" s="356" customFormat="1" ht="18">
      <c r="A8" s="239">
        <f t="shared" ref="A8:A36" si="8">A7+1</f>
        <v>46025</v>
      </c>
      <c r="B8" s="376">
        <f>'[2]0103分析標準表'!$C$3</f>
        <v>4182799.17</v>
      </c>
      <c r="C8" s="377">
        <f>VLOOKUP("總計",'[2]0103'!$N:$Q,4,0)</f>
        <v>10139.419300000001</v>
      </c>
      <c r="D8" s="320">
        <f t="shared" si="0"/>
        <v>2.4240750961036462E-3</v>
      </c>
      <c r="E8" s="377">
        <f>VLOOKUP("總計",'[2]0103'!$N:$R,5,0)</f>
        <v>24291.46020000002</v>
      </c>
      <c r="F8" s="235">
        <f t="shared" si="1"/>
        <v>5.8074650999799301E-3</v>
      </c>
      <c r="G8" s="376">
        <f>'[2]0103分析標準表'!$H$5</f>
        <v>2938.0295999999998</v>
      </c>
      <c r="H8" s="235">
        <f t="shared" si="2"/>
        <v>0.28976310309999698</v>
      </c>
      <c r="I8" s="238">
        <f>'[2]0103分析標準表'!$J$5</f>
        <v>10385.457800000022</v>
      </c>
      <c r="J8" s="235">
        <f t="shared" si="3"/>
        <v>0.42753534429354778</v>
      </c>
      <c r="K8" s="354">
        <f>'[2]0103分析標準表'!$L$5</f>
        <v>1002.3419</v>
      </c>
      <c r="L8" s="355">
        <f t="shared" si="4"/>
        <v>9.8855947302623121E-2</v>
      </c>
      <c r="M8" s="821"/>
      <c r="N8" s="821"/>
      <c r="O8" s="236"/>
      <c r="P8" s="236"/>
      <c r="Q8" s="236"/>
      <c r="R8" s="236"/>
      <c r="S8" s="236"/>
    </row>
    <row r="9" spans="1:38" s="356" customFormat="1" ht="18">
      <c r="A9" s="239">
        <f t="shared" si="8"/>
        <v>46026</v>
      </c>
      <c r="B9" s="376">
        <f>'[2]0104分析標準表'!$C$3</f>
        <v>5433229</v>
      </c>
      <c r="C9" s="377">
        <f>VLOOKUP("總計",'[2]0104'!$N:$Q,4,0)</f>
        <v>13134.790700000009</v>
      </c>
      <c r="D9" s="320">
        <f t="shared" si="0"/>
        <v>2.4174925628940008E-3</v>
      </c>
      <c r="E9" s="377">
        <f>VLOOKUP("總計",'[2]0104'!$N:$R,5,0)</f>
        <v>30425.603300000006</v>
      </c>
      <c r="F9" s="235">
        <f t="shared" si="1"/>
        <v>5.5999118203926262E-3</v>
      </c>
      <c r="G9" s="376">
        <f>'[2]0104分析標準表'!$H$5</f>
        <v>3795.7912999999999</v>
      </c>
      <c r="H9" s="235">
        <f t="shared" si="2"/>
        <v>0.28898757404638337</v>
      </c>
      <c r="I9" s="238">
        <f>'[2]0104分析標準表'!$J$5</f>
        <v>12202.596600000023</v>
      </c>
      <c r="J9" s="235">
        <f t="shared" si="3"/>
        <v>0.40106342279168611</v>
      </c>
      <c r="K9" s="354">
        <f>'[2]0104分析標準表'!$L$5</f>
        <v>1066.0684000000001</v>
      </c>
      <c r="L9" s="355">
        <f t="shared" si="4"/>
        <v>8.1163714317883981E-2</v>
      </c>
      <c r="M9" s="821"/>
      <c r="N9" s="821"/>
      <c r="O9" s="236"/>
      <c r="P9" s="236"/>
      <c r="Q9" s="236"/>
      <c r="R9" s="236"/>
      <c r="S9" s="236"/>
    </row>
    <row r="10" spans="1:38" s="356" customFormat="1" ht="18">
      <c r="A10" s="239">
        <f t="shared" si="8"/>
        <v>46027</v>
      </c>
      <c r="B10" s="376">
        <f>'[2]0105分析標準表'!$C$3</f>
        <v>5215558.05</v>
      </c>
      <c r="C10" s="377">
        <f>VLOOKUP("總計",'[2]0105'!$N:$Q,4,0)</f>
        <v>12589.899200000005</v>
      </c>
      <c r="D10" s="320">
        <f t="shared" si="0"/>
        <v>2.4139121987147676E-3</v>
      </c>
      <c r="E10" s="377">
        <f>VLOOKUP("總計",'[2]0105'!$N:$R,5,0)</f>
        <v>29166.336900000017</v>
      </c>
      <c r="F10" s="235">
        <f t="shared" si="1"/>
        <v>5.5921795175877713E-3</v>
      </c>
      <c r="G10" s="376">
        <f>'[2]0105分析標準表'!$H$5</f>
        <v>2677.2677999999996</v>
      </c>
      <c r="H10" s="235">
        <f t="shared" si="2"/>
        <v>0.21265204410850236</v>
      </c>
      <c r="I10" s="238">
        <f>'[2]0105分析標準表'!$J$5</f>
        <v>10722.664100000004</v>
      </c>
      <c r="J10" s="235">
        <f t="shared" si="3"/>
        <v>0.36763835433855929</v>
      </c>
      <c r="K10" s="354">
        <f>'[2]0105分析標準表'!$L$5</f>
        <v>918.23610000000008</v>
      </c>
      <c r="L10" s="355">
        <f t="shared" si="4"/>
        <v>7.2934348831005705E-2</v>
      </c>
      <c r="M10" s="821"/>
      <c r="N10" s="821"/>
      <c r="O10" s="236"/>
      <c r="P10" s="236"/>
      <c r="Q10" s="236"/>
      <c r="R10" s="236"/>
      <c r="S10" s="236"/>
    </row>
    <row r="11" spans="1:38" s="356" customFormat="1" ht="18">
      <c r="A11" s="239">
        <f t="shared" si="8"/>
        <v>46028</v>
      </c>
      <c r="B11" s="376">
        <v>5249227.45</v>
      </c>
      <c r="C11" s="377">
        <v>12671.443900000007</v>
      </c>
      <c r="D11" s="320">
        <f t="shared" si="0"/>
        <v>2.413963582393445E-3</v>
      </c>
      <c r="E11" s="377">
        <v>29314.878099999998</v>
      </c>
      <c r="F11" s="235">
        <f t="shared" si="1"/>
        <v>5.5846080931394957E-3</v>
      </c>
      <c r="G11" s="376">
        <v>2531.0625</v>
      </c>
      <c r="H11" s="235">
        <f t="shared" si="2"/>
        <v>0.19974538971048111</v>
      </c>
      <c r="I11" s="238">
        <v>10069.712400000009</v>
      </c>
      <c r="J11" s="235">
        <f t="shared" si="3"/>
        <v>0.3435017660878491</v>
      </c>
      <c r="K11" s="354">
        <v>1003.2774000000001</v>
      </c>
      <c r="L11" s="355">
        <f t="shared" si="4"/>
        <v>7.9176249203928489E-2</v>
      </c>
      <c r="M11" s="821">
        <f t="shared" ref="M11" si="9">SUM(C11:C17)</f>
        <v>82426.149700000009</v>
      </c>
      <c r="N11" s="821">
        <f t="shared" ref="N11" si="10">SUM(E11:E17)</f>
        <v>191058.63130000001</v>
      </c>
      <c r="O11" s="236"/>
      <c r="P11" s="236"/>
      <c r="Q11" s="236"/>
      <c r="R11" s="236"/>
      <c r="S11" s="236"/>
    </row>
    <row r="12" spans="1:38" s="356" customFormat="1" ht="18">
      <c r="A12" s="240">
        <f t="shared" si="8"/>
        <v>46029</v>
      </c>
      <c r="B12" s="376">
        <v>5156925.3</v>
      </c>
      <c r="C12" s="377">
        <v>12415.484700000008</v>
      </c>
      <c r="D12" s="320">
        <f t="shared" si="0"/>
        <v>2.4075362697225824E-3</v>
      </c>
      <c r="E12" s="377">
        <v>28887.263099999982</v>
      </c>
      <c r="F12" s="235">
        <f t="shared" si="1"/>
        <v>5.6016446660571142E-3</v>
      </c>
      <c r="G12" s="376">
        <v>2760.6898000000001</v>
      </c>
      <c r="H12" s="235">
        <f t="shared" si="2"/>
        <v>0.22235860030498836</v>
      </c>
      <c r="I12" s="238">
        <v>7948.8649999999925</v>
      </c>
      <c r="J12" s="235">
        <f t="shared" si="3"/>
        <v>0.27516850497339074</v>
      </c>
      <c r="K12" s="354">
        <v>791.63840000000005</v>
      </c>
      <c r="L12" s="355">
        <f t="shared" si="4"/>
        <v>6.3762182397921169E-2</v>
      </c>
      <c r="M12" s="821"/>
      <c r="N12" s="821"/>
      <c r="O12" s="236"/>
      <c r="P12" s="236"/>
      <c r="Q12" s="236"/>
      <c r="R12" s="236"/>
      <c r="S12" s="236"/>
    </row>
    <row r="13" spans="1:38" s="356" customFormat="1" ht="18">
      <c r="A13" s="239">
        <f t="shared" si="8"/>
        <v>46030</v>
      </c>
      <c r="B13" s="376">
        <v>4787771.37</v>
      </c>
      <c r="C13" s="377">
        <v>11528.485200000001</v>
      </c>
      <c r="D13" s="320">
        <f t="shared" si="0"/>
        <v>2.407902196883725E-3</v>
      </c>
      <c r="E13" s="377">
        <v>26608.570300000021</v>
      </c>
      <c r="F13" s="235">
        <f t="shared" si="1"/>
        <v>5.5576108890095189E-3</v>
      </c>
      <c r="G13" s="376">
        <v>3128.5875000000001</v>
      </c>
      <c r="H13" s="235">
        <f t="shared" si="2"/>
        <v>0.27137888852908443</v>
      </c>
      <c r="I13" s="238">
        <v>7254.5278000000117</v>
      </c>
      <c r="J13" s="235">
        <f t="shared" si="3"/>
        <v>0.2726387670667148</v>
      </c>
      <c r="K13" s="354">
        <v>810.70660000000009</v>
      </c>
      <c r="L13" s="355">
        <f t="shared" si="4"/>
        <v>7.0322040227800267E-2</v>
      </c>
      <c r="M13" s="821"/>
      <c r="N13" s="821"/>
      <c r="O13" s="236"/>
      <c r="P13" s="236"/>
      <c r="Q13" s="236"/>
      <c r="R13" s="236"/>
      <c r="S13" s="236"/>
    </row>
    <row r="14" spans="1:38" s="356" customFormat="1" ht="18">
      <c r="A14" s="239">
        <f t="shared" si="8"/>
        <v>46031</v>
      </c>
      <c r="B14" s="376">
        <v>3992298.33</v>
      </c>
      <c r="C14" s="377">
        <v>9595.8439000000035</v>
      </c>
      <c r="D14" s="320">
        <f t="shared" si="0"/>
        <v>2.4035888871060404E-3</v>
      </c>
      <c r="E14" s="377">
        <v>22117.461199999998</v>
      </c>
      <c r="F14" s="235">
        <f t="shared" si="1"/>
        <v>5.5400321749001155E-3</v>
      </c>
      <c r="G14" s="376">
        <v>2402.8429000000001</v>
      </c>
      <c r="H14" s="235">
        <f t="shared" si="2"/>
        <v>0.25040454232482867</v>
      </c>
      <c r="I14" s="238">
        <v>8423.1911000000127</v>
      </c>
      <c r="J14" s="235">
        <f t="shared" si="3"/>
        <v>0.38083896808192497</v>
      </c>
      <c r="K14" s="354">
        <v>668.74189999999987</v>
      </c>
      <c r="L14" s="355">
        <f t="shared" si="4"/>
        <v>6.9690785611883452E-2</v>
      </c>
      <c r="M14" s="821"/>
      <c r="N14" s="821"/>
      <c r="O14" s="236"/>
      <c r="P14" s="236"/>
      <c r="Q14" s="236"/>
      <c r="R14" s="236"/>
      <c r="S14" s="236"/>
    </row>
    <row r="15" spans="1:38" s="356" customFormat="1" ht="18">
      <c r="A15" s="239">
        <f t="shared" si="8"/>
        <v>46032</v>
      </c>
      <c r="B15" s="376">
        <v>4224538.21</v>
      </c>
      <c r="C15" s="377">
        <v>10222.787700000001</v>
      </c>
      <c r="D15" s="320">
        <f t="shared" si="0"/>
        <v>2.4198592110733922E-3</v>
      </c>
      <c r="E15" s="377">
        <v>23891.239100000024</v>
      </c>
      <c r="F15" s="235">
        <f t="shared" si="1"/>
        <v>5.6553492742583162E-3</v>
      </c>
      <c r="G15" s="376">
        <v>2699.9648000000002</v>
      </c>
      <c r="H15" s="235">
        <f t="shared" si="2"/>
        <v>0.26411238100934054</v>
      </c>
      <c r="I15" s="238">
        <v>9777.9262999999955</v>
      </c>
      <c r="J15" s="235">
        <f t="shared" si="3"/>
        <v>0.40926827859673404</v>
      </c>
      <c r="K15" s="354">
        <v>831.39519999999993</v>
      </c>
      <c r="L15" s="355">
        <f t="shared" si="4"/>
        <v>8.1327640209137853E-2</v>
      </c>
      <c r="M15" s="821"/>
      <c r="N15" s="821"/>
      <c r="O15" s="236"/>
      <c r="P15" s="236"/>
      <c r="Q15" s="236"/>
      <c r="R15" s="236"/>
      <c r="S15" s="236"/>
    </row>
    <row r="16" spans="1:38" s="356" customFormat="1" ht="18">
      <c r="A16" s="239">
        <f t="shared" si="8"/>
        <v>46033</v>
      </c>
      <c r="B16" s="376">
        <v>5539416.9299999997</v>
      </c>
      <c r="C16" s="377">
        <v>13360.625900000001</v>
      </c>
      <c r="D16" s="320">
        <f t="shared" si="0"/>
        <v>2.4119191728722254E-3</v>
      </c>
      <c r="E16" s="377">
        <v>31160.239399999984</v>
      </c>
      <c r="F16" s="235">
        <f t="shared" si="1"/>
        <v>5.6251839848422431E-3</v>
      </c>
      <c r="G16" s="376">
        <v>2257.4195999999997</v>
      </c>
      <c r="H16" s="235">
        <f t="shared" si="2"/>
        <v>0.16896061733155776</v>
      </c>
      <c r="I16" s="238">
        <v>14662.810200000013</v>
      </c>
      <c r="J16" s="235">
        <f t="shared" si="3"/>
        <v>0.47056153875377543</v>
      </c>
      <c r="K16" s="354">
        <v>963.58719999999994</v>
      </c>
      <c r="L16" s="355">
        <f t="shared" si="4"/>
        <v>7.2121411617400336E-2</v>
      </c>
      <c r="M16" s="821"/>
      <c r="N16" s="821"/>
      <c r="O16" s="236"/>
      <c r="P16" s="236"/>
      <c r="Q16" s="236"/>
      <c r="R16" s="236"/>
      <c r="S16" s="236"/>
    </row>
    <row r="17" spans="1:20" s="356" customFormat="1" ht="18">
      <c r="A17" s="239">
        <f t="shared" si="8"/>
        <v>46034</v>
      </c>
      <c r="B17" s="376">
        <v>5245302.3</v>
      </c>
      <c r="C17" s="377">
        <v>12631.4784</v>
      </c>
      <c r="D17" s="320">
        <f t="shared" si="0"/>
        <v>2.4081506989597152E-3</v>
      </c>
      <c r="E17" s="377">
        <v>29078.980100000008</v>
      </c>
      <c r="F17" s="235">
        <f t="shared" si="1"/>
        <v>5.5438139571097758E-3</v>
      </c>
      <c r="G17" s="376">
        <v>3000.4071999999996</v>
      </c>
      <c r="H17" s="235">
        <f t="shared" si="2"/>
        <v>0.23753412743832106</v>
      </c>
      <c r="I17" s="238">
        <v>7891.5941000000012</v>
      </c>
      <c r="J17" s="235">
        <f t="shared" si="3"/>
        <v>0.27138483099687527</v>
      </c>
      <c r="K17" s="354">
        <v>954.45190000000002</v>
      </c>
      <c r="L17" s="355">
        <f t="shared" si="4"/>
        <v>7.5561376885226669E-2</v>
      </c>
      <c r="M17" s="821"/>
      <c r="N17" s="821"/>
      <c r="O17" s="236"/>
      <c r="P17" s="236"/>
      <c r="Q17" s="236"/>
      <c r="R17" s="236"/>
      <c r="S17" s="236"/>
      <c r="T17" s="442"/>
    </row>
    <row r="18" spans="1:20" s="356" customFormat="1" ht="18">
      <c r="A18" s="239">
        <f t="shared" si="8"/>
        <v>46035</v>
      </c>
      <c r="B18" s="376">
        <v>5099656.99</v>
      </c>
      <c r="C18" s="377">
        <v>12258.550799999999</v>
      </c>
      <c r="D18" s="320">
        <f t="shared" si="0"/>
        <v>2.4037990837497483E-3</v>
      </c>
      <c r="E18" s="377">
        <v>28181.050000000043</v>
      </c>
      <c r="F18" s="235">
        <f t="shared" si="1"/>
        <v>5.5260677444111863E-3</v>
      </c>
      <c r="G18" s="376">
        <v>2105.2981999999997</v>
      </c>
      <c r="H18" s="235">
        <f t="shared" si="2"/>
        <v>0.17174119798891724</v>
      </c>
      <c r="I18" s="238">
        <v>8099.8021000000226</v>
      </c>
      <c r="J18" s="235">
        <f t="shared" si="3"/>
        <v>0.28742016709810353</v>
      </c>
      <c r="K18" s="354">
        <v>793.67160000000001</v>
      </c>
      <c r="L18" s="355">
        <f t="shared" si="4"/>
        <v>6.4744325242752185E-2</v>
      </c>
      <c r="M18" s="821">
        <f t="shared" ref="M18" si="11">SUM(C18:C24)</f>
        <v>79974.080700000006</v>
      </c>
      <c r="N18" s="821">
        <f t="shared" ref="N18" si="12">SUM(E18:E24)</f>
        <v>184809.54610000004</v>
      </c>
      <c r="O18" s="236"/>
      <c r="P18" s="236"/>
      <c r="Q18" s="236"/>
      <c r="R18" s="236"/>
      <c r="S18" s="236"/>
    </row>
    <row r="19" spans="1:20" s="356" customFormat="1" ht="18">
      <c r="A19" s="240">
        <f t="shared" si="8"/>
        <v>46036</v>
      </c>
      <c r="B19" s="376">
        <v>4896820.7300000004</v>
      </c>
      <c r="C19" s="377">
        <v>11773.596599999997</v>
      </c>
      <c r="D19" s="320">
        <f t="shared" si="0"/>
        <v>2.4043348223613641E-3</v>
      </c>
      <c r="E19" s="377">
        <v>27045.196200000006</v>
      </c>
      <c r="F19" s="235">
        <f t="shared" si="1"/>
        <v>5.5230112947181557E-3</v>
      </c>
      <c r="G19" s="376">
        <v>3864.4614000000001</v>
      </c>
      <c r="H19" s="235">
        <f t="shared" si="2"/>
        <v>0.32823117109346189</v>
      </c>
      <c r="I19" s="238">
        <v>11210.302800000001</v>
      </c>
      <c r="J19" s="235">
        <f t="shared" si="3"/>
        <v>0.41450255036419364</v>
      </c>
      <c r="K19" s="354">
        <v>1266.1784</v>
      </c>
      <c r="L19" s="355">
        <f t="shared" si="4"/>
        <v>0.10754389189790997</v>
      </c>
      <c r="M19" s="821"/>
      <c r="N19" s="821"/>
      <c r="O19" s="236"/>
      <c r="P19" s="236"/>
      <c r="Q19" s="236"/>
      <c r="R19" s="236"/>
      <c r="S19" s="236"/>
    </row>
    <row r="20" spans="1:20" s="356" customFormat="1" ht="18">
      <c r="A20" s="239">
        <f t="shared" si="8"/>
        <v>46037</v>
      </c>
      <c r="B20" s="376">
        <v>4477044.2300000004</v>
      </c>
      <c r="C20" s="377">
        <v>10762.850899999996</v>
      </c>
      <c r="D20" s="320">
        <f t="shared" si="0"/>
        <v>2.4040081685768816E-3</v>
      </c>
      <c r="E20" s="377">
        <v>24518.018199999999</v>
      </c>
      <c r="F20" s="235">
        <f t="shared" si="1"/>
        <v>5.4763850747125619E-3</v>
      </c>
      <c r="G20" s="376">
        <v>2596.1605999999997</v>
      </c>
      <c r="H20" s="235">
        <f t="shared" si="2"/>
        <v>0.24121495541669175</v>
      </c>
      <c r="I20" s="238">
        <v>10520.319599999995</v>
      </c>
      <c r="J20" s="235">
        <f t="shared" si="3"/>
        <v>0.42908523495589851</v>
      </c>
      <c r="K20" s="354">
        <v>549.00189999999998</v>
      </c>
      <c r="L20" s="355">
        <f t="shared" si="4"/>
        <v>5.100896640684674E-2</v>
      </c>
      <c r="M20" s="821"/>
      <c r="N20" s="821"/>
      <c r="O20" s="236"/>
      <c r="P20" s="236"/>
      <c r="Q20" s="236"/>
      <c r="R20" s="236"/>
      <c r="S20" s="236"/>
    </row>
    <row r="21" spans="1:20" s="356" customFormat="1" ht="18">
      <c r="A21" s="239">
        <f t="shared" si="8"/>
        <v>46038</v>
      </c>
      <c r="B21" s="376">
        <v>3898014.08</v>
      </c>
      <c r="C21" s="377">
        <v>9434.1366999999991</v>
      </c>
      <c r="D21" s="320">
        <f t="shared" si="0"/>
        <v>2.4202418222152751E-3</v>
      </c>
      <c r="E21" s="377">
        <v>21673.360500000003</v>
      </c>
      <c r="F21" s="235">
        <f t="shared" si="1"/>
        <v>5.5601031846452447E-3</v>
      </c>
      <c r="G21" s="376">
        <v>2459.8877000000002</v>
      </c>
      <c r="H21" s="235">
        <f t="shared" si="2"/>
        <v>0.26074327500469657</v>
      </c>
      <c r="I21" s="238">
        <v>10065.462199999996</v>
      </c>
      <c r="J21" s="235">
        <f t="shared" si="3"/>
        <v>0.46441631421209439</v>
      </c>
      <c r="K21" s="354">
        <v>679.5254000000001</v>
      </c>
      <c r="L21" s="355">
        <f t="shared" si="4"/>
        <v>7.2028360581207193E-2</v>
      </c>
      <c r="M21" s="821"/>
      <c r="N21" s="821"/>
      <c r="O21" s="236"/>
      <c r="P21" s="236"/>
      <c r="Q21" s="236"/>
      <c r="R21" s="236"/>
      <c r="S21" s="236"/>
    </row>
    <row r="22" spans="1:20" s="356" customFormat="1" ht="18">
      <c r="A22" s="239">
        <f t="shared" si="8"/>
        <v>46039</v>
      </c>
      <c r="B22" s="376">
        <v>4192072.23</v>
      </c>
      <c r="C22" s="377">
        <v>10120.503599999996</v>
      </c>
      <c r="D22" s="320">
        <f t="shared" si="0"/>
        <v>2.4142006732550971E-3</v>
      </c>
      <c r="E22" s="377">
        <v>23524.283499999976</v>
      </c>
      <c r="F22" s="235">
        <f t="shared" si="1"/>
        <v>5.6116121596502108E-3</v>
      </c>
      <c r="G22" s="376">
        <v>2818.6307999999999</v>
      </c>
      <c r="H22" s="235">
        <f t="shared" si="2"/>
        <v>0.27850697074007275</v>
      </c>
      <c r="I22" s="238">
        <v>11946.261899999976</v>
      </c>
      <c r="J22" s="235">
        <f t="shared" si="3"/>
        <v>0.50782681223851034</v>
      </c>
      <c r="K22" s="354">
        <v>538.96550000000002</v>
      </c>
      <c r="L22" s="355">
        <f t="shared" si="4"/>
        <v>5.325481036338945E-2</v>
      </c>
      <c r="M22" s="821"/>
      <c r="N22" s="821"/>
      <c r="O22" s="236"/>
      <c r="P22" s="236"/>
      <c r="Q22" s="236"/>
      <c r="R22" s="236"/>
      <c r="S22" s="236"/>
    </row>
    <row r="23" spans="1:20" s="356" customFormat="1" ht="18">
      <c r="A23" s="239">
        <f t="shared" si="8"/>
        <v>46040</v>
      </c>
      <c r="B23" s="376">
        <v>5422198.4000000004</v>
      </c>
      <c r="C23" s="377">
        <v>13099.775600000004</v>
      </c>
      <c r="D23" s="320">
        <f t="shared" si="0"/>
        <v>2.4159528356616391E-3</v>
      </c>
      <c r="E23" s="377">
        <v>30495.222500000007</v>
      </c>
      <c r="F23" s="235">
        <f t="shared" si="1"/>
        <v>5.6241436130407925E-3</v>
      </c>
      <c r="G23" s="376">
        <v>2067.5522000000001</v>
      </c>
      <c r="H23" s="235">
        <f t="shared" si="2"/>
        <v>0.15783111582460996</v>
      </c>
      <c r="I23" s="238">
        <v>11334.717900000009</v>
      </c>
      <c r="J23" s="235">
        <f t="shared" si="3"/>
        <v>0.37168831609607067</v>
      </c>
      <c r="K23" s="354">
        <v>1158.9597000000001</v>
      </c>
      <c r="L23" s="355">
        <f t="shared" si="4"/>
        <v>8.847172160720064E-2</v>
      </c>
      <c r="M23" s="821"/>
      <c r="N23" s="821"/>
      <c r="O23" s="236"/>
      <c r="P23" s="236"/>
      <c r="Q23" s="236"/>
      <c r="R23" s="236"/>
      <c r="S23" s="236"/>
    </row>
    <row r="24" spans="1:20" s="356" customFormat="1" ht="18">
      <c r="A24" s="239">
        <f t="shared" si="8"/>
        <v>46041</v>
      </c>
      <c r="B24" s="376">
        <v>5175352.3099999996</v>
      </c>
      <c r="C24" s="377">
        <v>12524.666500000003</v>
      </c>
      <c r="D24" s="320">
        <f t="shared" si="0"/>
        <v>2.4200606547692218E-3</v>
      </c>
      <c r="E24" s="377">
        <v>29372.415199999974</v>
      </c>
      <c r="F24" s="235">
        <f t="shared" si="1"/>
        <v>5.6754426444061692E-3</v>
      </c>
      <c r="G24" s="376">
        <v>2669.9240000000004</v>
      </c>
      <c r="H24" s="235">
        <f t="shared" si="2"/>
        <v>0.21317326094072045</v>
      </c>
      <c r="I24" s="238">
        <v>15532.701499999986</v>
      </c>
      <c r="J24" s="235">
        <f t="shared" si="3"/>
        <v>0.52881934952356247</v>
      </c>
      <c r="K24" s="354">
        <v>941.05290000000002</v>
      </c>
      <c r="L24" s="355">
        <f t="shared" si="4"/>
        <v>7.5135964698141849E-2</v>
      </c>
      <c r="M24" s="821"/>
      <c r="N24" s="821"/>
      <c r="O24" s="236"/>
      <c r="P24" s="236"/>
      <c r="Q24" s="236"/>
      <c r="R24" s="236"/>
      <c r="S24" s="236"/>
    </row>
    <row r="25" spans="1:20" s="356" customFormat="1" ht="18">
      <c r="A25" s="239">
        <f t="shared" si="8"/>
        <v>46042</v>
      </c>
      <c r="B25" s="376">
        <v>5709399.8399999999</v>
      </c>
      <c r="C25" s="377">
        <v>13862.163899999998</v>
      </c>
      <c r="D25" s="320">
        <f t="shared" si="0"/>
        <v>2.4279546517099421E-3</v>
      </c>
      <c r="E25" s="377">
        <v>32914.228299999981</v>
      </c>
      <c r="F25" s="235">
        <f t="shared" si="1"/>
        <v>5.7649191197651313E-3</v>
      </c>
      <c r="G25" s="376">
        <v>2848.5281999999997</v>
      </c>
      <c r="H25" s="235">
        <f t="shared" si="2"/>
        <v>0.20548943300259206</v>
      </c>
      <c r="I25" s="238">
        <v>14213.910099999994</v>
      </c>
      <c r="J25" s="235">
        <f t="shared" si="3"/>
        <v>0.43184698029210672</v>
      </c>
      <c r="K25" s="354">
        <v>1651.5617999999997</v>
      </c>
      <c r="L25" s="355">
        <f t="shared" si="4"/>
        <v>0.11914170196761271</v>
      </c>
      <c r="M25" s="821">
        <f t="shared" ref="M25" si="13">SUM(C25:C31)</f>
        <v>82084.173299999995</v>
      </c>
      <c r="N25" s="821">
        <f t="shared" ref="N25" si="14">SUM(E25:E31)</f>
        <v>191570.08617999995</v>
      </c>
      <c r="O25" s="236"/>
      <c r="P25" s="236"/>
      <c r="Q25" s="236"/>
      <c r="R25" s="236"/>
      <c r="S25" s="236"/>
    </row>
    <row r="26" spans="1:20" s="356" customFormat="1" ht="18">
      <c r="A26" s="240">
        <f t="shared" si="8"/>
        <v>46043</v>
      </c>
      <c r="B26" s="376">
        <v>5079869.2</v>
      </c>
      <c r="C26" s="377">
        <v>12312.890900000002</v>
      </c>
      <c r="D26" s="320">
        <f t="shared" si="0"/>
        <v>2.4238598308791103E-3</v>
      </c>
      <c r="E26" s="377">
        <v>28628.989799999981</v>
      </c>
      <c r="F26" s="235">
        <f t="shared" si="1"/>
        <v>5.635773023447135E-3</v>
      </c>
      <c r="G26" s="376">
        <v>2744.5099000000005</v>
      </c>
      <c r="H26" s="235">
        <f t="shared" si="2"/>
        <v>0.22289728076775212</v>
      </c>
      <c r="I26" s="238">
        <v>12030.134099999974</v>
      </c>
      <c r="J26" s="235">
        <f t="shared" si="3"/>
        <v>0.42020812414414921</v>
      </c>
      <c r="K26" s="354">
        <v>1051.5669</v>
      </c>
      <c r="L26" s="355">
        <f t="shared" si="4"/>
        <v>8.5403737314037262E-2</v>
      </c>
      <c r="M26" s="821"/>
      <c r="N26" s="821"/>
      <c r="O26" s="236"/>
      <c r="P26" s="236"/>
      <c r="Q26" s="236"/>
      <c r="R26" s="236"/>
      <c r="S26" s="236"/>
    </row>
    <row r="27" spans="1:20" s="356" customFormat="1" ht="18">
      <c r="A27" s="239">
        <f t="shared" si="8"/>
        <v>46044</v>
      </c>
      <c r="B27" s="376">
        <v>4686919.79</v>
      </c>
      <c r="C27" s="377">
        <v>11333.889300000003</v>
      </c>
      <c r="D27" s="320">
        <f t="shared" si="0"/>
        <v>2.4181957037502453E-3</v>
      </c>
      <c r="E27" s="377">
        <v>26207.716380000009</v>
      </c>
      <c r="F27" s="235">
        <f t="shared" si="1"/>
        <v>5.5916716210754717E-3</v>
      </c>
      <c r="G27" s="376">
        <v>2263.6246000000001</v>
      </c>
      <c r="H27" s="235">
        <f t="shared" si="2"/>
        <v>0.19972178482456146</v>
      </c>
      <c r="I27" s="238">
        <v>12078.556200000006</v>
      </c>
      <c r="J27" s="235">
        <f t="shared" si="3"/>
        <v>0.46087785844697099</v>
      </c>
      <c r="K27" s="354">
        <v>988.08690000000013</v>
      </c>
      <c r="L27" s="355">
        <f t="shared" si="4"/>
        <v>8.7179861550262361E-2</v>
      </c>
      <c r="M27" s="821"/>
      <c r="N27" s="821"/>
      <c r="O27" s="236"/>
      <c r="P27" s="236"/>
      <c r="Q27" s="236"/>
      <c r="R27" s="236"/>
      <c r="S27" s="236"/>
    </row>
    <row r="28" spans="1:20" s="356" customFormat="1" ht="18">
      <c r="A28" s="239">
        <f t="shared" si="8"/>
        <v>46045</v>
      </c>
      <c r="B28" s="376">
        <v>3890561.37</v>
      </c>
      <c r="C28" s="377">
        <v>9392.7765999999992</v>
      </c>
      <c r="D28" s="320">
        <f t="shared" si="0"/>
        <v>2.4142471244451799E-3</v>
      </c>
      <c r="E28" s="377">
        <v>22656.816800000004</v>
      </c>
      <c r="F28" s="235">
        <f t="shared" si="1"/>
        <v>5.8235340983710032E-3</v>
      </c>
      <c r="G28" s="376">
        <v>2349.4006999999997</v>
      </c>
      <c r="H28" s="235">
        <f t="shared" si="2"/>
        <v>0.25012845509388565</v>
      </c>
      <c r="I28" s="238">
        <v>11168.9203</v>
      </c>
      <c r="J28" s="235">
        <f t="shared" si="3"/>
        <v>0.49296070134618369</v>
      </c>
      <c r="K28" s="354">
        <v>1502.6876999999999</v>
      </c>
      <c r="L28" s="355">
        <f t="shared" si="4"/>
        <v>0.15998333229814068</v>
      </c>
      <c r="M28" s="821"/>
      <c r="N28" s="821"/>
      <c r="O28" s="236"/>
      <c r="P28" s="236"/>
      <c r="Q28" s="236"/>
      <c r="R28" s="236"/>
      <c r="S28" s="236"/>
    </row>
    <row r="29" spans="1:20" s="356" customFormat="1" ht="18">
      <c r="A29" s="239">
        <f t="shared" si="8"/>
        <v>46046</v>
      </c>
      <c r="B29" s="376">
        <v>4094539.97</v>
      </c>
      <c r="C29" s="377">
        <v>9877.431099999998</v>
      </c>
      <c r="D29" s="320">
        <f t="shared" si="0"/>
        <v>2.4123420878463175E-3</v>
      </c>
      <c r="E29" s="377">
        <v>23029.58950000002</v>
      </c>
      <c r="F29" s="235">
        <f t="shared" si="1"/>
        <v>5.624463228771465E-3</v>
      </c>
      <c r="G29" s="376">
        <v>2266.2937999999999</v>
      </c>
      <c r="H29" s="235">
        <f t="shared" si="2"/>
        <v>0.22944162070642035</v>
      </c>
      <c r="I29" s="238">
        <v>9541.3536000000113</v>
      </c>
      <c r="J29" s="235">
        <f t="shared" si="3"/>
        <v>0.4143084530447233</v>
      </c>
      <c r="K29" s="354">
        <v>1243.6612</v>
      </c>
      <c r="L29" s="355">
        <f t="shared" si="4"/>
        <v>0.12590937738862085</v>
      </c>
      <c r="M29" s="821"/>
      <c r="N29" s="821"/>
      <c r="O29" s="236"/>
      <c r="P29" s="236"/>
      <c r="Q29" s="236"/>
      <c r="R29" s="236"/>
      <c r="S29" s="236"/>
    </row>
    <row r="30" spans="1:20" s="356" customFormat="1" ht="18">
      <c r="A30" s="239">
        <f t="shared" si="8"/>
        <v>46047</v>
      </c>
      <c r="B30" s="376">
        <v>5451395.4900000002</v>
      </c>
      <c r="C30" s="377">
        <v>13205.029200000003</v>
      </c>
      <c r="D30" s="320">
        <f t="shared" si="0"/>
        <v>2.4223208945715296E-3</v>
      </c>
      <c r="E30" s="377">
        <v>30362.022099999984</v>
      </c>
      <c r="F30" s="235">
        <f t="shared" si="1"/>
        <v>5.5695871186920588E-3</v>
      </c>
      <c r="G30" s="376">
        <v>3185.4632999999999</v>
      </c>
      <c r="H30" s="235">
        <f t="shared" si="2"/>
        <v>0.2412310682357294</v>
      </c>
      <c r="I30" s="238">
        <v>10648.829500000003</v>
      </c>
      <c r="J30" s="235">
        <f t="shared" si="3"/>
        <v>0.35072859985830818</v>
      </c>
      <c r="K30" s="354">
        <v>1072.7819000000002</v>
      </c>
      <c r="L30" s="355">
        <f t="shared" si="4"/>
        <v>8.1240403466885172E-2</v>
      </c>
      <c r="M30" s="821"/>
      <c r="N30" s="821"/>
      <c r="O30" s="236"/>
      <c r="P30" s="236"/>
      <c r="Q30" s="236"/>
      <c r="R30" s="236"/>
      <c r="S30" s="236"/>
    </row>
    <row r="31" spans="1:20" s="356" customFormat="1" ht="18">
      <c r="A31" s="239">
        <f t="shared" si="8"/>
        <v>46048</v>
      </c>
      <c r="B31" s="376">
        <v>5012662.32</v>
      </c>
      <c r="C31" s="377">
        <v>12099.992299999998</v>
      </c>
      <c r="D31" s="320">
        <f t="shared" si="0"/>
        <v>2.4138853821695288E-3</v>
      </c>
      <c r="E31" s="377">
        <v>27770.723299999991</v>
      </c>
      <c r="F31" s="235">
        <f t="shared" si="1"/>
        <v>5.5401145194236799E-3</v>
      </c>
      <c r="G31" s="376">
        <v>2784.1372999999999</v>
      </c>
      <c r="H31" s="235">
        <f t="shared" si="2"/>
        <v>0.23009413815907967</v>
      </c>
      <c r="I31" s="238">
        <v>13336.088599999992</v>
      </c>
      <c r="J31" s="235">
        <f t="shared" si="3"/>
        <v>0.4802211471387926</v>
      </c>
      <c r="K31" s="354">
        <v>765.90909999999997</v>
      </c>
      <c r="L31" s="355">
        <f t="shared" si="4"/>
        <v>6.3298313008017373E-2</v>
      </c>
      <c r="M31" s="821"/>
      <c r="N31" s="821"/>
      <c r="O31" s="236"/>
      <c r="P31" s="236"/>
      <c r="Q31" s="236"/>
      <c r="R31" s="236"/>
      <c r="S31" s="236"/>
    </row>
    <row r="32" spans="1:20" s="356" customFormat="1" ht="18">
      <c r="A32" s="239">
        <f t="shared" si="8"/>
        <v>46049</v>
      </c>
      <c r="B32" s="376"/>
      <c r="C32" s="377"/>
      <c r="D32" s="320" t="e">
        <f t="shared" si="0"/>
        <v>#DIV/0!</v>
      </c>
      <c r="E32" s="377"/>
      <c r="F32" s="235" t="e">
        <f t="shared" si="1"/>
        <v>#DIV/0!</v>
      </c>
      <c r="G32" s="376"/>
      <c r="H32" s="235" t="e">
        <f t="shared" si="2"/>
        <v>#DIV/0!</v>
      </c>
      <c r="I32" s="238"/>
      <c r="J32" s="235" t="e">
        <f t="shared" si="3"/>
        <v>#DIV/0!</v>
      </c>
      <c r="K32" s="354"/>
      <c r="L32" s="355" t="e">
        <f t="shared" si="4"/>
        <v>#DIV/0!</v>
      </c>
      <c r="M32" s="821">
        <f>SUM(C32:C36)</f>
        <v>0</v>
      </c>
      <c r="N32" s="821">
        <f>SUM(E32:E36)</f>
        <v>0</v>
      </c>
      <c r="O32" s="236"/>
      <c r="P32" s="236"/>
      <c r="Q32" s="236"/>
      <c r="R32" s="236"/>
      <c r="S32" s="236"/>
    </row>
    <row r="33" spans="1:19" s="356" customFormat="1" ht="18">
      <c r="A33" s="240">
        <f t="shared" si="8"/>
        <v>46050</v>
      </c>
      <c r="B33" s="376"/>
      <c r="C33" s="377"/>
      <c r="D33" s="320" t="e">
        <f t="shared" si="0"/>
        <v>#DIV/0!</v>
      </c>
      <c r="E33" s="377"/>
      <c r="F33" s="235" t="e">
        <f t="shared" si="1"/>
        <v>#DIV/0!</v>
      </c>
      <c r="G33" s="376"/>
      <c r="H33" s="235" t="e">
        <f t="shared" si="2"/>
        <v>#DIV/0!</v>
      </c>
      <c r="I33" s="238"/>
      <c r="J33" s="235" t="e">
        <f t="shared" si="3"/>
        <v>#DIV/0!</v>
      </c>
      <c r="K33" s="354"/>
      <c r="L33" s="355" t="e">
        <f t="shared" si="4"/>
        <v>#DIV/0!</v>
      </c>
      <c r="M33" s="821"/>
      <c r="N33" s="821"/>
      <c r="O33" s="236"/>
      <c r="P33" s="236"/>
      <c r="Q33" s="236"/>
      <c r="R33" s="236"/>
      <c r="S33" s="236"/>
    </row>
    <row r="34" spans="1:19" s="356" customFormat="1" ht="18">
      <c r="A34" s="239">
        <f t="shared" si="8"/>
        <v>46051</v>
      </c>
      <c r="B34" s="376"/>
      <c r="C34" s="377"/>
      <c r="D34" s="320" t="e">
        <f t="shared" si="0"/>
        <v>#DIV/0!</v>
      </c>
      <c r="E34" s="377"/>
      <c r="F34" s="235" t="e">
        <f t="shared" si="1"/>
        <v>#DIV/0!</v>
      </c>
      <c r="G34" s="376"/>
      <c r="H34" s="235" t="e">
        <f t="shared" si="2"/>
        <v>#DIV/0!</v>
      </c>
      <c r="I34" s="238"/>
      <c r="J34" s="235" t="e">
        <f t="shared" si="3"/>
        <v>#DIV/0!</v>
      </c>
      <c r="K34" s="354"/>
      <c r="L34" s="355" t="e">
        <f t="shared" si="4"/>
        <v>#DIV/0!</v>
      </c>
      <c r="M34" s="821"/>
      <c r="N34" s="821"/>
      <c r="O34" s="236"/>
      <c r="P34" s="236"/>
      <c r="Q34" s="236"/>
      <c r="R34" s="236"/>
      <c r="S34" s="236"/>
    </row>
    <row r="35" spans="1:19" s="356" customFormat="1" ht="18">
      <c r="A35" s="239">
        <f t="shared" si="8"/>
        <v>46052</v>
      </c>
      <c r="B35" s="376"/>
      <c r="C35" s="377"/>
      <c r="D35" s="320" t="e">
        <f t="shared" si="0"/>
        <v>#DIV/0!</v>
      </c>
      <c r="E35" s="377"/>
      <c r="F35" s="235" t="e">
        <f t="shared" si="1"/>
        <v>#DIV/0!</v>
      </c>
      <c r="G35" s="376"/>
      <c r="H35" s="235" t="e">
        <f t="shared" si="2"/>
        <v>#DIV/0!</v>
      </c>
      <c r="I35" s="238"/>
      <c r="J35" s="235" t="e">
        <f t="shared" si="3"/>
        <v>#DIV/0!</v>
      </c>
      <c r="K35" s="354"/>
      <c r="L35" s="355" t="e">
        <f t="shared" si="4"/>
        <v>#DIV/0!</v>
      </c>
      <c r="M35" s="821"/>
      <c r="N35" s="821"/>
      <c r="O35" s="236"/>
      <c r="P35" s="236"/>
      <c r="Q35" s="236"/>
      <c r="R35" s="236"/>
      <c r="S35" s="236"/>
    </row>
    <row r="36" spans="1:19" s="356" customFormat="1" ht="18">
      <c r="A36" s="239">
        <f t="shared" si="8"/>
        <v>46053</v>
      </c>
      <c r="B36" s="376"/>
      <c r="C36" s="377"/>
      <c r="D36" s="320" t="e">
        <f t="shared" si="0"/>
        <v>#DIV/0!</v>
      </c>
      <c r="E36" s="377"/>
      <c r="F36" s="235" t="e">
        <f t="shared" si="1"/>
        <v>#DIV/0!</v>
      </c>
      <c r="G36" s="376"/>
      <c r="H36" s="235" t="e">
        <f t="shared" si="2"/>
        <v>#DIV/0!</v>
      </c>
      <c r="I36" s="238"/>
      <c r="J36" s="235" t="e">
        <f t="shared" si="3"/>
        <v>#DIV/0!</v>
      </c>
      <c r="K36" s="354"/>
      <c r="L36" s="355" t="e">
        <f t="shared" si="4"/>
        <v>#DIV/0!</v>
      </c>
      <c r="M36" s="821"/>
      <c r="N36" s="821"/>
      <c r="O36" s="236"/>
      <c r="P36" s="236"/>
      <c r="Q36" s="236"/>
      <c r="R36" s="236"/>
      <c r="S36" s="236"/>
    </row>
    <row r="38" spans="1:19" ht="18">
      <c r="A38" s="239" t="s">
        <v>490</v>
      </c>
      <c r="B38" s="379">
        <f>SUM(B6:B36)</f>
        <v>124565126.31000003</v>
      </c>
      <c r="C38" s="379">
        <f>SUM(C6:C36)</f>
        <v>300793.99249999993</v>
      </c>
      <c r="D38" s="380">
        <f>C38/B38</f>
        <v>2.4147528398231338E-3</v>
      </c>
      <c r="E38" s="379">
        <f>SUM(E6:E36)</f>
        <v>700072.61297999998</v>
      </c>
      <c r="F38" s="381">
        <f>E38/B38</f>
        <v>5.6201332886522222E-3</v>
      </c>
      <c r="G38" s="379">
        <f>SUM(G6:G36)</f>
        <v>71078.068599999999</v>
      </c>
      <c r="H38" s="382">
        <f>G38/C38</f>
        <v>0.23630148996409897</v>
      </c>
      <c r="I38" s="379">
        <f>SUM(I6:I36)</f>
        <v>278181.24430000008</v>
      </c>
      <c r="J38" s="382">
        <f>I38/E38</f>
        <v>0.39736055823676009</v>
      </c>
      <c r="K38" s="379">
        <f>SUM(K6:K36)</f>
        <v>25818.190999999999</v>
      </c>
      <c r="L38" s="383">
        <f>K38/C38</f>
        <v>8.5833466238525377E-2</v>
      </c>
    </row>
  </sheetData>
  <mergeCells count="22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25:M31"/>
    <mergeCell ref="N25:N31"/>
    <mergeCell ref="M32:M36"/>
    <mergeCell ref="N32:N36"/>
    <mergeCell ref="M4:M10"/>
    <mergeCell ref="N4:N10"/>
    <mergeCell ref="M11:M17"/>
    <mergeCell ref="N11:N17"/>
    <mergeCell ref="M18:M24"/>
    <mergeCell ref="N18:N24"/>
  </mergeCells>
  <phoneticPr fontId="15" type="noConversion"/>
  <conditionalFormatting sqref="A4:A36">
    <cfRule type="timePeriod" dxfId="6" priority="1" timePeriod="yesterday">
      <formula>FLOOR(A4,1)=TODAY()-1</formula>
    </cfRule>
  </conditionalFormatting>
  <conditionalFormatting sqref="D4:D36">
    <cfRule type="cellIs" dxfId="5" priority="4" operator="greaterThan">
      <formula>0.0025</formula>
    </cfRule>
  </conditionalFormatting>
  <conditionalFormatting sqref="D38">
    <cfRule type="cellIs" dxfId="4" priority="16" operator="greaterThan">
      <formula>0.0025</formula>
    </cfRule>
  </conditionalFormatting>
  <conditionalFormatting sqref="H38 J38">
    <cfRule type="cellIs" dxfId="3" priority="15" operator="greaterThan">
      <formula>0.16</formula>
    </cfRule>
  </conditionalFormatting>
  <conditionalFormatting sqref="H4:J36">
    <cfRule type="cellIs" dxfId="2" priority="2" operator="greaterThan">
      <formula>0.16</formula>
    </cfRule>
  </conditionalFormatting>
  <conditionalFormatting sqref="L4:L36">
    <cfRule type="cellIs" dxfId="1" priority="3" operator="greaterThan">
      <formula>0.15</formula>
    </cfRule>
  </conditionalFormatting>
  <conditionalFormatting sqref="L38">
    <cfRule type="cellIs" dxfId="0" priority="14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24"/>
  <sheetViews>
    <sheetView zoomScale="71" zoomScaleNormal="71" workbookViewId="0">
      <pane xSplit="3" ySplit="2" topLeftCell="D86" activePane="bottomRight" state="frozen"/>
      <selection pane="topRight" activeCell="D1" sqref="D1"/>
      <selection pane="bottomLeft" activeCell="A4" sqref="A4"/>
      <selection pane="bottomRight" activeCell="Y103" sqref="Y103:Y122"/>
    </sheetView>
  </sheetViews>
  <sheetFormatPr defaultColWidth="8.81640625" defaultRowHeight="16"/>
  <cols>
    <col min="1" max="1" width="8.81640625" style="148"/>
    <col min="2" max="2" width="12.453125" style="148" customWidth="1"/>
    <col min="3" max="3" width="8.81640625" style="148"/>
    <col min="4" max="4" width="11.54296875" style="148" customWidth="1"/>
    <col min="5" max="5" width="39.26953125" style="148" bestFit="1" customWidth="1"/>
    <col min="6" max="6" width="11.453125" style="148" bestFit="1" customWidth="1"/>
    <col min="7" max="8" width="17.26953125" style="148" bestFit="1" customWidth="1"/>
    <col min="9" max="9" width="16.81640625" style="148" customWidth="1"/>
    <col min="10" max="10" width="14" style="148" customWidth="1"/>
    <col min="11" max="11" width="11.54296875" style="148" bestFit="1" customWidth="1"/>
    <col min="12" max="12" width="10.81640625" style="148" bestFit="1" customWidth="1"/>
    <col min="13" max="13" width="19.1796875" style="148" bestFit="1" customWidth="1"/>
    <col min="14" max="14" width="15.26953125" style="148" bestFit="1" customWidth="1"/>
    <col min="15" max="15" width="12.54296875" style="148" bestFit="1" customWidth="1"/>
    <col min="16" max="16" width="12.81640625" style="148" bestFit="1" customWidth="1"/>
    <col min="17" max="17" width="13.453125" style="148" bestFit="1" customWidth="1"/>
    <col min="18" max="18" width="12.81640625" style="148" bestFit="1" customWidth="1"/>
    <col min="19" max="19" width="10.81640625" style="148" bestFit="1" customWidth="1"/>
    <col min="20" max="20" width="12.453125" style="148" bestFit="1" customWidth="1"/>
    <col min="21" max="21" width="25.26953125" style="148" bestFit="1" customWidth="1"/>
    <col min="22" max="23" width="88.26953125" style="148" customWidth="1"/>
    <col min="24" max="24" width="7.453125" style="148" bestFit="1" customWidth="1"/>
    <col min="25" max="25" width="69.54296875" style="148" bestFit="1" customWidth="1"/>
    <col min="26" max="26" width="11.453125" style="148" bestFit="1" customWidth="1"/>
    <col min="27" max="27" width="21.54296875" style="148" customWidth="1"/>
    <col min="28" max="28" width="19.453125" style="148" bestFit="1" customWidth="1"/>
    <col min="29" max="34" width="14.453125" style="148" customWidth="1"/>
    <col min="35" max="16384" width="8.81640625" style="148"/>
  </cols>
  <sheetData>
    <row r="2" spans="2:34" ht="41.15" customHeight="1">
      <c r="B2" s="858" t="s">
        <v>525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AA2" s="149"/>
      <c r="AB2" s="149"/>
    </row>
    <row r="3" spans="2:34" ht="17.149999999999999" customHeight="1">
      <c r="B3" s="849" t="s">
        <v>526</v>
      </c>
      <c r="C3" s="850"/>
      <c r="D3" s="855" t="s">
        <v>172</v>
      </c>
      <c r="E3" s="855"/>
      <c r="F3" s="855"/>
      <c r="G3" s="855" t="s">
        <v>186</v>
      </c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 t="s">
        <v>173</v>
      </c>
      <c r="U3" s="840" t="s">
        <v>252</v>
      </c>
      <c r="V3" s="833" t="s">
        <v>527</v>
      </c>
      <c r="W3" s="833" t="s">
        <v>528</v>
      </c>
      <c r="X3" s="836" t="s">
        <v>253</v>
      </c>
      <c r="Y3" s="839" t="s">
        <v>174</v>
      </c>
      <c r="AA3" s="840" t="s">
        <v>254</v>
      </c>
      <c r="AB3" s="841"/>
      <c r="AC3" s="841"/>
      <c r="AD3" s="841"/>
      <c r="AE3" s="841"/>
      <c r="AF3" s="841"/>
      <c r="AG3" s="841"/>
      <c r="AH3" s="842"/>
    </row>
    <row r="4" spans="2:34" ht="17.149999999999999" customHeight="1">
      <c r="B4" s="851"/>
      <c r="C4" s="852"/>
      <c r="D4" s="856" t="s">
        <v>171</v>
      </c>
      <c r="E4" s="855" t="s">
        <v>175</v>
      </c>
      <c r="F4" s="855"/>
      <c r="G4" s="855" t="s">
        <v>187</v>
      </c>
      <c r="H4" s="855"/>
      <c r="I4" s="855"/>
      <c r="J4" s="855"/>
      <c r="K4" s="855"/>
      <c r="L4" s="855"/>
      <c r="M4" s="855"/>
      <c r="N4" s="855"/>
      <c r="O4" s="855" t="s">
        <v>176</v>
      </c>
      <c r="P4" s="855"/>
      <c r="Q4" s="855"/>
      <c r="R4" s="855"/>
      <c r="S4" s="855"/>
      <c r="T4" s="855"/>
      <c r="U4" s="843"/>
      <c r="V4" s="834"/>
      <c r="W4" s="834"/>
      <c r="X4" s="837"/>
      <c r="Y4" s="839"/>
      <c r="AA4" s="843"/>
      <c r="AB4" s="844"/>
      <c r="AC4" s="844"/>
      <c r="AD4" s="844"/>
      <c r="AE4" s="844"/>
      <c r="AF4" s="844"/>
      <c r="AG4" s="844"/>
      <c r="AH4" s="845"/>
    </row>
    <row r="5" spans="2:34" ht="17.149999999999999" customHeight="1">
      <c r="B5" s="851"/>
      <c r="C5" s="852"/>
      <c r="D5" s="856"/>
      <c r="E5" s="856" t="s">
        <v>177</v>
      </c>
      <c r="F5" s="839" t="s">
        <v>255</v>
      </c>
      <c r="G5" s="857" t="s">
        <v>188</v>
      </c>
      <c r="H5" s="857"/>
      <c r="I5" s="857"/>
      <c r="J5" s="857"/>
      <c r="K5" s="857"/>
      <c r="L5" s="857"/>
      <c r="M5" s="857"/>
      <c r="N5" s="857"/>
      <c r="O5" s="857" t="s">
        <v>170</v>
      </c>
      <c r="P5" s="857"/>
      <c r="Q5" s="857" t="s">
        <v>178</v>
      </c>
      <c r="R5" s="857"/>
      <c r="S5" s="857"/>
      <c r="T5" s="855"/>
      <c r="U5" s="843"/>
      <c r="V5" s="834"/>
      <c r="W5" s="834"/>
      <c r="X5" s="837"/>
      <c r="Y5" s="839"/>
      <c r="AA5" s="846"/>
      <c r="AB5" s="847"/>
      <c r="AC5" s="847"/>
      <c r="AD5" s="847"/>
      <c r="AE5" s="847"/>
      <c r="AF5" s="847"/>
      <c r="AG5" s="847"/>
      <c r="AH5" s="848"/>
    </row>
    <row r="6" spans="2:34" ht="38.5" customHeight="1">
      <c r="B6" s="853"/>
      <c r="C6" s="854"/>
      <c r="D6" s="856"/>
      <c r="E6" s="856"/>
      <c r="F6" s="839"/>
      <c r="G6" s="398" t="s">
        <v>179</v>
      </c>
      <c r="H6" s="398" t="s">
        <v>259</v>
      </c>
      <c r="I6" s="398" t="s">
        <v>260</v>
      </c>
      <c r="J6" s="398" t="s">
        <v>180</v>
      </c>
      <c r="K6" s="398" t="s">
        <v>257</v>
      </c>
      <c r="L6" s="398" t="s">
        <v>181</v>
      </c>
      <c r="M6" s="398" t="s">
        <v>189</v>
      </c>
      <c r="N6" s="398" t="s">
        <v>182</v>
      </c>
      <c r="O6" s="399" t="s">
        <v>183</v>
      </c>
      <c r="P6" s="399" t="s">
        <v>184</v>
      </c>
      <c r="Q6" s="399" t="s">
        <v>183</v>
      </c>
      <c r="R6" s="399" t="s">
        <v>184</v>
      </c>
      <c r="S6" s="398" t="s">
        <v>185</v>
      </c>
      <c r="T6" s="855"/>
      <c r="U6" s="846"/>
      <c r="V6" s="835"/>
      <c r="W6" s="835"/>
      <c r="X6" s="838"/>
      <c r="Y6" s="839"/>
      <c r="AA6" s="163" t="s">
        <v>251</v>
      </c>
      <c r="AB6" s="163" t="s">
        <v>529</v>
      </c>
      <c r="AC6" s="158" t="s">
        <v>403</v>
      </c>
      <c r="AD6" s="158" t="s">
        <v>346</v>
      </c>
      <c r="AE6" s="158" t="s">
        <v>477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7" t="s">
        <v>581</v>
      </c>
      <c r="C7" s="828"/>
      <c r="D7" s="397">
        <v>1</v>
      </c>
      <c r="E7" s="400" t="s">
        <v>375</v>
      </c>
      <c r="F7" s="401">
        <v>2802.9625000000001</v>
      </c>
      <c r="G7" s="402">
        <v>1076.5700000000002</v>
      </c>
      <c r="H7" s="402">
        <v>1103.4100000000001</v>
      </c>
      <c r="I7" s="403">
        <f>H7/G7</f>
        <v>1.0249310309594359</v>
      </c>
      <c r="J7" s="402">
        <v>4.9000000000000004</v>
      </c>
      <c r="K7" s="403">
        <f>J7/G7</f>
        <v>4.5514922392412942E-3</v>
      </c>
      <c r="L7" s="402">
        <v>152.75</v>
      </c>
      <c r="M7" s="403">
        <f>(H7+J7)/G7</f>
        <v>1.0294825231986773</v>
      </c>
      <c r="N7" s="404">
        <v>4848.2849999999971</v>
      </c>
      <c r="O7" s="402">
        <v>18.350000000000001</v>
      </c>
      <c r="P7" s="403">
        <f>O7/G7</f>
        <v>1.7044873997975048E-2</v>
      </c>
      <c r="Q7" s="405">
        <f>((H7+J7)-G7)-O7</f>
        <v>13.390000000000008</v>
      </c>
      <c r="R7" s="403">
        <f>Q7/G7</f>
        <v>1.2437649200702235E-2</v>
      </c>
      <c r="S7" s="406">
        <f>Q7*L7</f>
        <v>2045.3225000000011</v>
      </c>
      <c r="T7" s="407" t="s">
        <v>438</v>
      </c>
      <c r="U7" s="407" t="s">
        <v>529</v>
      </c>
      <c r="V7" s="408" t="s">
        <v>550</v>
      </c>
      <c r="W7" s="408" t="s">
        <v>548</v>
      </c>
      <c r="X7" s="408">
        <v>1</v>
      </c>
      <c r="Y7" s="409" t="s">
        <v>378</v>
      </c>
      <c r="Z7" s="410" t="s">
        <v>530</v>
      </c>
      <c r="AA7" s="420">
        <f>SUM(X7:X26)</f>
        <v>20</v>
      </c>
      <c r="AB7" s="412">
        <f>SUMIF($U$7:$U$26,TRIM(AB6),$X$7:$X$26)</f>
        <v>15</v>
      </c>
      <c r="AC7" s="412">
        <f t="shared" ref="AC7:AH7" si="0">SUMIF($U$7:$U$26,TRIM(AC6),$X$7:$X$26)</f>
        <v>0</v>
      </c>
      <c r="AD7" s="412">
        <f t="shared" si="0"/>
        <v>4</v>
      </c>
      <c r="AE7" s="412">
        <f t="shared" si="0"/>
        <v>0</v>
      </c>
      <c r="AF7" s="412">
        <f t="shared" si="0"/>
        <v>0</v>
      </c>
      <c r="AG7" s="412">
        <f t="shared" si="0"/>
        <v>1</v>
      </c>
      <c r="AH7" s="412">
        <f t="shared" si="0"/>
        <v>0</v>
      </c>
    </row>
    <row r="8" spans="2:34" s="150" customFormat="1" ht="27" customHeight="1">
      <c r="B8" s="829"/>
      <c r="C8" s="830"/>
      <c r="D8" s="397">
        <v>2</v>
      </c>
      <c r="E8" s="400" t="s">
        <v>491</v>
      </c>
      <c r="F8" s="401">
        <v>1994.85</v>
      </c>
      <c r="G8" s="402">
        <v>18323</v>
      </c>
      <c r="H8" s="402">
        <v>18310</v>
      </c>
      <c r="I8" s="403">
        <f t="shared" ref="I8:I9" si="1">H8/G8</f>
        <v>0.9992905091960923</v>
      </c>
      <c r="J8" s="402">
        <v>157</v>
      </c>
      <c r="K8" s="403">
        <f t="shared" ref="K8:K13" si="2">J8/G8</f>
        <v>8.5684658625770887E-3</v>
      </c>
      <c r="L8" s="402">
        <v>13.950000000000001</v>
      </c>
      <c r="M8" s="403">
        <f t="shared" ref="M8:M13" si="3">(H8+J8)/G8</f>
        <v>1.0078589750586695</v>
      </c>
      <c r="N8" s="404">
        <v>2008.8000000000002</v>
      </c>
      <c r="O8" s="402">
        <v>143</v>
      </c>
      <c r="P8" s="403">
        <f t="shared" ref="P8:P26" si="4">O8/G8</f>
        <v>7.8043988429842273E-3</v>
      </c>
      <c r="Q8" s="405">
        <f t="shared" ref="Q8:Q26" si="5">((H8+J8)-G8)-O8</f>
        <v>1</v>
      </c>
      <c r="R8" s="403">
        <f t="shared" ref="R8:R26" si="6">Q8/G8</f>
        <v>5.4576215685204391E-5</v>
      </c>
      <c r="S8" s="406">
        <f t="shared" ref="S8:S26" si="7">Q8*L8</f>
        <v>13.950000000000001</v>
      </c>
      <c r="T8" s="407" t="s">
        <v>438</v>
      </c>
      <c r="U8" s="407" t="s">
        <v>346</v>
      </c>
      <c r="V8" s="408" t="s">
        <v>551</v>
      </c>
      <c r="W8" s="408" t="s">
        <v>552</v>
      </c>
      <c r="X8" s="408">
        <v>1</v>
      </c>
      <c r="Y8" s="409" t="s">
        <v>493</v>
      </c>
      <c r="AA8" s="421"/>
      <c r="AB8" s="418">
        <f>SUMIF($U$7:$U$26,TRIM(AB6),$F$7:$F$26)</f>
        <v>22313.197499999998</v>
      </c>
      <c r="AC8" s="418">
        <f t="shared" ref="AC8:AH8" si="8">SUMIF($U$7:$U$26,TRIM(AC6),$F$7:$F$26)</f>
        <v>0</v>
      </c>
      <c r="AD8" s="418">
        <f t="shared" si="8"/>
        <v>5943.4953999999998</v>
      </c>
      <c r="AE8" s="418">
        <f t="shared" si="8"/>
        <v>0</v>
      </c>
      <c r="AF8" s="418">
        <f t="shared" si="8"/>
        <v>0</v>
      </c>
      <c r="AG8" s="418">
        <f t="shared" si="8"/>
        <v>1328.6999999999998</v>
      </c>
      <c r="AH8" s="418">
        <f t="shared" si="8"/>
        <v>0</v>
      </c>
    </row>
    <row r="9" spans="2:34" s="150" customFormat="1" ht="27" customHeight="1">
      <c r="B9" s="829"/>
      <c r="C9" s="830"/>
      <c r="D9" s="397">
        <v>3</v>
      </c>
      <c r="E9" s="400" t="s">
        <v>500</v>
      </c>
      <c r="F9" s="401">
        <v>1946.8592000000003</v>
      </c>
      <c r="G9" s="402">
        <v>499.82</v>
      </c>
      <c r="H9" s="402">
        <v>507.21</v>
      </c>
      <c r="I9" s="403">
        <f t="shared" si="1"/>
        <v>1.0147853227161778</v>
      </c>
      <c r="J9" s="402">
        <v>7.36</v>
      </c>
      <c r="K9" s="403">
        <f t="shared" si="2"/>
        <v>1.4725301108399024E-2</v>
      </c>
      <c r="L9" s="402">
        <v>181.60999999999999</v>
      </c>
      <c r="M9" s="403">
        <f t="shared" si="3"/>
        <v>1.0295106238245768</v>
      </c>
      <c r="N9" s="404">
        <v>2678.7475000000013</v>
      </c>
      <c r="O9" s="402">
        <v>10.719999999999999</v>
      </c>
      <c r="P9" s="403">
        <f t="shared" si="4"/>
        <v>2.1447721179624662E-2</v>
      </c>
      <c r="Q9" s="405">
        <f t="shared" si="5"/>
        <v>4.0299999999999443</v>
      </c>
      <c r="R9" s="403">
        <f t="shared" si="6"/>
        <v>8.0629026449520712E-3</v>
      </c>
      <c r="S9" s="406">
        <f t="shared" si="7"/>
        <v>731.88829999998984</v>
      </c>
      <c r="T9" s="407" t="s">
        <v>438</v>
      </c>
      <c r="U9" s="407" t="s">
        <v>529</v>
      </c>
      <c r="V9" s="408" t="s">
        <v>540</v>
      </c>
      <c r="W9" s="408" t="s">
        <v>541</v>
      </c>
      <c r="X9" s="408">
        <v>1</v>
      </c>
      <c r="Y9" s="409" t="s">
        <v>497</v>
      </c>
      <c r="AA9" s="397"/>
      <c r="AB9" s="419">
        <f>AB7/$AA7</f>
        <v>0.75</v>
      </c>
      <c r="AC9" s="419">
        <f t="shared" ref="AC9:AH9" si="9">AC7/$AA7</f>
        <v>0</v>
      </c>
      <c r="AD9" s="419">
        <f t="shared" si="9"/>
        <v>0.2</v>
      </c>
      <c r="AE9" s="419">
        <f t="shared" si="9"/>
        <v>0</v>
      </c>
      <c r="AF9" s="419">
        <f t="shared" si="9"/>
        <v>0</v>
      </c>
      <c r="AG9" s="419">
        <f t="shared" si="9"/>
        <v>0.05</v>
      </c>
      <c r="AH9" s="419">
        <f t="shared" si="9"/>
        <v>0</v>
      </c>
    </row>
    <row r="10" spans="2:34" s="150" customFormat="1" ht="27" customHeight="1">
      <c r="B10" s="829"/>
      <c r="C10" s="830"/>
      <c r="D10" s="397">
        <v>4</v>
      </c>
      <c r="E10" s="400" t="s">
        <v>343</v>
      </c>
      <c r="F10" s="401">
        <v>1657.5389999999998</v>
      </c>
      <c r="G10" s="402">
        <v>619.91999999999996</v>
      </c>
      <c r="H10" s="402">
        <v>635.03</v>
      </c>
      <c r="I10" s="403">
        <f>H10/G10</f>
        <v>1.0243741127887469</v>
      </c>
      <c r="J10" s="402">
        <v>0</v>
      </c>
      <c r="K10" s="403">
        <f t="shared" si="2"/>
        <v>0</v>
      </c>
      <c r="L10" s="402">
        <v>141.66999999999999</v>
      </c>
      <c r="M10" s="403">
        <f t="shared" si="3"/>
        <v>1.0243741127887469</v>
      </c>
      <c r="N10" s="404">
        <v>2140.633699999998</v>
      </c>
      <c r="O10" s="402">
        <v>11.7</v>
      </c>
      <c r="P10" s="403">
        <f t="shared" si="4"/>
        <v>1.8873403019744484E-2</v>
      </c>
      <c r="Q10" s="405">
        <f t="shared" si="5"/>
        <v>3.4100000000000144</v>
      </c>
      <c r="R10" s="403">
        <f t="shared" si="6"/>
        <v>5.5007097690024757E-3</v>
      </c>
      <c r="S10" s="406">
        <f t="shared" si="7"/>
        <v>483.09470000000198</v>
      </c>
      <c r="T10" s="407" t="s">
        <v>438</v>
      </c>
      <c r="U10" s="407" t="s">
        <v>529</v>
      </c>
      <c r="V10" s="408" t="s">
        <v>558</v>
      </c>
      <c r="W10" s="408" t="s">
        <v>542</v>
      </c>
      <c r="X10" s="408">
        <v>1</v>
      </c>
      <c r="Y10" s="409" t="s">
        <v>351</v>
      </c>
    </row>
    <row r="11" spans="2:34" s="150" customFormat="1" ht="27" customHeight="1">
      <c r="B11" s="829"/>
      <c r="C11" s="830"/>
      <c r="D11" s="397">
        <v>5</v>
      </c>
      <c r="E11" s="400" t="s">
        <v>442</v>
      </c>
      <c r="F11" s="401">
        <v>1605.5378999999998</v>
      </c>
      <c r="G11" s="402">
        <v>1481.5700000000002</v>
      </c>
      <c r="H11" s="402">
        <v>1499.86</v>
      </c>
      <c r="I11" s="403">
        <f t="shared" ref="I11:I26" si="10">H11/G11</f>
        <v>1.0123450123855098</v>
      </c>
      <c r="J11" s="402">
        <v>0</v>
      </c>
      <c r="K11" s="403">
        <f t="shared" si="2"/>
        <v>0</v>
      </c>
      <c r="L11" s="402">
        <v>157.87000000000003</v>
      </c>
      <c r="M11" s="403">
        <f t="shared" si="3"/>
        <v>1.0123450123855098</v>
      </c>
      <c r="N11" s="404">
        <v>2887.4422999999942</v>
      </c>
      <c r="O11" s="402">
        <v>10.17</v>
      </c>
      <c r="P11" s="403">
        <f t="shared" si="4"/>
        <v>6.8643398556936215E-3</v>
      </c>
      <c r="Q11" s="405">
        <f t="shared" si="5"/>
        <v>8.1199999999997363</v>
      </c>
      <c r="R11" s="403">
        <f t="shared" si="6"/>
        <v>5.4806725298161647E-3</v>
      </c>
      <c r="S11" s="406">
        <f t="shared" si="7"/>
        <v>1281.9043999999587</v>
      </c>
      <c r="T11" s="407" t="s">
        <v>438</v>
      </c>
      <c r="U11" s="407" t="s">
        <v>529</v>
      </c>
      <c r="V11" s="408" t="s">
        <v>540</v>
      </c>
      <c r="W11" s="408" t="s">
        <v>541</v>
      </c>
      <c r="X11" s="408">
        <v>1</v>
      </c>
      <c r="Y11" s="409" t="s">
        <v>349</v>
      </c>
    </row>
    <row r="12" spans="2:34" s="150" customFormat="1" ht="27" customHeight="1">
      <c r="B12" s="829"/>
      <c r="C12" s="830"/>
      <c r="D12" s="397">
        <v>6</v>
      </c>
      <c r="E12" s="400" t="s">
        <v>521</v>
      </c>
      <c r="F12" s="401">
        <v>1477.3764000000001</v>
      </c>
      <c r="G12" s="402">
        <v>126.22000000000001</v>
      </c>
      <c r="H12" s="402">
        <v>124.29</v>
      </c>
      <c r="I12" s="403">
        <f t="shared" si="10"/>
        <v>0.98470923783869424</v>
      </c>
      <c r="J12" s="402">
        <v>12.93</v>
      </c>
      <c r="K12" s="403">
        <f t="shared" si="2"/>
        <v>0.10244018380605291</v>
      </c>
      <c r="L12" s="402">
        <v>191.37000000000003</v>
      </c>
      <c r="M12" s="403">
        <f t="shared" si="3"/>
        <v>1.087149421644747</v>
      </c>
      <c r="N12" s="404">
        <v>2105.0700000000006</v>
      </c>
      <c r="O12" s="402">
        <v>7.72</v>
      </c>
      <c r="P12" s="403">
        <f t="shared" si="4"/>
        <v>6.1163048645222616E-2</v>
      </c>
      <c r="Q12" s="405">
        <f t="shared" si="5"/>
        <v>3.279999999999986</v>
      </c>
      <c r="R12" s="403">
        <f t="shared" si="6"/>
        <v>2.5986372999524526E-2</v>
      </c>
      <c r="S12" s="406">
        <f t="shared" si="7"/>
        <v>627.69359999999745</v>
      </c>
      <c r="T12" s="407" t="s">
        <v>438</v>
      </c>
      <c r="U12" s="407" t="s">
        <v>529</v>
      </c>
      <c r="V12" s="408" t="s">
        <v>543</v>
      </c>
      <c r="W12" s="408" t="s">
        <v>544</v>
      </c>
      <c r="X12" s="408">
        <v>1</v>
      </c>
      <c r="Y12" s="409" t="s">
        <v>514</v>
      </c>
    </row>
    <row r="13" spans="2:34" s="150" customFormat="1" ht="27" customHeight="1">
      <c r="B13" s="829"/>
      <c r="C13" s="830"/>
      <c r="D13" s="397">
        <v>7</v>
      </c>
      <c r="E13" s="400" t="s">
        <v>556</v>
      </c>
      <c r="F13" s="401">
        <v>1474</v>
      </c>
      <c r="G13" s="402">
        <v>56625</v>
      </c>
      <c r="H13" s="402">
        <v>56683</v>
      </c>
      <c r="I13" s="403">
        <f t="shared" si="10"/>
        <v>1.0010242825607063</v>
      </c>
      <c r="J13" s="402">
        <v>217</v>
      </c>
      <c r="K13" s="403">
        <f t="shared" si="2"/>
        <v>3.8322295805739513E-3</v>
      </c>
      <c r="L13" s="402">
        <v>5.36</v>
      </c>
      <c r="M13" s="403">
        <f t="shared" si="3"/>
        <v>1.0048565121412802</v>
      </c>
      <c r="N13" s="404">
        <v>1474</v>
      </c>
      <c r="O13" s="402">
        <v>275</v>
      </c>
      <c r="P13" s="403">
        <f t="shared" si="4"/>
        <v>4.8565121412803532E-3</v>
      </c>
      <c r="Q13" s="405">
        <f t="shared" si="5"/>
        <v>0</v>
      </c>
      <c r="R13" s="403">
        <f t="shared" si="6"/>
        <v>0</v>
      </c>
      <c r="S13" s="406">
        <f t="shared" si="7"/>
        <v>0</v>
      </c>
      <c r="T13" s="407" t="s">
        <v>438</v>
      </c>
      <c r="U13" s="407" t="s">
        <v>346</v>
      </c>
      <c r="V13" s="408" t="s">
        <v>596</v>
      </c>
      <c r="W13" s="408" t="s">
        <v>597</v>
      </c>
      <c r="X13" s="408">
        <v>1</v>
      </c>
      <c r="Y13" s="409" t="s">
        <v>524</v>
      </c>
    </row>
    <row r="14" spans="2:34" s="150" customFormat="1" ht="27" customHeight="1">
      <c r="B14" s="829"/>
      <c r="C14" s="830"/>
      <c r="D14" s="397">
        <v>8</v>
      </c>
      <c r="E14" s="400" t="s">
        <v>406</v>
      </c>
      <c r="F14" s="401">
        <v>1448.4272000000001</v>
      </c>
      <c r="G14" s="402">
        <v>3801.9</v>
      </c>
      <c r="H14" s="402">
        <v>3681.9200000000005</v>
      </c>
      <c r="I14" s="403">
        <f t="shared" si="10"/>
        <v>0.96844209474210274</v>
      </c>
      <c r="J14" s="402">
        <v>165.3</v>
      </c>
      <c r="K14" s="403">
        <f>J14/G14</f>
        <v>4.3478260869565216E-2</v>
      </c>
      <c r="L14" s="402">
        <v>127.84000000000002</v>
      </c>
      <c r="M14" s="403">
        <f>(H14+J14)/G14</f>
        <v>1.011920355611668</v>
      </c>
      <c r="N14" s="404">
        <v>5793.7087999999994</v>
      </c>
      <c r="O14" s="402">
        <v>11.33</v>
      </c>
      <c r="P14" s="403">
        <f t="shared" si="4"/>
        <v>2.9800889029169626E-3</v>
      </c>
      <c r="Q14" s="405">
        <f t="shared" si="5"/>
        <v>33.99000000000062</v>
      </c>
      <c r="R14" s="403">
        <f t="shared" si="6"/>
        <v>8.9402667087510514E-3</v>
      </c>
      <c r="S14" s="406">
        <f t="shared" si="7"/>
        <v>4345.2816000000803</v>
      </c>
      <c r="T14" s="407" t="s">
        <v>438</v>
      </c>
      <c r="U14" s="407" t="s">
        <v>529</v>
      </c>
      <c r="V14" s="408" t="s">
        <v>543</v>
      </c>
      <c r="W14" s="408" t="s">
        <v>544</v>
      </c>
      <c r="X14" s="408">
        <v>1</v>
      </c>
      <c r="Y14" s="409" t="s">
        <v>349</v>
      </c>
    </row>
    <row r="15" spans="2:34" s="150" customFormat="1" ht="27" customHeight="1">
      <c r="B15" s="829"/>
      <c r="C15" s="830"/>
      <c r="D15" s="397">
        <v>9</v>
      </c>
      <c r="E15" s="400" t="s">
        <v>509</v>
      </c>
      <c r="F15" s="401">
        <v>1429.0528000000002</v>
      </c>
      <c r="G15" s="402">
        <v>291.26</v>
      </c>
      <c r="H15" s="402">
        <v>293.3</v>
      </c>
      <c r="I15" s="403">
        <f t="shared" si="10"/>
        <v>1.0070040513630434</v>
      </c>
      <c r="J15" s="402">
        <v>10.47</v>
      </c>
      <c r="K15" s="403">
        <f t="shared" ref="K15:K26" si="11">J15/G15</f>
        <v>3.59472636132665E-2</v>
      </c>
      <c r="L15" s="402">
        <v>155.84</v>
      </c>
      <c r="M15" s="403">
        <f t="shared" ref="M15:M26" si="12">(H15+J15)/G15</f>
        <v>1.0429513149763099</v>
      </c>
      <c r="N15" s="404">
        <v>1949.5583999999992</v>
      </c>
      <c r="O15" s="402">
        <v>9.17</v>
      </c>
      <c r="P15" s="403">
        <f t="shared" si="4"/>
        <v>3.1483897548582024E-2</v>
      </c>
      <c r="Q15" s="405">
        <f t="shared" si="5"/>
        <v>3.3400000000000478</v>
      </c>
      <c r="R15" s="403">
        <f t="shared" si="6"/>
        <v>1.1467417427727968E-2</v>
      </c>
      <c r="S15" s="406">
        <f t="shared" si="7"/>
        <v>520.50560000000746</v>
      </c>
      <c r="T15" s="407" t="s">
        <v>438</v>
      </c>
      <c r="U15" s="407" t="s">
        <v>529</v>
      </c>
      <c r="V15" s="408" t="s">
        <v>568</v>
      </c>
      <c r="W15" s="408" t="s">
        <v>541</v>
      </c>
      <c r="X15" s="408">
        <v>1</v>
      </c>
      <c r="Y15" s="409" t="s">
        <v>507</v>
      </c>
    </row>
    <row r="16" spans="2:34" s="150" customFormat="1" ht="27" customHeight="1">
      <c r="B16" s="829"/>
      <c r="C16" s="830"/>
      <c r="D16" s="397">
        <v>10</v>
      </c>
      <c r="E16" s="400" t="s">
        <v>373</v>
      </c>
      <c r="F16" s="401">
        <v>1410.4320000000002</v>
      </c>
      <c r="G16" s="402">
        <v>265.48</v>
      </c>
      <c r="H16" s="402">
        <v>267.54000000000002</v>
      </c>
      <c r="I16" s="403">
        <f t="shared" si="10"/>
        <v>1.007759529908091</v>
      </c>
      <c r="J16" s="402">
        <v>11.129999999999999</v>
      </c>
      <c r="K16" s="403">
        <f t="shared" si="11"/>
        <v>4.1924062076239256E-2</v>
      </c>
      <c r="L16" s="402">
        <v>183.65000000000003</v>
      </c>
      <c r="M16" s="403">
        <f t="shared" si="12"/>
        <v>1.0496835919843304</v>
      </c>
      <c r="N16" s="404">
        <v>2422.3435000000009</v>
      </c>
      <c r="O16" s="402">
        <v>7.68</v>
      </c>
      <c r="P16" s="403">
        <f t="shared" si="4"/>
        <v>2.892873286123248E-2</v>
      </c>
      <c r="Q16" s="405">
        <f t="shared" si="5"/>
        <v>5.509999999999998</v>
      </c>
      <c r="R16" s="403">
        <f t="shared" si="6"/>
        <v>2.0754859123097776E-2</v>
      </c>
      <c r="S16" s="406">
        <f t="shared" si="7"/>
        <v>1011.9114999999998</v>
      </c>
      <c r="T16" s="407" t="s">
        <v>438</v>
      </c>
      <c r="U16" s="407" t="s">
        <v>529</v>
      </c>
      <c r="V16" s="408" t="s">
        <v>569</v>
      </c>
      <c r="W16" s="408" t="s">
        <v>570</v>
      </c>
      <c r="X16" s="408">
        <v>1</v>
      </c>
      <c r="Y16" s="409" t="s">
        <v>366</v>
      </c>
    </row>
    <row r="17" spans="2:34" s="150" customFormat="1" ht="27" customHeight="1">
      <c r="B17" s="829"/>
      <c r="C17" s="830"/>
      <c r="D17" s="397">
        <v>11</v>
      </c>
      <c r="E17" s="400" t="s">
        <v>342</v>
      </c>
      <c r="F17" s="401">
        <v>1328.6999999999998</v>
      </c>
      <c r="G17" s="402">
        <v>21175</v>
      </c>
      <c r="H17" s="402">
        <v>20184</v>
      </c>
      <c r="I17" s="403">
        <f t="shared" si="10"/>
        <v>0.95319952774498229</v>
      </c>
      <c r="J17" s="402">
        <v>1077</v>
      </c>
      <c r="K17" s="403">
        <f t="shared" si="11"/>
        <v>5.0861865407319955E-2</v>
      </c>
      <c r="L17" s="402">
        <v>15.450000000000001</v>
      </c>
      <c r="M17" s="403">
        <f t="shared" si="12"/>
        <v>1.0040613931523021</v>
      </c>
      <c r="N17" s="404">
        <v>1328.6999999999998</v>
      </c>
      <c r="O17" s="402">
        <v>86</v>
      </c>
      <c r="P17" s="403">
        <f t="shared" si="4"/>
        <v>4.0613931523022428E-3</v>
      </c>
      <c r="Q17" s="405">
        <f t="shared" si="5"/>
        <v>0</v>
      </c>
      <c r="R17" s="403">
        <f t="shared" si="6"/>
        <v>0</v>
      </c>
      <c r="S17" s="406">
        <f t="shared" si="7"/>
        <v>0</v>
      </c>
      <c r="T17" s="407" t="s">
        <v>438</v>
      </c>
      <c r="U17" s="407" t="s">
        <v>219</v>
      </c>
      <c r="V17" s="408" t="s">
        <v>574</v>
      </c>
      <c r="W17" s="433" t="s">
        <v>598</v>
      </c>
      <c r="X17" s="408">
        <v>1</v>
      </c>
      <c r="Y17" s="409" t="s">
        <v>348</v>
      </c>
    </row>
    <row r="18" spans="2:34" s="150" customFormat="1" ht="27" customHeight="1">
      <c r="B18" s="829"/>
      <c r="C18" s="830"/>
      <c r="D18" s="397">
        <v>12</v>
      </c>
      <c r="E18" s="400" t="s">
        <v>461</v>
      </c>
      <c r="F18" s="401">
        <v>1285.9253999999999</v>
      </c>
      <c r="G18" s="402">
        <v>598.08999999999992</v>
      </c>
      <c r="H18" s="402">
        <v>583.45000000000005</v>
      </c>
      <c r="I18" s="403">
        <f t="shared" si="10"/>
        <v>0.97552207861693074</v>
      </c>
      <c r="J18" s="402">
        <v>27.8</v>
      </c>
      <c r="K18" s="403">
        <f t="shared" si="11"/>
        <v>4.6481298801183776E-2</v>
      </c>
      <c r="L18" s="402">
        <v>122.81999999999996</v>
      </c>
      <c r="M18" s="403">
        <f t="shared" si="12"/>
        <v>1.0220033774181145</v>
      </c>
      <c r="N18" s="404">
        <v>1616.3111999999996</v>
      </c>
      <c r="O18" s="402">
        <v>10.469999999999999</v>
      </c>
      <c r="P18" s="403">
        <f t="shared" si="4"/>
        <v>1.7505726562891871E-2</v>
      </c>
      <c r="Q18" s="405">
        <f t="shared" si="5"/>
        <v>2.690000000000083</v>
      </c>
      <c r="R18" s="403">
        <f t="shared" si="6"/>
        <v>4.4976508552225973E-3</v>
      </c>
      <c r="S18" s="406">
        <f t="shared" si="7"/>
        <v>330.38580000001008</v>
      </c>
      <c r="T18" s="407" t="s">
        <v>438</v>
      </c>
      <c r="U18" s="407" t="s">
        <v>346</v>
      </c>
      <c r="V18" s="408" t="s">
        <v>543</v>
      </c>
      <c r="W18" s="408" t="s">
        <v>544</v>
      </c>
      <c r="X18" s="408">
        <v>1</v>
      </c>
      <c r="Y18" s="409" t="s">
        <v>444</v>
      </c>
    </row>
    <row r="19" spans="2:34" s="150" customFormat="1" ht="27" customHeight="1">
      <c r="B19" s="829"/>
      <c r="C19" s="830"/>
      <c r="D19" s="397">
        <v>13</v>
      </c>
      <c r="E19" s="400" t="s">
        <v>374</v>
      </c>
      <c r="F19" s="401">
        <v>1277.2175999999999</v>
      </c>
      <c r="G19" s="402">
        <v>214.42999999999998</v>
      </c>
      <c r="H19" s="402">
        <v>217.46</v>
      </c>
      <c r="I19" s="403">
        <f t="shared" si="10"/>
        <v>1.014130485473115</v>
      </c>
      <c r="J19" s="402">
        <v>5.34</v>
      </c>
      <c r="K19" s="403">
        <f t="shared" si="11"/>
        <v>2.4903231823905241E-2</v>
      </c>
      <c r="L19" s="402">
        <v>253.92000000000002</v>
      </c>
      <c r="M19" s="403">
        <f t="shared" si="12"/>
        <v>1.0390337172970201</v>
      </c>
      <c r="N19" s="404">
        <v>2125.3104000000012</v>
      </c>
      <c r="O19" s="402">
        <v>5.03</v>
      </c>
      <c r="P19" s="403">
        <f t="shared" si="4"/>
        <v>2.3457538590682277E-2</v>
      </c>
      <c r="Q19" s="405">
        <f t="shared" si="5"/>
        <v>3.3400000000000327</v>
      </c>
      <c r="R19" s="403">
        <f t="shared" si="6"/>
        <v>1.5576178706337887E-2</v>
      </c>
      <c r="S19" s="406">
        <f t="shared" si="7"/>
        <v>848.09280000000831</v>
      </c>
      <c r="T19" s="407" t="s">
        <v>438</v>
      </c>
      <c r="U19" s="407" t="s">
        <v>529</v>
      </c>
      <c r="V19" s="408" t="s">
        <v>559</v>
      </c>
      <c r="W19" s="408" t="s">
        <v>546</v>
      </c>
      <c r="X19" s="408">
        <v>1</v>
      </c>
      <c r="Y19" s="409" t="s">
        <v>366</v>
      </c>
    </row>
    <row r="20" spans="2:34" s="150" customFormat="1" ht="27" customHeight="1">
      <c r="B20" s="829"/>
      <c r="C20" s="830"/>
      <c r="D20" s="397">
        <v>14</v>
      </c>
      <c r="E20" s="400" t="s">
        <v>489</v>
      </c>
      <c r="F20" s="401">
        <v>1231.6590000000001</v>
      </c>
      <c r="G20" s="402">
        <v>206.63</v>
      </c>
      <c r="H20" s="402">
        <v>213.81</v>
      </c>
      <c r="I20" s="403">
        <f t="shared" si="10"/>
        <v>1.0347481004694381</v>
      </c>
      <c r="J20" s="402">
        <v>1.6</v>
      </c>
      <c r="K20" s="403">
        <f t="shared" si="11"/>
        <v>7.7433092968107247E-3</v>
      </c>
      <c r="L20" s="402">
        <v>203.57999999999998</v>
      </c>
      <c r="M20" s="403">
        <f t="shared" si="12"/>
        <v>1.0424914097662488</v>
      </c>
      <c r="N20" s="404">
        <v>1787.4323999999967</v>
      </c>
      <c r="O20" s="402">
        <v>6.05</v>
      </c>
      <c r="P20" s="403">
        <f t="shared" si="4"/>
        <v>2.9279388278565553E-2</v>
      </c>
      <c r="Q20" s="405">
        <f t="shared" si="5"/>
        <v>2.7300000000000013</v>
      </c>
      <c r="R20" s="403">
        <f t="shared" si="6"/>
        <v>1.3212021487683306E-2</v>
      </c>
      <c r="S20" s="406">
        <f t="shared" si="7"/>
        <v>555.77340000000027</v>
      </c>
      <c r="T20" s="407" t="s">
        <v>438</v>
      </c>
      <c r="U20" s="407" t="s">
        <v>529</v>
      </c>
      <c r="V20" s="408" t="s">
        <v>558</v>
      </c>
      <c r="W20" s="408" t="s">
        <v>542</v>
      </c>
      <c r="X20" s="408">
        <v>1</v>
      </c>
      <c r="Y20" s="409" t="s">
        <v>351</v>
      </c>
    </row>
    <row r="21" spans="2:34" s="150" customFormat="1" ht="27" customHeight="1">
      <c r="B21" s="829"/>
      <c r="C21" s="830"/>
      <c r="D21" s="397">
        <v>15</v>
      </c>
      <c r="E21" s="400" t="s">
        <v>511</v>
      </c>
      <c r="F21" s="401">
        <v>1227.4201</v>
      </c>
      <c r="G21" s="402">
        <v>61.97</v>
      </c>
      <c r="H21" s="402">
        <v>65.149999999999991</v>
      </c>
      <c r="I21" s="403">
        <f t="shared" si="10"/>
        <v>1.0513151524931417</v>
      </c>
      <c r="J21" s="402">
        <v>1</v>
      </c>
      <c r="K21" s="403">
        <f t="shared" si="11"/>
        <v>1.6136840406648378E-2</v>
      </c>
      <c r="L21" s="402">
        <v>456.29</v>
      </c>
      <c r="M21" s="403">
        <f t="shared" si="12"/>
        <v>1.0674519928997901</v>
      </c>
      <c r="N21" s="404">
        <v>1907.2922000000003</v>
      </c>
      <c r="O21" s="402">
        <v>2.69</v>
      </c>
      <c r="P21" s="403">
        <f t="shared" si="4"/>
        <v>4.3408100693884136E-2</v>
      </c>
      <c r="Q21" s="405">
        <f t="shared" si="5"/>
        <v>1.4899999999999927</v>
      </c>
      <c r="R21" s="403">
        <f t="shared" si="6"/>
        <v>2.4043892205905967E-2</v>
      </c>
      <c r="S21" s="406">
        <f t="shared" si="7"/>
        <v>679.87209999999664</v>
      </c>
      <c r="T21" s="407" t="s">
        <v>438</v>
      </c>
      <c r="U21" s="407" t="s">
        <v>529</v>
      </c>
      <c r="V21" s="408" t="s">
        <v>558</v>
      </c>
      <c r="W21" s="408" t="s">
        <v>542</v>
      </c>
      <c r="X21" s="408">
        <v>1</v>
      </c>
      <c r="Y21" s="409" t="s">
        <v>507</v>
      </c>
    </row>
    <row r="22" spans="2:34" s="150" customFormat="1" ht="27" customHeight="1">
      <c r="B22" s="829"/>
      <c r="C22" s="830"/>
      <c r="D22" s="397">
        <v>16</v>
      </c>
      <c r="E22" s="400" t="s">
        <v>488</v>
      </c>
      <c r="F22" s="401">
        <v>1209.6476</v>
      </c>
      <c r="G22" s="402">
        <v>153.54999999999998</v>
      </c>
      <c r="H22" s="402">
        <v>156.79999999999998</v>
      </c>
      <c r="I22" s="403">
        <f t="shared" si="10"/>
        <v>1.0211657440573103</v>
      </c>
      <c r="J22" s="402">
        <v>7.09</v>
      </c>
      <c r="K22" s="403">
        <f t="shared" si="11"/>
        <v>4.6173884728101598E-2</v>
      </c>
      <c r="L22" s="402">
        <v>210.74</v>
      </c>
      <c r="M22" s="403">
        <f t="shared" si="12"/>
        <v>1.067339628785412</v>
      </c>
      <c r="N22" s="404">
        <v>2179.0515999999989</v>
      </c>
      <c r="O22" s="402">
        <v>5.74</v>
      </c>
      <c r="P22" s="403">
        <f t="shared" si="4"/>
        <v>3.7381960273526547E-2</v>
      </c>
      <c r="Q22" s="405">
        <f t="shared" si="5"/>
        <v>4.6000000000000032</v>
      </c>
      <c r="R22" s="403">
        <f t="shared" si="6"/>
        <v>2.9957668511885402E-2</v>
      </c>
      <c r="S22" s="406">
        <f t="shared" si="7"/>
        <v>969.40400000000068</v>
      </c>
      <c r="T22" s="407" t="s">
        <v>438</v>
      </c>
      <c r="U22" s="407" t="s">
        <v>529</v>
      </c>
      <c r="V22" s="408" t="s">
        <v>543</v>
      </c>
      <c r="W22" s="408" t="s">
        <v>544</v>
      </c>
      <c r="X22" s="408">
        <v>1</v>
      </c>
      <c r="Y22" s="409" t="s">
        <v>481</v>
      </c>
      <c r="AC22" s="413"/>
    </row>
    <row r="23" spans="2:34" s="150" customFormat="1" ht="27" customHeight="1">
      <c r="B23" s="829"/>
      <c r="C23" s="830"/>
      <c r="D23" s="397">
        <v>17</v>
      </c>
      <c r="E23" s="400" t="s">
        <v>503</v>
      </c>
      <c r="F23" s="401">
        <v>1202.8140000000001</v>
      </c>
      <c r="G23" s="402">
        <v>88.79</v>
      </c>
      <c r="H23" s="402">
        <v>96.58</v>
      </c>
      <c r="I23" s="403">
        <f t="shared" si="10"/>
        <v>1.0877351053046513</v>
      </c>
      <c r="J23" s="402">
        <v>1.44</v>
      </c>
      <c r="K23" s="403">
        <f t="shared" si="11"/>
        <v>1.621804257236175E-2</v>
      </c>
      <c r="L23" s="402">
        <v>211.02</v>
      </c>
      <c r="M23" s="403">
        <f t="shared" si="12"/>
        <v>1.103953147877013</v>
      </c>
      <c r="N23" s="404">
        <v>1947.7145999999989</v>
      </c>
      <c r="O23" s="402">
        <v>5.7</v>
      </c>
      <c r="P23" s="403">
        <f t="shared" si="4"/>
        <v>6.4196418515598597E-2</v>
      </c>
      <c r="Q23" s="405">
        <f t="shared" si="5"/>
        <v>3.5299999999999896</v>
      </c>
      <c r="R23" s="403">
        <f t="shared" si="6"/>
        <v>3.9756729361414452E-2</v>
      </c>
      <c r="S23" s="406">
        <f t="shared" si="7"/>
        <v>744.90059999999789</v>
      </c>
      <c r="T23" s="407" t="s">
        <v>438</v>
      </c>
      <c r="U23" s="407" t="s">
        <v>529</v>
      </c>
      <c r="V23" s="408" t="s">
        <v>543</v>
      </c>
      <c r="W23" s="408" t="s">
        <v>544</v>
      </c>
      <c r="X23" s="408">
        <v>1</v>
      </c>
      <c r="Y23" s="409" t="s">
        <v>502</v>
      </c>
      <c r="AB23" s="415"/>
      <c r="AC23" s="413"/>
    </row>
    <row r="24" spans="2:34" s="150" customFormat="1" ht="27" customHeight="1">
      <c r="B24" s="829"/>
      <c r="C24" s="830"/>
      <c r="D24" s="397">
        <v>18</v>
      </c>
      <c r="E24" s="400" t="s">
        <v>564</v>
      </c>
      <c r="F24" s="401">
        <v>1199.0801999999999</v>
      </c>
      <c r="G24" s="402">
        <v>398.84</v>
      </c>
      <c r="H24" s="402">
        <v>412.15000000000003</v>
      </c>
      <c r="I24" s="403">
        <f t="shared" si="10"/>
        <v>1.0333717781566545</v>
      </c>
      <c r="J24" s="402">
        <v>0</v>
      </c>
      <c r="K24" s="403">
        <f t="shared" si="11"/>
        <v>0</v>
      </c>
      <c r="L24" s="402">
        <v>158.19000000000003</v>
      </c>
      <c r="M24" s="403">
        <f t="shared" si="12"/>
        <v>1.0333717781566545</v>
      </c>
      <c r="N24" s="404">
        <v>2105.5089000000003</v>
      </c>
      <c r="O24" s="402">
        <v>7.58</v>
      </c>
      <c r="P24" s="403">
        <f t="shared" si="4"/>
        <v>1.9005114833015747E-2</v>
      </c>
      <c r="Q24" s="405">
        <f t="shared" si="5"/>
        <v>5.730000000000059</v>
      </c>
      <c r="R24" s="403">
        <f t="shared" si="6"/>
        <v>1.4366663323638701E-2</v>
      </c>
      <c r="S24" s="406">
        <f t="shared" si="7"/>
        <v>906.42870000000948</v>
      </c>
      <c r="T24" s="407" t="s">
        <v>438</v>
      </c>
      <c r="U24" s="407" t="s">
        <v>529</v>
      </c>
      <c r="V24" s="408" t="s">
        <v>571</v>
      </c>
      <c r="W24" s="408" t="s">
        <v>572</v>
      </c>
      <c r="X24" s="408">
        <v>1</v>
      </c>
      <c r="Y24" s="409" t="s">
        <v>565</v>
      </c>
      <c r="AC24" s="413"/>
    </row>
    <row r="25" spans="2:34" s="150" customFormat="1" ht="27" customHeight="1">
      <c r="B25" s="829"/>
      <c r="C25" s="830"/>
      <c r="D25" s="397">
        <v>19</v>
      </c>
      <c r="E25" s="400" t="s">
        <v>531</v>
      </c>
      <c r="F25" s="401">
        <v>1188.72</v>
      </c>
      <c r="G25" s="402">
        <v>214960</v>
      </c>
      <c r="H25" s="402">
        <v>215976</v>
      </c>
      <c r="I25" s="403">
        <f t="shared" si="10"/>
        <v>1.0047264607368813</v>
      </c>
      <c r="J25" s="402">
        <v>0</v>
      </c>
      <c r="K25" s="403">
        <f t="shared" si="11"/>
        <v>0</v>
      </c>
      <c r="L25" s="402">
        <v>1.17</v>
      </c>
      <c r="M25" s="403">
        <f t="shared" si="12"/>
        <v>1.0047264607368813</v>
      </c>
      <c r="N25" s="404">
        <v>1188.72</v>
      </c>
      <c r="O25" s="402">
        <v>1016</v>
      </c>
      <c r="P25" s="403">
        <f t="shared" si="4"/>
        <v>4.72646073688128E-3</v>
      </c>
      <c r="Q25" s="405">
        <f t="shared" si="5"/>
        <v>0</v>
      </c>
      <c r="R25" s="403">
        <f t="shared" si="6"/>
        <v>0</v>
      </c>
      <c r="S25" s="406">
        <f t="shared" si="7"/>
        <v>0</v>
      </c>
      <c r="T25" s="407" t="s">
        <v>438</v>
      </c>
      <c r="U25" s="407" t="s">
        <v>346</v>
      </c>
      <c r="V25" s="408" t="s">
        <v>553</v>
      </c>
      <c r="W25" s="408" t="s">
        <v>554</v>
      </c>
      <c r="X25" s="408">
        <v>1</v>
      </c>
      <c r="Y25" s="409" t="s">
        <v>349</v>
      </c>
      <c r="AB25" s="416"/>
      <c r="AC25" s="413"/>
    </row>
    <row r="26" spans="2:34" s="150" customFormat="1" ht="27" customHeight="1">
      <c r="B26" s="831"/>
      <c r="C26" s="832"/>
      <c r="D26" s="397">
        <v>20</v>
      </c>
      <c r="E26" s="400" t="s">
        <v>504</v>
      </c>
      <c r="F26" s="401">
        <v>1187.172</v>
      </c>
      <c r="G26" s="402">
        <v>170.76</v>
      </c>
      <c r="H26" s="402">
        <v>183.32</v>
      </c>
      <c r="I26" s="403">
        <f t="shared" si="10"/>
        <v>1.0735535254157882</v>
      </c>
      <c r="J26" s="402">
        <v>1.25</v>
      </c>
      <c r="K26" s="403">
        <f t="shared" si="11"/>
        <v>7.3202155071445309E-3</v>
      </c>
      <c r="L26" s="402">
        <v>141.33000000000001</v>
      </c>
      <c r="M26" s="403">
        <f t="shared" si="12"/>
        <v>1.0808737409229328</v>
      </c>
      <c r="N26" s="404">
        <v>1951.7673</v>
      </c>
      <c r="O26" s="402">
        <v>8.4</v>
      </c>
      <c r="P26" s="403">
        <f t="shared" si="4"/>
        <v>4.919184820801125E-2</v>
      </c>
      <c r="Q26" s="405">
        <f t="shared" si="5"/>
        <v>5.4100000000000019</v>
      </c>
      <c r="R26" s="403">
        <f t="shared" si="6"/>
        <v>3.1681892714921542E-2</v>
      </c>
      <c r="S26" s="406">
        <f t="shared" si="7"/>
        <v>764.59530000000029</v>
      </c>
      <c r="T26" s="407" t="s">
        <v>438</v>
      </c>
      <c r="U26" s="407" t="s">
        <v>529</v>
      </c>
      <c r="V26" s="408" t="s">
        <v>550</v>
      </c>
      <c r="W26" s="408" t="s">
        <v>548</v>
      </c>
      <c r="X26" s="408">
        <v>1</v>
      </c>
      <c r="Y26" s="409" t="s">
        <v>502</v>
      </c>
      <c r="AB26" s="416"/>
      <c r="AC26" s="413"/>
    </row>
    <row r="27" spans="2:34" ht="17.149999999999999" customHeight="1">
      <c r="B27" s="849" t="s">
        <v>526</v>
      </c>
      <c r="C27" s="850"/>
      <c r="D27" s="855" t="s">
        <v>172</v>
      </c>
      <c r="E27" s="855"/>
      <c r="F27" s="855"/>
      <c r="G27" s="855" t="s">
        <v>186</v>
      </c>
      <c r="H27" s="855"/>
      <c r="I27" s="855"/>
      <c r="J27" s="855"/>
      <c r="K27" s="855"/>
      <c r="L27" s="855"/>
      <c r="M27" s="855"/>
      <c r="N27" s="855"/>
      <c r="O27" s="855"/>
      <c r="P27" s="855"/>
      <c r="Q27" s="855"/>
      <c r="R27" s="855"/>
      <c r="S27" s="855"/>
      <c r="T27" s="855" t="s">
        <v>173</v>
      </c>
      <c r="U27" s="840" t="s">
        <v>252</v>
      </c>
      <c r="V27" s="833" t="s">
        <v>527</v>
      </c>
      <c r="W27" s="833" t="s">
        <v>528</v>
      </c>
      <c r="X27" s="836" t="s">
        <v>253</v>
      </c>
      <c r="Y27" s="839" t="s">
        <v>174</v>
      </c>
      <c r="AA27" s="840" t="s">
        <v>254</v>
      </c>
      <c r="AB27" s="841"/>
      <c r="AC27" s="841"/>
      <c r="AD27" s="841"/>
      <c r="AE27" s="841"/>
      <c r="AF27" s="841"/>
      <c r="AG27" s="841"/>
      <c r="AH27" s="842"/>
    </row>
    <row r="28" spans="2:34" ht="17.149999999999999" customHeight="1">
      <c r="B28" s="851"/>
      <c r="C28" s="852"/>
      <c r="D28" s="856" t="s">
        <v>171</v>
      </c>
      <c r="E28" s="855" t="s">
        <v>175</v>
      </c>
      <c r="F28" s="855"/>
      <c r="G28" s="855" t="s">
        <v>187</v>
      </c>
      <c r="H28" s="855"/>
      <c r="I28" s="855"/>
      <c r="J28" s="855"/>
      <c r="K28" s="855"/>
      <c r="L28" s="855"/>
      <c r="M28" s="855"/>
      <c r="N28" s="855"/>
      <c r="O28" s="855" t="s">
        <v>176</v>
      </c>
      <c r="P28" s="855"/>
      <c r="Q28" s="855"/>
      <c r="R28" s="855"/>
      <c r="S28" s="855"/>
      <c r="T28" s="855"/>
      <c r="U28" s="843"/>
      <c r="V28" s="834"/>
      <c r="W28" s="834"/>
      <c r="X28" s="837"/>
      <c r="Y28" s="839"/>
      <c r="AA28" s="843"/>
      <c r="AB28" s="844"/>
      <c r="AC28" s="844"/>
      <c r="AD28" s="844"/>
      <c r="AE28" s="844"/>
      <c r="AF28" s="844"/>
      <c r="AG28" s="844"/>
      <c r="AH28" s="845"/>
    </row>
    <row r="29" spans="2:34" ht="17.149999999999999" customHeight="1">
      <c r="B29" s="851"/>
      <c r="C29" s="852"/>
      <c r="D29" s="856"/>
      <c r="E29" s="856" t="s">
        <v>177</v>
      </c>
      <c r="F29" s="839" t="s">
        <v>255</v>
      </c>
      <c r="G29" s="857" t="s">
        <v>188</v>
      </c>
      <c r="H29" s="857"/>
      <c r="I29" s="857"/>
      <c r="J29" s="857"/>
      <c r="K29" s="857"/>
      <c r="L29" s="857"/>
      <c r="M29" s="857"/>
      <c r="N29" s="857"/>
      <c r="O29" s="857" t="s">
        <v>170</v>
      </c>
      <c r="P29" s="857"/>
      <c r="Q29" s="857" t="s">
        <v>178</v>
      </c>
      <c r="R29" s="857"/>
      <c r="S29" s="857"/>
      <c r="T29" s="855"/>
      <c r="U29" s="843"/>
      <c r="V29" s="834"/>
      <c r="W29" s="834"/>
      <c r="X29" s="837"/>
      <c r="Y29" s="839"/>
      <c r="AA29" s="846"/>
      <c r="AB29" s="847"/>
      <c r="AC29" s="847"/>
      <c r="AD29" s="847"/>
      <c r="AE29" s="847"/>
      <c r="AF29" s="847"/>
      <c r="AG29" s="847"/>
      <c r="AH29" s="848"/>
    </row>
    <row r="30" spans="2:34" ht="38.5" customHeight="1">
      <c r="B30" s="853"/>
      <c r="C30" s="854"/>
      <c r="D30" s="856"/>
      <c r="E30" s="856"/>
      <c r="F30" s="839"/>
      <c r="G30" s="398" t="s">
        <v>179</v>
      </c>
      <c r="H30" s="398" t="s">
        <v>259</v>
      </c>
      <c r="I30" s="398" t="s">
        <v>260</v>
      </c>
      <c r="J30" s="398" t="s">
        <v>180</v>
      </c>
      <c r="K30" s="398" t="s">
        <v>257</v>
      </c>
      <c r="L30" s="398" t="s">
        <v>181</v>
      </c>
      <c r="M30" s="398" t="s">
        <v>189</v>
      </c>
      <c r="N30" s="398" t="s">
        <v>182</v>
      </c>
      <c r="O30" s="399" t="s">
        <v>183</v>
      </c>
      <c r="P30" s="399" t="s">
        <v>184</v>
      </c>
      <c r="Q30" s="399" t="s">
        <v>183</v>
      </c>
      <c r="R30" s="399" t="s">
        <v>184</v>
      </c>
      <c r="S30" s="398" t="s">
        <v>185</v>
      </c>
      <c r="T30" s="855"/>
      <c r="U30" s="846"/>
      <c r="V30" s="835"/>
      <c r="W30" s="835"/>
      <c r="X30" s="838"/>
      <c r="Y30" s="839"/>
      <c r="AA30" s="163" t="s">
        <v>251</v>
      </c>
      <c r="AB30" s="163" t="s">
        <v>529</v>
      </c>
      <c r="AC30" s="158" t="s">
        <v>403</v>
      </c>
      <c r="AD30" s="158" t="s">
        <v>346</v>
      </c>
      <c r="AE30" s="158" t="s">
        <v>477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7" t="s">
        <v>614</v>
      </c>
      <c r="C31" s="828"/>
      <c r="D31" s="397">
        <v>1</v>
      </c>
      <c r="E31" s="400" t="s">
        <v>375</v>
      </c>
      <c r="F31" s="401">
        <v>2926.6899999999996</v>
      </c>
      <c r="G31" s="402">
        <v>1017.9</v>
      </c>
      <c r="H31" s="402">
        <v>1053.42</v>
      </c>
      <c r="I31" s="403">
        <f>H31/G31</f>
        <v>1.0348953728264074</v>
      </c>
      <c r="J31" s="402">
        <v>0</v>
      </c>
      <c r="K31" s="403">
        <f>J31/G31</f>
        <v>0</v>
      </c>
      <c r="L31" s="402">
        <v>152.75</v>
      </c>
      <c r="M31" s="403">
        <f>(H31+J31)/G31</f>
        <v>1.0348953728264074</v>
      </c>
      <c r="N31" s="404">
        <v>5425.6800000000021</v>
      </c>
      <c r="O31" s="402">
        <v>19.159999999999997</v>
      </c>
      <c r="P31" s="403">
        <f>O31/G31</f>
        <v>1.8823067098929166E-2</v>
      </c>
      <c r="Q31" s="405">
        <f>((H31+J31)-G31)-O31</f>
        <v>16.360000000000099</v>
      </c>
      <c r="R31" s="403">
        <f>Q31/G31</f>
        <v>1.6072305727478239E-2</v>
      </c>
      <c r="S31" s="406">
        <f>Q31*L31</f>
        <v>2498.9900000000152</v>
      </c>
      <c r="T31" s="407" t="s">
        <v>438</v>
      </c>
      <c r="U31" s="407" t="s">
        <v>529</v>
      </c>
      <c r="V31" s="408" t="s">
        <v>550</v>
      </c>
      <c r="W31" s="408" t="s">
        <v>548</v>
      </c>
      <c r="X31" s="408">
        <v>1</v>
      </c>
      <c r="Y31" s="409" t="s">
        <v>378</v>
      </c>
      <c r="Z31" s="410" t="s">
        <v>530</v>
      </c>
      <c r="AA31" s="420">
        <f>SUM(X31:X50)</f>
        <v>20</v>
      </c>
      <c r="AB31" s="412">
        <f>SUMIF($U$31:$U$50,TRIM(AB30),$X$31:$X$50)</f>
        <v>16</v>
      </c>
      <c r="AC31" s="412">
        <f t="shared" ref="AC31:AH31" si="13">SUMIF($U$31:$U$50,TRIM(AC30),$X$31:$X$50)</f>
        <v>0</v>
      </c>
      <c r="AD31" s="412">
        <f t="shared" si="13"/>
        <v>4</v>
      </c>
      <c r="AE31" s="412">
        <f t="shared" si="13"/>
        <v>0</v>
      </c>
      <c r="AF31" s="412">
        <f t="shared" si="13"/>
        <v>0</v>
      </c>
      <c r="AG31" s="412">
        <f t="shared" si="13"/>
        <v>0</v>
      </c>
      <c r="AH31" s="412">
        <f t="shared" si="13"/>
        <v>0</v>
      </c>
    </row>
    <row r="32" spans="2:34" s="150" customFormat="1" ht="27" customHeight="1">
      <c r="B32" s="829"/>
      <c r="C32" s="830"/>
      <c r="D32" s="397">
        <v>2</v>
      </c>
      <c r="E32" s="400" t="s">
        <v>343</v>
      </c>
      <c r="F32" s="401">
        <v>2007.4638999999997</v>
      </c>
      <c r="G32" s="402">
        <v>614.98</v>
      </c>
      <c r="H32" s="402">
        <v>636.25</v>
      </c>
      <c r="I32" s="403">
        <f t="shared" ref="I32:I33" si="14">H32/G32</f>
        <v>1.034586490617581</v>
      </c>
      <c r="J32" s="402">
        <v>0</v>
      </c>
      <c r="K32" s="403">
        <f t="shared" ref="K32:K37" si="15">J32/G32</f>
        <v>0</v>
      </c>
      <c r="L32" s="402">
        <v>141.66999999999999</v>
      </c>
      <c r="M32" s="403">
        <f t="shared" ref="M32:M37" si="16">(H32+J32)/G32</f>
        <v>1.034586490617581</v>
      </c>
      <c r="N32" s="404">
        <v>3013.320899999997</v>
      </c>
      <c r="O32" s="402">
        <v>14.169999999999998</v>
      </c>
      <c r="P32" s="403">
        <f t="shared" ref="P32:P50" si="17">O32/G32</f>
        <v>2.3041399720316103E-2</v>
      </c>
      <c r="Q32" s="405">
        <f t="shared" ref="Q32:Q50" si="18">((H32+J32)-G32)-O32</f>
        <v>7.0999999999999837</v>
      </c>
      <c r="R32" s="403">
        <f t="shared" ref="R32:R50" si="19">Q32/G32</f>
        <v>1.1545090897264925E-2</v>
      </c>
      <c r="S32" s="406">
        <f t="shared" ref="S32:S50" si="20">Q32*L32</f>
        <v>1005.8569999999976</v>
      </c>
      <c r="T32" s="407" t="s">
        <v>438</v>
      </c>
      <c r="U32" s="407" t="s">
        <v>529</v>
      </c>
      <c r="V32" s="408" t="s">
        <v>550</v>
      </c>
      <c r="W32" s="408" t="s">
        <v>542</v>
      </c>
      <c r="X32" s="408">
        <v>1</v>
      </c>
      <c r="Y32" s="409" t="s">
        <v>351</v>
      </c>
      <c r="AA32" s="421"/>
      <c r="AB32" s="418">
        <f>SUMIF($U$31:$U$50,TRIM(AB30),$F$31:$F$50)</f>
        <v>23430.887499999997</v>
      </c>
      <c r="AC32" s="418">
        <f t="shared" ref="AC32:AH32" si="21">SUMIF($U$31:$U$50,TRIM(AC30),$F$31:$F$50)</f>
        <v>0</v>
      </c>
      <c r="AD32" s="418">
        <f t="shared" si="21"/>
        <v>5127.1499999999996</v>
      </c>
      <c r="AE32" s="418">
        <f t="shared" si="21"/>
        <v>0</v>
      </c>
      <c r="AF32" s="418">
        <f t="shared" si="21"/>
        <v>0</v>
      </c>
      <c r="AG32" s="418">
        <f t="shared" si="21"/>
        <v>0</v>
      </c>
      <c r="AH32" s="418">
        <f t="shared" si="21"/>
        <v>0</v>
      </c>
    </row>
    <row r="33" spans="2:34" s="150" customFormat="1" ht="27" customHeight="1">
      <c r="B33" s="829"/>
      <c r="C33" s="830"/>
      <c r="D33" s="397">
        <v>3</v>
      </c>
      <c r="E33" s="400" t="s">
        <v>461</v>
      </c>
      <c r="F33" s="401">
        <v>1780.8899999999999</v>
      </c>
      <c r="G33" s="402">
        <v>563.41000000000008</v>
      </c>
      <c r="H33" s="402">
        <v>555.63</v>
      </c>
      <c r="I33" s="403">
        <f t="shared" si="14"/>
        <v>0.98619122841270113</v>
      </c>
      <c r="J33" s="402">
        <v>25.970000000000002</v>
      </c>
      <c r="K33" s="403">
        <f t="shared" si="15"/>
        <v>4.6094318524697822E-2</v>
      </c>
      <c r="L33" s="402">
        <v>122.81999999999996</v>
      </c>
      <c r="M33" s="403">
        <f t="shared" si="16"/>
        <v>1.032285546937399</v>
      </c>
      <c r="N33" s="404">
        <v>2234.0957999999996</v>
      </c>
      <c r="O33" s="402">
        <v>14.5</v>
      </c>
      <c r="P33" s="403">
        <f t="shared" si="17"/>
        <v>2.5736142418487422E-2</v>
      </c>
      <c r="Q33" s="405">
        <f t="shared" si="18"/>
        <v>3.6899999999999409</v>
      </c>
      <c r="R33" s="403">
        <f t="shared" si="19"/>
        <v>6.5494045189115214E-3</v>
      </c>
      <c r="S33" s="406">
        <f t="shared" si="20"/>
        <v>453.20579999999262</v>
      </c>
      <c r="T33" s="407" t="s">
        <v>438</v>
      </c>
      <c r="U33" s="407" t="s">
        <v>346</v>
      </c>
      <c r="V33" s="408" t="s">
        <v>642</v>
      </c>
      <c r="W33" s="408" t="s">
        <v>643</v>
      </c>
      <c r="X33" s="408">
        <v>1</v>
      </c>
      <c r="Y33" s="409" t="s">
        <v>444</v>
      </c>
      <c r="AA33" s="397"/>
      <c r="AB33" s="419">
        <f>AB31/$AA31</f>
        <v>0.8</v>
      </c>
      <c r="AC33" s="419">
        <f t="shared" ref="AC33:AH33" si="22">AC31/$AA31</f>
        <v>0</v>
      </c>
      <c r="AD33" s="419">
        <f t="shared" si="22"/>
        <v>0.2</v>
      </c>
      <c r="AE33" s="419">
        <f t="shared" si="22"/>
        <v>0</v>
      </c>
      <c r="AF33" s="419">
        <f t="shared" si="22"/>
        <v>0</v>
      </c>
      <c r="AG33" s="419">
        <f t="shared" si="22"/>
        <v>0</v>
      </c>
      <c r="AH33" s="419">
        <f t="shared" si="22"/>
        <v>0</v>
      </c>
    </row>
    <row r="34" spans="2:34" s="150" customFormat="1" ht="27" customHeight="1">
      <c r="B34" s="829"/>
      <c r="C34" s="830"/>
      <c r="D34" s="397">
        <v>4</v>
      </c>
      <c r="E34" s="400" t="s">
        <v>615</v>
      </c>
      <c r="F34" s="401">
        <v>1741.7703000000001</v>
      </c>
      <c r="G34" s="402">
        <v>261.27</v>
      </c>
      <c r="H34" s="402">
        <v>278.3</v>
      </c>
      <c r="I34" s="403">
        <f>H34/G34</f>
        <v>1.0651816128908793</v>
      </c>
      <c r="J34" s="402">
        <v>0</v>
      </c>
      <c r="K34" s="403">
        <f t="shared" si="15"/>
        <v>0</v>
      </c>
      <c r="L34" s="402">
        <v>153.19000000000003</v>
      </c>
      <c r="M34" s="403">
        <f t="shared" si="16"/>
        <v>1.0651816128908793</v>
      </c>
      <c r="N34" s="404">
        <v>2608.8256999999994</v>
      </c>
      <c r="O34" s="402">
        <v>11.370000000000001</v>
      </c>
      <c r="P34" s="403">
        <f t="shared" si="17"/>
        <v>4.3518199563669771E-2</v>
      </c>
      <c r="Q34" s="405">
        <f t="shared" si="18"/>
        <v>5.6600000000000286</v>
      </c>
      <c r="R34" s="403">
        <f t="shared" si="19"/>
        <v>2.1663413327209512E-2</v>
      </c>
      <c r="S34" s="406">
        <f t="shared" si="20"/>
        <v>867.05540000000451</v>
      </c>
      <c r="T34" s="407" t="s">
        <v>438</v>
      </c>
      <c r="U34" s="407" t="s">
        <v>529</v>
      </c>
      <c r="V34" s="408" t="s">
        <v>633</v>
      </c>
      <c r="W34" s="408" t="s">
        <v>634</v>
      </c>
      <c r="X34" s="408">
        <v>1</v>
      </c>
      <c r="Y34" s="409" t="s">
        <v>620</v>
      </c>
    </row>
    <row r="35" spans="2:34" s="150" customFormat="1" ht="27" customHeight="1">
      <c r="B35" s="829"/>
      <c r="C35" s="830"/>
      <c r="D35" s="397">
        <v>5</v>
      </c>
      <c r="E35" s="400" t="s">
        <v>374</v>
      </c>
      <c r="F35" s="401">
        <v>1526.0591999999997</v>
      </c>
      <c r="G35" s="402">
        <v>216.44000000000003</v>
      </c>
      <c r="H35" s="402">
        <v>222.18</v>
      </c>
      <c r="I35" s="403">
        <f t="shared" ref="I35:I50" si="23">H35/G35</f>
        <v>1.0265200517464423</v>
      </c>
      <c r="J35" s="402">
        <v>1.17</v>
      </c>
      <c r="K35" s="403">
        <f t="shared" si="15"/>
        <v>5.4056551469229336E-3</v>
      </c>
      <c r="L35" s="402">
        <v>253.92000000000002</v>
      </c>
      <c r="M35" s="403">
        <f t="shared" si="16"/>
        <v>1.0319257068933652</v>
      </c>
      <c r="N35" s="404">
        <v>1754.5872000000008</v>
      </c>
      <c r="O35" s="402">
        <v>6.01</v>
      </c>
      <c r="P35" s="403">
        <f t="shared" si="17"/>
        <v>2.7767510626501568E-2</v>
      </c>
      <c r="Q35" s="405">
        <f t="shared" si="18"/>
        <v>0.89999999999996838</v>
      </c>
      <c r="R35" s="403">
        <f t="shared" si="19"/>
        <v>4.1581962668636495E-3</v>
      </c>
      <c r="S35" s="406">
        <f t="shared" si="20"/>
        <v>228.52799999999198</v>
      </c>
      <c r="T35" s="407" t="s">
        <v>438</v>
      </c>
      <c r="U35" s="407" t="s">
        <v>529</v>
      </c>
      <c r="V35" s="408" t="s">
        <v>636</v>
      </c>
      <c r="W35" s="408" t="s">
        <v>637</v>
      </c>
      <c r="X35" s="408">
        <v>1</v>
      </c>
      <c r="Y35" s="409" t="s">
        <v>366</v>
      </c>
    </row>
    <row r="36" spans="2:34" s="150" customFormat="1" ht="27" customHeight="1">
      <c r="B36" s="829"/>
      <c r="C36" s="830"/>
      <c r="D36" s="397">
        <v>6</v>
      </c>
      <c r="E36" s="400" t="s">
        <v>373</v>
      </c>
      <c r="F36" s="401">
        <v>1432.4700000000003</v>
      </c>
      <c r="G36" s="402">
        <v>268</v>
      </c>
      <c r="H36" s="402">
        <v>276.87</v>
      </c>
      <c r="I36" s="403">
        <f t="shared" si="23"/>
        <v>1.0330970149253731</v>
      </c>
      <c r="J36" s="402">
        <v>4.42</v>
      </c>
      <c r="K36" s="403">
        <f t="shared" si="15"/>
        <v>1.6492537313432837E-2</v>
      </c>
      <c r="L36" s="402">
        <v>183.65000000000003</v>
      </c>
      <c r="M36" s="403">
        <f t="shared" si="16"/>
        <v>1.0495895522388061</v>
      </c>
      <c r="N36" s="404">
        <v>2440.7084999999988</v>
      </c>
      <c r="O36" s="402">
        <v>7.8</v>
      </c>
      <c r="P36" s="403">
        <f t="shared" si="17"/>
        <v>2.9104477611940297E-2</v>
      </c>
      <c r="Q36" s="405">
        <f t="shared" si="18"/>
        <v>5.4900000000000206</v>
      </c>
      <c r="R36" s="403">
        <f t="shared" si="19"/>
        <v>2.0485074626865749E-2</v>
      </c>
      <c r="S36" s="406">
        <f t="shared" si="20"/>
        <v>1008.238500000004</v>
      </c>
      <c r="T36" s="407" t="s">
        <v>438</v>
      </c>
      <c r="U36" s="407" t="s">
        <v>529</v>
      </c>
      <c r="V36" s="408" t="s">
        <v>639</v>
      </c>
      <c r="W36" s="408" t="s">
        <v>640</v>
      </c>
      <c r="X36" s="408">
        <v>1</v>
      </c>
      <c r="Y36" s="409" t="s">
        <v>366</v>
      </c>
    </row>
    <row r="37" spans="2:34" s="150" customFormat="1" ht="27" customHeight="1">
      <c r="B37" s="829"/>
      <c r="C37" s="830"/>
      <c r="D37" s="397">
        <v>7</v>
      </c>
      <c r="E37" s="400" t="s">
        <v>488</v>
      </c>
      <c r="F37" s="401">
        <v>1407.7432000000001</v>
      </c>
      <c r="G37" s="402">
        <v>153.61999999999998</v>
      </c>
      <c r="H37" s="402">
        <v>163.27000000000001</v>
      </c>
      <c r="I37" s="403">
        <f t="shared" si="23"/>
        <v>1.0628173414919935</v>
      </c>
      <c r="J37" s="402">
        <v>0</v>
      </c>
      <c r="K37" s="403">
        <f t="shared" si="15"/>
        <v>0</v>
      </c>
      <c r="L37" s="402">
        <v>210.74</v>
      </c>
      <c r="M37" s="403">
        <f t="shared" si="16"/>
        <v>1.0628173414919935</v>
      </c>
      <c r="N37" s="404">
        <v>2033.6409999999996</v>
      </c>
      <c r="O37" s="402">
        <v>6.68</v>
      </c>
      <c r="P37" s="403">
        <f t="shared" si="17"/>
        <v>4.3483921364405681E-2</v>
      </c>
      <c r="Q37" s="405">
        <f t="shared" si="18"/>
        <v>2.9700000000000344</v>
      </c>
      <c r="R37" s="403">
        <f t="shared" si="19"/>
        <v>1.9333420127587781E-2</v>
      </c>
      <c r="S37" s="406">
        <f t="shared" si="20"/>
        <v>625.89780000000724</v>
      </c>
      <c r="T37" s="407" t="s">
        <v>438</v>
      </c>
      <c r="U37" s="407" t="s">
        <v>529</v>
      </c>
      <c r="V37" s="408" t="s">
        <v>543</v>
      </c>
      <c r="W37" s="408" t="s">
        <v>544</v>
      </c>
      <c r="X37" s="408">
        <v>1</v>
      </c>
      <c r="Y37" s="409" t="s">
        <v>481</v>
      </c>
    </row>
    <row r="38" spans="2:34" s="150" customFormat="1" ht="27" customHeight="1">
      <c r="B38" s="829"/>
      <c r="C38" s="830"/>
      <c r="D38" s="397">
        <v>8</v>
      </c>
      <c r="E38" s="400" t="s">
        <v>509</v>
      </c>
      <c r="F38" s="401">
        <v>1393.2096000000001</v>
      </c>
      <c r="G38" s="402">
        <v>252.63</v>
      </c>
      <c r="H38" s="402">
        <v>262.08999999999997</v>
      </c>
      <c r="I38" s="403">
        <f t="shared" si="23"/>
        <v>1.0374460673712542</v>
      </c>
      <c r="J38" s="402">
        <v>5.0600000000000005</v>
      </c>
      <c r="K38" s="403">
        <f>J38/G38</f>
        <v>2.002929184974073E-2</v>
      </c>
      <c r="L38" s="402">
        <v>155.84</v>
      </c>
      <c r="M38" s="403">
        <f>(H38+J38)/G38</f>
        <v>1.0574753592209951</v>
      </c>
      <c r="N38" s="404">
        <v>2262.7968000000005</v>
      </c>
      <c r="O38" s="402">
        <v>8.9400000000000013</v>
      </c>
      <c r="P38" s="403">
        <f t="shared" si="17"/>
        <v>3.5387721173257336E-2</v>
      </c>
      <c r="Q38" s="405">
        <f t="shared" si="18"/>
        <v>5.5799999999999805</v>
      </c>
      <c r="R38" s="403">
        <f t="shared" si="19"/>
        <v>2.2087638047737723E-2</v>
      </c>
      <c r="S38" s="406">
        <f t="shared" si="20"/>
        <v>869.58719999999698</v>
      </c>
      <c r="T38" s="407" t="s">
        <v>438</v>
      </c>
      <c r="U38" s="407" t="s">
        <v>529</v>
      </c>
      <c r="V38" s="408" t="s">
        <v>568</v>
      </c>
      <c r="W38" s="408" t="s">
        <v>541</v>
      </c>
      <c r="X38" s="408">
        <v>1</v>
      </c>
      <c r="Y38" s="409" t="s">
        <v>507</v>
      </c>
    </row>
    <row r="39" spans="2:34" s="150" customFormat="1" ht="27" customHeight="1">
      <c r="B39" s="829"/>
      <c r="C39" s="830"/>
      <c r="D39" s="397">
        <v>9</v>
      </c>
      <c r="E39" s="400" t="s">
        <v>616</v>
      </c>
      <c r="F39" s="401">
        <v>1343.0389</v>
      </c>
      <c r="G39" s="402">
        <v>176.88</v>
      </c>
      <c r="H39" s="402">
        <v>185.57</v>
      </c>
      <c r="I39" s="403">
        <f t="shared" si="23"/>
        <v>1.0491293532338308</v>
      </c>
      <c r="J39" s="402">
        <v>3.4</v>
      </c>
      <c r="K39" s="403">
        <f t="shared" ref="K39:K50" si="24">J39/G39</f>
        <v>1.922207146087743E-2</v>
      </c>
      <c r="L39" s="402">
        <v>169.79</v>
      </c>
      <c r="M39" s="403">
        <f t="shared" ref="M39:M50" si="25">(H39+J39)/G39</f>
        <v>1.0683514246947083</v>
      </c>
      <c r="N39" s="404">
        <v>2052.7611000000002</v>
      </c>
      <c r="O39" s="402">
        <v>7.9099999999999993</v>
      </c>
      <c r="P39" s="403">
        <f t="shared" si="17"/>
        <v>4.4719583898688374E-2</v>
      </c>
      <c r="Q39" s="405">
        <f t="shared" si="18"/>
        <v>4.1800000000000042</v>
      </c>
      <c r="R39" s="403">
        <f t="shared" si="19"/>
        <v>2.3631840796019925E-2</v>
      </c>
      <c r="S39" s="406">
        <f t="shared" si="20"/>
        <v>709.72220000000073</v>
      </c>
      <c r="T39" s="407" t="s">
        <v>438</v>
      </c>
      <c r="U39" s="407" t="s">
        <v>529</v>
      </c>
      <c r="V39" s="408" t="s">
        <v>540</v>
      </c>
      <c r="W39" s="408" t="s">
        <v>541</v>
      </c>
      <c r="X39" s="408">
        <v>1</v>
      </c>
      <c r="Y39" s="409" t="s">
        <v>486</v>
      </c>
    </row>
    <row r="40" spans="2:34" s="150" customFormat="1" ht="27" customHeight="1">
      <c r="B40" s="829"/>
      <c r="C40" s="830"/>
      <c r="D40" s="397">
        <v>10</v>
      </c>
      <c r="E40" s="400" t="s">
        <v>617</v>
      </c>
      <c r="F40" s="401">
        <v>1333.2837000000002</v>
      </c>
      <c r="G40" s="402">
        <v>209.11</v>
      </c>
      <c r="H40" s="402">
        <v>210.18</v>
      </c>
      <c r="I40" s="403">
        <f t="shared" si="23"/>
        <v>1.0051169241069293</v>
      </c>
      <c r="J40" s="402">
        <v>8.69</v>
      </c>
      <c r="K40" s="403">
        <f t="shared" si="24"/>
        <v>4.1557075223566539E-2</v>
      </c>
      <c r="L40" s="402">
        <v>218.93000000000004</v>
      </c>
      <c r="M40" s="403">
        <f t="shared" si="25"/>
        <v>1.0466739993304959</v>
      </c>
      <c r="N40" s="404">
        <v>2136.7568000000019</v>
      </c>
      <c r="O40" s="402">
        <v>6.09</v>
      </c>
      <c r="P40" s="403">
        <f t="shared" si="17"/>
        <v>2.9123427860934435E-2</v>
      </c>
      <c r="Q40" s="405">
        <f t="shared" si="18"/>
        <v>3.669999999999991</v>
      </c>
      <c r="R40" s="403">
        <f t="shared" si="19"/>
        <v>1.7550571469561432E-2</v>
      </c>
      <c r="S40" s="406">
        <f t="shared" si="20"/>
        <v>803.47309999999823</v>
      </c>
      <c r="T40" s="407" t="s">
        <v>438</v>
      </c>
      <c r="U40" s="407" t="s">
        <v>529</v>
      </c>
      <c r="V40" s="408" t="s">
        <v>540</v>
      </c>
      <c r="W40" s="408" t="s">
        <v>541</v>
      </c>
      <c r="X40" s="408">
        <v>1</v>
      </c>
      <c r="Y40" s="409" t="s">
        <v>349</v>
      </c>
    </row>
    <row r="41" spans="2:34" s="150" customFormat="1" ht="27" customHeight="1">
      <c r="B41" s="829"/>
      <c r="C41" s="830"/>
      <c r="D41" s="397">
        <v>11</v>
      </c>
      <c r="E41" s="400" t="s">
        <v>618</v>
      </c>
      <c r="F41" s="401">
        <v>1285.9539</v>
      </c>
      <c r="G41" s="402">
        <v>87.02</v>
      </c>
      <c r="H41" s="402">
        <v>90.71</v>
      </c>
      <c r="I41" s="403">
        <f t="shared" si="23"/>
        <v>1.0424040450471155</v>
      </c>
      <c r="J41" s="402">
        <v>4.3500000000000005</v>
      </c>
      <c r="K41" s="403">
        <f t="shared" si="24"/>
        <v>4.9988508388876127E-2</v>
      </c>
      <c r="L41" s="402">
        <v>239.47</v>
      </c>
      <c r="M41" s="403">
        <f t="shared" si="25"/>
        <v>1.0923925534359917</v>
      </c>
      <c r="N41" s="404">
        <v>1925.3388000000004</v>
      </c>
      <c r="O41" s="402">
        <v>5.37</v>
      </c>
      <c r="P41" s="403">
        <f t="shared" si="17"/>
        <v>6.1709951735233283E-2</v>
      </c>
      <c r="Q41" s="405">
        <f t="shared" si="18"/>
        <v>2.6699999999999919</v>
      </c>
      <c r="R41" s="403">
        <f t="shared" si="19"/>
        <v>3.0682601700758354E-2</v>
      </c>
      <c r="S41" s="406">
        <f t="shared" si="20"/>
        <v>639.38489999999808</v>
      </c>
      <c r="T41" s="407" t="s">
        <v>438</v>
      </c>
      <c r="U41" s="407" t="s">
        <v>529</v>
      </c>
      <c r="V41" s="408" t="s">
        <v>627</v>
      </c>
      <c r="W41" s="433" t="s">
        <v>546</v>
      </c>
      <c r="X41" s="408">
        <v>1</v>
      </c>
      <c r="Y41" s="409" t="s">
        <v>499</v>
      </c>
    </row>
    <row r="42" spans="2:34" s="150" customFormat="1" ht="27" customHeight="1">
      <c r="B42" s="829"/>
      <c r="C42" s="830"/>
      <c r="D42" s="397">
        <v>12</v>
      </c>
      <c r="E42" s="400" t="s">
        <v>511</v>
      </c>
      <c r="F42" s="401">
        <v>1236.5458999999998</v>
      </c>
      <c r="G42" s="402">
        <v>53.75</v>
      </c>
      <c r="H42" s="402">
        <v>57.070000000000007</v>
      </c>
      <c r="I42" s="403">
        <f t="shared" si="23"/>
        <v>1.0617674418604652</v>
      </c>
      <c r="J42" s="402">
        <v>0.9</v>
      </c>
      <c r="K42" s="403">
        <f t="shared" si="24"/>
        <v>1.6744186046511629E-2</v>
      </c>
      <c r="L42" s="402">
        <v>456.29</v>
      </c>
      <c r="M42" s="403">
        <f t="shared" si="25"/>
        <v>1.0785116279069769</v>
      </c>
      <c r="N42" s="404">
        <v>1925.5437999999976</v>
      </c>
      <c r="O42" s="402">
        <v>2.71</v>
      </c>
      <c r="P42" s="403">
        <f t="shared" si="17"/>
        <v>5.0418604651162789E-2</v>
      </c>
      <c r="Q42" s="405">
        <f t="shared" si="18"/>
        <v>1.510000000000006</v>
      </c>
      <c r="R42" s="403">
        <f t="shared" si="19"/>
        <v>2.8093023255814066E-2</v>
      </c>
      <c r="S42" s="406">
        <f t="shared" si="20"/>
        <v>688.9979000000028</v>
      </c>
      <c r="T42" s="407" t="s">
        <v>438</v>
      </c>
      <c r="U42" s="407" t="s">
        <v>529</v>
      </c>
      <c r="V42" s="408" t="s">
        <v>558</v>
      </c>
      <c r="W42" s="408" t="s">
        <v>542</v>
      </c>
      <c r="X42" s="408">
        <v>1</v>
      </c>
      <c r="Y42" s="409" t="s">
        <v>507</v>
      </c>
    </row>
    <row r="43" spans="2:34" s="150" customFormat="1" ht="27" customHeight="1">
      <c r="B43" s="829"/>
      <c r="C43" s="830"/>
      <c r="D43" s="397">
        <v>13</v>
      </c>
      <c r="E43" s="400" t="s">
        <v>521</v>
      </c>
      <c r="F43" s="401">
        <v>1196.0625</v>
      </c>
      <c r="G43" s="402">
        <v>111.67</v>
      </c>
      <c r="H43" s="402">
        <v>110.33000000000001</v>
      </c>
      <c r="I43" s="403">
        <f t="shared" si="23"/>
        <v>0.98800035819826282</v>
      </c>
      <c r="J43" s="402">
        <v>10.7</v>
      </c>
      <c r="K43" s="403">
        <f t="shared" si="24"/>
        <v>9.5818035282528871E-2</v>
      </c>
      <c r="L43" s="402">
        <v>191.37000000000003</v>
      </c>
      <c r="M43" s="403">
        <f t="shared" si="25"/>
        <v>1.0838183934807917</v>
      </c>
      <c r="N43" s="404">
        <v>1791.2231999999999</v>
      </c>
      <c r="O43" s="402">
        <v>6.25</v>
      </c>
      <c r="P43" s="403">
        <f t="shared" si="17"/>
        <v>5.5968478552879015E-2</v>
      </c>
      <c r="Q43" s="405">
        <f t="shared" si="18"/>
        <v>3.1100000000000136</v>
      </c>
      <c r="R43" s="403">
        <f t="shared" si="19"/>
        <v>2.7849914927912722E-2</v>
      </c>
      <c r="S43" s="406">
        <f t="shared" si="20"/>
        <v>595.16070000000275</v>
      </c>
      <c r="T43" s="407" t="s">
        <v>438</v>
      </c>
      <c r="U43" s="407" t="s">
        <v>529</v>
      </c>
      <c r="V43" s="408" t="s">
        <v>543</v>
      </c>
      <c r="W43" s="408" t="s">
        <v>544</v>
      </c>
      <c r="X43" s="408">
        <v>1</v>
      </c>
      <c r="Y43" s="409" t="s">
        <v>514</v>
      </c>
    </row>
    <row r="44" spans="2:34" s="150" customFormat="1" ht="27" customHeight="1">
      <c r="B44" s="829"/>
      <c r="C44" s="830"/>
      <c r="D44" s="397">
        <v>14</v>
      </c>
      <c r="E44" s="400" t="s">
        <v>532</v>
      </c>
      <c r="F44" s="401">
        <v>1176</v>
      </c>
      <c r="G44" s="402">
        <v>119880</v>
      </c>
      <c r="H44" s="402">
        <v>120360</v>
      </c>
      <c r="I44" s="403">
        <f t="shared" si="23"/>
        <v>1.0040040040040039</v>
      </c>
      <c r="J44" s="402">
        <v>0</v>
      </c>
      <c r="K44" s="403">
        <f t="shared" si="24"/>
        <v>0</v>
      </c>
      <c r="L44" s="402">
        <v>2.4499999999999997</v>
      </c>
      <c r="M44" s="403">
        <f t="shared" si="25"/>
        <v>1.0040040040040039</v>
      </c>
      <c r="N44" s="404">
        <v>1176</v>
      </c>
      <c r="O44" s="402">
        <v>480</v>
      </c>
      <c r="P44" s="403">
        <f t="shared" si="17"/>
        <v>4.004004004004004E-3</v>
      </c>
      <c r="Q44" s="405">
        <f t="shared" si="18"/>
        <v>0</v>
      </c>
      <c r="R44" s="403">
        <f t="shared" si="19"/>
        <v>0</v>
      </c>
      <c r="S44" s="406">
        <f t="shared" si="20"/>
        <v>0</v>
      </c>
      <c r="T44" s="407" t="s">
        <v>438</v>
      </c>
      <c r="U44" s="407" t="s">
        <v>346</v>
      </c>
      <c r="V44" s="408" t="s">
        <v>645</v>
      </c>
      <c r="W44" s="408" t="s">
        <v>646</v>
      </c>
      <c r="X44" s="408">
        <v>1</v>
      </c>
      <c r="Y44" s="409" t="s">
        <v>349</v>
      </c>
    </row>
    <row r="45" spans="2:34" s="150" customFormat="1" ht="27" customHeight="1">
      <c r="B45" s="829"/>
      <c r="C45" s="830"/>
      <c r="D45" s="397">
        <v>15</v>
      </c>
      <c r="E45" s="400" t="s">
        <v>504</v>
      </c>
      <c r="F45" s="401">
        <v>1171.6257000000001</v>
      </c>
      <c r="G45" s="402">
        <v>131.46</v>
      </c>
      <c r="H45" s="402">
        <v>133.04</v>
      </c>
      <c r="I45" s="403">
        <f t="shared" si="23"/>
        <v>1.0120188650540087</v>
      </c>
      <c r="J45" s="402">
        <v>10.35</v>
      </c>
      <c r="K45" s="403">
        <f t="shared" si="24"/>
        <v>7.8731172980374256E-2</v>
      </c>
      <c r="L45" s="402">
        <v>141.33000000000001</v>
      </c>
      <c r="M45" s="403">
        <f t="shared" si="25"/>
        <v>1.0907500380343829</v>
      </c>
      <c r="N45" s="404">
        <v>1686.0668999999998</v>
      </c>
      <c r="O45" s="402">
        <v>8.2899999999999991</v>
      </c>
      <c r="P45" s="403">
        <f t="shared" si="17"/>
        <v>6.3061007150464005E-2</v>
      </c>
      <c r="Q45" s="405">
        <f t="shared" si="18"/>
        <v>3.6399999999999793</v>
      </c>
      <c r="R45" s="403">
        <f t="shared" si="19"/>
        <v>2.7689030883918903E-2</v>
      </c>
      <c r="S45" s="406">
        <f t="shared" si="20"/>
        <v>514.44119999999714</v>
      </c>
      <c r="T45" s="407" t="s">
        <v>438</v>
      </c>
      <c r="U45" s="407" t="s">
        <v>529</v>
      </c>
      <c r="V45" s="408" t="s">
        <v>558</v>
      </c>
      <c r="W45" s="408" t="s">
        <v>542</v>
      </c>
      <c r="X45" s="408">
        <v>1</v>
      </c>
      <c r="Y45" s="409" t="s">
        <v>502</v>
      </c>
    </row>
    <row r="46" spans="2:34" s="150" customFormat="1" ht="27" customHeight="1">
      <c r="B46" s="829"/>
      <c r="C46" s="830"/>
      <c r="D46" s="397">
        <v>16</v>
      </c>
      <c r="E46" s="400" t="s">
        <v>489</v>
      </c>
      <c r="F46" s="401">
        <v>1152.2628000000002</v>
      </c>
      <c r="G46" s="402">
        <v>205</v>
      </c>
      <c r="H46" s="402">
        <v>210.44</v>
      </c>
      <c r="I46" s="403">
        <f t="shared" si="23"/>
        <v>1.0265365853658537</v>
      </c>
      <c r="J46" s="402">
        <v>3.4</v>
      </c>
      <c r="K46" s="403">
        <f t="shared" si="24"/>
        <v>1.6585365853658537E-2</v>
      </c>
      <c r="L46" s="402">
        <v>203.57999999999998</v>
      </c>
      <c r="M46" s="403">
        <f t="shared" si="25"/>
        <v>1.0431219512195122</v>
      </c>
      <c r="N46" s="404">
        <v>1799.6471999999999</v>
      </c>
      <c r="O46" s="402">
        <v>5.66</v>
      </c>
      <c r="P46" s="403">
        <f t="shared" si="17"/>
        <v>2.7609756097560976E-2</v>
      </c>
      <c r="Q46" s="405">
        <f t="shared" si="18"/>
        <v>3.1800000000000033</v>
      </c>
      <c r="R46" s="403">
        <f t="shared" si="19"/>
        <v>1.5512195121951235E-2</v>
      </c>
      <c r="S46" s="406">
        <f t="shared" si="20"/>
        <v>647.3844000000006</v>
      </c>
      <c r="T46" s="407" t="s">
        <v>438</v>
      </c>
      <c r="U46" s="407" t="s">
        <v>529</v>
      </c>
      <c r="V46" s="408" t="s">
        <v>558</v>
      </c>
      <c r="W46" s="408" t="s">
        <v>542</v>
      </c>
      <c r="X46" s="408">
        <v>1</v>
      </c>
      <c r="Y46" s="409" t="s">
        <v>351</v>
      </c>
      <c r="AC46" s="413"/>
    </row>
    <row r="47" spans="2:34" s="150" customFormat="1" ht="27" customHeight="1">
      <c r="B47" s="829"/>
      <c r="C47" s="830"/>
      <c r="D47" s="397">
        <v>17</v>
      </c>
      <c r="E47" s="400" t="s">
        <v>621</v>
      </c>
      <c r="F47" s="401">
        <v>1144.78</v>
      </c>
      <c r="G47" s="402">
        <v>149.29</v>
      </c>
      <c r="H47" s="402">
        <v>137.75</v>
      </c>
      <c r="I47" s="403">
        <f t="shared" si="23"/>
        <v>0.92270078370955866</v>
      </c>
      <c r="J47" s="402">
        <v>15.4</v>
      </c>
      <c r="K47" s="403">
        <f t="shared" si="24"/>
        <v>0.10315493335119567</v>
      </c>
      <c r="L47" s="402">
        <v>629</v>
      </c>
      <c r="M47" s="403">
        <f t="shared" si="25"/>
        <v>1.0258557170607543</v>
      </c>
      <c r="N47" s="404">
        <v>2427.94</v>
      </c>
      <c r="O47" s="402">
        <v>1.82</v>
      </c>
      <c r="P47" s="403">
        <f t="shared" si="17"/>
        <v>1.2191037577868579E-2</v>
      </c>
      <c r="Q47" s="405">
        <f t="shared" si="18"/>
        <v>2.0400000000000134</v>
      </c>
      <c r="R47" s="403">
        <f t="shared" si="19"/>
        <v>1.366467948288575E-2</v>
      </c>
      <c r="S47" s="406">
        <f t="shared" si="20"/>
        <v>1283.1600000000085</v>
      </c>
      <c r="T47" s="407" t="s">
        <v>438</v>
      </c>
      <c r="U47" s="407" t="s">
        <v>529</v>
      </c>
      <c r="V47" s="408" t="s">
        <v>569</v>
      </c>
      <c r="W47" s="408" t="s">
        <v>542</v>
      </c>
      <c r="X47" s="408">
        <v>1</v>
      </c>
      <c r="Y47" s="409" t="s">
        <v>620</v>
      </c>
      <c r="AB47" s="415"/>
      <c r="AC47" s="413"/>
    </row>
    <row r="48" spans="2:34" s="150" customFormat="1" ht="27" customHeight="1">
      <c r="B48" s="829"/>
      <c r="C48" s="830"/>
      <c r="D48" s="397">
        <v>18</v>
      </c>
      <c r="E48" s="400" t="s">
        <v>442</v>
      </c>
      <c r="F48" s="401">
        <v>1131.9279000000001</v>
      </c>
      <c r="G48" s="402">
        <v>1438.77</v>
      </c>
      <c r="H48" s="402">
        <v>1448.25</v>
      </c>
      <c r="I48" s="403">
        <f t="shared" si="23"/>
        <v>1.0065889614045331</v>
      </c>
      <c r="J48" s="402">
        <v>15.520000000000001</v>
      </c>
      <c r="K48" s="403">
        <f t="shared" si="24"/>
        <v>1.0786991666492909E-2</v>
      </c>
      <c r="L48" s="402">
        <v>157.87000000000003</v>
      </c>
      <c r="M48" s="403">
        <f t="shared" si="25"/>
        <v>1.017375953071026</v>
      </c>
      <c r="N48" s="404">
        <v>3946.75</v>
      </c>
      <c r="O48" s="402">
        <v>7.1700000000000008</v>
      </c>
      <c r="P48" s="403">
        <f t="shared" si="17"/>
        <v>4.9834233407702417E-3</v>
      </c>
      <c r="Q48" s="405">
        <f t="shared" si="18"/>
        <v>17.829999999999998</v>
      </c>
      <c r="R48" s="403">
        <f t="shared" si="19"/>
        <v>1.2392529730255704E-2</v>
      </c>
      <c r="S48" s="406">
        <f t="shared" si="20"/>
        <v>2814.8221000000003</v>
      </c>
      <c r="T48" s="407" t="s">
        <v>438</v>
      </c>
      <c r="U48" s="407" t="s">
        <v>529</v>
      </c>
      <c r="V48" s="408" t="s">
        <v>540</v>
      </c>
      <c r="W48" s="408" t="s">
        <v>541</v>
      </c>
      <c r="X48" s="408">
        <v>1</v>
      </c>
      <c r="Y48" s="409" t="s">
        <v>349</v>
      </c>
      <c r="AC48" s="413"/>
    </row>
    <row r="49" spans="2:34" s="150" customFormat="1" ht="27" customHeight="1">
      <c r="B49" s="829"/>
      <c r="C49" s="830"/>
      <c r="D49" s="397">
        <v>19</v>
      </c>
      <c r="E49" s="400" t="s">
        <v>531</v>
      </c>
      <c r="F49" s="401">
        <v>1085.76</v>
      </c>
      <c r="G49" s="402">
        <v>203230</v>
      </c>
      <c r="H49" s="402">
        <v>204348</v>
      </c>
      <c r="I49" s="403">
        <f t="shared" si="23"/>
        <v>1.0055011563253458</v>
      </c>
      <c r="J49" s="402">
        <v>0</v>
      </c>
      <c r="K49" s="403">
        <f t="shared" si="24"/>
        <v>0</v>
      </c>
      <c r="L49" s="402">
        <v>1.17</v>
      </c>
      <c r="M49" s="403">
        <f t="shared" si="25"/>
        <v>1.0055011563253458</v>
      </c>
      <c r="N49" s="404">
        <v>1308.06</v>
      </c>
      <c r="O49" s="402">
        <v>928</v>
      </c>
      <c r="P49" s="403">
        <f t="shared" si="17"/>
        <v>4.5662549820400531E-3</v>
      </c>
      <c r="Q49" s="405">
        <f t="shared" si="18"/>
        <v>190</v>
      </c>
      <c r="R49" s="403">
        <f t="shared" si="19"/>
        <v>9.3490134330561432E-4</v>
      </c>
      <c r="S49" s="406">
        <f t="shared" si="20"/>
        <v>222.29999999999998</v>
      </c>
      <c r="T49" s="407" t="s">
        <v>438</v>
      </c>
      <c r="U49" s="407" t="s">
        <v>346</v>
      </c>
      <c r="V49" s="408" t="s">
        <v>553</v>
      </c>
      <c r="W49" s="408" t="s">
        <v>554</v>
      </c>
      <c r="X49" s="408">
        <v>1</v>
      </c>
      <c r="Y49" s="409" t="s">
        <v>349</v>
      </c>
      <c r="AB49" s="416"/>
      <c r="AC49" s="413"/>
    </row>
    <row r="50" spans="2:34" s="150" customFormat="1" ht="27" customHeight="1">
      <c r="B50" s="831"/>
      <c r="C50" s="832"/>
      <c r="D50" s="397">
        <v>20</v>
      </c>
      <c r="E50" s="400" t="s">
        <v>619</v>
      </c>
      <c r="F50" s="401">
        <v>1084.5</v>
      </c>
      <c r="G50" s="402">
        <v>18737</v>
      </c>
      <c r="H50" s="402">
        <v>18715</v>
      </c>
      <c r="I50" s="403">
        <f t="shared" si="23"/>
        <v>0.99882585259112988</v>
      </c>
      <c r="J50" s="402">
        <v>293</v>
      </c>
      <c r="K50" s="403">
        <f t="shared" si="24"/>
        <v>1.5637508672679726E-2</v>
      </c>
      <c r="L50" s="402">
        <v>4.5</v>
      </c>
      <c r="M50" s="403">
        <f t="shared" si="25"/>
        <v>1.0144633612638096</v>
      </c>
      <c r="N50" s="404">
        <v>1219.5</v>
      </c>
      <c r="O50" s="402">
        <v>241</v>
      </c>
      <c r="P50" s="403">
        <f t="shared" si="17"/>
        <v>1.2862251160804824E-2</v>
      </c>
      <c r="Q50" s="405">
        <f t="shared" si="18"/>
        <v>30</v>
      </c>
      <c r="R50" s="403">
        <f t="shared" si="19"/>
        <v>1.6011101030047499E-3</v>
      </c>
      <c r="S50" s="406">
        <f t="shared" si="20"/>
        <v>135</v>
      </c>
      <c r="T50" s="407" t="s">
        <v>438</v>
      </c>
      <c r="U50" s="407" t="s">
        <v>346</v>
      </c>
      <c r="V50" s="408" t="s">
        <v>649</v>
      </c>
      <c r="W50" s="408" t="s">
        <v>650</v>
      </c>
      <c r="X50" s="408">
        <v>1</v>
      </c>
      <c r="Y50" s="409" t="s">
        <v>555</v>
      </c>
      <c r="AB50" s="416"/>
      <c r="AC50" s="413"/>
    </row>
    <row r="51" spans="2:34" ht="17.149999999999999" customHeight="1">
      <c r="B51" s="849" t="s">
        <v>526</v>
      </c>
      <c r="C51" s="850"/>
      <c r="D51" s="855" t="s">
        <v>172</v>
      </c>
      <c r="E51" s="855"/>
      <c r="F51" s="855"/>
      <c r="G51" s="855" t="s">
        <v>186</v>
      </c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 t="s">
        <v>173</v>
      </c>
      <c r="U51" s="840" t="s">
        <v>252</v>
      </c>
      <c r="V51" s="833" t="s">
        <v>527</v>
      </c>
      <c r="W51" s="833" t="s">
        <v>528</v>
      </c>
      <c r="X51" s="836" t="s">
        <v>253</v>
      </c>
      <c r="Y51" s="839" t="s">
        <v>174</v>
      </c>
      <c r="AA51" s="840" t="s">
        <v>254</v>
      </c>
      <c r="AB51" s="841"/>
      <c r="AC51" s="841"/>
      <c r="AD51" s="841"/>
      <c r="AE51" s="841"/>
      <c r="AF51" s="841"/>
      <c r="AG51" s="841"/>
      <c r="AH51" s="842"/>
    </row>
    <row r="52" spans="2:34" ht="17.149999999999999" customHeight="1">
      <c r="B52" s="851"/>
      <c r="C52" s="852"/>
      <c r="D52" s="856" t="s">
        <v>171</v>
      </c>
      <c r="E52" s="855" t="s">
        <v>175</v>
      </c>
      <c r="F52" s="855"/>
      <c r="G52" s="855" t="s">
        <v>187</v>
      </c>
      <c r="H52" s="855"/>
      <c r="I52" s="855"/>
      <c r="J52" s="855"/>
      <c r="K52" s="855"/>
      <c r="L52" s="855"/>
      <c r="M52" s="855"/>
      <c r="N52" s="855"/>
      <c r="O52" s="855" t="s">
        <v>176</v>
      </c>
      <c r="P52" s="855"/>
      <c r="Q52" s="855"/>
      <c r="R52" s="855"/>
      <c r="S52" s="855"/>
      <c r="T52" s="855"/>
      <c r="U52" s="843"/>
      <c r="V52" s="834"/>
      <c r="W52" s="834"/>
      <c r="X52" s="837"/>
      <c r="Y52" s="839"/>
      <c r="AA52" s="843"/>
      <c r="AB52" s="844"/>
      <c r="AC52" s="844"/>
      <c r="AD52" s="844"/>
      <c r="AE52" s="844"/>
      <c r="AF52" s="844"/>
      <c r="AG52" s="844"/>
      <c r="AH52" s="845"/>
    </row>
    <row r="53" spans="2:34" ht="17.149999999999999" customHeight="1">
      <c r="B53" s="851"/>
      <c r="C53" s="852"/>
      <c r="D53" s="856"/>
      <c r="E53" s="856" t="s">
        <v>177</v>
      </c>
      <c r="F53" s="839" t="s">
        <v>255</v>
      </c>
      <c r="G53" s="857" t="s">
        <v>188</v>
      </c>
      <c r="H53" s="857"/>
      <c r="I53" s="857"/>
      <c r="J53" s="857"/>
      <c r="K53" s="857"/>
      <c r="L53" s="857"/>
      <c r="M53" s="857"/>
      <c r="N53" s="857"/>
      <c r="O53" s="857" t="s">
        <v>170</v>
      </c>
      <c r="P53" s="857"/>
      <c r="Q53" s="857" t="s">
        <v>178</v>
      </c>
      <c r="R53" s="857"/>
      <c r="S53" s="857"/>
      <c r="T53" s="855"/>
      <c r="U53" s="843"/>
      <c r="V53" s="834"/>
      <c r="W53" s="834"/>
      <c r="X53" s="837"/>
      <c r="Y53" s="839"/>
      <c r="AA53" s="846"/>
      <c r="AB53" s="847"/>
      <c r="AC53" s="847"/>
      <c r="AD53" s="847"/>
      <c r="AE53" s="847"/>
      <c r="AF53" s="847"/>
      <c r="AG53" s="847"/>
      <c r="AH53" s="848"/>
    </row>
    <row r="54" spans="2:34" ht="38.5" customHeight="1">
      <c r="B54" s="853"/>
      <c r="C54" s="854"/>
      <c r="D54" s="856"/>
      <c r="E54" s="856"/>
      <c r="F54" s="839"/>
      <c r="G54" s="398" t="s">
        <v>179</v>
      </c>
      <c r="H54" s="398" t="s">
        <v>259</v>
      </c>
      <c r="I54" s="398" t="s">
        <v>260</v>
      </c>
      <c r="J54" s="398" t="s">
        <v>180</v>
      </c>
      <c r="K54" s="398" t="s">
        <v>257</v>
      </c>
      <c r="L54" s="398" t="s">
        <v>181</v>
      </c>
      <c r="M54" s="398" t="s">
        <v>189</v>
      </c>
      <c r="N54" s="398" t="s">
        <v>182</v>
      </c>
      <c r="O54" s="399" t="s">
        <v>183</v>
      </c>
      <c r="P54" s="399" t="s">
        <v>184</v>
      </c>
      <c r="Q54" s="399" t="s">
        <v>183</v>
      </c>
      <c r="R54" s="399" t="s">
        <v>184</v>
      </c>
      <c r="S54" s="398" t="s">
        <v>185</v>
      </c>
      <c r="T54" s="855"/>
      <c r="U54" s="846"/>
      <c r="V54" s="835"/>
      <c r="W54" s="835"/>
      <c r="X54" s="838"/>
      <c r="Y54" s="839"/>
      <c r="AA54" s="163" t="s">
        <v>251</v>
      </c>
      <c r="AB54" s="163" t="s">
        <v>529</v>
      </c>
      <c r="AC54" s="158" t="s">
        <v>403</v>
      </c>
      <c r="AD54" s="158" t="s">
        <v>346</v>
      </c>
      <c r="AE54" s="158" t="s">
        <v>477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7" t="s">
        <v>660</v>
      </c>
      <c r="C55" s="828"/>
      <c r="D55" s="397">
        <v>1</v>
      </c>
      <c r="E55" s="400" t="s">
        <v>343</v>
      </c>
      <c r="F55" s="401">
        <v>2411.2233999999994</v>
      </c>
      <c r="G55" s="402">
        <v>560.72</v>
      </c>
      <c r="H55" s="402">
        <v>578.66999999999996</v>
      </c>
      <c r="I55" s="403">
        <f>H55/G55</f>
        <v>1.0320124126123553</v>
      </c>
      <c r="J55" s="402">
        <v>1.8</v>
      </c>
      <c r="K55" s="403">
        <f>J55/G55</f>
        <v>3.2101583678128122E-3</v>
      </c>
      <c r="L55" s="402">
        <v>141.66999999999999</v>
      </c>
      <c r="M55" s="403">
        <f>(H55+J55)/G55</f>
        <v>1.0352225709801681</v>
      </c>
      <c r="N55" s="404">
        <v>2797.9824999999983</v>
      </c>
      <c r="O55" s="402">
        <v>17.02</v>
      </c>
      <c r="P55" s="403">
        <f>O55/G55</f>
        <v>3.0353830788985587E-2</v>
      </c>
      <c r="Q55" s="405">
        <f>((H55+J55)-G55)-O55</f>
        <v>2.7299999999998867</v>
      </c>
      <c r="R55" s="403">
        <f>Q55/G55</f>
        <v>4.8687401911825627E-3</v>
      </c>
      <c r="S55" s="406">
        <f>Q55*L55</f>
        <v>386.7590999999839</v>
      </c>
      <c r="T55" s="407" t="s">
        <v>438</v>
      </c>
      <c r="U55" s="407" t="s">
        <v>529</v>
      </c>
      <c r="V55" s="408" t="s">
        <v>550</v>
      </c>
      <c r="W55" s="408" t="s">
        <v>643</v>
      </c>
      <c r="X55" s="408">
        <v>1</v>
      </c>
      <c r="Y55" s="409" t="s">
        <v>351</v>
      </c>
      <c r="Z55" s="410" t="s">
        <v>530</v>
      </c>
      <c r="AA55" s="420">
        <f>SUM(X55:X74)</f>
        <v>20</v>
      </c>
      <c r="AB55" s="412">
        <f>SUMIF($U$55:$U$74,TRIM(AB54),$X$55:$X$74)</f>
        <v>18</v>
      </c>
      <c r="AC55" s="412">
        <f t="shared" ref="AC55:AH55" si="26">SUMIF($U$55:$U$74,TRIM(AC54),$X$55:$X$74)</f>
        <v>0</v>
      </c>
      <c r="AD55" s="412">
        <f t="shared" si="26"/>
        <v>2</v>
      </c>
      <c r="AE55" s="412">
        <f t="shared" si="26"/>
        <v>0</v>
      </c>
      <c r="AF55" s="412">
        <f t="shared" si="26"/>
        <v>0</v>
      </c>
      <c r="AG55" s="412">
        <f t="shared" si="26"/>
        <v>0</v>
      </c>
      <c r="AH55" s="412">
        <f t="shared" si="26"/>
        <v>0</v>
      </c>
    </row>
    <row r="56" spans="2:34" s="150" customFormat="1" ht="27" customHeight="1">
      <c r="B56" s="829"/>
      <c r="C56" s="830"/>
      <c r="D56" s="397">
        <v>2</v>
      </c>
      <c r="E56" s="400" t="s">
        <v>375</v>
      </c>
      <c r="F56" s="401">
        <v>2001.0250000000001</v>
      </c>
      <c r="G56" s="402">
        <v>1035.4100000000001</v>
      </c>
      <c r="H56" s="402">
        <v>1055.74</v>
      </c>
      <c r="I56" s="403">
        <f t="shared" ref="I56:I57" si="27">H56/G56</f>
        <v>1.0196347340666982</v>
      </c>
      <c r="J56" s="402">
        <v>1.95</v>
      </c>
      <c r="K56" s="403">
        <f t="shared" ref="K56:K61" si="28">J56/G56</f>
        <v>1.883311924744787E-3</v>
      </c>
      <c r="L56" s="402">
        <v>152.75</v>
      </c>
      <c r="M56" s="403">
        <f t="shared" ref="M56:M61" si="29">(H56+J56)/G56</f>
        <v>1.021518045991443</v>
      </c>
      <c r="N56" s="404">
        <v>3403.2699999999977</v>
      </c>
      <c r="O56" s="402">
        <v>13.1</v>
      </c>
      <c r="P56" s="403">
        <f t="shared" ref="P56:P74" si="30">O56/G56</f>
        <v>1.2651992930336774E-2</v>
      </c>
      <c r="Q56" s="405">
        <f t="shared" ref="Q56:Q74" si="31">((H56+J56)-G56)-O56</f>
        <v>9.1799999999999731</v>
      </c>
      <c r="R56" s="403">
        <f t="shared" ref="R56:R74" si="32">Q56/G56</f>
        <v>8.8660530611062022E-3</v>
      </c>
      <c r="S56" s="406">
        <f t="shared" ref="S56:S74" si="33">Q56*L56</f>
        <v>1402.2449999999958</v>
      </c>
      <c r="T56" s="407" t="s">
        <v>438</v>
      </c>
      <c r="U56" s="407" t="s">
        <v>529</v>
      </c>
      <c r="V56" s="408" t="s">
        <v>550</v>
      </c>
      <c r="W56" s="408" t="s">
        <v>643</v>
      </c>
      <c r="X56" s="408">
        <v>1</v>
      </c>
      <c r="Y56" s="409" t="s">
        <v>378</v>
      </c>
      <c r="AA56" s="421"/>
      <c r="AB56" s="418">
        <f>SUMIF($U$55:$U$74,TRIM(AB54),$F$55:$F$74)</f>
        <v>24922.672200000001</v>
      </c>
      <c r="AC56" s="418">
        <f t="shared" ref="AC56:AH56" si="34">SUMIF($U$55:$U$74,TRIM(AC54),$F$55:$F$74)</f>
        <v>0</v>
      </c>
      <c r="AD56" s="418">
        <f t="shared" si="34"/>
        <v>3184.8359999999993</v>
      </c>
      <c r="AE56" s="418">
        <f t="shared" si="34"/>
        <v>0</v>
      </c>
      <c r="AF56" s="418">
        <f t="shared" si="34"/>
        <v>0</v>
      </c>
      <c r="AG56" s="418">
        <f t="shared" si="34"/>
        <v>0</v>
      </c>
      <c r="AH56" s="418">
        <f t="shared" si="34"/>
        <v>0</v>
      </c>
    </row>
    <row r="57" spans="2:34" s="150" customFormat="1" ht="27" customHeight="1">
      <c r="B57" s="829"/>
      <c r="C57" s="830"/>
      <c r="D57" s="397">
        <v>3</v>
      </c>
      <c r="E57" s="400" t="s">
        <v>461</v>
      </c>
      <c r="F57" s="401">
        <v>1817.7359999999996</v>
      </c>
      <c r="G57" s="402">
        <v>616.16999999999996</v>
      </c>
      <c r="H57" s="402">
        <v>606.98</v>
      </c>
      <c r="I57" s="403">
        <f t="shared" si="27"/>
        <v>0.98508528490513991</v>
      </c>
      <c r="J57" s="402">
        <v>28.5</v>
      </c>
      <c r="K57" s="403">
        <f t="shared" si="28"/>
        <v>4.6253469010175768E-2</v>
      </c>
      <c r="L57" s="402">
        <v>122.81999999999996</v>
      </c>
      <c r="M57" s="403">
        <f t="shared" si="29"/>
        <v>1.0313387539153156</v>
      </c>
      <c r="N57" s="404">
        <v>2371.6542000000036</v>
      </c>
      <c r="O57" s="402">
        <v>14.8</v>
      </c>
      <c r="P57" s="403">
        <f t="shared" si="30"/>
        <v>2.4019345310547415E-2</v>
      </c>
      <c r="Q57" s="405">
        <f t="shared" si="31"/>
        <v>4.5100000000000584</v>
      </c>
      <c r="R57" s="403">
        <f t="shared" si="32"/>
        <v>7.3194086047682601E-3</v>
      </c>
      <c r="S57" s="406">
        <f t="shared" si="33"/>
        <v>553.918200000007</v>
      </c>
      <c r="T57" s="407" t="s">
        <v>438</v>
      </c>
      <c r="U57" s="407" t="s">
        <v>346</v>
      </c>
      <c r="V57" s="408" t="s">
        <v>642</v>
      </c>
      <c r="W57" s="408" t="s">
        <v>643</v>
      </c>
      <c r="X57" s="408">
        <v>1</v>
      </c>
      <c r="Y57" s="409" t="s">
        <v>444</v>
      </c>
      <c r="AA57" s="397"/>
      <c r="AB57" s="419">
        <f>AB55/$AA55</f>
        <v>0.9</v>
      </c>
      <c r="AC57" s="419">
        <f t="shared" ref="AC57:AH57" si="35">AC55/$AA55</f>
        <v>0</v>
      </c>
      <c r="AD57" s="419">
        <f t="shared" si="35"/>
        <v>0.1</v>
      </c>
      <c r="AE57" s="419">
        <f t="shared" si="35"/>
        <v>0</v>
      </c>
      <c r="AF57" s="419">
        <f t="shared" si="35"/>
        <v>0</v>
      </c>
      <c r="AG57" s="419">
        <f t="shared" si="35"/>
        <v>0</v>
      </c>
      <c r="AH57" s="419">
        <f t="shared" si="35"/>
        <v>0</v>
      </c>
    </row>
    <row r="58" spans="2:34" s="150" customFormat="1" ht="27" customHeight="1">
      <c r="B58" s="829"/>
      <c r="C58" s="830"/>
      <c r="D58" s="397">
        <v>4</v>
      </c>
      <c r="E58" s="400" t="s">
        <v>373</v>
      </c>
      <c r="F58" s="401">
        <v>1812.6255000000001</v>
      </c>
      <c r="G58" s="402">
        <v>283.67999999999995</v>
      </c>
      <c r="H58" s="402">
        <v>292.83999999999997</v>
      </c>
      <c r="I58" s="403">
        <f>H58/G58</f>
        <v>1.0322899041173155</v>
      </c>
      <c r="J58" s="402">
        <v>4.16</v>
      </c>
      <c r="K58" s="403">
        <f t="shared" si="28"/>
        <v>1.4664410603496901E-2</v>
      </c>
      <c r="L58" s="402">
        <v>183.65000000000003</v>
      </c>
      <c r="M58" s="403">
        <f t="shared" si="29"/>
        <v>1.0469543147208125</v>
      </c>
      <c r="N58" s="404">
        <v>2446.2179999999989</v>
      </c>
      <c r="O58" s="402">
        <v>9.870000000000001</v>
      </c>
      <c r="P58" s="403">
        <f t="shared" si="30"/>
        <v>3.4792724196277505E-2</v>
      </c>
      <c r="Q58" s="405">
        <f t="shared" si="31"/>
        <v>3.450000000000049</v>
      </c>
      <c r="R58" s="403">
        <f t="shared" si="32"/>
        <v>1.2161590524534862E-2</v>
      </c>
      <c r="S58" s="406">
        <f t="shared" si="33"/>
        <v>633.59250000000907</v>
      </c>
      <c r="T58" s="407" t="s">
        <v>438</v>
      </c>
      <c r="U58" s="407" t="s">
        <v>529</v>
      </c>
      <c r="V58" s="408" t="s">
        <v>639</v>
      </c>
      <c r="W58" s="408" t="s">
        <v>640</v>
      </c>
      <c r="X58" s="408">
        <v>1</v>
      </c>
      <c r="Y58" s="409" t="s">
        <v>366</v>
      </c>
    </row>
    <row r="59" spans="2:34" s="150" customFormat="1" ht="27" customHeight="1">
      <c r="B59" s="829"/>
      <c r="C59" s="830"/>
      <c r="D59" s="397">
        <v>5</v>
      </c>
      <c r="E59" s="400" t="s">
        <v>511</v>
      </c>
      <c r="F59" s="401">
        <v>1373.4329</v>
      </c>
      <c r="G59" s="402">
        <v>54.379999999999995</v>
      </c>
      <c r="H59" s="402">
        <v>56.06</v>
      </c>
      <c r="I59" s="403">
        <f t="shared" ref="I59:I74" si="36">H59/G59</f>
        <v>1.0308937109231335</v>
      </c>
      <c r="J59" s="402">
        <v>3.05</v>
      </c>
      <c r="K59" s="403">
        <f t="shared" si="28"/>
        <v>5.608679661640309E-2</v>
      </c>
      <c r="L59" s="402">
        <v>456.29</v>
      </c>
      <c r="M59" s="403">
        <f t="shared" si="29"/>
        <v>1.0869805075395367</v>
      </c>
      <c r="N59" s="404">
        <v>2158.2517000000012</v>
      </c>
      <c r="O59" s="402">
        <v>3.0100000000000002</v>
      </c>
      <c r="P59" s="403">
        <f t="shared" si="30"/>
        <v>5.5351232070614202E-2</v>
      </c>
      <c r="Q59" s="405">
        <f t="shared" si="31"/>
        <v>1.7200000000000037</v>
      </c>
      <c r="R59" s="403">
        <f t="shared" si="32"/>
        <v>3.1629275468922469E-2</v>
      </c>
      <c r="S59" s="406">
        <f t="shared" si="33"/>
        <v>784.81880000000172</v>
      </c>
      <c r="T59" s="407" t="s">
        <v>438</v>
      </c>
      <c r="U59" s="407" t="s">
        <v>529</v>
      </c>
      <c r="V59" s="408" t="s">
        <v>550</v>
      </c>
      <c r="W59" s="408" t="s">
        <v>548</v>
      </c>
      <c r="X59" s="408">
        <v>1</v>
      </c>
      <c r="Y59" s="409" t="s">
        <v>507</v>
      </c>
    </row>
    <row r="60" spans="2:34" s="150" customFormat="1" ht="27" customHeight="1">
      <c r="B60" s="829"/>
      <c r="C60" s="830"/>
      <c r="D60" s="397">
        <v>6</v>
      </c>
      <c r="E60" s="400" t="s">
        <v>374</v>
      </c>
      <c r="F60" s="401">
        <v>1371.1679999999999</v>
      </c>
      <c r="G60" s="402">
        <v>229.13000000000002</v>
      </c>
      <c r="H60" s="402">
        <v>233.59999999999997</v>
      </c>
      <c r="I60" s="403">
        <f t="shared" si="36"/>
        <v>1.019508575917601</v>
      </c>
      <c r="J60" s="402">
        <v>2.27</v>
      </c>
      <c r="K60" s="403">
        <f t="shared" si="28"/>
        <v>9.9070396718020336E-3</v>
      </c>
      <c r="L60" s="402">
        <v>253.92000000000002</v>
      </c>
      <c r="M60" s="403">
        <f t="shared" si="29"/>
        <v>1.0294156155894032</v>
      </c>
      <c r="N60" s="404">
        <v>1711.4207999999996</v>
      </c>
      <c r="O60" s="402">
        <v>5.3999999999999995</v>
      </c>
      <c r="P60" s="403">
        <f t="shared" si="30"/>
        <v>2.3567407148780164E-2</v>
      </c>
      <c r="Q60" s="405">
        <f t="shared" si="31"/>
        <v>1.3399999999999528</v>
      </c>
      <c r="R60" s="403">
        <f t="shared" si="32"/>
        <v>5.8482084406230204E-3</v>
      </c>
      <c r="S60" s="406">
        <f t="shared" si="33"/>
        <v>340.25279999998804</v>
      </c>
      <c r="T60" s="407" t="s">
        <v>438</v>
      </c>
      <c r="U60" s="407" t="s">
        <v>529</v>
      </c>
      <c r="V60" s="408" t="s">
        <v>636</v>
      </c>
      <c r="W60" s="408" t="s">
        <v>637</v>
      </c>
      <c r="X60" s="408">
        <v>1</v>
      </c>
      <c r="Y60" s="409" t="s">
        <v>366</v>
      </c>
    </row>
    <row r="61" spans="2:34" s="150" customFormat="1" ht="27" customHeight="1">
      <c r="B61" s="829"/>
      <c r="C61" s="830"/>
      <c r="D61" s="397">
        <v>7</v>
      </c>
      <c r="E61" s="400" t="s">
        <v>491</v>
      </c>
      <c r="F61" s="401">
        <v>1367.1</v>
      </c>
      <c r="G61" s="402">
        <v>14316</v>
      </c>
      <c r="H61" s="402">
        <v>14354</v>
      </c>
      <c r="I61" s="403">
        <f t="shared" si="36"/>
        <v>1.0026543727298127</v>
      </c>
      <c r="J61" s="402">
        <v>60</v>
      </c>
      <c r="K61" s="403">
        <f t="shared" si="28"/>
        <v>4.1911148365465214E-3</v>
      </c>
      <c r="L61" s="402">
        <v>13.950000000000001</v>
      </c>
      <c r="M61" s="403">
        <f t="shared" si="29"/>
        <v>1.0068454875663593</v>
      </c>
      <c r="N61" s="404">
        <v>1367.1</v>
      </c>
      <c r="O61" s="402">
        <v>98</v>
      </c>
      <c r="P61" s="403">
        <f t="shared" si="30"/>
        <v>6.8454875663593179E-3</v>
      </c>
      <c r="Q61" s="405">
        <f t="shared" si="31"/>
        <v>0</v>
      </c>
      <c r="R61" s="403">
        <f t="shared" si="32"/>
        <v>0</v>
      </c>
      <c r="S61" s="406">
        <f t="shared" si="33"/>
        <v>0</v>
      </c>
      <c r="T61" s="407" t="s">
        <v>438</v>
      </c>
      <c r="U61" s="407" t="s">
        <v>346</v>
      </c>
      <c r="V61" s="408" t="s">
        <v>688</v>
      </c>
      <c r="W61" s="408" t="s">
        <v>689</v>
      </c>
      <c r="X61" s="408">
        <v>1</v>
      </c>
      <c r="Y61" s="409" t="s">
        <v>493</v>
      </c>
    </row>
    <row r="62" spans="2:34" s="150" customFormat="1" ht="27" customHeight="1">
      <c r="B62" s="829"/>
      <c r="C62" s="830"/>
      <c r="D62" s="397">
        <v>8</v>
      </c>
      <c r="E62" s="400" t="s">
        <v>617</v>
      </c>
      <c r="F62" s="401">
        <v>1320.1478999999999</v>
      </c>
      <c r="G62" s="402">
        <v>202.46</v>
      </c>
      <c r="H62" s="402">
        <v>206.02</v>
      </c>
      <c r="I62" s="403">
        <f t="shared" si="36"/>
        <v>1.0175837202410354</v>
      </c>
      <c r="J62" s="402">
        <v>4.01</v>
      </c>
      <c r="K62" s="403">
        <f>J62/G62</f>
        <v>1.9806381507458261E-2</v>
      </c>
      <c r="L62" s="402">
        <v>218.93000000000004</v>
      </c>
      <c r="M62" s="403">
        <f>(H62+J62)/G62</f>
        <v>1.0373901017484934</v>
      </c>
      <c r="N62" s="404">
        <v>1657.3001000000017</v>
      </c>
      <c r="O62" s="402">
        <v>6.03</v>
      </c>
      <c r="P62" s="403">
        <f t="shared" si="30"/>
        <v>2.9783660970068161E-2</v>
      </c>
      <c r="Q62" s="405">
        <f t="shared" si="31"/>
        <v>1.5399999999999929</v>
      </c>
      <c r="R62" s="403">
        <f t="shared" si="32"/>
        <v>7.6064407784253328E-3</v>
      </c>
      <c r="S62" s="406">
        <f t="shared" si="33"/>
        <v>337.15219999999852</v>
      </c>
      <c r="T62" s="407" t="s">
        <v>438</v>
      </c>
      <c r="U62" s="407" t="s">
        <v>529</v>
      </c>
      <c r="V62" s="408" t="s">
        <v>540</v>
      </c>
      <c r="W62" s="408" t="s">
        <v>541</v>
      </c>
      <c r="X62" s="408">
        <v>1</v>
      </c>
      <c r="Y62" s="409" t="s">
        <v>349</v>
      </c>
    </row>
    <row r="63" spans="2:34" s="150" customFormat="1" ht="27" customHeight="1">
      <c r="B63" s="829"/>
      <c r="C63" s="830"/>
      <c r="D63" s="397">
        <v>9</v>
      </c>
      <c r="E63" s="400" t="s">
        <v>618</v>
      </c>
      <c r="F63" s="401">
        <v>1309.9008999999999</v>
      </c>
      <c r="G63" s="402">
        <v>87.98</v>
      </c>
      <c r="H63" s="402">
        <v>93.45</v>
      </c>
      <c r="I63" s="403">
        <f t="shared" si="36"/>
        <v>1.0621732211866333</v>
      </c>
      <c r="J63" s="402">
        <v>1.95</v>
      </c>
      <c r="K63" s="403">
        <f t="shared" ref="K63:K74" si="37">J63/G63</f>
        <v>2.2164128210957035E-2</v>
      </c>
      <c r="L63" s="402">
        <v>239.47</v>
      </c>
      <c r="M63" s="403">
        <f t="shared" ref="M63:M74" si="38">(H63+J63)/G63</f>
        <v>1.0843373493975903</v>
      </c>
      <c r="N63" s="404">
        <v>1776.8673999999996</v>
      </c>
      <c r="O63" s="402">
        <v>5.47</v>
      </c>
      <c r="P63" s="403">
        <f t="shared" si="30"/>
        <v>6.2173221186633321E-2</v>
      </c>
      <c r="Q63" s="405">
        <f t="shared" si="31"/>
        <v>1.950000000000002</v>
      </c>
      <c r="R63" s="403">
        <f t="shared" si="32"/>
        <v>2.2164128210957056E-2</v>
      </c>
      <c r="S63" s="406">
        <f t="shared" si="33"/>
        <v>466.96650000000045</v>
      </c>
      <c r="T63" s="407" t="s">
        <v>438</v>
      </c>
      <c r="U63" s="407" t="s">
        <v>529</v>
      </c>
      <c r="V63" s="408" t="s">
        <v>627</v>
      </c>
      <c r="W63" s="433" t="s">
        <v>546</v>
      </c>
      <c r="X63" s="408">
        <v>1</v>
      </c>
      <c r="Y63" s="409" t="s">
        <v>499</v>
      </c>
    </row>
    <row r="64" spans="2:34" s="150" customFormat="1" ht="27" customHeight="1">
      <c r="B64" s="829"/>
      <c r="C64" s="830"/>
      <c r="D64" s="397">
        <v>10</v>
      </c>
      <c r="E64" s="400" t="s">
        <v>488</v>
      </c>
      <c r="F64" s="401">
        <v>1296.0509999999999</v>
      </c>
      <c r="G64" s="402">
        <v>153.50000000000003</v>
      </c>
      <c r="H64" s="402">
        <v>158.72</v>
      </c>
      <c r="I64" s="403">
        <f t="shared" si="36"/>
        <v>1.0340065146579802</v>
      </c>
      <c r="J64" s="402">
        <v>4.4800000000000004</v>
      </c>
      <c r="K64" s="403">
        <f t="shared" si="37"/>
        <v>2.9185667752442995E-2</v>
      </c>
      <c r="L64" s="402">
        <v>210.74</v>
      </c>
      <c r="M64" s="403">
        <f t="shared" si="38"/>
        <v>1.0631921824104231</v>
      </c>
      <c r="N64" s="404">
        <v>2044.1779999999999</v>
      </c>
      <c r="O64" s="402">
        <v>6.1499999999999995</v>
      </c>
      <c r="P64" s="403">
        <f t="shared" si="30"/>
        <v>4.0065146579804548E-2</v>
      </c>
      <c r="Q64" s="405">
        <f t="shared" si="31"/>
        <v>3.5499999999999607</v>
      </c>
      <c r="R64" s="403">
        <f t="shared" si="32"/>
        <v>2.3127035830618634E-2</v>
      </c>
      <c r="S64" s="406">
        <f t="shared" si="33"/>
        <v>748.12699999999177</v>
      </c>
      <c r="T64" s="407" t="s">
        <v>438</v>
      </c>
      <c r="U64" s="407" t="s">
        <v>529</v>
      </c>
      <c r="V64" s="408" t="s">
        <v>642</v>
      </c>
      <c r="W64" s="408" t="s">
        <v>643</v>
      </c>
      <c r="X64" s="408">
        <v>1</v>
      </c>
      <c r="Y64" s="409" t="s">
        <v>481</v>
      </c>
    </row>
    <row r="65" spans="2:34" s="150" customFormat="1" ht="27" customHeight="1">
      <c r="B65" s="829"/>
      <c r="C65" s="830"/>
      <c r="D65" s="397">
        <v>11</v>
      </c>
      <c r="E65" s="400" t="s">
        <v>615</v>
      </c>
      <c r="F65" s="401">
        <v>1276.0726999999997</v>
      </c>
      <c r="G65" s="402">
        <v>269.53000000000003</v>
      </c>
      <c r="H65" s="402">
        <v>283.68</v>
      </c>
      <c r="I65" s="403">
        <f t="shared" si="36"/>
        <v>1.0524987941973063</v>
      </c>
      <c r="J65" s="402">
        <v>0</v>
      </c>
      <c r="K65" s="403">
        <f t="shared" si="37"/>
        <v>0</v>
      </c>
      <c r="L65" s="402">
        <v>153.19000000000003</v>
      </c>
      <c r="M65" s="403">
        <f t="shared" si="38"/>
        <v>1.0524987941973063</v>
      </c>
      <c r="N65" s="404">
        <v>2167.6385000000009</v>
      </c>
      <c r="O65" s="402">
        <v>8.33</v>
      </c>
      <c r="P65" s="403">
        <f t="shared" si="30"/>
        <v>3.0905650576930208E-2</v>
      </c>
      <c r="Q65" s="405">
        <f t="shared" si="31"/>
        <v>5.8199999999999772</v>
      </c>
      <c r="R65" s="403">
        <f t="shared" si="32"/>
        <v>2.1593143620376124E-2</v>
      </c>
      <c r="S65" s="406">
        <f t="shared" si="33"/>
        <v>891.56579999999667</v>
      </c>
      <c r="T65" s="407" t="s">
        <v>438</v>
      </c>
      <c r="U65" s="407" t="s">
        <v>529</v>
      </c>
      <c r="V65" s="408" t="s">
        <v>633</v>
      </c>
      <c r="W65" s="408" t="s">
        <v>634</v>
      </c>
      <c r="X65" s="408">
        <v>1</v>
      </c>
      <c r="Y65" s="409" t="s">
        <v>620</v>
      </c>
    </row>
    <row r="66" spans="2:34" s="150" customFormat="1" ht="27" customHeight="1">
      <c r="B66" s="829"/>
      <c r="C66" s="830"/>
      <c r="D66" s="397">
        <v>12</v>
      </c>
      <c r="E66" s="400" t="s">
        <v>500</v>
      </c>
      <c r="F66" s="401">
        <v>1258.5573000000002</v>
      </c>
      <c r="G66" s="402">
        <v>533.81000000000006</v>
      </c>
      <c r="H66" s="402">
        <v>540.15</v>
      </c>
      <c r="I66" s="403">
        <f t="shared" si="36"/>
        <v>1.0118768850340008</v>
      </c>
      <c r="J66" s="402">
        <v>2.58</v>
      </c>
      <c r="K66" s="403">
        <f t="shared" si="37"/>
        <v>4.8331803450665962E-3</v>
      </c>
      <c r="L66" s="402">
        <v>181.60999999999999</v>
      </c>
      <c r="M66" s="403">
        <f t="shared" si="38"/>
        <v>1.0167100653790673</v>
      </c>
      <c r="N66" s="404">
        <v>1619.9611999999954</v>
      </c>
      <c r="O66" s="402">
        <v>6.93</v>
      </c>
      <c r="P66" s="403">
        <f t="shared" si="30"/>
        <v>1.2982147205934694E-2</v>
      </c>
      <c r="Q66" s="405">
        <f t="shared" si="31"/>
        <v>1.9899999999999594</v>
      </c>
      <c r="R66" s="403">
        <f t="shared" si="32"/>
        <v>3.7279181731326859E-3</v>
      </c>
      <c r="S66" s="406">
        <f t="shared" si="33"/>
        <v>361.40389999999257</v>
      </c>
      <c r="T66" s="407" t="s">
        <v>438</v>
      </c>
      <c r="U66" s="407" t="s">
        <v>529</v>
      </c>
      <c r="V66" s="408" t="s">
        <v>540</v>
      </c>
      <c r="W66" s="408" t="s">
        <v>541</v>
      </c>
      <c r="X66" s="408">
        <v>1</v>
      </c>
      <c r="Y66" s="409" t="s">
        <v>497</v>
      </c>
    </row>
    <row r="67" spans="2:34" s="150" customFormat="1" ht="27" customHeight="1">
      <c r="B67" s="829"/>
      <c r="C67" s="830"/>
      <c r="D67" s="397">
        <v>13</v>
      </c>
      <c r="E67" s="400" t="s">
        <v>509</v>
      </c>
      <c r="F67" s="401">
        <v>1256.0704000000001</v>
      </c>
      <c r="G67" s="402">
        <v>255.59000000000003</v>
      </c>
      <c r="H67" s="402">
        <v>253.54</v>
      </c>
      <c r="I67" s="403">
        <f t="shared" si="36"/>
        <v>0.99197934191478521</v>
      </c>
      <c r="J67" s="402">
        <v>15.39</v>
      </c>
      <c r="K67" s="403">
        <f t="shared" si="37"/>
        <v>6.0213623381196443E-2</v>
      </c>
      <c r="L67" s="402">
        <v>155.84</v>
      </c>
      <c r="M67" s="403">
        <f t="shared" si="38"/>
        <v>1.0521929652959818</v>
      </c>
      <c r="N67" s="404">
        <v>2078.905600000001</v>
      </c>
      <c r="O67" s="402">
        <v>8.06</v>
      </c>
      <c r="P67" s="403">
        <f t="shared" si="30"/>
        <v>3.1534880081380334E-2</v>
      </c>
      <c r="Q67" s="405">
        <f t="shared" si="31"/>
        <v>5.2799999999999745</v>
      </c>
      <c r="R67" s="403">
        <f t="shared" si="32"/>
        <v>2.0658085214601409E-2</v>
      </c>
      <c r="S67" s="406">
        <f t="shared" si="33"/>
        <v>822.83519999999601</v>
      </c>
      <c r="T67" s="407" t="s">
        <v>438</v>
      </c>
      <c r="U67" s="407" t="s">
        <v>529</v>
      </c>
      <c r="V67" s="408" t="s">
        <v>690</v>
      </c>
      <c r="W67" s="433" t="s">
        <v>546</v>
      </c>
      <c r="X67" s="408">
        <v>1</v>
      </c>
      <c r="Y67" s="409" t="s">
        <v>507</v>
      </c>
    </row>
    <row r="68" spans="2:34" s="150" customFormat="1" ht="27" customHeight="1">
      <c r="B68" s="829"/>
      <c r="C68" s="830"/>
      <c r="D68" s="397">
        <v>14</v>
      </c>
      <c r="E68" s="400" t="s">
        <v>616</v>
      </c>
      <c r="F68" s="401">
        <v>1230.9775</v>
      </c>
      <c r="G68" s="402">
        <v>180.90000000000003</v>
      </c>
      <c r="H68" s="402">
        <v>186.60000000000002</v>
      </c>
      <c r="I68" s="403">
        <f t="shared" si="36"/>
        <v>1.0315091210613598</v>
      </c>
      <c r="J68" s="402">
        <v>10.600000000000001</v>
      </c>
      <c r="K68" s="403">
        <f t="shared" si="37"/>
        <v>5.8595909342177996E-2</v>
      </c>
      <c r="L68" s="402">
        <v>169.79</v>
      </c>
      <c r="M68" s="403">
        <f t="shared" si="38"/>
        <v>1.0901050304035378</v>
      </c>
      <c r="N68" s="404">
        <v>2767.5769999999993</v>
      </c>
      <c r="O68" s="402">
        <v>7.2499999999999982</v>
      </c>
      <c r="P68" s="403">
        <f t="shared" si="30"/>
        <v>4.0077390823659464E-2</v>
      </c>
      <c r="Q68" s="405">
        <f t="shared" si="31"/>
        <v>9.0499999999999847</v>
      </c>
      <c r="R68" s="403">
        <f t="shared" si="32"/>
        <v>5.002763957987829E-2</v>
      </c>
      <c r="S68" s="406">
        <f t="shared" si="33"/>
        <v>1536.5994999999973</v>
      </c>
      <c r="T68" s="407" t="s">
        <v>438</v>
      </c>
      <c r="U68" s="407" t="s">
        <v>529</v>
      </c>
      <c r="V68" s="408" t="s">
        <v>540</v>
      </c>
      <c r="W68" s="408" t="s">
        <v>541</v>
      </c>
      <c r="X68" s="408">
        <v>1</v>
      </c>
      <c r="Y68" s="409" t="s">
        <v>486</v>
      </c>
    </row>
    <row r="69" spans="2:34" s="150" customFormat="1" ht="27" customHeight="1">
      <c r="B69" s="829"/>
      <c r="C69" s="830"/>
      <c r="D69" s="397">
        <v>15</v>
      </c>
      <c r="E69" s="400" t="s">
        <v>489</v>
      </c>
      <c r="F69" s="401">
        <v>1227.5874000000001</v>
      </c>
      <c r="G69" s="402">
        <v>186.89999999999998</v>
      </c>
      <c r="H69" s="402">
        <v>195.75</v>
      </c>
      <c r="I69" s="403">
        <f t="shared" si="36"/>
        <v>1.0473515248796148</v>
      </c>
      <c r="J69" s="402">
        <v>0</v>
      </c>
      <c r="K69" s="403">
        <f t="shared" si="37"/>
        <v>0</v>
      </c>
      <c r="L69" s="402">
        <v>203.57999999999998</v>
      </c>
      <c r="M69" s="403">
        <f t="shared" si="38"/>
        <v>1.0473515248796148</v>
      </c>
      <c r="N69" s="404">
        <v>1801.6830000000011</v>
      </c>
      <c r="O69" s="402">
        <v>6.0299999999999994</v>
      </c>
      <c r="P69" s="403">
        <f t="shared" si="30"/>
        <v>3.2263242375601929E-2</v>
      </c>
      <c r="Q69" s="405">
        <f t="shared" si="31"/>
        <v>2.8200000000000234</v>
      </c>
      <c r="R69" s="403">
        <f t="shared" si="32"/>
        <v>1.5088282504012968E-2</v>
      </c>
      <c r="S69" s="406">
        <f t="shared" si="33"/>
        <v>574.09560000000477</v>
      </c>
      <c r="T69" s="407" t="s">
        <v>438</v>
      </c>
      <c r="U69" s="407" t="s">
        <v>529</v>
      </c>
      <c r="V69" s="408" t="s">
        <v>550</v>
      </c>
      <c r="W69" s="408" t="s">
        <v>643</v>
      </c>
      <c r="X69" s="408">
        <v>1</v>
      </c>
      <c r="Y69" s="409" t="s">
        <v>351</v>
      </c>
    </row>
    <row r="70" spans="2:34" s="150" customFormat="1" ht="27" customHeight="1">
      <c r="B70" s="829"/>
      <c r="C70" s="830"/>
      <c r="D70" s="397">
        <v>16</v>
      </c>
      <c r="E70" s="400" t="s">
        <v>666</v>
      </c>
      <c r="F70" s="401">
        <v>1185.4079999999999</v>
      </c>
      <c r="G70" s="402">
        <v>1319.8799999999999</v>
      </c>
      <c r="H70" s="402">
        <v>1238.0100000000002</v>
      </c>
      <c r="I70" s="403">
        <f t="shared" si="36"/>
        <v>0.93797163378488979</v>
      </c>
      <c r="J70" s="402">
        <v>134.35</v>
      </c>
      <c r="K70" s="403">
        <f t="shared" si="37"/>
        <v>0.10178955662635998</v>
      </c>
      <c r="L70" s="402">
        <v>29.400000000000002</v>
      </c>
      <c r="M70" s="403">
        <f t="shared" si="38"/>
        <v>1.0397611904112496</v>
      </c>
      <c r="N70" s="404">
        <v>1542.9119999999989</v>
      </c>
      <c r="O70" s="402">
        <v>40.32</v>
      </c>
      <c r="P70" s="403">
        <f t="shared" si="30"/>
        <v>3.0548231657423406E-2</v>
      </c>
      <c r="Q70" s="405">
        <f t="shared" si="31"/>
        <v>12.160000000000245</v>
      </c>
      <c r="R70" s="403">
        <f t="shared" si="32"/>
        <v>9.2129587538262916E-3</v>
      </c>
      <c r="S70" s="406">
        <f t="shared" si="33"/>
        <v>357.50400000000724</v>
      </c>
      <c r="T70" s="407" t="s">
        <v>438</v>
      </c>
      <c r="U70" s="407" t="s">
        <v>529</v>
      </c>
      <c r="V70" s="408" t="s">
        <v>545</v>
      </c>
      <c r="W70" s="408" t="s">
        <v>691</v>
      </c>
      <c r="X70" s="408">
        <v>1</v>
      </c>
      <c r="Y70" s="409" t="s">
        <v>499</v>
      </c>
      <c r="AC70" s="413"/>
    </row>
    <row r="71" spans="2:34" s="150" customFormat="1" ht="27" customHeight="1">
      <c r="B71" s="829"/>
      <c r="C71" s="830"/>
      <c r="D71" s="397">
        <v>17</v>
      </c>
      <c r="E71" s="400" t="s">
        <v>667</v>
      </c>
      <c r="F71" s="401">
        <v>1159.6882000000001</v>
      </c>
      <c r="G71" s="402">
        <v>54.260000000000005</v>
      </c>
      <c r="H71" s="402">
        <v>56.17</v>
      </c>
      <c r="I71" s="403">
        <f t="shared" si="36"/>
        <v>1.0352008846295613</v>
      </c>
      <c r="J71" s="402">
        <v>4.28</v>
      </c>
      <c r="K71" s="403">
        <f t="shared" si="37"/>
        <v>7.8879469222263174E-2</v>
      </c>
      <c r="L71" s="402">
        <v>335.17</v>
      </c>
      <c r="M71" s="403">
        <f t="shared" si="38"/>
        <v>1.1140803538518245</v>
      </c>
      <c r="N71" s="404">
        <v>2074.7022999999995</v>
      </c>
      <c r="O71" s="402">
        <v>3.46</v>
      </c>
      <c r="P71" s="403">
        <f t="shared" si="30"/>
        <v>6.3767047548838912E-2</v>
      </c>
      <c r="Q71" s="405">
        <f t="shared" si="31"/>
        <v>2.7299999999999978</v>
      </c>
      <c r="R71" s="403">
        <f t="shared" si="32"/>
        <v>5.0313306302985576E-2</v>
      </c>
      <c r="S71" s="406">
        <f t="shared" si="33"/>
        <v>915.0140999999993</v>
      </c>
      <c r="T71" s="407" t="s">
        <v>438</v>
      </c>
      <c r="U71" s="407" t="s">
        <v>529</v>
      </c>
      <c r="V71" s="408" t="s">
        <v>639</v>
      </c>
      <c r="W71" s="433" t="s">
        <v>546</v>
      </c>
      <c r="X71" s="408">
        <v>1</v>
      </c>
      <c r="Y71" s="409" t="s">
        <v>486</v>
      </c>
      <c r="AB71" s="415"/>
      <c r="AC71" s="413"/>
    </row>
    <row r="72" spans="2:34" s="150" customFormat="1" ht="27" customHeight="1">
      <c r="B72" s="829"/>
      <c r="C72" s="830"/>
      <c r="D72" s="397">
        <v>18</v>
      </c>
      <c r="E72" s="400" t="s">
        <v>668</v>
      </c>
      <c r="F72" s="401">
        <v>1155.9497000000001</v>
      </c>
      <c r="G72" s="402">
        <v>226.14000000000001</v>
      </c>
      <c r="H72" s="402">
        <v>218.82</v>
      </c>
      <c r="I72" s="403">
        <f t="shared" si="36"/>
        <v>0.96763067126558755</v>
      </c>
      <c r="J72" s="402">
        <v>14.23</v>
      </c>
      <c r="K72" s="403">
        <f t="shared" si="37"/>
        <v>6.2925621296541959E-2</v>
      </c>
      <c r="L72" s="402">
        <v>411.36999999999995</v>
      </c>
      <c r="M72" s="403">
        <f t="shared" si="38"/>
        <v>1.0305562925621294</v>
      </c>
      <c r="N72" s="404">
        <v>2842.5666999999985</v>
      </c>
      <c r="O72" s="402">
        <v>2.81</v>
      </c>
      <c r="P72" s="403">
        <f t="shared" si="30"/>
        <v>1.2425930839303085E-2</v>
      </c>
      <c r="Q72" s="405">
        <f t="shared" si="31"/>
        <v>4.0999999999999677</v>
      </c>
      <c r="R72" s="403">
        <f t="shared" si="32"/>
        <v>1.8130361722826425E-2</v>
      </c>
      <c r="S72" s="406">
        <f t="shared" si="33"/>
        <v>1686.6169999999865</v>
      </c>
      <c r="T72" s="407" t="s">
        <v>438</v>
      </c>
      <c r="U72" s="407" t="s">
        <v>529</v>
      </c>
      <c r="V72" s="408" t="s">
        <v>639</v>
      </c>
      <c r="W72" s="408" t="s">
        <v>640</v>
      </c>
      <c r="X72" s="408">
        <v>1</v>
      </c>
      <c r="Y72" s="409" t="s">
        <v>486</v>
      </c>
      <c r="AC72" s="413"/>
    </row>
    <row r="73" spans="2:34" s="150" customFormat="1" ht="27" customHeight="1">
      <c r="B73" s="829"/>
      <c r="C73" s="830"/>
      <c r="D73" s="397">
        <v>19</v>
      </c>
      <c r="E73" s="400" t="s">
        <v>669</v>
      </c>
      <c r="F73" s="401">
        <v>1144.78</v>
      </c>
      <c r="G73" s="402">
        <v>154.02000000000001</v>
      </c>
      <c r="H73" s="402">
        <v>143.27000000000001</v>
      </c>
      <c r="I73" s="403">
        <f t="shared" si="36"/>
        <v>0.93020386962732116</v>
      </c>
      <c r="J73" s="402">
        <v>14.069999999999999</v>
      </c>
      <c r="K73" s="403">
        <f t="shared" si="37"/>
        <v>9.1351772497078279E-2</v>
      </c>
      <c r="L73" s="402">
        <v>629</v>
      </c>
      <c r="M73" s="403">
        <f t="shared" si="38"/>
        <v>1.0215556421243994</v>
      </c>
      <c r="N73" s="404">
        <v>2088.2799999999979</v>
      </c>
      <c r="O73" s="402">
        <v>1.82</v>
      </c>
      <c r="P73" s="403">
        <f t="shared" si="30"/>
        <v>1.1816647188676794E-2</v>
      </c>
      <c r="Q73" s="405">
        <f t="shared" si="31"/>
        <v>1.4999999999999931</v>
      </c>
      <c r="R73" s="403">
        <f t="shared" si="32"/>
        <v>9.7389949357225888E-3</v>
      </c>
      <c r="S73" s="406">
        <f t="shared" si="33"/>
        <v>943.49999999999568</v>
      </c>
      <c r="T73" s="407" t="s">
        <v>438</v>
      </c>
      <c r="U73" s="407" t="s">
        <v>529</v>
      </c>
      <c r="V73" s="408" t="s">
        <v>569</v>
      </c>
      <c r="W73" s="408" t="s">
        <v>542</v>
      </c>
      <c r="X73" s="408">
        <v>1</v>
      </c>
      <c r="Y73" s="409" t="s">
        <v>620</v>
      </c>
      <c r="AB73" s="416"/>
      <c r="AC73" s="413"/>
    </row>
    <row r="74" spans="2:34" s="150" customFormat="1" ht="27" customHeight="1">
      <c r="B74" s="831"/>
      <c r="C74" s="832"/>
      <c r="D74" s="397">
        <v>20</v>
      </c>
      <c r="E74" s="400" t="s">
        <v>670</v>
      </c>
      <c r="F74" s="401">
        <v>1132.0064</v>
      </c>
      <c r="G74" s="402">
        <v>175.98000000000002</v>
      </c>
      <c r="H74" s="402">
        <v>175.48</v>
      </c>
      <c r="I74" s="403">
        <f t="shared" si="36"/>
        <v>0.9971587680418228</v>
      </c>
      <c r="J74" s="402">
        <v>15.1</v>
      </c>
      <c r="K74" s="403">
        <f t="shared" si="37"/>
        <v>8.5805205136947366E-2</v>
      </c>
      <c r="L74" s="402">
        <v>126.34000000000002</v>
      </c>
      <c r="M74" s="403">
        <f t="shared" si="38"/>
        <v>1.0829639731787701</v>
      </c>
      <c r="N74" s="404">
        <v>1844.5640000000003</v>
      </c>
      <c r="O74" s="402">
        <v>8.9599999999999991</v>
      </c>
      <c r="P74" s="403">
        <f t="shared" si="30"/>
        <v>5.0914876690533004E-2</v>
      </c>
      <c r="Q74" s="405">
        <f t="shared" si="31"/>
        <v>5.6399999999999668</v>
      </c>
      <c r="R74" s="403">
        <f t="shared" si="32"/>
        <v>3.204909648823711E-2</v>
      </c>
      <c r="S74" s="406">
        <f t="shared" si="33"/>
        <v>712.55759999999589</v>
      </c>
      <c r="T74" s="407" t="s">
        <v>438</v>
      </c>
      <c r="U74" s="407" t="s">
        <v>529</v>
      </c>
      <c r="V74" s="408" t="s">
        <v>550</v>
      </c>
      <c r="W74" s="408" t="s">
        <v>643</v>
      </c>
      <c r="X74" s="408">
        <v>1</v>
      </c>
      <c r="Y74" s="409" t="s">
        <v>499</v>
      </c>
      <c r="AB74" s="416"/>
      <c r="AC74" s="413"/>
    </row>
    <row r="75" spans="2:34" ht="17.149999999999999" customHeight="1">
      <c r="B75" s="849" t="s">
        <v>526</v>
      </c>
      <c r="C75" s="850"/>
      <c r="D75" s="855" t="s">
        <v>172</v>
      </c>
      <c r="E75" s="855"/>
      <c r="F75" s="855"/>
      <c r="G75" s="855" t="s">
        <v>186</v>
      </c>
      <c r="H75" s="855"/>
      <c r="I75" s="855"/>
      <c r="J75" s="855"/>
      <c r="K75" s="855"/>
      <c r="L75" s="855"/>
      <c r="M75" s="855"/>
      <c r="N75" s="855"/>
      <c r="O75" s="855"/>
      <c r="P75" s="855"/>
      <c r="Q75" s="855"/>
      <c r="R75" s="855"/>
      <c r="S75" s="855"/>
      <c r="T75" s="855" t="s">
        <v>173</v>
      </c>
      <c r="U75" s="840" t="s">
        <v>252</v>
      </c>
      <c r="V75" s="833" t="s">
        <v>527</v>
      </c>
      <c r="W75" s="833" t="s">
        <v>528</v>
      </c>
      <c r="X75" s="836" t="s">
        <v>253</v>
      </c>
      <c r="Y75" s="839" t="s">
        <v>174</v>
      </c>
      <c r="AA75" s="840" t="s">
        <v>254</v>
      </c>
      <c r="AB75" s="841"/>
      <c r="AC75" s="841"/>
      <c r="AD75" s="841"/>
      <c r="AE75" s="841"/>
      <c r="AF75" s="841"/>
      <c r="AG75" s="841"/>
      <c r="AH75" s="842"/>
    </row>
    <row r="76" spans="2:34" ht="17.149999999999999" customHeight="1">
      <c r="B76" s="851"/>
      <c r="C76" s="852"/>
      <c r="D76" s="856" t="s">
        <v>171</v>
      </c>
      <c r="E76" s="855" t="s">
        <v>175</v>
      </c>
      <c r="F76" s="855"/>
      <c r="G76" s="855" t="s">
        <v>187</v>
      </c>
      <c r="H76" s="855"/>
      <c r="I76" s="855"/>
      <c r="J76" s="855"/>
      <c r="K76" s="855"/>
      <c r="L76" s="855"/>
      <c r="M76" s="855"/>
      <c r="N76" s="855"/>
      <c r="O76" s="855" t="s">
        <v>176</v>
      </c>
      <c r="P76" s="855"/>
      <c r="Q76" s="855"/>
      <c r="R76" s="855"/>
      <c r="S76" s="855"/>
      <c r="T76" s="855"/>
      <c r="U76" s="843"/>
      <c r="V76" s="834"/>
      <c r="W76" s="834"/>
      <c r="X76" s="837"/>
      <c r="Y76" s="839"/>
      <c r="AA76" s="843"/>
      <c r="AB76" s="844"/>
      <c r="AC76" s="844"/>
      <c r="AD76" s="844"/>
      <c r="AE76" s="844"/>
      <c r="AF76" s="844"/>
      <c r="AG76" s="844"/>
      <c r="AH76" s="845"/>
    </row>
    <row r="77" spans="2:34" ht="17.149999999999999" customHeight="1">
      <c r="B77" s="851"/>
      <c r="C77" s="852"/>
      <c r="D77" s="856"/>
      <c r="E77" s="856" t="s">
        <v>177</v>
      </c>
      <c r="F77" s="839" t="s">
        <v>255</v>
      </c>
      <c r="G77" s="857" t="s">
        <v>188</v>
      </c>
      <c r="H77" s="857"/>
      <c r="I77" s="857"/>
      <c r="J77" s="857"/>
      <c r="K77" s="857"/>
      <c r="L77" s="857"/>
      <c r="M77" s="857"/>
      <c r="N77" s="857"/>
      <c r="O77" s="857" t="s">
        <v>170</v>
      </c>
      <c r="P77" s="857"/>
      <c r="Q77" s="857" t="s">
        <v>178</v>
      </c>
      <c r="R77" s="857"/>
      <c r="S77" s="857"/>
      <c r="T77" s="855"/>
      <c r="U77" s="843"/>
      <c r="V77" s="834"/>
      <c r="W77" s="834"/>
      <c r="X77" s="837"/>
      <c r="Y77" s="839"/>
      <c r="AA77" s="846"/>
      <c r="AB77" s="847"/>
      <c r="AC77" s="847"/>
      <c r="AD77" s="847"/>
      <c r="AE77" s="847"/>
      <c r="AF77" s="847"/>
      <c r="AG77" s="847"/>
      <c r="AH77" s="848"/>
    </row>
    <row r="78" spans="2:34" ht="38.5" customHeight="1">
      <c r="B78" s="853"/>
      <c r="C78" s="854"/>
      <c r="D78" s="856"/>
      <c r="E78" s="856"/>
      <c r="F78" s="839"/>
      <c r="G78" s="398" t="s">
        <v>179</v>
      </c>
      <c r="H78" s="398" t="s">
        <v>259</v>
      </c>
      <c r="I78" s="398" t="s">
        <v>260</v>
      </c>
      <c r="J78" s="398" t="s">
        <v>180</v>
      </c>
      <c r="K78" s="398" t="s">
        <v>257</v>
      </c>
      <c r="L78" s="398" t="s">
        <v>181</v>
      </c>
      <c r="M78" s="398" t="s">
        <v>189</v>
      </c>
      <c r="N78" s="398" t="s">
        <v>182</v>
      </c>
      <c r="O78" s="399" t="s">
        <v>183</v>
      </c>
      <c r="P78" s="399" t="s">
        <v>184</v>
      </c>
      <c r="Q78" s="399" t="s">
        <v>183</v>
      </c>
      <c r="R78" s="399" t="s">
        <v>184</v>
      </c>
      <c r="S78" s="398" t="s">
        <v>185</v>
      </c>
      <c r="T78" s="855"/>
      <c r="U78" s="846"/>
      <c r="V78" s="835"/>
      <c r="W78" s="835"/>
      <c r="X78" s="838"/>
      <c r="Y78" s="839"/>
      <c r="AA78" s="163" t="s">
        <v>251</v>
      </c>
      <c r="AB78" s="163" t="s">
        <v>529</v>
      </c>
      <c r="AC78" s="158" t="s">
        <v>403</v>
      </c>
      <c r="AD78" s="158" t="s">
        <v>346</v>
      </c>
      <c r="AE78" s="158" t="s">
        <v>477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7" t="s">
        <v>682</v>
      </c>
      <c r="C79" s="828"/>
      <c r="D79" s="397">
        <v>1</v>
      </c>
      <c r="E79" s="400" t="s">
        <v>375</v>
      </c>
      <c r="F79" s="401">
        <v>2382.8999999999996</v>
      </c>
      <c r="G79" s="402">
        <v>1004.62</v>
      </c>
      <c r="H79" s="402">
        <v>1031.3100000000002</v>
      </c>
      <c r="I79" s="403">
        <f>H79/G79</f>
        <v>1.0265672592622088</v>
      </c>
      <c r="J79" s="402">
        <v>1.3</v>
      </c>
      <c r="K79" s="403">
        <f>J79/G79</f>
        <v>1.2940216201150685E-3</v>
      </c>
      <c r="L79" s="402">
        <v>152.75</v>
      </c>
      <c r="M79" s="403">
        <f>(H79+J79)/G79</f>
        <v>1.0278612808823238</v>
      </c>
      <c r="N79" s="404">
        <v>4275.4725000000035</v>
      </c>
      <c r="O79" s="402">
        <v>15.600000000000001</v>
      </c>
      <c r="P79" s="403">
        <f>O79/G79</f>
        <v>1.5528259441380822E-2</v>
      </c>
      <c r="Q79" s="405">
        <f>((H79+J79)-G79)-O79</f>
        <v>12.390000000000121</v>
      </c>
      <c r="R79" s="403">
        <f>Q79/G79</f>
        <v>1.2333021440942964E-2</v>
      </c>
      <c r="S79" s="406">
        <f>Q79*L79</f>
        <v>1892.5725000000186</v>
      </c>
      <c r="T79" s="407" t="s">
        <v>438</v>
      </c>
      <c r="U79" s="407" t="s">
        <v>529</v>
      </c>
      <c r="V79" s="408" t="s">
        <v>550</v>
      </c>
      <c r="W79" s="408" t="s">
        <v>643</v>
      </c>
      <c r="X79" s="408">
        <v>1</v>
      </c>
      <c r="Y79" s="409" t="s">
        <v>378</v>
      </c>
      <c r="Z79" s="410" t="s">
        <v>530</v>
      </c>
      <c r="AA79" s="420">
        <f>SUM(X79:X98)</f>
        <v>20</v>
      </c>
      <c r="AB79" s="412">
        <f>SUMIF($U$79:$U$98,TRIM(AB78),$X$79:$X$98)</f>
        <v>18</v>
      </c>
      <c r="AC79" s="412">
        <f t="shared" ref="AC79:AH79" si="39">SUMIF($U$79:$U$98,TRIM(AC78),$X$79:$X$98)</f>
        <v>0</v>
      </c>
      <c r="AD79" s="412">
        <f t="shared" si="39"/>
        <v>1</v>
      </c>
      <c r="AE79" s="412">
        <f t="shared" si="39"/>
        <v>0</v>
      </c>
      <c r="AF79" s="412">
        <f t="shared" si="39"/>
        <v>1</v>
      </c>
      <c r="AG79" s="412">
        <f t="shared" si="39"/>
        <v>0</v>
      </c>
      <c r="AH79" s="412">
        <f t="shared" si="39"/>
        <v>0</v>
      </c>
    </row>
    <row r="80" spans="2:34" s="150" customFormat="1" ht="27" customHeight="1">
      <c r="B80" s="829"/>
      <c r="C80" s="830"/>
      <c r="D80" s="397">
        <v>2</v>
      </c>
      <c r="E80" s="400" t="s">
        <v>500</v>
      </c>
      <c r="F80" s="401">
        <v>1899.6406000000004</v>
      </c>
      <c r="G80" s="402">
        <v>463.69</v>
      </c>
      <c r="H80" s="402">
        <v>468.41</v>
      </c>
      <c r="I80" s="403">
        <f t="shared" ref="I80:I81" si="40">H80/G80</f>
        <v>1.0101792145614528</v>
      </c>
      <c r="J80" s="402">
        <v>5.74</v>
      </c>
      <c r="K80" s="403">
        <f t="shared" ref="K80:K85" si="41">J80/G80</f>
        <v>1.237896008108866E-2</v>
      </c>
      <c r="L80" s="402">
        <v>181.60999999999999</v>
      </c>
      <c r="M80" s="403">
        <f t="shared" ref="M80:M85" si="42">(H80+J80)/G80</f>
        <v>1.0225581746425414</v>
      </c>
      <c r="N80" s="404">
        <v>1899.6406000000052</v>
      </c>
      <c r="O80" s="402">
        <v>10.459999999999999</v>
      </c>
      <c r="P80" s="403">
        <f t="shared" ref="P80:P98" si="43">O80/G80</f>
        <v>2.255817464254135E-2</v>
      </c>
      <c r="Q80" s="405">
        <f t="shared" ref="Q80:Q98" si="44">((H80+J80)-G80)-O80</f>
        <v>3.730349362740526E-14</v>
      </c>
      <c r="R80" s="403">
        <f t="shared" ref="R80:R98" si="45">Q80/G80</f>
        <v>8.0449208797699449E-17</v>
      </c>
      <c r="S80" s="406">
        <f t="shared" ref="S80:S98" si="46">Q80*L80</f>
        <v>6.7746874776730683E-12</v>
      </c>
      <c r="T80" s="407" t="s">
        <v>438</v>
      </c>
      <c r="U80" s="407" t="s">
        <v>529</v>
      </c>
      <c r="V80" s="408" t="s">
        <v>729</v>
      </c>
      <c r="W80" s="408" t="s">
        <v>730</v>
      </c>
      <c r="X80" s="408">
        <v>1</v>
      </c>
      <c r="Y80" s="409" t="s">
        <v>497</v>
      </c>
      <c r="AA80" s="421"/>
      <c r="AB80" s="418">
        <f>SUMIF($U$79:$U$98,TRIM(AB78),$F$79:$F$98)</f>
        <v>23676.237499999999</v>
      </c>
      <c r="AC80" s="418">
        <f t="shared" ref="AC80:AH80" si="47">SUMIF($U$79:$U$98,TRIM(AC78),$F$79:$F$98)</f>
        <v>0</v>
      </c>
      <c r="AD80" s="418">
        <f t="shared" si="47"/>
        <v>1843.5282000000002</v>
      </c>
      <c r="AE80" s="418">
        <f t="shared" si="47"/>
        <v>0</v>
      </c>
      <c r="AF80" s="418">
        <f t="shared" si="47"/>
        <v>1200.96</v>
      </c>
      <c r="AG80" s="418">
        <f t="shared" si="47"/>
        <v>0</v>
      </c>
      <c r="AH80" s="418">
        <f t="shared" si="47"/>
        <v>0</v>
      </c>
    </row>
    <row r="81" spans="2:34" s="150" customFormat="1" ht="27" customHeight="1">
      <c r="B81" s="829"/>
      <c r="C81" s="830"/>
      <c r="D81" s="397">
        <v>3</v>
      </c>
      <c r="E81" s="400" t="s">
        <v>461</v>
      </c>
      <c r="F81" s="401">
        <v>1843.5282000000002</v>
      </c>
      <c r="G81" s="402">
        <v>557.23</v>
      </c>
      <c r="H81" s="402">
        <v>554.26</v>
      </c>
      <c r="I81" s="403">
        <f t="shared" si="40"/>
        <v>0.99467006442582051</v>
      </c>
      <c r="J81" s="402">
        <v>20.74</v>
      </c>
      <c r="K81" s="403">
        <f t="shared" si="41"/>
        <v>3.7219819464135093E-2</v>
      </c>
      <c r="L81" s="402">
        <v>122.81999999999996</v>
      </c>
      <c r="M81" s="403">
        <f t="shared" si="42"/>
        <v>1.0318898838899557</v>
      </c>
      <c r="N81" s="404">
        <v>2182.5114000000031</v>
      </c>
      <c r="O81" s="402">
        <v>15.01</v>
      </c>
      <c r="P81" s="403">
        <f t="shared" si="43"/>
        <v>2.6936812447283884E-2</v>
      </c>
      <c r="Q81" s="405">
        <f t="shared" si="44"/>
        <v>2.759999999999982</v>
      </c>
      <c r="R81" s="403">
        <f t="shared" si="45"/>
        <v>4.953071442671755E-3</v>
      </c>
      <c r="S81" s="406">
        <f t="shared" si="46"/>
        <v>338.98319999999768</v>
      </c>
      <c r="T81" s="407" t="s">
        <v>438</v>
      </c>
      <c r="U81" s="407" t="s">
        <v>346</v>
      </c>
      <c r="V81" s="408" t="s">
        <v>642</v>
      </c>
      <c r="W81" s="408" t="s">
        <v>643</v>
      </c>
      <c r="X81" s="408">
        <v>1</v>
      </c>
      <c r="Y81" s="409" t="s">
        <v>444</v>
      </c>
      <c r="AA81" s="397"/>
      <c r="AB81" s="419">
        <f>AB79/$AA79</f>
        <v>0.9</v>
      </c>
      <c r="AC81" s="419">
        <f t="shared" ref="AC81:AH81" si="48">AC79/$AA79</f>
        <v>0</v>
      </c>
      <c r="AD81" s="419">
        <f t="shared" si="48"/>
        <v>0.05</v>
      </c>
      <c r="AE81" s="419">
        <f t="shared" si="48"/>
        <v>0</v>
      </c>
      <c r="AF81" s="419">
        <f t="shared" si="48"/>
        <v>0.05</v>
      </c>
      <c r="AG81" s="419">
        <f t="shared" si="48"/>
        <v>0</v>
      </c>
      <c r="AH81" s="419">
        <f t="shared" si="48"/>
        <v>0</v>
      </c>
    </row>
    <row r="82" spans="2:34" s="150" customFormat="1" ht="27" customHeight="1">
      <c r="B82" s="829"/>
      <c r="C82" s="830"/>
      <c r="D82" s="397">
        <v>4</v>
      </c>
      <c r="E82" s="400" t="s">
        <v>672</v>
      </c>
      <c r="F82" s="401">
        <v>1649.3007999999995</v>
      </c>
      <c r="G82" s="402">
        <v>1839.45</v>
      </c>
      <c r="H82" s="402">
        <v>1845</v>
      </c>
      <c r="I82" s="403">
        <f>H82/G82</f>
        <v>1.003017206230123</v>
      </c>
      <c r="J82" s="402">
        <v>19.55</v>
      </c>
      <c r="K82" s="403">
        <f t="shared" si="41"/>
        <v>1.0628176900704014E-2</v>
      </c>
      <c r="L82" s="402">
        <v>94.570000000000007</v>
      </c>
      <c r="M82" s="403">
        <f t="shared" si="42"/>
        <v>1.0136453831308272</v>
      </c>
      <c r="N82" s="404">
        <v>2373.7070000000072</v>
      </c>
      <c r="O82" s="402">
        <v>17.440000000000001</v>
      </c>
      <c r="P82" s="403">
        <f t="shared" si="43"/>
        <v>9.4810948924950404E-3</v>
      </c>
      <c r="Q82" s="405">
        <f t="shared" si="44"/>
        <v>7.6599999999999078</v>
      </c>
      <c r="R82" s="403">
        <f t="shared" si="45"/>
        <v>4.1642882383320602E-3</v>
      </c>
      <c r="S82" s="406">
        <f t="shared" si="46"/>
        <v>724.40619999999137</v>
      </c>
      <c r="T82" s="407" t="s">
        <v>438</v>
      </c>
      <c r="U82" s="407" t="s">
        <v>529</v>
      </c>
      <c r="V82" s="408" t="s">
        <v>732</v>
      </c>
      <c r="W82" s="408" t="s">
        <v>637</v>
      </c>
      <c r="X82" s="408">
        <v>1</v>
      </c>
      <c r="Y82" s="409" t="s">
        <v>493</v>
      </c>
    </row>
    <row r="83" spans="2:34" s="150" customFormat="1" ht="27" customHeight="1">
      <c r="B83" s="829"/>
      <c r="C83" s="830"/>
      <c r="D83" s="397">
        <v>5</v>
      </c>
      <c r="E83" s="400" t="s">
        <v>373</v>
      </c>
      <c r="F83" s="401">
        <v>1577.5535000000002</v>
      </c>
      <c r="G83" s="402">
        <v>348.73</v>
      </c>
      <c r="H83" s="402">
        <v>359.27000000000004</v>
      </c>
      <c r="I83" s="403">
        <f t="shared" ref="I83:I98" si="49">H83/G83</f>
        <v>1.0302239554956558</v>
      </c>
      <c r="J83" s="402">
        <v>2.6</v>
      </c>
      <c r="K83" s="403">
        <f t="shared" si="41"/>
        <v>7.4556246953230293E-3</v>
      </c>
      <c r="L83" s="402">
        <v>183.65000000000003</v>
      </c>
      <c r="M83" s="403">
        <f t="shared" si="42"/>
        <v>1.0376795801909788</v>
      </c>
      <c r="N83" s="404">
        <v>2413.1610000000001</v>
      </c>
      <c r="O83" s="402">
        <v>8.5900000000000016</v>
      </c>
      <c r="P83" s="403">
        <f t="shared" si="43"/>
        <v>2.4632236974163398E-2</v>
      </c>
      <c r="Q83" s="405">
        <f t="shared" si="44"/>
        <v>4.5500000000000416</v>
      </c>
      <c r="R83" s="403">
        <f t="shared" si="45"/>
        <v>1.3047343216815419E-2</v>
      </c>
      <c r="S83" s="406">
        <f t="shared" si="46"/>
        <v>835.6075000000078</v>
      </c>
      <c r="T83" s="407" t="s">
        <v>438</v>
      </c>
      <c r="U83" s="407" t="s">
        <v>529</v>
      </c>
      <c r="V83" s="408" t="s">
        <v>639</v>
      </c>
      <c r="W83" s="408" t="s">
        <v>640</v>
      </c>
      <c r="X83" s="408">
        <v>1</v>
      </c>
      <c r="Y83" s="409" t="s">
        <v>366</v>
      </c>
    </row>
    <row r="84" spans="2:34" s="150" customFormat="1" ht="27" customHeight="1">
      <c r="B84" s="829"/>
      <c r="C84" s="830"/>
      <c r="D84" s="397">
        <v>6</v>
      </c>
      <c r="E84" s="400" t="s">
        <v>374</v>
      </c>
      <c r="F84" s="401">
        <v>1338.1583999999998</v>
      </c>
      <c r="G84" s="402">
        <v>281.66999999999996</v>
      </c>
      <c r="H84" s="402">
        <v>287.17</v>
      </c>
      <c r="I84" s="403">
        <f t="shared" si="49"/>
        <v>1.019526396137324</v>
      </c>
      <c r="J84" s="402">
        <v>4</v>
      </c>
      <c r="K84" s="403">
        <f t="shared" si="41"/>
        <v>1.4201015372599143E-2</v>
      </c>
      <c r="L84" s="402">
        <v>253.92000000000002</v>
      </c>
      <c r="M84" s="403">
        <f t="shared" si="42"/>
        <v>1.0337274115099231</v>
      </c>
      <c r="N84" s="404">
        <v>2412.2400000000002</v>
      </c>
      <c r="O84" s="402">
        <v>5.2700000000000005</v>
      </c>
      <c r="P84" s="403">
        <f t="shared" si="43"/>
        <v>1.8709837753399374E-2</v>
      </c>
      <c r="Q84" s="405">
        <f t="shared" si="44"/>
        <v>4.2300000000000564</v>
      </c>
      <c r="R84" s="403">
        <f t="shared" si="45"/>
        <v>1.5017573756523794E-2</v>
      </c>
      <c r="S84" s="406">
        <f t="shared" si="46"/>
        <v>1074.0816000000143</v>
      </c>
      <c r="T84" s="407" t="s">
        <v>438</v>
      </c>
      <c r="U84" s="407" t="s">
        <v>529</v>
      </c>
      <c r="V84" s="408" t="s">
        <v>636</v>
      </c>
      <c r="W84" s="408" t="s">
        <v>637</v>
      </c>
      <c r="X84" s="408">
        <v>1</v>
      </c>
      <c r="Y84" s="409" t="s">
        <v>366</v>
      </c>
    </row>
    <row r="85" spans="2:34" s="150" customFormat="1" ht="27" customHeight="1">
      <c r="B85" s="829"/>
      <c r="C85" s="830"/>
      <c r="D85" s="397">
        <v>7</v>
      </c>
      <c r="E85" s="400" t="s">
        <v>489</v>
      </c>
      <c r="F85" s="401">
        <v>1313.0910000000001</v>
      </c>
      <c r="G85" s="402">
        <v>195.24</v>
      </c>
      <c r="H85" s="402">
        <v>200.97</v>
      </c>
      <c r="I85" s="403">
        <f t="shared" si="49"/>
        <v>1.0293484941610325</v>
      </c>
      <c r="J85" s="402">
        <v>2.5</v>
      </c>
      <c r="K85" s="403">
        <f t="shared" si="41"/>
        <v>1.2804753124359762E-2</v>
      </c>
      <c r="L85" s="402">
        <v>203.57999999999998</v>
      </c>
      <c r="M85" s="403">
        <f t="shared" si="42"/>
        <v>1.0421532472853923</v>
      </c>
      <c r="N85" s="404">
        <v>1675.4633999999987</v>
      </c>
      <c r="O85" s="402">
        <v>6.45</v>
      </c>
      <c r="P85" s="403">
        <f t="shared" si="43"/>
        <v>3.3036263060848184E-2</v>
      </c>
      <c r="Q85" s="405">
        <f t="shared" si="44"/>
        <v>1.7799999999999896</v>
      </c>
      <c r="R85" s="403">
        <f t="shared" si="45"/>
        <v>9.1169842245440967E-3</v>
      </c>
      <c r="S85" s="406">
        <f t="shared" si="46"/>
        <v>362.37239999999787</v>
      </c>
      <c r="T85" s="407" t="s">
        <v>438</v>
      </c>
      <c r="U85" s="407" t="s">
        <v>529</v>
      </c>
      <c r="V85" s="408" t="s">
        <v>558</v>
      </c>
      <c r="W85" s="408" t="s">
        <v>544</v>
      </c>
      <c r="X85" s="408">
        <v>1</v>
      </c>
      <c r="Y85" s="409" t="s">
        <v>351</v>
      </c>
      <c r="AC85" s="413"/>
    </row>
    <row r="86" spans="2:34" s="150" customFormat="1" ht="27" customHeight="1">
      <c r="B86" s="829"/>
      <c r="C86" s="830"/>
      <c r="D86" s="397">
        <v>8</v>
      </c>
      <c r="E86" s="400" t="s">
        <v>488</v>
      </c>
      <c r="F86" s="401">
        <v>1270.7621999999999</v>
      </c>
      <c r="G86" s="402">
        <v>137.15</v>
      </c>
      <c r="H86" s="402">
        <v>141.64999999999998</v>
      </c>
      <c r="I86" s="403">
        <f t="shared" si="49"/>
        <v>1.0328107911046298</v>
      </c>
      <c r="J86" s="402">
        <v>4.24</v>
      </c>
      <c r="K86" s="403">
        <f>J86/G86</f>
        <v>3.091505650747357E-2</v>
      </c>
      <c r="L86" s="402">
        <v>210.74</v>
      </c>
      <c r="M86" s="403">
        <f>(H86+J86)/G86</f>
        <v>1.0637258476121034</v>
      </c>
      <c r="N86" s="404">
        <v>1841.8676000000007</v>
      </c>
      <c r="O86" s="402">
        <v>6.03</v>
      </c>
      <c r="P86" s="403">
        <f t="shared" si="43"/>
        <v>4.3966460080204155E-2</v>
      </c>
      <c r="Q86" s="405">
        <f t="shared" si="44"/>
        <v>2.7099999999999804</v>
      </c>
      <c r="R86" s="403">
        <f t="shared" si="45"/>
        <v>1.9759387531899236E-2</v>
      </c>
      <c r="S86" s="406">
        <f t="shared" si="46"/>
        <v>571.10539999999594</v>
      </c>
      <c r="T86" s="407" t="s">
        <v>438</v>
      </c>
      <c r="U86" s="407" t="s">
        <v>529</v>
      </c>
      <c r="V86" s="408" t="s">
        <v>543</v>
      </c>
      <c r="W86" s="408" t="s">
        <v>544</v>
      </c>
      <c r="X86" s="408">
        <v>1</v>
      </c>
      <c r="Y86" s="409" t="s">
        <v>481</v>
      </c>
      <c r="AC86" s="413"/>
    </row>
    <row r="87" spans="2:34" s="150" customFormat="1" ht="27" customHeight="1">
      <c r="B87" s="829"/>
      <c r="C87" s="830"/>
      <c r="D87" s="397">
        <v>9</v>
      </c>
      <c r="E87" s="400" t="s">
        <v>616</v>
      </c>
      <c r="F87" s="401">
        <v>1247.9565</v>
      </c>
      <c r="G87" s="402">
        <v>173.88</v>
      </c>
      <c r="H87" s="402">
        <v>177.52</v>
      </c>
      <c r="I87" s="403">
        <f t="shared" si="49"/>
        <v>1.0209339774557167</v>
      </c>
      <c r="J87" s="402">
        <v>7.1999999999999993</v>
      </c>
      <c r="K87" s="403">
        <f t="shared" ref="K87:K98" si="50">J87/G87</f>
        <v>4.1407867494824016E-2</v>
      </c>
      <c r="L87" s="402">
        <v>169.79</v>
      </c>
      <c r="M87" s="403">
        <f t="shared" ref="M87:M98" si="51">(H87+J87)/G87</f>
        <v>1.0623418449505406</v>
      </c>
      <c r="N87" s="404">
        <v>1840.5236</v>
      </c>
      <c r="O87" s="402">
        <v>7.35</v>
      </c>
      <c r="P87" s="403">
        <f t="shared" si="43"/>
        <v>4.2270531400966184E-2</v>
      </c>
      <c r="Q87" s="405">
        <f t="shared" si="44"/>
        <v>3.4900000000000038</v>
      </c>
      <c r="R87" s="403">
        <f t="shared" si="45"/>
        <v>2.0071313549574442E-2</v>
      </c>
      <c r="S87" s="406">
        <f t="shared" si="46"/>
        <v>592.56710000000066</v>
      </c>
      <c r="T87" s="407" t="s">
        <v>438</v>
      </c>
      <c r="U87" s="407" t="s">
        <v>529</v>
      </c>
      <c r="V87" s="408" t="s">
        <v>540</v>
      </c>
      <c r="W87" s="408" t="s">
        <v>541</v>
      </c>
      <c r="X87" s="408">
        <v>1</v>
      </c>
      <c r="Y87" s="409" t="s">
        <v>486</v>
      </c>
      <c r="AC87" s="413"/>
    </row>
    <row r="88" spans="2:34" s="150" customFormat="1" ht="27" customHeight="1">
      <c r="B88" s="829"/>
      <c r="C88" s="830"/>
      <c r="D88" s="397">
        <v>10</v>
      </c>
      <c r="E88" s="400" t="s">
        <v>343</v>
      </c>
      <c r="F88" s="401">
        <v>1221.1953999999998</v>
      </c>
      <c r="G88" s="402">
        <v>585.71</v>
      </c>
      <c r="H88" s="402">
        <v>593.51</v>
      </c>
      <c r="I88" s="403">
        <f t="shared" si="49"/>
        <v>1.0133171706134434</v>
      </c>
      <c r="J88" s="402">
        <v>2.08</v>
      </c>
      <c r="K88" s="403">
        <f t="shared" si="50"/>
        <v>3.5512454969182702E-3</v>
      </c>
      <c r="L88" s="402">
        <v>141.66999999999999</v>
      </c>
      <c r="M88" s="403">
        <f t="shared" si="51"/>
        <v>1.0168684161103618</v>
      </c>
      <c r="N88" s="404">
        <v>1399.699599999999</v>
      </c>
      <c r="O88" s="402">
        <v>8.6199999999999992</v>
      </c>
      <c r="P88" s="403">
        <f t="shared" si="43"/>
        <v>1.4717180857420905E-2</v>
      </c>
      <c r="Q88" s="405">
        <f t="shared" si="44"/>
        <v>1.2599999999999962</v>
      </c>
      <c r="R88" s="403">
        <f t="shared" si="45"/>
        <v>2.1512352529408688E-3</v>
      </c>
      <c r="S88" s="406">
        <f t="shared" si="46"/>
        <v>178.50419999999946</v>
      </c>
      <c r="T88" s="407" t="s">
        <v>438</v>
      </c>
      <c r="U88" s="407" t="s">
        <v>529</v>
      </c>
      <c r="V88" s="408" t="s">
        <v>543</v>
      </c>
      <c r="W88" s="408" t="s">
        <v>544</v>
      </c>
      <c r="X88" s="408">
        <v>1</v>
      </c>
      <c r="Y88" s="409" t="s">
        <v>351</v>
      </c>
      <c r="AC88" s="413"/>
    </row>
    <row r="89" spans="2:34" s="150" customFormat="1" ht="27" customHeight="1">
      <c r="B89" s="829"/>
      <c r="C89" s="830"/>
      <c r="D89" s="397">
        <v>11</v>
      </c>
      <c r="E89" s="400" t="s">
        <v>376</v>
      </c>
      <c r="F89" s="401">
        <v>1200.96</v>
      </c>
      <c r="G89" s="402">
        <v>535.32000000000005</v>
      </c>
      <c r="H89" s="402">
        <v>535.29000000000008</v>
      </c>
      <c r="I89" s="403">
        <f t="shared" si="49"/>
        <v>0.99994395875364273</v>
      </c>
      <c r="J89" s="402">
        <v>15.120000000000001</v>
      </c>
      <c r="K89" s="403">
        <f t="shared" si="50"/>
        <v>2.824478816408877E-2</v>
      </c>
      <c r="L89" s="402">
        <v>96</v>
      </c>
      <c r="M89" s="403">
        <f t="shared" si="51"/>
        <v>1.0281887469177315</v>
      </c>
      <c r="N89" s="404">
        <v>1448.6400000000031</v>
      </c>
      <c r="O89" s="402">
        <v>12.510000000000002</v>
      </c>
      <c r="P89" s="403">
        <f t="shared" si="43"/>
        <v>2.336919973100202E-2</v>
      </c>
      <c r="Q89" s="405">
        <f t="shared" si="44"/>
        <v>2.5800000000000303</v>
      </c>
      <c r="R89" s="403">
        <f t="shared" si="45"/>
        <v>4.8195471867294891E-3</v>
      </c>
      <c r="S89" s="406">
        <f t="shared" si="46"/>
        <v>247.68000000000291</v>
      </c>
      <c r="T89" s="407" t="s">
        <v>438</v>
      </c>
      <c r="U89" s="407" t="s">
        <v>706</v>
      </c>
      <c r="V89" s="408" t="s">
        <v>727</v>
      </c>
      <c r="W89" s="433" t="s">
        <v>637</v>
      </c>
      <c r="X89" s="408">
        <v>1</v>
      </c>
      <c r="Y89" s="409" t="s">
        <v>365</v>
      </c>
      <c r="AC89" s="413"/>
    </row>
    <row r="90" spans="2:34" s="150" customFormat="1" ht="27" customHeight="1">
      <c r="B90" s="829"/>
      <c r="C90" s="830"/>
      <c r="D90" s="397">
        <v>12</v>
      </c>
      <c r="E90" s="400" t="s">
        <v>617</v>
      </c>
      <c r="F90" s="401">
        <v>1197.5471000000002</v>
      </c>
      <c r="G90" s="402">
        <v>221.78</v>
      </c>
      <c r="H90" s="402">
        <v>225.42000000000002</v>
      </c>
      <c r="I90" s="403">
        <f t="shared" si="49"/>
        <v>1.0164126611957798</v>
      </c>
      <c r="J90" s="402">
        <v>5.54</v>
      </c>
      <c r="K90" s="403">
        <f t="shared" si="50"/>
        <v>2.4979709622148075E-2</v>
      </c>
      <c r="L90" s="402">
        <v>218.93000000000004</v>
      </c>
      <c r="M90" s="403">
        <f t="shared" si="51"/>
        <v>1.0413923708179278</v>
      </c>
      <c r="N90" s="404">
        <v>2009.7774000000013</v>
      </c>
      <c r="O90" s="402">
        <v>5.4700000000000006</v>
      </c>
      <c r="P90" s="403">
        <f t="shared" si="43"/>
        <v>2.466408152222924E-2</v>
      </c>
      <c r="Q90" s="405">
        <f t="shared" si="44"/>
        <v>3.7100000000000062</v>
      </c>
      <c r="R90" s="403">
        <f t="shared" si="45"/>
        <v>1.6728289295698466E-2</v>
      </c>
      <c r="S90" s="406">
        <f t="shared" si="46"/>
        <v>812.23030000000153</v>
      </c>
      <c r="T90" s="407" t="s">
        <v>438</v>
      </c>
      <c r="U90" s="407" t="s">
        <v>529</v>
      </c>
      <c r="V90" s="408" t="s">
        <v>540</v>
      </c>
      <c r="W90" s="408" t="s">
        <v>541</v>
      </c>
      <c r="X90" s="408">
        <v>1</v>
      </c>
      <c r="Y90" s="409" t="s">
        <v>349</v>
      </c>
      <c r="AC90" s="413"/>
    </row>
    <row r="91" spans="2:34" s="150" customFormat="1" ht="27" customHeight="1">
      <c r="B91" s="829"/>
      <c r="C91" s="830"/>
      <c r="D91" s="397">
        <v>13</v>
      </c>
      <c r="E91" s="400" t="s">
        <v>703</v>
      </c>
      <c r="F91" s="401">
        <v>1159.5324000000001</v>
      </c>
      <c r="G91" s="402">
        <v>108.98</v>
      </c>
      <c r="H91" s="402">
        <v>106.65</v>
      </c>
      <c r="I91" s="403">
        <f t="shared" si="49"/>
        <v>0.97861993026243344</v>
      </c>
      <c r="J91" s="402">
        <v>5.9399999999999995</v>
      </c>
      <c r="K91" s="403">
        <f t="shared" si="50"/>
        <v>5.4505413837401352E-2</v>
      </c>
      <c r="L91" s="402">
        <v>485.15999999999997</v>
      </c>
      <c r="M91" s="403">
        <f t="shared" si="51"/>
        <v>1.0331253440998349</v>
      </c>
      <c r="N91" s="404">
        <v>1751.4275999999991</v>
      </c>
      <c r="O91" s="402">
        <v>2.39</v>
      </c>
      <c r="P91" s="403">
        <f t="shared" si="43"/>
        <v>2.1930629473297852E-2</v>
      </c>
      <c r="Q91" s="405">
        <f t="shared" si="44"/>
        <v>1.2199999999999993</v>
      </c>
      <c r="R91" s="403">
        <f t="shared" si="45"/>
        <v>1.1194714626536973E-2</v>
      </c>
      <c r="S91" s="406">
        <f t="shared" si="46"/>
        <v>591.89519999999959</v>
      </c>
      <c r="T91" s="407" t="s">
        <v>438</v>
      </c>
      <c r="U91" s="407" t="s">
        <v>529</v>
      </c>
      <c r="V91" s="408" t="s">
        <v>713</v>
      </c>
      <c r="W91" s="408" t="s">
        <v>714</v>
      </c>
      <c r="X91" s="408">
        <v>1</v>
      </c>
      <c r="Y91" s="409" t="s">
        <v>352</v>
      </c>
      <c r="AC91" s="413"/>
    </row>
    <row r="92" spans="2:34" s="150" customFormat="1" ht="27" customHeight="1">
      <c r="B92" s="829"/>
      <c r="C92" s="830"/>
      <c r="D92" s="397">
        <v>14</v>
      </c>
      <c r="E92" s="400" t="s">
        <v>704</v>
      </c>
      <c r="F92" s="401">
        <v>1122.876</v>
      </c>
      <c r="G92" s="402">
        <v>389.86</v>
      </c>
      <c r="H92" s="402">
        <v>374.34</v>
      </c>
      <c r="I92" s="403">
        <f t="shared" si="49"/>
        <v>0.96019083773662328</v>
      </c>
      <c r="J92" s="402">
        <v>34.790000000000006</v>
      </c>
      <c r="K92" s="403">
        <f t="shared" si="50"/>
        <v>8.9237162058174738E-2</v>
      </c>
      <c r="L92" s="402">
        <v>84.3</v>
      </c>
      <c r="M92" s="403">
        <f t="shared" si="51"/>
        <v>1.0494279997947982</v>
      </c>
      <c r="N92" s="404">
        <v>1624.4609999999998</v>
      </c>
      <c r="O92" s="402">
        <v>13.32</v>
      </c>
      <c r="P92" s="403">
        <f t="shared" si="43"/>
        <v>3.4166110911609295E-2</v>
      </c>
      <c r="Q92" s="405">
        <f t="shared" si="44"/>
        <v>5.9499999999999815</v>
      </c>
      <c r="R92" s="403">
        <f t="shared" si="45"/>
        <v>1.5261888883188789E-2</v>
      </c>
      <c r="S92" s="406">
        <f t="shared" si="46"/>
        <v>501.58499999999844</v>
      </c>
      <c r="T92" s="407" t="s">
        <v>438</v>
      </c>
      <c r="U92" s="407" t="s">
        <v>529</v>
      </c>
      <c r="V92" s="408" t="s">
        <v>545</v>
      </c>
      <c r="W92" s="408" t="s">
        <v>691</v>
      </c>
      <c r="X92" s="408">
        <v>1</v>
      </c>
      <c r="Y92" s="409" t="s">
        <v>462</v>
      </c>
      <c r="AC92" s="414"/>
    </row>
    <row r="93" spans="2:34" s="150" customFormat="1" ht="27" customHeight="1">
      <c r="B93" s="829"/>
      <c r="C93" s="830"/>
      <c r="D93" s="397">
        <v>15</v>
      </c>
      <c r="E93" s="400" t="s">
        <v>670</v>
      </c>
      <c r="F93" s="401">
        <v>1077.6802</v>
      </c>
      <c r="G93" s="402">
        <v>153.66</v>
      </c>
      <c r="H93" s="402">
        <v>149.63</v>
      </c>
      <c r="I93" s="403">
        <f t="shared" si="49"/>
        <v>0.97377326565143818</v>
      </c>
      <c r="J93" s="402">
        <v>19.8</v>
      </c>
      <c r="K93" s="403">
        <f t="shared" si="50"/>
        <v>0.12885591565794613</v>
      </c>
      <c r="L93" s="402">
        <v>126.34000000000002</v>
      </c>
      <c r="M93" s="403">
        <f>(H93+J93)/G93</f>
        <v>1.1026291813093845</v>
      </c>
      <c r="N93" s="404">
        <v>1992.3817999999994</v>
      </c>
      <c r="O93" s="402">
        <v>8.5299999999999994</v>
      </c>
      <c r="P93" s="403">
        <f t="shared" si="43"/>
        <v>5.551216972536769E-2</v>
      </c>
      <c r="Q93" s="405">
        <f t="shared" si="44"/>
        <v>7.2400000000000109</v>
      </c>
      <c r="R93" s="403">
        <f t="shared" si="45"/>
        <v>4.7117011584016731E-2</v>
      </c>
      <c r="S93" s="406">
        <f t="shared" si="46"/>
        <v>914.70160000000146</v>
      </c>
      <c r="T93" s="407" t="s">
        <v>438</v>
      </c>
      <c r="U93" s="407" t="s">
        <v>529</v>
      </c>
      <c r="V93" s="408" t="s">
        <v>543</v>
      </c>
      <c r="W93" s="408" t="s">
        <v>544</v>
      </c>
      <c r="X93" s="408">
        <v>1</v>
      </c>
      <c r="Y93" s="409" t="s">
        <v>499</v>
      </c>
      <c r="AC93" s="413"/>
    </row>
    <row r="94" spans="2:34" s="150" customFormat="1" ht="27" customHeight="1">
      <c r="B94" s="829"/>
      <c r="C94" s="830"/>
      <c r="D94" s="397">
        <v>16</v>
      </c>
      <c r="E94" s="400" t="s">
        <v>705</v>
      </c>
      <c r="F94" s="401">
        <v>1069.5464999999999</v>
      </c>
      <c r="G94" s="402">
        <v>155.02000000000001</v>
      </c>
      <c r="H94" s="402">
        <v>156.51</v>
      </c>
      <c r="I94" s="403">
        <f t="shared" si="49"/>
        <v>1.0096116630112242</v>
      </c>
      <c r="J94" s="402">
        <v>8.6</v>
      </c>
      <c r="K94" s="403">
        <f t="shared" si="50"/>
        <v>5.5476712682234544E-2</v>
      </c>
      <c r="L94" s="402">
        <v>190.65000000000003</v>
      </c>
      <c r="M94" s="403">
        <f t="shared" si="51"/>
        <v>1.0650883756934588</v>
      </c>
      <c r="N94" s="404">
        <v>1923.6584999999995</v>
      </c>
      <c r="O94" s="402">
        <v>5.61</v>
      </c>
      <c r="P94" s="403">
        <f t="shared" si="43"/>
        <v>3.6188878854341376E-2</v>
      </c>
      <c r="Q94" s="405">
        <f t="shared" si="44"/>
        <v>4.4799999999999747</v>
      </c>
      <c r="R94" s="403">
        <f t="shared" si="45"/>
        <v>2.889949683911737E-2</v>
      </c>
      <c r="S94" s="406">
        <f t="shared" si="46"/>
        <v>854.11199999999531</v>
      </c>
      <c r="T94" s="407" t="s">
        <v>438</v>
      </c>
      <c r="U94" s="407" t="s">
        <v>529</v>
      </c>
      <c r="V94" s="408" t="s">
        <v>543</v>
      </c>
      <c r="W94" s="408" t="s">
        <v>544</v>
      </c>
      <c r="X94" s="408">
        <v>1</v>
      </c>
      <c r="Y94" s="409" t="s">
        <v>484</v>
      </c>
      <c r="AC94" s="413"/>
    </row>
    <row r="95" spans="2:34" s="150" customFormat="1" ht="27" customHeight="1">
      <c r="B95" s="829"/>
      <c r="C95" s="830"/>
      <c r="D95" s="397">
        <v>17</v>
      </c>
      <c r="E95" s="400" t="s">
        <v>474</v>
      </c>
      <c r="F95" s="401">
        <v>1065.2180000000001</v>
      </c>
      <c r="G95" s="402">
        <v>143.89000000000001</v>
      </c>
      <c r="H95" s="402">
        <v>147.66999999999999</v>
      </c>
      <c r="I95" s="403">
        <f t="shared" si="49"/>
        <v>1.0262700674126066</v>
      </c>
      <c r="J95" s="402">
        <v>3.2199999999999998</v>
      </c>
      <c r="K95" s="403">
        <f t="shared" si="50"/>
        <v>2.2378205573702129E-2</v>
      </c>
      <c r="L95" s="402">
        <v>345.84999999999997</v>
      </c>
      <c r="M95" s="403">
        <f t="shared" si="51"/>
        <v>1.0486482729863087</v>
      </c>
      <c r="N95" s="404">
        <v>2420.9499999999989</v>
      </c>
      <c r="O95" s="402">
        <v>3.08</v>
      </c>
      <c r="P95" s="403">
        <f t="shared" si="43"/>
        <v>2.1405240113975953E-2</v>
      </c>
      <c r="Q95" s="405">
        <f t="shared" si="44"/>
        <v>3.9199999999999715</v>
      </c>
      <c r="R95" s="403">
        <f t="shared" si="45"/>
        <v>2.7243032872332831E-2</v>
      </c>
      <c r="S95" s="406">
        <f t="shared" si="46"/>
        <v>1355.73199999999</v>
      </c>
      <c r="T95" s="407" t="s">
        <v>438</v>
      </c>
      <c r="U95" s="407" t="s">
        <v>529</v>
      </c>
      <c r="V95" s="408" t="s">
        <v>569</v>
      </c>
      <c r="W95" s="408" t="s">
        <v>714</v>
      </c>
      <c r="X95" s="408">
        <v>1</v>
      </c>
      <c r="Y95" s="409" t="s">
        <v>473</v>
      </c>
      <c r="AB95" s="415"/>
      <c r="AC95" s="413"/>
    </row>
    <row r="96" spans="2:34" s="150" customFormat="1" ht="27" customHeight="1">
      <c r="B96" s="829"/>
      <c r="C96" s="830"/>
      <c r="D96" s="397">
        <v>18</v>
      </c>
      <c r="E96" s="400" t="s">
        <v>519</v>
      </c>
      <c r="F96" s="401">
        <v>1058.1948</v>
      </c>
      <c r="G96" s="402">
        <v>145.83000000000001</v>
      </c>
      <c r="H96" s="402">
        <v>148.38</v>
      </c>
      <c r="I96" s="403">
        <f t="shared" si="49"/>
        <v>1.0174861139683191</v>
      </c>
      <c r="J96" s="402">
        <v>6.3100000000000005</v>
      </c>
      <c r="K96" s="403">
        <f t="shared" si="50"/>
        <v>4.3269560447095935E-2</v>
      </c>
      <c r="L96" s="402">
        <v>301.48</v>
      </c>
      <c r="M96" s="403">
        <f t="shared" si="51"/>
        <v>1.0607556744154152</v>
      </c>
      <c r="N96" s="404">
        <v>2671.1127999999976</v>
      </c>
      <c r="O96" s="402">
        <v>3.5100000000000002</v>
      </c>
      <c r="P96" s="403">
        <f t="shared" si="43"/>
        <v>2.4069121579921825E-2</v>
      </c>
      <c r="Q96" s="405">
        <f t="shared" si="44"/>
        <v>5.3499999999999854</v>
      </c>
      <c r="R96" s="403">
        <f t="shared" si="45"/>
        <v>3.6686552835493283E-2</v>
      </c>
      <c r="S96" s="406">
        <f t="shared" si="46"/>
        <v>1612.9179999999958</v>
      </c>
      <c r="T96" s="407" t="s">
        <v>438</v>
      </c>
      <c r="U96" s="407" t="s">
        <v>529</v>
      </c>
      <c r="V96" s="408" t="s">
        <v>715</v>
      </c>
      <c r="W96" s="408" t="s">
        <v>716</v>
      </c>
      <c r="X96" s="408">
        <v>1</v>
      </c>
      <c r="Y96" s="409" t="s">
        <v>514</v>
      </c>
      <c r="AC96" s="413"/>
    </row>
    <row r="97" spans="2:34" s="150" customFormat="1" ht="27" customHeight="1">
      <c r="B97" s="829"/>
      <c r="C97" s="830"/>
      <c r="D97" s="397">
        <v>19</v>
      </c>
      <c r="E97" s="400" t="s">
        <v>520</v>
      </c>
      <c r="F97" s="401">
        <v>1016.5642</v>
      </c>
      <c r="G97" s="402">
        <v>1188.01</v>
      </c>
      <c r="H97" s="402">
        <v>1153.74</v>
      </c>
      <c r="I97" s="403">
        <f t="shared" si="49"/>
        <v>0.9711534414693479</v>
      </c>
      <c r="J97" s="402">
        <v>72.960000000000008</v>
      </c>
      <c r="K97" s="403">
        <f t="shared" si="50"/>
        <v>6.1413624464440542E-2</v>
      </c>
      <c r="L97" s="402">
        <v>71.69</v>
      </c>
      <c r="M97" s="403">
        <f t="shared" si="51"/>
        <v>1.0325670659337884</v>
      </c>
      <c r="N97" s="404">
        <v>2773.6860999999981</v>
      </c>
      <c r="O97" s="402">
        <v>14.180000000000001</v>
      </c>
      <c r="P97" s="403">
        <f t="shared" si="43"/>
        <v>1.1935926465265445E-2</v>
      </c>
      <c r="Q97" s="405">
        <f t="shared" si="44"/>
        <v>24.510000000000055</v>
      </c>
      <c r="R97" s="403">
        <f t="shared" si="45"/>
        <v>2.063113946852304E-2</v>
      </c>
      <c r="S97" s="406">
        <f t="shared" si="46"/>
        <v>1757.121900000004</v>
      </c>
      <c r="T97" s="407" t="s">
        <v>438</v>
      </c>
      <c r="U97" s="407" t="s">
        <v>529</v>
      </c>
      <c r="V97" s="408" t="s">
        <v>545</v>
      </c>
      <c r="W97" s="408" t="s">
        <v>691</v>
      </c>
      <c r="X97" s="408">
        <v>1</v>
      </c>
      <c r="Y97" s="409" t="s">
        <v>515</v>
      </c>
      <c r="AB97" s="416"/>
      <c r="AC97" s="413"/>
    </row>
    <row r="98" spans="2:34" s="150" customFormat="1" ht="27" customHeight="1">
      <c r="B98" s="831"/>
      <c r="C98" s="832"/>
      <c r="D98" s="397">
        <v>20</v>
      </c>
      <c r="E98" s="400" t="s">
        <v>521</v>
      </c>
      <c r="F98" s="401">
        <v>1008.5199000000001</v>
      </c>
      <c r="G98" s="402">
        <v>95.100000000000009</v>
      </c>
      <c r="H98" s="402">
        <v>97.37</v>
      </c>
      <c r="I98" s="403">
        <f t="shared" si="49"/>
        <v>1.0238696109358569</v>
      </c>
      <c r="J98" s="402">
        <v>6.4</v>
      </c>
      <c r="K98" s="403">
        <f t="shared" si="50"/>
        <v>6.7297581493165087E-2</v>
      </c>
      <c r="L98" s="402">
        <v>191.37000000000003</v>
      </c>
      <c r="M98" s="403">
        <f t="shared" si="51"/>
        <v>1.091167192429022</v>
      </c>
      <c r="N98" s="404">
        <v>1659.1778999999997</v>
      </c>
      <c r="O98" s="402">
        <v>5.27</v>
      </c>
      <c r="P98" s="403">
        <f t="shared" si="43"/>
        <v>5.5415352260778115E-2</v>
      </c>
      <c r="Q98" s="405">
        <f t="shared" si="44"/>
        <v>3.4000000000000021</v>
      </c>
      <c r="R98" s="403">
        <f t="shared" si="45"/>
        <v>3.5751840168243974E-2</v>
      </c>
      <c r="S98" s="406">
        <f t="shared" si="46"/>
        <v>650.65800000000047</v>
      </c>
      <c r="T98" s="407" t="s">
        <v>438</v>
      </c>
      <c r="U98" s="407" t="s">
        <v>529</v>
      </c>
      <c r="V98" s="408" t="s">
        <v>543</v>
      </c>
      <c r="W98" s="408" t="s">
        <v>544</v>
      </c>
      <c r="X98" s="408">
        <v>1</v>
      </c>
      <c r="Y98" s="409" t="s">
        <v>514</v>
      </c>
      <c r="AB98" s="416"/>
      <c r="AC98" s="413"/>
    </row>
    <row r="99" spans="2:34" ht="17.149999999999999" customHeight="1">
      <c r="B99" s="849" t="s">
        <v>526</v>
      </c>
      <c r="C99" s="850"/>
      <c r="D99" s="855" t="s">
        <v>172</v>
      </c>
      <c r="E99" s="855"/>
      <c r="F99" s="855"/>
      <c r="G99" s="855" t="s">
        <v>186</v>
      </c>
      <c r="H99" s="855"/>
      <c r="I99" s="855"/>
      <c r="J99" s="855"/>
      <c r="K99" s="855"/>
      <c r="L99" s="855"/>
      <c r="M99" s="855"/>
      <c r="N99" s="855"/>
      <c r="O99" s="855"/>
      <c r="P99" s="855"/>
      <c r="Q99" s="855"/>
      <c r="R99" s="855"/>
      <c r="S99" s="855"/>
      <c r="T99" s="855" t="s">
        <v>173</v>
      </c>
      <c r="U99" s="840" t="s">
        <v>252</v>
      </c>
      <c r="V99" s="833" t="s">
        <v>527</v>
      </c>
      <c r="W99" s="833" t="s">
        <v>528</v>
      </c>
      <c r="X99" s="836" t="s">
        <v>253</v>
      </c>
      <c r="Y99" s="839" t="s">
        <v>174</v>
      </c>
      <c r="AA99" s="840" t="s">
        <v>254</v>
      </c>
      <c r="AB99" s="841"/>
      <c r="AC99" s="841"/>
      <c r="AD99" s="841"/>
      <c r="AE99" s="841"/>
      <c r="AF99" s="841"/>
      <c r="AG99" s="841"/>
      <c r="AH99" s="842"/>
    </row>
    <row r="100" spans="2:34" ht="17.149999999999999" customHeight="1">
      <c r="B100" s="851"/>
      <c r="C100" s="852"/>
      <c r="D100" s="856" t="s">
        <v>171</v>
      </c>
      <c r="E100" s="855" t="s">
        <v>175</v>
      </c>
      <c r="F100" s="855"/>
      <c r="G100" s="855" t="s">
        <v>187</v>
      </c>
      <c r="H100" s="855"/>
      <c r="I100" s="855"/>
      <c r="J100" s="855"/>
      <c r="K100" s="855"/>
      <c r="L100" s="855"/>
      <c r="M100" s="855"/>
      <c r="N100" s="855"/>
      <c r="O100" s="855" t="s">
        <v>176</v>
      </c>
      <c r="P100" s="855"/>
      <c r="Q100" s="855"/>
      <c r="R100" s="855"/>
      <c r="S100" s="855"/>
      <c r="T100" s="855"/>
      <c r="U100" s="843"/>
      <c r="V100" s="834"/>
      <c r="W100" s="834"/>
      <c r="X100" s="837"/>
      <c r="Y100" s="839"/>
      <c r="AA100" s="843"/>
      <c r="AB100" s="844"/>
      <c r="AC100" s="844"/>
      <c r="AD100" s="844"/>
      <c r="AE100" s="844"/>
      <c r="AF100" s="844"/>
      <c r="AG100" s="844"/>
      <c r="AH100" s="845"/>
    </row>
    <row r="101" spans="2:34" ht="17.149999999999999" customHeight="1">
      <c r="B101" s="851"/>
      <c r="C101" s="852"/>
      <c r="D101" s="856"/>
      <c r="E101" s="856" t="s">
        <v>177</v>
      </c>
      <c r="F101" s="839" t="s">
        <v>255</v>
      </c>
      <c r="G101" s="857" t="s">
        <v>188</v>
      </c>
      <c r="H101" s="857"/>
      <c r="I101" s="857"/>
      <c r="J101" s="857"/>
      <c r="K101" s="857"/>
      <c r="L101" s="857"/>
      <c r="M101" s="857"/>
      <c r="N101" s="857"/>
      <c r="O101" s="857" t="s">
        <v>170</v>
      </c>
      <c r="P101" s="857"/>
      <c r="Q101" s="857" t="s">
        <v>178</v>
      </c>
      <c r="R101" s="857"/>
      <c r="S101" s="857"/>
      <c r="T101" s="855"/>
      <c r="U101" s="843"/>
      <c r="V101" s="834"/>
      <c r="W101" s="834"/>
      <c r="X101" s="837"/>
      <c r="Y101" s="839"/>
      <c r="AA101" s="846"/>
      <c r="AB101" s="847"/>
      <c r="AC101" s="847"/>
      <c r="AD101" s="847"/>
      <c r="AE101" s="847"/>
      <c r="AF101" s="847"/>
      <c r="AG101" s="847"/>
      <c r="AH101" s="848"/>
    </row>
    <row r="102" spans="2:34" ht="38.5" customHeight="1">
      <c r="B102" s="853"/>
      <c r="C102" s="854"/>
      <c r="D102" s="856"/>
      <c r="E102" s="856"/>
      <c r="F102" s="839"/>
      <c r="G102" s="398" t="s">
        <v>179</v>
      </c>
      <c r="H102" s="398" t="s">
        <v>259</v>
      </c>
      <c r="I102" s="398" t="s">
        <v>260</v>
      </c>
      <c r="J102" s="398" t="s">
        <v>180</v>
      </c>
      <c r="K102" s="398" t="s">
        <v>257</v>
      </c>
      <c r="L102" s="398" t="s">
        <v>181</v>
      </c>
      <c r="M102" s="398" t="s">
        <v>189</v>
      </c>
      <c r="N102" s="398" t="s">
        <v>182</v>
      </c>
      <c r="O102" s="399" t="s">
        <v>183</v>
      </c>
      <c r="P102" s="399" t="s">
        <v>184</v>
      </c>
      <c r="Q102" s="399" t="s">
        <v>183</v>
      </c>
      <c r="R102" s="399" t="s">
        <v>184</v>
      </c>
      <c r="S102" s="398" t="s">
        <v>185</v>
      </c>
      <c r="T102" s="855"/>
      <c r="U102" s="846"/>
      <c r="V102" s="835"/>
      <c r="W102" s="835"/>
      <c r="X102" s="838"/>
      <c r="Y102" s="839"/>
      <c r="AA102" s="163" t="s">
        <v>251</v>
      </c>
      <c r="AB102" s="163" t="s">
        <v>529</v>
      </c>
      <c r="AC102" s="158" t="s">
        <v>403</v>
      </c>
      <c r="AD102" s="158" t="s">
        <v>346</v>
      </c>
      <c r="AE102" s="158" t="s">
        <v>477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27" t="s">
        <v>739</v>
      </c>
      <c r="C103" s="828"/>
      <c r="D103" s="397">
        <v>1</v>
      </c>
      <c r="E103" s="400" t="s">
        <v>375</v>
      </c>
      <c r="F103" s="401">
        <v>3048.89</v>
      </c>
      <c r="G103" s="402">
        <v>1012.93</v>
      </c>
      <c r="H103" s="402">
        <v>1046.25</v>
      </c>
      <c r="I103" s="403">
        <f>H103/G103</f>
        <v>1.032894671892431</v>
      </c>
      <c r="J103" s="402">
        <v>0</v>
      </c>
      <c r="K103" s="403">
        <f>J103/G103</f>
        <v>0</v>
      </c>
      <c r="L103" s="402">
        <v>152.75</v>
      </c>
      <c r="M103" s="403">
        <f>(H103+J103)/G103</f>
        <v>1.032894671892431</v>
      </c>
      <c r="N103" s="404">
        <v>5089.6300000000074</v>
      </c>
      <c r="O103" s="402">
        <v>19.96</v>
      </c>
      <c r="P103" s="403">
        <f>O103/G103</f>
        <v>1.9705211613833141E-2</v>
      </c>
      <c r="Q103" s="405">
        <f>((H103+J103)-G103)-O103</f>
        <v>13.360000000000049</v>
      </c>
      <c r="R103" s="403">
        <f>Q103/G103</f>
        <v>1.318946027859778E-2</v>
      </c>
      <c r="S103" s="406">
        <f>Q103*L103</f>
        <v>2040.7400000000075</v>
      </c>
      <c r="T103" s="407" t="s">
        <v>438</v>
      </c>
      <c r="U103" s="407" t="s">
        <v>529</v>
      </c>
      <c r="V103" s="408"/>
      <c r="W103" s="408"/>
      <c r="X103" s="408">
        <v>1</v>
      </c>
      <c r="Y103" s="409" t="s">
        <v>378</v>
      </c>
      <c r="Z103" s="410" t="s">
        <v>530</v>
      </c>
      <c r="AA103" s="420">
        <f>SUM(X103:X122)</f>
        <v>20</v>
      </c>
      <c r="AB103" s="412">
        <f>SUMIF($U$103:$U$122,TRIM(AB102),$X$103:$X$122)</f>
        <v>17</v>
      </c>
      <c r="AC103" s="412">
        <f t="shared" ref="AC103:AH103" si="52">SUMIF($U$103:$U$122,TRIM(AC102),$X$103:$X$122)</f>
        <v>0</v>
      </c>
      <c r="AD103" s="412">
        <f t="shared" si="52"/>
        <v>1</v>
      </c>
      <c r="AE103" s="412">
        <f t="shared" si="52"/>
        <v>0</v>
      </c>
      <c r="AF103" s="412">
        <f t="shared" si="52"/>
        <v>1</v>
      </c>
      <c r="AG103" s="412">
        <f t="shared" si="52"/>
        <v>1</v>
      </c>
      <c r="AH103" s="412">
        <f t="shared" si="52"/>
        <v>0</v>
      </c>
    </row>
    <row r="104" spans="2:34" s="150" customFormat="1" ht="27" customHeight="1">
      <c r="B104" s="829"/>
      <c r="C104" s="830"/>
      <c r="D104" s="397">
        <v>2</v>
      </c>
      <c r="E104" s="400" t="s">
        <v>461</v>
      </c>
      <c r="F104" s="401">
        <v>1891.4279999999999</v>
      </c>
      <c r="G104" s="402">
        <v>552.9</v>
      </c>
      <c r="H104" s="402">
        <v>545.41</v>
      </c>
      <c r="I104" s="403">
        <f t="shared" ref="I104:I105" si="53">H104/G104</f>
        <v>0.98645324651835775</v>
      </c>
      <c r="J104" s="402">
        <v>26.79</v>
      </c>
      <c r="K104" s="403">
        <f t="shared" ref="K104:K109" si="54">J104/G104</f>
        <v>4.8453608247422682E-2</v>
      </c>
      <c r="L104" s="402">
        <v>122.81999999999996</v>
      </c>
      <c r="M104" s="403">
        <f t="shared" ref="M104:M109" si="55">(H104+J104)/G104</f>
        <v>1.0349068547657803</v>
      </c>
      <c r="N104" s="404">
        <v>2370.4259999999977</v>
      </c>
      <c r="O104" s="402">
        <v>15.4</v>
      </c>
      <c r="P104" s="403">
        <f t="shared" ref="P104:P122" si="56">O104/G104</f>
        <v>2.7853137999638271E-2</v>
      </c>
      <c r="Q104" s="405">
        <f t="shared" ref="Q104:Q122" si="57">((H104+J104)-G104)-O104</f>
        <v>3.8999999999999542</v>
      </c>
      <c r="R104" s="403">
        <f t="shared" ref="R104:R122" si="58">Q104/G104</f>
        <v>7.0537167661420767E-3</v>
      </c>
      <c r="S104" s="406">
        <f t="shared" ref="S104:S122" si="59">Q104*L104</f>
        <v>478.99799999999425</v>
      </c>
      <c r="T104" s="407" t="s">
        <v>438</v>
      </c>
      <c r="U104" s="407" t="s">
        <v>346</v>
      </c>
      <c r="V104" s="408"/>
      <c r="W104" s="408"/>
      <c r="X104" s="408">
        <v>1</v>
      </c>
      <c r="Y104" s="409" t="s">
        <v>444</v>
      </c>
      <c r="AA104" s="421"/>
      <c r="AB104" s="418">
        <f>SUMIF($U$103:$U122,TRIM(AB102),$F$103:$F$122)</f>
        <v>22629.948400000005</v>
      </c>
      <c r="AC104" s="418">
        <f>SUMIF($U$103:$U122,TRIM(AC102),$F$103:$F$122)</f>
        <v>0</v>
      </c>
      <c r="AD104" s="418">
        <f>SUMIF($U$103:$U122,TRIM(AD102),$F$103:$F$122)</f>
        <v>1891.4279999999999</v>
      </c>
      <c r="AE104" s="418">
        <f>SUMIF($U$103:$U122,TRIM(AE102),$F$103:$F$122)</f>
        <v>0</v>
      </c>
      <c r="AF104" s="418">
        <f>SUMIF($U$103:$U122,TRIM(AF102),$F$103:$F$122)</f>
        <v>1082.8799999999999</v>
      </c>
      <c r="AG104" s="418">
        <f>SUMIF($U$103:$U122,TRIM(AG102),$F$103:$F$122)</f>
        <v>1266.9000000000001</v>
      </c>
      <c r="AH104" s="418">
        <f>SUMIF($U$103:$U122,TRIM(AH102),$F$103:$F$122)</f>
        <v>0</v>
      </c>
    </row>
    <row r="105" spans="2:34" s="150" customFormat="1" ht="27" customHeight="1">
      <c r="B105" s="829"/>
      <c r="C105" s="830"/>
      <c r="D105" s="397">
        <v>3</v>
      </c>
      <c r="E105" s="400" t="s">
        <v>374</v>
      </c>
      <c r="F105" s="401">
        <v>1693.6463999999999</v>
      </c>
      <c r="G105" s="402">
        <v>271.95</v>
      </c>
      <c r="H105" s="402">
        <v>277.78000000000003</v>
      </c>
      <c r="I105" s="403">
        <f t="shared" si="53"/>
        <v>1.0214377642949073</v>
      </c>
      <c r="J105" s="402">
        <v>2.31</v>
      </c>
      <c r="K105" s="403">
        <f t="shared" si="54"/>
        <v>8.4942084942084949E-3</v>
      </c>
      <c r="L105" s="402">
        <v>253.92000000000002</v>
      </c>
      <c r="M105" s="403">
        <f t="shared" si="55"/>
        <v>1.0299319727891159</v>
      </c>
      <c r="N105" s="404">
        <v>2066.9087999999988</v>
      </c>
      <c r="O105" s="402">
        <v>6.67</v>
      </c>
      <c r="P105" s="403">
        <f t="shared" si="56"/>
        <v>2.4526567383710243E-2</v>
      </c>
      <c r="Q105" s="405">
        <f t="shared" si="57"/>
        <v>1.4700000000000433</v>
      </c>
      <c r="R105" s="403">
        <f t="shared" si="58"/>
        <v>5.4054054054055644E-3</v>
      </c>
      <c r="S105" s="406">
        <f t="shared" si="59"/>
        <v>373.26240000001098</v>
      </c>
      <c r="T105" s="407" t="s">
        <v>438</v>
      </c>
      <c r="U105" s="407" t="s">
        <v>529</v>
      </c>
      <c r="V105" s="408"/>
      <c r="W105" s="408"/>
      <c r="X105" s="408">
        <v>1</v>
      </c>
      <c r="Y105" s="409" t="s">
        <v>366</v>
      </c>
      <c r="AA105" s="397"/>
      <c r="AB105" s="419">
        <f>AB103/$AA103</f>
        <v>0.85</v>
      </c>
      <c r="AC105" s="419">
        <f t="shared" ref="AC105:AH105" si="60">AC103/$AA103</f>
        <v>0</v>
      </c>
      <c r="AD105" s="419">
        <f t="shared" si="60"/>
        <v>0.05</v>
      </c>
      <c r="AE105" s="419">
        <f t="shared" si="60"/>
        <v>0</v>
      </c>
      <c r="AF105" s="419">
        <f t="shared" si="60"/>
        <v>0.05</v>
      </c>
      <c r="AG105" s="419">
        <f t="shared" si="60"/>
        <v>0.05</v>
      </c>
      <c r="AH105" s="419">
        <f t="shared" si="60"/>
        <v>0</v>
      </c>
    </row>
    <row r="106" spans="2:34" s="150" customFormat="1" ht="27" customHeight="1">
      <c r="B106" s="829"/>
      <c r="C106" s="830"/>
      <c r="D106" s="397">
        <v>4</v>
      </c>
      <c r="E106" s="400" t="s">
        <v>343</v>
      </c>
      <c r="F106" s="401">
        <v>1656.1223</v>
      </c>
      <c r="G106" s="402">
        <v>554.01</v>
      </c>
      <c r="H106" s="402">
        <v>558.92999999999995</v>
      </c>
      <c r="I106" s="403">
        <f>H106/G106</f>
        <v>1.008880706124438</v>
      </c>
      <c r="J106" s="402">
        <v>8.98</v>
      </c>
      <c r="K106" s="403">
        <f t="shared" si="54"/>
        <v>1.6209093698669699E-2</v>
      </c>
      <c r="L106" s="402">
        <v>141.66999999999999</v>
      </c>
      <c r="M106" s="403">
        <f t="shared" si="55"/>
        <v>1.0250897998231079</v>
      </c>
      <c r="N106" s="404">
        <v>1969.2129999999986</v>
      </c>
      <c r="O106" s="402">
        <v>11.690000000000001</v>
      </c>
      <c r="P106" s="403">
        <f t="shared" si="56"/>
        <v>2.1100702153390737E-2</v>
      </c>
      <c r="Q106" s="405">
        <f t="shared" si="57"/>
        <v>2.209999999999976</v>
      </c>
      <c r="R106" s="403">
        <f t="shared" si="58"/>
        <v>3.9890976697171095E-3</v>
      </c>
      <c r="S106" s="406">
        <f t="shared" si="59"/>
        <v>313.09069999999656</v>
      </c>
      <c r="T106" s="407" t="s">
        <v>438</v>
      </c>
      <c r="U106" s="407" t="s">
        <v>529</v>
      </c>
      <c r="V106" s="408"/>
      <c r="W106" s="408"/>
      <c r="X106" s="408">
        <v>1</v>
      </c>
      <c r="Y106" s="409" t="s">
        <v>351</v>
      </c>
    </row>
    <row r="107" spans="2:34" s="150" customFormat="1" ht="27" customHeight="1">
      <c r="B107" s="829"/>
      <c r="C107" s="830"/>
      <c r="D107" s="397">
        <v>5</v>
      </c>
      <c r="E107" s="400" t="s">
        <v>747</v>
      </c>
      <c r="F107" s="401">
        <v>1354.6999999999998</v>
      </c>
      <c r="G107" s="402">
        <v>39243</v>
      </c>
      <c r="H107" s="402">
        <v>40421</v>
      </c>
      <c r="I107" s="403">
        <f t="shared" ref="I107:I122" si="61">H107/G107</f>
        <v>1.0300180923986444</v>
      </c>
      <c r="J107" s="402">
        <v>0</v>
      </c>
      <c r="K107" s="403">
        <f t="shared" si="54"/>
        <v>0</v>
      </c>
      <c r="L107" s="402">
        <v>1.1500000000000001</v>
      </c>
      <c r="M107" s="403">
        <f t="shared" si="55"/>
        <v>1.0300180923986444</v>
      </c>
      <c r="N107" s="404">
        <v>1354.6999999999998</v>
      </c>
      <c r="O107" s="402">
        <v>1178</v>
      </c>
      <c r="P107" s="403">
        <f t="shared" si="56"/>
        <v>3.0018092398644343E-2</v>
      </c>
      <c r="Q107" s="405">
        <f t="shared" si="57"/>
        <v>0</v>
      </c>
      <c r="R107" s="403">
        <f t="shared" si="58"/>
        <v>0</v>
      </c>
      <c r="S107" s="406">
        <f t="shared" si="59"/>
        <v>0</v>
      </c>
      <c r="T107" s="407" t="s">
        <v>438</v>
      </c>
      <c r="U107" s="407" t="s">
        <v>529</v>
      </c>
      <c r="V107" s="408"/>
      <c r="W107" s="408"/>
      <c r="X107" s="408">
        <v>1</v>
      </c>
      <c r="Y107" s="409" t="s">
        <v>487</v>
      </c>
    </row>
    <row r="108" spans="2:34" s="150" customFormat="1" ht="27" customHeight="1">
      <c r="B108" s="829"/>
      <c r="C108" s="830"/>
      <c r="D108" s="397">
        <v>6</v>
      </c>
      <c r="E108" s="400" t="s">
        <v>748</v>
      </c>
      <c r="F108" s="401">
        <v>1329.4764999999998</v>
      </c>
      <c r="G108" s="402">
        <v>554.54999999999995</v>
      </c>
      <c r="H108" s="402">
        <v>536.22</v>
      </c>
      <c r="I108" s="403">
        <f t="shared" si="61"/>
        <v>0.96694617257235604</v>
      </c>
      <c r="J108" s="402">
        <v>30.5</v>
      </c>
      <c r="K108" s="403">
        <f t="shared" si="54"/>
        <v>5.4999549184023083E-2</v>
      </c>
      <c r="L108" s="402">
        <v>142.19000000000003</v>
      </c>
      <c r="M108" s="403">
        <f t="shared" si="55"/>
        <v>1.0219457217563792</v>
      </c>
      <c r="N108" s="404">
        <v>1730.4522999999997</v>
      </c>
      <c r="O108" s="402">
        <v>9.3500000000000014</v>
      </c>
      <c r="P108" s="403">
        <f t="shared" si="56"/>
        <v>1.6860517536741507E-2</v>
      </c>
      <c r="Q108" s="405">
        <f t="shared" si="57"/>
        <v>2.8200000000000713</v>
      </c>
      <c r="R108" s="403">
        <f t="shared" si="58"/>
        <v>5.0852042196376729E-3</v>
      </c>
      <c r="S108" s="406">
        <f t="shared" si="59"/>
        <v>400.97580000001022</v>
      </c>
      <c r="T108" s="407" t="s">
        <v>438</v>
      </c>
      <c r="U108" s="407" t="s">
        <v>529</v>
      </c>
      <c r="V108" s="408"/>
      <c r="W108" s="408"/>
      <c r="X108" s="408">
        <v>1</v>
      </c>
      <c r="Y108" s="409" t="s">
        <v>741</v>
      </c>
    </row>
    <row r="109" spans="2:34" s="150" customFormat="1" ht="27" customHeight="1">
      <c r="B109" s="829"/>
      <c r="C109" s="830"/>
      <c r="D109" s="397">
        <v>7</v>
      </c>
      <c r="E109" s="400" t="s">
        <v>500</v>
      </c>
      <c r="F109" s="401">
        <v>1305.7759000000001</v>
      </c>
      <c r="G109" s="402">
        <v>437.4</v>
      </c>
      <c r="H109" s="402">
        <v>444.27999999999992</v>
      </c>
      <c r="I109" s="403">
        <f t="shared" si="61"/>
        <v>1.0157293095564699</v>
      </c>
      <c r="J109" s="402">
        <v>1.88</v>
      </c>
      <c r="K109" s="403">
        <f t="shared" si="54"/>
        <v>4.2981252857796064E-3</v>
      </c>
      <c r="L109" s="402">
        <v>181.60999999999999</v>
      </c>
      <c r="M109" s="403">
        <f t="shared" si="55"/>
        <v>1.0200274348422496</v>
      </c>
      <c r="N109" s="404">
        <v>1590.9035999999999</v>
      </c>
      <c r="O109" s="402">
        <v>7.1899999999999995</v>
      </c>
      <c r="P109" s="403">
        <f t="shared" si="56"/>
        <v>1.6438042981252857E-2</v>
      </c>
      <c r="Q109" s="405">
        <f t="shared" si="57"/>
        <v>1.5699999999999346</v>
      </c>
      <c r="R109" s="403">
        <f t="shared" si="58"/>
        <v>3.5893918609966498E-3</v>
      </c>
      <c r="S109" s="406">
        <f t="shared" si="59"/>
        <v>285.12769999998807</v>
      </c>
      <c r="T109" s="407" t="s">
        <v>438</v>
      </c>
      <c r="U109" s="407" t="s">
        <v>529</v>
      </c>
      <c r="V109" s="408"/>
      <c r="W109" s="408"/>
      <c r="X109" s="408">
        <v>1</v>
      </c>
      <c r="Y109" s="409" t="s">
        <v>497</v>
      </c>
      <c r="AC109" s="413"/>
    </row>
    <row r="110" spans="2:34" s="150" customFormat="1" ht="27" customHeight="1">
      <c r="B110" s="829"/>
      <c r="C110" s="830"/>
      <c r="D110" s="397">
        <v>8</v>
      </c>
      <c r="E110" s="400" t="s">
        <v>488</v>
      </c>
      <c r="F110" s="401">
        <v>1291.8362000000002</v>
      </c>
      <c r="G110" s="402">
        <v>126.28999999999999</v>
      </c>
      <c r="H110" s="402">
        <v>132.41</v>
      </c>
      <c r="I110" s="403">
        <f t="shared" si="61"/>
        <v>1.0484598938950036</v>
      </c>
      <c r="J110" s="402">
        <v>1.91</v>
      </c>
      <c r="K110" s="403">
        <f>J110/G110</f>
        <v>1.5123921133898171E-2</v>
      </c>
      <c r="L110" s="402">
        <v>210.74</v>
      </c>
      <c r="M110" s="403">
        <f>(H110+J110)/G110</f>
        <v>1.0635838150289016</v>
      </c>
      <c r="N110" s="404">
        <v>1692.2422000000001</v>
      </c>
      <c r="O110" s="402">
        <v>6.129999999999999</v>
      </c>
      <c r="P110" s="403">
        <f t="shared" si="56"/>
        <v>4.8539076728165327E-2</v>
      </c>
      <c r="Q110" s="405">
        <f t="shared" si="57"/>
        <v>1.9000000000000021</v>
      </c>
      <c r="R110" s="403">
        <f t="shared" si="58"/>
        <v>1.5044738300736419E-2</v>
      </c>
      <c r="S110" s="406">
        <f t="shared" si="59"/>
        <v>400.40600000000046</v>
      </c>
      <c r="T110" s="407" t="s">
        <v>438</v>
      </c>
      <c r="U110" s="407" t="s">
        <v>529</v>
      </c>
      <c r="V110" s="408"/>
      <c r="W110" s="408"/>
      <c r="X110" s="408">
        <v>1</v>
      </c>
      <c r="Y110" s="409" t="s">
        <v>481</v>
      </c>
      <c r="AC110" s="413"/>
    </row>
    <row r="111" spans="2:34" s="150" customFormat="1" ht="27" customHeight="1">
      <c r="B111" s="829"/>
      <c r="C111" s="830"/>
      <c r="D111" s="397">
        <v>9</v>
      </c>
      <c r="E111" s="400" t="s">
        <v>342</v>
      </c>
      <c r="F111" s="401">
        <v>1266.9000000000001</v>
      </c>
      <c r="G111" s="402">
        <v>18419</v>
      </c>
      <c r="H111" s="402">
        <v>18294</v>
      </c>
      <c r="I111" s="403">
        <f t="shared" si="61"/>
        <v>0.99321352950757369</v>
      </c>
      <c r="J111" s="402">
        <v>207</v>
      </c>
      <c r="K111" s="403">
        <f t="shared" ref="K111:K122" si="62">J111/G111</f>
        <v>1.123839513545795E-2</v>
      </c>
      <c r="L111" s="402">
        <v>15.450000000000001</v>
      </c>
      <c r="M111" s="403">
        <f t="shared" ref="M111:M116" si="63">(H111+J111)/G111</f>
        <v>1.0044519246430317</v>
      </c>
      <c r="N111" s="404">
        <v>1266.9000000000001</v>
      </c>
      <c r="O111" s="402">
        <v>82</v>
      </c>
      <c r="P111" s="403">
        <f t="shared" si="56"/>
        <v>4.4519246430316517E-3</v>
      </c>
      <c r="Q111" s="405">
        <f t="shared" si="57"/>
        <v>0</v>
      </c>
      <c r="R111" s="403">
        <f t="shared" si="58"/>
        <v>0</v>
      </c>
      <c r="S111" s="406">
        <f t="shared" si="59"/>
        <v>0</v>
      </c>
      <c r="T111" s="407" t="s">
        <v>438</v>
      </c>
      <c r="U111" s="407" t="s">
        <v>751</v>
      </c>
      <c r="V111" s="408"/>
      <c r="W111" s="408"/>
      <c r="X111" s="408">
        <v>1</v>
      </c>
      <c r="Y111" s="409" t="s">
        <v>348</v>
      </c>
      <c r="AC111" s="413"/>
    </row>
    <row r="112" spans="2:34" s="150" customFormat="1" ht="27" customHeight="1">
      <c r="B112" s="829"/>
      <c r="C112" s="830"/>
      <c r="D112" s="397">
        <v>10</v>
      </c>
      <c r="E112" s="400" t="s">
        <v>615</v>
      </c>
      <c r="F112" s="401">
        <v>1233.1794999999997</v>
      </c>
      <c r="G112" s="402">
        <v>261.56</v>
      </c>
      <c r="H112" s="402">
        <v>273.98</v>
      </c>
      <c r="I112" s="403">
        <f t="shared" si="61"/>
        <v>1.047484324820309</v>
      </c>
      <c r="J112" s="402">
        <v>0</v>
      </c>
      <c r="K112" s="403">
        <f t="shared" si="62"/>
        <v>0</v>
      </c>
      <c r="L112" s="402">
        <v>153.19000000000003</v>
      </c>
      <c r="M112" s="403">
        <f t="shared" si="63"/>
        <v>1.047484324820309</v>
      </c>
      <c r="N112" s="404">
        <v>1902.6198000000002</v>
      </c>
      <c r="O112" s="402">
        <v>8.0499999999999989</v>
      </c>
      <c r="P112" s="403">
        <f t="shared" si="56"/>
        <v>3.0776877198348367E-2</v>
      </c>
      <c r="Q112" s="405">
        <f t="shared" si="57"/>
        <v>4.370000000000017</v>
      </c>
      <c r="R112" s="403">
        <f t="shared" si="58"/>
        <v>1.6707447621960608E-2</v>
      </c>
      <c r="S112" s="406">
        <f t="shared" si="59"/>
        <v>669.44030000000271</v>
      </c>
      <c r="T112" s="407" t="s">
        <v>438</v>
      </c>
      <c r="U112" s="407" t="s">
        <v>529</v>
      </c>
      <c r="V112" s="408"/>
      <c r="W112" s="408"/>
      <c r="X112" s="408">
        <v>1</v>
      </c>
      <c r="Y112" s="409" t="s">
        <v>620</v>
      </c>
      <c r="AC112" s="413"/>
    </row>
    <row r="113" spans="2:29" s="150" customFormat="1" ht="27" customHeight="1">
      <c r="B113" s="829"/>
      <c r="C113" s="830"/>
      <c r="D113" s="397">
        <v>11</v>
      </c>
      <c r="E113" s="400" t="s">
        <v>616</v>
      </c>
      <c r="F113" s="401">
        <v>1174.9467999999997</v>
      </c>
      <c r="G113" s="402">
        <v>174.95999999999998</v>
      </c>
      <c r="H113" s="402">
        <v>178.72</v>
      </c>
      <c r="I113" s="403">
        <f t="shared" si="61"/>
        <v>1.0214906264288981</v>
      </c>
      <c r="J113" s="402">
        <v>6.38</v>
      </c>
      <c r="K113" s="403">
        <f t="shared" si="62"/>
        <v>3.6465477823502519E-2</v>
      </c>
      <c r="L113" s="402">
        <v>169.79</v>
      </c>
      <c r="M113" s="403">
        <f t="shared" si="63"/>
        <v>1.0579561042524006</v>
      </c>
      <c r="N113" s="404">
        <v>1721.6705999999999</v>
      </c>
      <c r="O113" s="402">
        <v>6.92</v>
      </c>
      <c r="P113" s="403">
        <f t="shared" si="56"/>
        <v>3.9551897576588939E-2</v>
      </c>
      <c r="Q113" s="405">
        <f t="shared" si="57"/>
        <v>3.2200000000000149</v>
      </c>
      <c r="R113" s="403">
        <f t="shared" si="58"/>
        <v>1.8404206675811701E-2</v>
      </c>
      <c r="S113" s="406">
        <f t="shared" si="59"/>
        <v>546.72380000000248</v>
      </c>
      <c r="T113" s="407" t="s">
        <v>438</v>
      </c>
      <c r="U113" s="407" t="s">
        <v>529</v>
      </c>
      <c r="V113" s="408"/>
      <c r="W113" s="433"/>
      <c r="X113" s="408">
        <v>1</v>
      </c>
      <c r="Y113" s="409" t="s">
        <v>486</v>
      </c>
      <c r="AC113" s="413"/>
    </row>
    <row r="114" spans="2:29" s="150" customFormat="1" ht="27" customHeight="1">
      <c r="B114" s="829"/>
      <c r="C114" s="830"/>
      <c r="D114" s="397">
        <v>12</v>
      </c>
      <c r="E114" s="400" t="s">
        <v>670</v>
      </c>
      <c r="F114" s="401">
        <v>1130.7429999999999</v>
      </c>
      <c r="G114" s="402">
        <v>213.95999999999998</v>
      </c>
      <c r="H114" s="402">
        <v>218.07</v>
      </c>
      <c r="I114" s="403">
        <f t="shared" si="61"/>
        <v>1.019209197980931</v>
      </c>
      <c r="J114" s="402">
        <v>9.6</v>
      </c>
      <c r="K114" s="403">
        <f t="shared" si="62"/>
        <v>4.4868199663488505E-2</v>
      </c>
      <c r="L114" s="402">
        <v>126.34000000000002</v>
      </c>
      <c r="M114" s="403">
        <f t="shared" si="63"/>
        <v>1.0640773976444196</v>
      </c>
      <c r="N114" s="404">
        <v>1732.1213999999989</v>
      </c>
      <c r="O114" s="402">
        <v>8.9500000000000011</v>
      </c>
      <c r="P114" s="403">
        <f t="shared" si="56"/>
        <v>4.183024864460648E-2</v>
      </c>
      <c r="Q114" s="405">
        <f t="shared" si="57"/>
        <v>4.7600000000000069</v>
      </c>
      <c r="R114" s="403">
        <f t="shared" si="58"/>
        <v>2.2247148999813084E-2</v>
      </c>
      <c r="S114" s="406">
        <f t="shared" si="59"/>
        <v>601.37840000000097</v>
      </c>
      <c r="T114" s="407" t="s">
        <v>438</v>
      </c>
      <c r="U114" s="407" t="s">
        <v>529</v>
      </c>
      <c r="V114" s="408"/>
      <c r="W114" s="408"/>
      <c r="X114" s="408">
        <v>1</v>
      </c>
      <c r="Y114" s="409" t="s">
        <v>499</v>
      </c>
      <c r="AC114" s="413"/>
    </row>
    <row r="115" spans="2:29" s="150" customFormat="1" ht="27" customHeight="1">
      <c r="B115" s="829"/>
      <c r="C115" s="830"/>
      <c r="D115" s="397">
        <v>13</v>
      </c>
      <c r="E115" s="400" t="s">
        <v>498</v>
      </c>
      <c r="F115" s="401">
        <v>1099.56</v>
      </c>
      <c r="G115" s="402">
        <v>178.31</v>
      </c>
      <c r="H115" s="402">
        <v>176.07999999999998</v>
      </c>
      <c r="I115" s="403">
        <f t="shared" si="61"/>
        <v>0.98749369076327731</v>
      </c>
      <c r="J115" s="402">
        <v>8.15</v>
      </c>
      <c r="K115" s="403">
        <f t="shared" si="62"/>
        <v>4.570691492344793E-2</v>
      </c>
      <c r="L115" s="402">
        <v>458.15000000000003</v>
      </c>
      <c r="M115" s="403">
        <f t="shared" si="63"/>
        <v>1.0332006056867253</v>
      </c>
      <c r="N115" s="404">
        <v>2712.248000000001</v>
      </c>
      <c r="O115" s="402">
        <v>2.4</v>
      </c>
      <c r="P115" s="403">
        <f t="shared" si="56"/>
        <v>1.3459705008131904E-2</v>
      </c>
      <c r="Q115" s="405">
        <f t="shared" si="57"/>
        <v>3.5199999999999876</v>
      </c>
      <c r="R115" s="403">
        <f t="shared" si="58"/>
        <v>1.9740900678593392E-2</v>
      </c>
      <c r="S115" s="406">
        <f t="shared" si="59"/>
        <v>1612.6879999999944</v>
      </c>
      <c r="T115" s="407" t="s">
        <v>438</v>
      </c>
      <c r="U115" s="407" t="s">
        <v>529</v>
      </c>
      <c r="V115" s="408"/>
      <c r="W115" s="408"/>
      <c r="X115" s="408">
        <v>1</v>
      </c>
      <c r="Y115" s="409" t="s">
        <v>499</v>
      </c>
      <c r="AC115" s="413"/>
    </row>
    <row r="116" spans="2:29" s="150" customFormat="1" ht="27" customHeight="1">
      <c r="B116" s="829"/>
      <c r="C116" s="830"/>
      <c r="D116" s="397">
        <v>14</v>
      </c>
      <c r="E116" s="400" t="s">
        <v>489</v>
      </c>
      <c r="F116" s="401">
        <v>1089.1530000000002</v>
      </c>
      <c r="G116" s="402">
        <v>184.67999999999998</v>
      </c>
      <c r="H116" s="402">
        <v>190.46</v>
      </c>
      <c r="I116" s="403">
        <f t="shared" si="61"/>
        <v>1.0312973792505957</v>
      </c>
      <c r="J116" s="402">
        <v>2.86</v>
      </c>
      <c r="K116" s="403">
        <f t="shared" si="62"/>
        <v>1.5486246480398529E-2</v>
      </c>
      <c r="L116" s="402">
        <v>203.57999999999998</v>
      </c>
      <c r="M116" s="403">
        <f t="shared" si="63"/>
        <v>1.0467836257309944</v>
      </c>
      <c r="N116" s="404">
        <v>1758.9312</v>
      </c>
      <c r="O116" s="402">
        <v>5.35</v>
      </c>
      <c r="P116" s="403">
        <f t="shared" si="56"/>
        <v>2.8969027507039204E-2</v>
      </c>
      <c r="Q116" s="405">
        <f t="shared" si="57"/>
        <v>3.2900000000000436</v>
      </c>
      <c r="R116" s="403">
        <f t="shared" si="58"/>
        <v>1.7814598223955189E-2</v>
      </c>
      <c r="S116" s="406">
        <f t="shared" si="59"/>
        <v>669.77820000000884</v>
      </c>
      <c r="T116" s="407" t="s">
        <v>438</v>
      </c>
      <c r="U116" s="407" t="s">
        <v>529</v>
      </c>
      <c r="V116" s="408"/>
      <c r="W116" s="408"/>
      <c r="X116" s="408">
        <v>1</v>
      </c>
      <c r="Y116" s="409" t="s">
        <v>351</v>
      </c>
      <c r="AC116" s="414"/>
    </row>
    <row r="117" spans="2:29" s="150" customFormat="1" ht="27" customHeight="1">
      <c r="B117" s="829"/>
      <c r="C117" s="830"/>
      <c r="D117" s="397">
        <v>15</v>
      </c>
      <c r="E117" s="400" t="s">
        <v>376</v>
      </c>
      <c r="F117" s="401">
        <v>1082.8799999999999</v>
      </c>
      <c r="G117" s="402">
        <v>527.19999999999993</v>
      </c>
      <c r="H117" s="402">
        <v>539.52</v>
      </c>
      <c r="I117" s="403">
        <f t="shared" si="61"/>
        <v>1.0233687405159333</v>
      </c>
      <c r="J117" s="402">
        <v>4.2</v>
      </c>
      <c r="K117" s="403">
        <f t="shared" si="62"/>
        <v>7.9666160849772398E-3</v>
      </c>
      <c r="L117" s="402">
        <v>96</v>
      </c>
      <c r="M117" s="403">
        <f>(H117+J117)/G117</f>
        <v>1.0313353566009107</v>
      </c>
      <c r="N117" s="404">
        <v>1585.9200000000003</v>
      </c>
      <c r="O117" s="402">
        <v>11.280000000000001</v>
      </c>
      <c r="P117" s="403">
        <f t="shared" si="56"/>
        <v>2.1396054628224588E-2</v>
      </c>
      <c r="Q117" s="405">
        <f t="shared" si="57"/>
        <v>5.2400000000000944</v>
      </c>
      <c r="R117" s="403">
        <f t="shared" si="58"/>
        <v>9.9393019726860682E-3</v>
      </c>
      <c r="S117" s="406">
        <f t="shared" si="59"/>
        <v>503.04000000000906</v>
      </c>
      <c r="T117" s="407" t="s">
        <v>438</v>
      </c>
      <c r="U117" s="407" t="s">
        <v>706</v>
      </c>
      <c r="V117" s="408"/>
      <c r="W117" s="408"/>
      <c r="X117" s="408">
        <v>1</v>
      </c>
      <c r="Y117" s="409" t="s">
        <v>365</v>
      </c>
      <c r="AC117" s="413"/>
    </row>
    <row r="118" spans="2:29" s="150" customFormat="1" ht="27" customHeight="1">
      <c r="B118" s="829"/>
      <c r="C118" s="830"/>
      <c r="D118" s="397">
        <v>16</v>
      </c>
      <c r="E118" s="400" t="s">
        <v>749</v>
      </c>
      <c r="F118" s="401">
        <v>1077.7044000000001</v>
      </c>
      <c r="G118" s="402">
        <v>462.63</v>
      </c>
      <c r="H118" s="402">
        <v>457.36999999999995</v>
      </c>
      <c r="I118" s="403">
        <f t="shared" si="61"/>
        <v>0.98863022285627811</v>
      </c>
      <c r="J118" s="402">
        <v>55.04</v>
      </c>
      <c r="K118" s="403">
        <f t="shared" si="62"/>
        <v>0.11897196463696691</v>
      </c>
      <c r="L118" s="402">
        <v>45.13</v>
      </c>
      <c r="M118" s="403">
        <f t="shared" ref="M118:M122" si="64">(H118+J118)/G118</f>
        <v>1.1076021874932451</v>
      </c>
      <c r="N118" s="404">
        <v>2246.5714000000003</v>
      </c>
      <c r="O118" s="402">
        <v>23.880000000000003</v>
      </c>
      <c r="P118" s="403">
        <f t="shared" si="56"/>
        <v>5.1617923610660796E-2</v>
      </c>
      <c r="Q118" s="405">
        <f t="shared" si="57"/>
        <v>25.89999999999997</v>
      </c>
      <c r="R118" s="403">
        <f t="shared" si="58"/>
        <v>5.598426388258429E-2</v>
      </c>
      <c r="S118" s="406">
        <f t="shared" si="59"/>
        <v>1168.8669999999988</v>
      </c>
      <c r="T118" s="407" t="s">
        <v>438</v>
      </c>
      <c r="U118" s="407" t="s">
        <v>529</v>
      </c>
      <c r="V118" s="408"/>
      <c r="W118" s="408"/>
      <c r="X118" s="408">
        <v>1</v>
      </c>
      <c r="Y118" s="409" t="s">
        <v>563</v>
      </c>
      <c r="AC118" s="413"/>
    </row>
    <row r="119" spans="2:29" s="150" customFormat="1" ht="27" customHeight="1">
      <c r="B119" s="829"/>
      <c r="C119" s="830"/>
      <c r="D119" s="397">
        <v>17</v>
      </c>
      <c r="E119" s="400" t="s">
        <v>618</v>
      </c>
      <c r="F119" s="401">
        <v>1072.8255999999999</v>
      </c>
      <c r="G119" s="402">
        <v>106.97</v>
      </c>
      <c r="H119" s="402">
        <v>113.57000000000001</v>
      </c>
      <c r="I119" s="403">
        <f t="shared" si="61"/>
        <v>1.0616995419276434</v>
      </c>
      <c r="J119" s="402">
        <v>3.06</v>
      </c>
      <c r="K119" s="403">
        <f t="shared" si="62"/>
        <v>2.8606151257361878E-2</v>
      </c>
      <c r="L119" s="402">
        <v>239.47</v>
      </c>
      <c r="M119" s="403">
        <f t="shared" si="64"/>
        <v>1.0903056931850053</v>
      </c>
      <c r="N119" s="404">
        <v>2313.2801999999997</v>
      </c>
      <c r="O119" s="402">
        <v>4.4799999999999995</v>
      </c>
      <c r="P119" s="403">
        <f t="shared" si="56"/>
        <v>4.1880901187248756E-2</v>
      </c>
      <c r="Q119" s="405">
        <f t="shared" si="57"/>
        <v>5.1800000000000113</v>
      </c>
      <c r="R119" s="403">
        <f t="shared" si="58"/>
        <v>4.8424791997756483E-2</v>
      </c>
      <c r="S119" s="406">
        <f t="shared" si="59"/>
        <v>1240.4546000000028</v>
      </c>
      <c r="T119" s="407" t="s">
        <v>438</v>
      </c>
      <c r="U119" s="407" t="s">
        <v>529</v>
      </c>
      <c r="V119" s="408"/>
      <c r="W119" s="408"/>
      <c r="X119" s="408">
        <v>1</v>
      </c>
      <c r="Y119" s="409" t="s">
        <v>499</v>
      </c>
      <c r="AB119" s="415"/>
      <c r="AC119" s="413"/>
    </row>
    <row r="120" spans="2:29" s="150" customFormat="1" ht="27" customHeight="1">
      <c r="B120" s="829"/>
      <c r="C120" s="830"/>
      <c r="D120" s="397">
        <v>18</v>
      </c>
      <c r="E120" s="400" t="s">
        <v>704</v>
      </c>
      <c r="F120" s="401">
        <v>1038.5759999999998</v>
      </c>
      <c r="G120" s="402">
        <v>412.62</v>
      </c>
      <c r="H120" s="402">
        <v>391.70000000000005</v>
      </c>
      <c r="I120" s="403">
        <f t="shared" si="61"/>
        <v>0.94929959769279249</v>
      </c>
      <c r="J120" s="402">
        <v>41.510000000000005</v>
      </c>
      <c r="K120" s="403">
        <f t="shared" si="62"/>
        <v>0.10060103727400514</v>
      </c>
      <c r="L120" s="402">
        <v>84.3</v>
      </c>
      <c r="M120" s="403">
        <f t="shared" si="64"/>
        <v>1.0499006349667976</v>
      </c>
      <c r="N120" s="404">
        <v>1735.7369999999992</v>
      </c>
      <c r="O120" s="402">
        <v>12.32</v>
      </c>
      <c r="P120" s="403">
        <f t="shared" si="56"/>
        <v>2.9857980708642335E-2</v>
      </c>
      <c r="Q120" s="405">
        <f t="shared" si="57"/>
        <v>8.2700000000000315</v>
      </c>
      <c r="R120" s="403">
        <f t="shared" si="58"/>
        <v>2.0042654258155278E-2</v>
      </c>
      <c r="S120" s="406">
        <f t="shared" si="59"/>
        <v>697.16100000000267</v>
      </c>
      <c r="T120" s="407" t="s">
        <v>438</v>
      </c>
      <c r="U120" s="407" t="s">
        <v>529</v>
      </c>
      <c r="V120" s="408"/>
      <c r="W120" s="408"/>
      <c r="X120" s="408">
        <v>1</v>
      </c>
      <c r="Y120" s="409" t="s">
        <v>462</v>
      </c>
      <c r="AC120" s="413"/>
    </row>
    <row r="121" spans="2:29" s="150" customFormat="1" ht="27" customHeight="1">
      <c r="B121" s="829"/>
      <c r="C121" s="830"/>
      <c r="D121" s="397">
        <v>19</v>
      </c>
      <c r="E121" s="400" t="s">
        <v>705</v>
      </c>
      <c r="F121" s="401">
        <v>1021.8840000000002</v>
      </c>
      <c r="G121" s="402">
        <v>148.65</v>
      </c>
      <c r="H121" s="402">
        <v>157.06</v>
      </c>
      <c r="I121" s="403">
        <f t="shared" si="61"/>
        <v>1.0565758493104609</v>
      </c>
      <c r="J121" s="402">
        <v>0</v>
      </c>
      <c r="K121" s="403">
        <f t="shared" si="62"/>
        <v>0</v>
      </c>
      <c r="L121" s="402">
        <v>190.65000000000003</v>
      </c>
      <c r="M121" s="403">
        <f t="shared" si="64"/>
        <v>1.0565758493104609</v>
      </c>
      <c r="N121" s="404">
        <v>1603.3664999999994</v>
      </c>
      <c r="O121" s="402">
        <v>5.36</v>
      </c>
      <c r="P121" s="403">
        <f t="shared" si="56"/>
        <v>3.6057854019508916E-2</v>
      </c>
      <c r="Q121" s="405">
        <f t="shared" si="57"/>
        <v>3.0499999999999963</v>
      </c>
      <c r="R121" s="403">
        <f t="shared" si="58"/>
        <v>2.0517995290951874E-2</v>
      </c>
      <c r="S121" s="406">
        <f t="shared" si="59"/>
        <v>581.48249999999939</v>
      </c>
      <c r="T121" s="407" t="s">
        <v>438</v>
      </c>
      <c r="U121" s="407" t="s">
        <v>529</v>
      </c>
      <c r="V121" s="408"/>
      <c r="W121" s="408"/>
      <c r="X121" s="408">
        <v>1</v>
      </c>
      <c r="Y121" s="409" t="s">
        <v>484</v>
      </c>
      <c r="AB121" s="416"/>
      <c r="AC121" s="413"/>
    </row>
    <row r="122" spans="2:29" s="150" customFormat="1" ht="27" customHeight="1">
      <c r="B122" s="831"/>
      <c r="C122" s="832"/>
      <c r="D122" s="397">
        <v>20</v>
      </c>
      <c r="E122" s="400" t="s">
        <v>750</v>
      </c>
      <c r="F122" s="401">
        <v>1010.9288000000001</v>
      </c>
      <c r="G122" s="402">
        <v>409.06</v>
      </c>
      <c r="H122" s="402">
        <v>412.21000000000004</v>
      </c>
      <c r="I122" s="403">
        <f t="shared" si="61"/>
        <v>1.0077005818217377</v>
      </c>
      <c r="J122" s="402">
        <v>1.2</v>
      </c>
      <c r="K122" s="403">
        <f t="shared" si="62"/>
        <v>2.9335549797095779E-3</v>
      </c>
      <c r="L122" s="402">
        <v>515.77999999999986</v>
      </c>
      <c r="M122" s="403">
        <f t="shared" si="64"/>
        <v>1.0106341368014473</v>
      </c>
      <c r="N122" s="404">
        <v>2243.6430000000009</v>
      </c>
      <c r="O122" s="402">
        <v>1.9600000000000002</v>
      </c>
      <c r="P122" s="403">
        <f t="shared" si="56"/>
        <v>4.7914731335256446E-3</v>
      </c>
      <c r="Q122" s="405">
        <f t="shared" si="57"/>
        <v>2.3900000000000228</v>
      </c>
      <c r="R122" s="403">
        <f t="shared" si="58"/>
        <v>5.8426636679216317E-3</v>
      </c>
      <c r="S122" s="406">
        <f t="shared" si="59"/>
        <v>1232.7142000000115</v>
      </c>
      <c r="T122" s="407" t="s">
        <v>438</v>
      </c>
      <c r="U122" s="407" t="s">
        <v>529</v>
      </c>
      <c r="V122" s="408"/>
      <c r="W122" s="408"/>
      <c r="X122" s="408">
        <v>1</v>
      </c>
      <c r="Y122" s="409" t="s">
        <v>678</v>
      </c>
      <c r="AB122" s="416"/>
      <c r="AC122" s="413"/>
    </row>
    <row r="124" spans="2:29" ht="14.15" customHeight="1"/>
    <row r="134" ht="14.15" customHeight="1"/>
    <row r="144" ht="14.15" customHeight="1"/>
    <row r="154" ht="14.15" customHeight="1"/>
    <row r="164" ht="14.15" customHeight="1"/>
    <row r="174" ht="14.15" customHeight="1"/>
    <row r="184" ht="14.15" customHeight="1"/>
    <row r="194" ht="14.15" customHeight="1"/>
    <row r="204" ht="14.15" customHeight="1"/>
    <row r="214" ht="14.15" customHeight="1"/>
    <row r="224" ht="14.15" customHeight="1"/>
  </sheetData>
  <mergeCells count="101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5" type="noConversion"/>
  <dataValidations count="1">
    <dataValidation type="list" allowBlank="1" showInputMessage="1" showErrorMessage="1" sqref="U123:U1048576 U1:U78 T1:T1048576 U99:U102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224"/>
  <sheetViews>
    <sheetView zoomScale="70" zoomScaleNormal="70" workbookViewId="0">
      <pane xSplit="4" ySplit="2" topLeftCell="E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V117" sqref="V117"/>
    </sheetView>
  </sheetViews>
  <sheetFormatPr defaultColWidth="8.81640625" defaultRowHeight="16"/>
  <cols>
    <col min="1" max="1" width="8.81640625" style="148"/>
    <col min="2" max="2" width="12.453125" style="148" customWidth="1"/>
    <col min="3" max="3" width="8.81640625" style="148"/>
    <col min="4" max="4" width="11.54296875" style="148" customWidth="1"/>
    <col min="5" max="5" width="39.26953125" style="148" bestFit="1" customWidth="1"/>
    <col min="6" max="6" width="11.453125" style="148" bestFit="1" customWidth="1"/>
    <col min="7" max="8" width="15.81640625" style="148" bestFit="1" customWidth="1"/>
    <col min="9" max="9" width="16.81640625" style="148" customWidth="1"/>
    <col min="10" max="10" width="14" style="148" customWidth="1"/>
    <col min="11" max="11" width="11.54296875" style="148" bestFit="1" customWidth="1"/>
    <col min="12" max="12" width="12.26953125" style="148" bestFit="1" customWidth="1"/>
    <col min="13" max="13" width="19.1796875" style="148" bestFit="1" customWidth="1"/>
    <col min="14" max="14" width="15.26953125" style="148" bestFit="1" customWidth="1"/>
    <col min="15" max="15" width="12.26953125" style="148" bestFit="1" customWidth="1"/>
    <col min="16" max="16" width="12.54296875" style="148" bestFit="1" customWidth="1"/>
    <col min="17" max="17" width="9.1796875" style="148" bestFit="1" customWidth="1"/>
    <col min="18" max="18" width="12.26953125" style="148" bestFit="1" customWidth="1"/>
    <col min="19" max="19" width="12.54296875" style="148" bestFit="1" customWidth="1"/>
    <col min="20" max="20" width="12.453125" style="148" bestFit="1" customWidth="1"/>
    <col min="21" max="21" width="25.26953125" style="148" bestFit="1" customWidth="1"/>
    <col min="22" max="23" width="88.26953125" style="148" customWidth="1"/>
    <col min="24" max="24" width="7.453125" style="148" bestFit="1" customWidth="1"/>
    <col min="25" max="25" width="69.54296875" style="148" bestFit="1" customWidth="1"/>
    <col min="26" max="26" width="11.453125" style="148" bestFit="1" customWidth="1"/>
    <col min="27" max="27" width="21.54296875" style="148" customWidth="1"/>
    <col min="28" max="28" width="19.453125" style="148" bestFit="1" customWidth="1"/>
    <col min="29" max="34" width="14.453125" style="148" customWidth="1"/>
    <col min="35" max="16384" width="8.81640625" style="148"/>
  </cols>
  <sheetData>
    <row r="2" spans="2:34" ht="41.15" customHeight="1">
      <c r="B2" s="858" t="s">
        <v>533</v>
      </c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AA2" s="149"/>
      <c r="AB2" s="149"/>
    </row>
    <row r="3" spans="2:34" ht="16.5" customHeight="1">
      <c r="B3" s="849" t="s">
        <v>526</v>
      </c>
      <c r="C3" s="850"/>
      <c r="D3" s="855" t="s">
        <v>172</v>
      </c>
      <c r="E3" s="855"/>
      <c r="F3" s="855"/>
      <c r="G3" s="855" t="s">
        <v>186</v>
      </c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 t="s">
        <v>173</v>
      </c>
      <c r="U3" s="840" t="s">
        <v>252</v>
      </c>
      <c r="V3" s="860" t="s">
        <v>534</v>
      </c>
      <c r="W3" s="860" t="s">
        <v>528</v>
      </c>
      <c r="X3" s="836" t="s">
        <v>253</v>
      </c>
      <c r="Y3" s="839" t="s">
        <v>174</v>
      </c>
      <c r="AA3" s="855" t="s">
        <v>254</v>
      </c>
      <c r="AB3" s="855"/>
      <c r="AC3" s="855"/>
      <c r="AD3" s="855"/>
      <c r="AE3" s="855"/>
      <c r="AF3" s="855"/>
      <c r="AG3" s="855"/>
      <c r="AH3" s="855"/>
    </row>
    <row r="4" spans="2:34" ht="17.149999999999999" customHeight="1">
      <c r="B4" s="851"/>
      <c r="C4" s="852"/>
      <c r="D4" s="856" t="s">
        <v>171</v>
      </c>
      <c r="E4" s="855" t="s">
        <v>175</v>
      </c>
      <c r="F4" s="855"/>
      <c r="G4" s="855" t="s">
        <v>187</v>
      </c>
      <c r="H4" s="855"/>
      <c r="I4" s="855"/>
      <c r="J4" s="855"/>
      <c r="K4" s="855"/>
      <c r="L4" s="855"/>
      <c r="M4" s="855"/>
      <c r="N4" s="855"/>
      <c r="O4" s="855" t="s">
        <v>176</v>
      </c>
      <c r="P4" s="855"/>
      <c r="Q4" s="855"/>
      <c r="R4" s="855"/>
      <c r="S4" s="855"/>
      <c r="T4" s="855"/>
      <c r="U4" s="843"/>
      <c r="V4" s="837"/>
      <c r="W4" s="861"/>
      <c r="X4" s="837"/>
      <c r="Y4" s="839"/>
      <c r="AA4" s="855"/>
      <c r="AB4" s="855"/>
      <c r="AC4" s="855"/>
      <c r="AD4" s="855"/>
      <c r="AE4" s="855"/>
      <c r="AF4" s="855"/>
      <c r="AG4" s="855"/>
      <c r="AH4" s="855"/>
    </row>
    <row r="5" spans="2:34" ht="17.149999999999999" customHeight="1">
      <c r="B5" s="851"/>
      <c r="C5" s="852"/>
      <c r="D5" s="856"/>
      <c r="E5" s="856" t="s">
        <v>177</v>
      </c>
      <c r="F5" s="863" t="s">
        <v>535</v>
      </c>
      <c r="G5" s="857" t="s">
        <v>188</v>
      </c>
      <c r="H5" s="857"/>
      <c r="I5" s="857"/>
      <c r="J5" s="857"/>
      <c r="K5" s="857"/>
      <c r="L5" s="857"/>
      <c r="M5" s="857"/>
      <c r="N5" s="857"/>
      <c r="O5" s="864" t="s">
        <v>170</v>
      </c>
      <c r="P5" s="865"/>
      <c r="Q5" s="866"/>
      <c r="R5" s="857" t="s">
        <v>178</v>
      </c>
      <c r="S5" s="857"/>
      <c r="T5" s="855"/>
      <c r="U5" s="843"/>
      <c r="V5" s="837"/>
      <c r="W5" s="861"/>
      <c r="X5" s="837"/>
      <c r="Y5" s="839"/>
      <c r="AA5" s="855"/>
      <c r="AB5" s="855"/>
      <c r="AC5" s="855"/>
      <c r="AD5" s="855"/>
      <c r="AE5" s="855"/>
      <c r="AF5" s="855"/>
      <c r="AG5" s="855"/>
      <c r="AH5" s="855"/>
    </row>
    <row r="6" spans="2:34" ht="38.5" customHeight="1">
      <c r="B6" s="853"/>
      <c r="C6" s="854"/>
      <c r="D6" s="856"/>
      <c r="E6" s="856"/>
      <c r="F6" s="863"/>
      <c r="G6" s="398" t="s">
        <v>179</v>
      </c>
      <c r="H6" s="398" t="s">
        <v>259</v>
      </c>
      <c r="I6" s="398" t="s">
        <v>260</v>
      </c>
      <c r="J6" s="398" t="s">
        <v>180</v>
      </c>
      <c r="K6" s="398" t="s">
        <v>257</v>
      </c>
      <c r="L6" s="398" t="s">
        <v>181</v>
      </c>
      <c r="M6" s="398" t="s">
        <v>189</v>
      </c>
      <c r="N6" s="398" t="s">
        <v>182</v>
      </c>
      <c r="O6" s="399" t="s">
        <v>183</v>
      </c>
      <c r="P6" s="399" t="s">
        <v>184</v>
      </c>
      <c r="Q6" s="398" t="s">
        <v>185</v>
      </c>
      <c r="R6" s="399" t="s">
        <v>183</v>
      </c>
      <c r="S6" s="399" t="s">
        <v>184</v>
      </c>
      <c r="T6" s="855"/>
      <c r="U6" s="846"/>
      <c r="V6" s="838"/>
      <c r="W6" s="862"/>
      <c r="X6" s="838"/>
      <c r="Y6" s="839"/>
      <c r="AA6" s="163" t="s">
        <v>251</v>
      </c>
      <c r="AB6" s="163" t="s">
        <v>529</v>
      </c>
      <c r="AC6" s="158" t="s">
        <v>403</v>
      </c>
      <c r="AD6" s="158" t="s">
        <v>346</v>
      </c>
      <c r="AE6" s="158" t="s">
        <v>477</v>
      </c>
      <c r="AF6" s="158" t="s">
        <v>218</v>
      </c>
      <c r="AG6" s="158" t="s">
        <v>219</v>
      </c>
      <c r="AH6" s="158" t="s">
        <v>404</v>
      </c>
    </row>
    <row r="7" spans="2:34" s="150" customFormat="1" ht="27" customHeight="1">
      <c r="B7" s="827" t="s">
        <v>581</v>
      </c>
      <c r="C7" s="828"/>
      <c r="D7" s="397">
        <v>1</v>
      </c>
      <c r="E7" s="400" t="s">
        <v>344</v>
      </c>
      <c r="F7" s="401">
        <v>13205.305100000007</v>
      </c>
      <c r="G7" s="402">
        <v>3938.5299999999997</v>
      </c>
      <c r="H7" s="402">
        <v>3916.23</v>
      </c>
      <c r="I7" s="403">
        <f>H7/G7</f>
        <v>0.99433798904667481</v>
      </c>
      <c r="J7" s="402">
        <v>115.81</v>
      </c>
      <c r="K7" s="403">
        <f>J7/G7</f>
        <v>2.9404371681820377E-2</v>
      </c>
      <c r="L7" s="402">
        <v>147.43000000000004</v>
      </c>
      <c r="M7" s="403">
        <f>(H7+J7)/G7</f>
        <v>1.0237423607284952</v>
      </c>
      <c r="N7" s="404">
        <v>13786.179300000007</v>
      </c>
      <c r="O7" s="402">
        <v>3.94</v>
      </c>
      <c r="P7" s="403">
        <f>O7/G7</f>
        <v>1.0003732356996138E-3</v>
      </c>
      <c r="Q7" s="417">
        <f>O7*L7</f>
        <v>580.87420000000009</v>
      </c>
      <c r="R7" s="405">
        <f>((H7+J7)-G7)-O7</f>
        <v>89.570000000000221</v>
      </c>
      <c r="S7" s="403">
        <f>R7/G7</f>
        <v>2.2741987492795594E-2</v>
      </c>
      <c r="T7" s="407" t="s">
        <v>176</v>
      </c>
      <c r="U7" s="407" t="s">
        <v>218</v>
      </c>
      <c r="V7" s="408" t="s">
        <v>505</v>
      </c>
      <c r="W7" s="408" t="s">
        <v>561</v>
      </c>
      <c r="X7" s="408">
        <v>1</v>
      </c>
      <c r="Y7" s="409" t="s">
        <v>349</v>
      </c>
      <c r="Z7" s="410" t="s">
        <v>530</v>
      </c>
      <c r="AA7" s="411">
        <f>SUM(X7:X26)</f>
        <v>20</v>
      </c>
      <c r="AB7" s="412">
        <f>SUMIF($U$7:$U$26,TRIM(AB6),$X$7:$X$26)</f>
        <v>0</v>
      </c>
      <c r="AC7" s="412">
        <f t="shared" ref="AC7:AH7" si="0">SUMIF($U$7:$U$26,TRIM(AC6),$X$7:$X$26)</f>
        <v>0</v>
      </c>
      <c r="AD7" s="412">
        <f t="shared" si="0"/>
        <v>0</v>
      </c>
      <c r="AE7" s="412">
        <f t="shared" si="0"/>
        <v>15</v>
      </c>
      <c r="AF7" s="412">
        <f t="shared" si="0"/>
        <v>1</v>
      </c>
      <c r="AG7" s="412">
        <f t="shared" si="0"/>
        <v>4</v>
      </c>
      <c r="AH7" s="412">
        <f t="shared" si="0"/>
        <v>0</v>
      </c>
    </row>
    <row r="8" spans="2:34" s="150" customFormat="1" ht="27" customHeight="1">
      <c r="B8" s="829"/>
      <c r="C8" s="830"/>
      <c r="D8" s="397">
        <v>2</v>
      </c>
      <c r="E8" s="400" t="s">
        <v>582</v>
      </c>
      <c r="F8" s="401">
        <v>6412.3360000000002</v>
      </c>
      <c r="G8" s="402">
        <v>924.87999999999988</v>
      </c>
      <c r="H8" s="402">
        <v>902.67000000000007</v>
      </c>
      <c r="I8" s="403">
        <f t="shared" ref="I8:I9" si="1">H8/G8</f>
        <v>0.97598607386904268</v>
      </c>
      <c r="J8" s="402">
        <v>43.1</v>
      </c>
      <c r="K8" s="403">
        <f t="shared" ref="K8:K13" si="2">J8/G8</f>
        <v>4.6600640083037805E-2</v>
      </c>
      <c r="L8" s="402">
        <v>327.16000000000003</v>
      </c>
      <c r="M8" s="403">
        <f t="shared" ref="M8:M13" si="3">(H8+J8)/G8</f>
        <v>1.0225867139520806</v>
      </c>
      <c r="N8" s="404">
        <v>6834.3724000000002</v>
      </c>
      <c r="O8" s="402">
        <v>1.29</v>
      </c>
      <c r="P8" s="403">
        <f t="shared" ref="P8:P26" si="4">O8/G8</f>
        <v>1.3947755384482313E-3</v>
      </c>
      <c r="Q8" s="417">
        <f t="shared" ref="Q8:Q26" si="5">O8*L8</f>
        <v>422.03640000000007</v>
      </c>
      <c r="R8" s="405">
        <f t="shared" ref="R8:R26" si="6">((H8+J8)-G8)-O8</f>
        <v>19.600000000000215</v>
      </c>
      <c r="S8" s="403">
        <f t="shared" ref="S8:S26" si="7">R8/G8</f>
        <v>2.1191938413632275E-2</v>
      </c>
      <c r="T8" s="407" t="s">
        <v>176</v>
      </c>
      <c r="U8" s="407" t="s">
        <v>219</v>
      </c>
      <c r="V8" s="408" t="s">
        <v>589</v>
      </c>
      <c r="W8" s="408" t="s">
        <v>542</v>
      </c>
      <c r="X8" s="408">
        <v>1</v>
      </c>
      <c r="Y8" s="409" t="s">
        <v>563</v>
      </c>
      <c r="AA8" s="411"/>
      <c r="AB8" s="418">
        <f>SUMIF($U$7:$U$26,TRIM(AB6),$F$7:$F$26)</f>
        <v>0</v>
      </c>
      <c r="AC8" s="418">
        <f t="shared" ref="AC8:AH8" si="8">SUMIF($U$7:$U$26,TRIM(AC6),$F$7:$F$26)</f>
        <v>0</v>
      </c>
      <c r="AD8" s="418">
        <f t="shared" si="8"/>
        <v>0</v>
      </c>
      <c r="AE8" s="418">
        <f t="shared" si="8"/>
        <v>62545.169000000024</v>
      </c>
      <c r="AF8" s="418">
        <f t="shared" si="8"/>
        <v>13205.305100000007</v>
      </c>
      <c r="AG8" s="418">
        <f t="shared" si="8"/>
        <v>18004.327400000002</v>
      </c>
      <c r="AH8" s="418">
        <f t="shared" si="8"/>
        <v>0</v>
      </c>
    </row>
    <row r="9" spans="2:34" s="150" customFormat="1" ht="27" customHeight="1">
      <c r="B9" s="829"/>
      <c r="C9" s="830"/>
      <c r="D9" s="397">
        <v>3</v>
      </c>
      <c r="E9" s="400" t="s">
        <v>377</v>
      </c>
      <c r="F9" s="401">
        <v>6251.0085000000081</v>
      </c>
      <c r="G9" s="402">
        <v>662.5</v>
      </c>
      <c r="H9" s="402">
        <v>658.44999999999993</v>
      </c>
      <c r="I9" s="403">
        <f t="shared" si="1"/>
        <v>0.99388679245283007</v>
      </c>
      <c r="J9" s="402">
        <v>18.7</v>
      </c>
      <c r="K9" s="403">
        <f t="shared" si="2"/>
        <v>2.8226415094339621E-2</v>
      </c>
      <c r="L9" s="402">
        <v>426.69</v>
      </c>
      <c r="M9" s="403">
        <f t="shared" si="3"/>
        <v>1.0221132075471697</v>
      </c>
      <c r="N9" s="404">
        <v>6251.0085000000081</v>
      </c>
      <c r="O9" s="402">
        <v>0</v>
      </c>
      <c r="P9" s="403">
        <f t="shared" si="4"/>
        <v>0</v>
      </c>
      <c r="Q9" s="417">
        <f t="shared" si="5"/>
        <v>0</v>
      </c>
      <c r="R9" s="405">
        <f t="shared" si="6"/>
        <v>14.649999999999977</v>
      </c>
      <c r="S9" s="403">
        <f t="shared" si="7"/>
        <v>2.2113207547169778E-2</v>
      </c>
      <c r="T9" s="407" t="s">
        <v>176</v>
      </c>
      <c r="U9" s="407" t="s">
        <v>477</v>
      </c>
      <c r="V9" s="408" t="s">
        <v>590</v>
      </c>
      <c r="W9" s="433" t="s">
        <v>591</v>
      </c>
      <c r="X9" s="408">
        <v>1</v>
      </c>
      <c r="Y9" s="409" t="s">
        <v>378</v>
      </c>
      <c r="AA9" s="397"/>
      <c r="AB9" s="419">
        <f>AB7/$AA7</f>
        <v>0</v>
      </c>
      <c r="AC9" s="419">
        <f t="shared" ref="AC9:AH9" si="9">AC7/$AA7</f>
        <v>0</v>
      </c>
      <c r="AD9" s="419">
        <f t="shared" si="9"/>
        <v>0</v>
      </c>
      <c r="AE9" s="419">
        <f t="shared" si="9"/>
        <v>0.75</v>
      </c>
      <c r="AF9" s="419">
        <f t="shared" si="9"/>
        <v>0.05</v>
      </c>
      <c r="AG9" s="419">
        <f t="shared" si="9"/>
        <v>0.2</v>
      </c>
      <c r="AH9" s="419">
        <f t="shared" si="9"/>
        <v>0</v>
      </c>
    </row>
    <row r="10" spans="2:34" s="150" customFormat="1" ht="27" customHeight="1">
      <c r="B10" s="829"/>
      <c r="C10" s="830"/>
      <c r="D10" s="397">
        <v>4</v>
      </c>
      <c r="E10" s="400" t="s">
        <v>492</v>
      </c>
      <c r="F10" s="401">
        <v>6136.2048000000004</v>
      </c>
      <c r="G10" s="402">
        <v>1191.01</v>
      </c>
      <c r="H10" s="402">
        <v>1128.8999999999999</v>
      </c>
      <c r="I10" s="403">
        <f>H10/G10</f>
        <v>0.94785098361894515</v>
      </c>
      <c r="J10" s="402">
        <v>155.55000000000001</v>
      </c>
      <c r="K10" s="403">
        <f t="shared" si="2"/>
        <v>0.13060343741866148</v>
      </c>
      <c r="L10" s="402">
        <v>65.67</v>
      </c>
      <c r="M10" s="403">
        <f t="shared" si="3"/>
        <v>1.0784544210376066</v>
      </c>
      <c r="N10" s="404">
        <v>6136.2048000000004</v>
      </c>
      <c r="O10" s="402">
        <v>0</v>
      </c>
      <c r="P10" s="403">
        <f t="shared" si="4"/>
        <v>0</v>
      </c>
      <c r="Q10" s="417">
        <f t="shared" si="5"/>
        <v>0</v>
      </c>
      <c r="R10" s="405">
        <f t="shared" si="6"/>
        <v>93.439999999999827</v>
      </c>
      <c r="S10" s="403">
        <f t="shared" si="7"/>
        <v>7.8454421037606595E-2</v>
      </c>
      <c r="T10" s="407" t="s">
        <v>176</v>
      </c>
      <c r="U10" s="407" t="s">
        <v>477</v>
      </c>
      <c r="V10" s="408" t="s">
        <v>545</v>
      </c>
      <c r="W10" s="408" t="s">
        <v>549</v>
      </c>
      <c r="X10" s="408">
        <v>1</v>
      </c>
      <c r="Y10" s="409" t="s">
        <v>493</v>
      </c>
    </row>
    <row r="11" spans="2:34" s="150" customFormat="1" ht="27" customHeight="1">
      <c r="B11" s="829"/>
      <c r="C11" s="830"/>
      <c r="D11" s="397">
        <v>5</v>
      </c>
      <c r="E11" s="400" t="s">
        <v>510</v>
      </c>
      <c r="F11" s="401">
        <v>5187.5571000000009</v>
      </c>
      <c r="G11" s="402">
        <v>335</v>
      </c>
      <c r="H11" s="402">
        <v>322.06</v>
      </c>
      <c r="I11" s="403">
        <f t="shared" ref="I11:I26" si="10">H11/G11</f>
        <v>0.96137313432835825</v>
      </c>
      <c r="J11" s="402">
        <v>25.25</v>
      </c>
      <c r="K11" s="403">
        <f t="shared" si="2"/>
        <v>7.537313432835821E-2</v>
      </c>
      <c r="L11" s="402">
        <v>421.40999999999997</v>
      </c>
      <c r="M11" s="403">
        <f t="shared" si="3"/>
        <v>1.0367462686567164</v>
      </c>
      <c r="N11" s="404">
        <v>5187.5571000000009</v>
      </c>
      <c r="O11" s="402">
        <v>0</v>
      </c>
      <c r="P11" s="403">
        <f t="shared" si="4"/>
        <v>0</v>
      </c>
      <c r="Q11" s="417">
        <f t="shared" si="5"/>
        <v>0</v>
      </c>
      <c r="R11" s="405">
        <f t="shared" si="6"/>
        <v>12.310000000000002</v>
      </c>
      <c r="S11" s="403">
        <f t="shared" si="7"/>
        <v>3.6746268656716423E-2</v>
      </c>
      <c r="T11" s="407" t="s">
        <v>176</v>
      </c>
      <c r="U11" s="407" t="s">
        <v>477</v>
      </c>
      <c r="V11" s="408" t="s">
        <v>592</v>
      </c>
      <c r="W11" s="408" t="s">
        <v>542</v>
      </c>
      <c r="X11" s="408">
        <v>1</v>
      </c>
      <c r="Y11" s="409" t="s">
        <v>506</v>
      </c>
    </row>
    <row r="12" spans="2:34" s="150" customFormat="1" ht="27" customHeight="1">
      <c r="B12" s="829"/>
      <c r="C12" s="830"/>
      <c r="D12" s="397">
        <v>6</v>
      </c>
      <c r="E12" s="400" t="s">
        <v>475</v>
      </c>
      <c r="F12" s="401">
        <v>5149.6425000000054</v>
      </c>
      <c r="G12" s="402">
        <v>1035.24</v>
      </c>
      <c r="H12" s="402">
        <v>1005.49</v>
      </c>
      <c r="I12" s="403">
        <f t="shared" si="10"/>
        <v>0.97126270236853285</v>
      </c>
      <c r="J12" s="402">
        <v>81.5</v>
      </c>
      <c r="K12" s="403">
        <f t="shared" si="2"/>
        <v>7.8725706116456087E-2</v>
      </c>
      <c r="L12" s="402">
        <v>99.51</v>
      </c>
      <c r="M12" s="403">
        <f t="shared" si="3"/>
        <v>1.0499884084849891</v>
      </c>
      <c r="N12" s="404">
        <v>5149.6425000000054</v>
      </c>
      <c r="O12" s="402">
        <v>0</v>
      </c>
      <c r="P12" s="403">
        <f t="shared" si="4"/>
        <v>0</v>
      </c>
      <c r="Q12" s="417">
        <f t="shared" si="5"/>
        <v>0</v>
      </c>
      <c r="R12" s="405">
        <f t="shared" si="6"/>
        <v>51.75</v>
      </c>
      <c r="S12" s="403">
        <f t="shared" si="7"/>
        <v>4.9988408484988985E-2</v>
      </c>
      <c r="T12" s="407" t="s">
        <v>176</v>
      </c>
      <c r="U12" s="407" t="s">
        <v>477</v>
      </c>
      <c r="V12" s="408" t="s">
        <v>545</v>
      </c>
      <c r="W12" s="408" t="s">
        <v>549</v>
      </c>
      <c r="X12" s="408">
        <v>1</v>
      </c>
      <c r="Y12" s="409" t="s">
        <v>364</v>
      </c>
    </row>
    <row r="13" spans="2:34" s="150" customFormat="1" ht="27" customHeight="1">
      <c r="B13" s="829"/>
      <c r="C13" s="830"/>
      <c r="D13" s="397">
        <v>7</v>
      </c>
      <c r="E13" s="400" t="s">
        <v>583</v>
      </c>
      <c r="F13" s="401">
        <v>4841.2538999999888</v>
      </c>
      <c r="G13" s="402">
        <v>402.01</v>
      </c>
      <c r="H13" s="402">
        <v>391.71999999999997</v>
      </c>
      <c r="I13" s="403">
        <f t="shared" si="10"/>
        <v>0.9744036218004527</v>
      </c>
      <c r="J13" s="402">
        <v>24.800000000000004</v>
      </c>
      <c r="K13" s="403">
        <f t="shared" si="2"/>
        <v>6.1690007711250973E-2</v>
      </c>
      <c r="L13" s="402">
        <v>365.92999999999995</v>
      </c>
      <c r="M13" s="403">
        <f t="shared" si="3"/>
        <v>1.0360936295117036</v>
      </c>
      <c r="N13" s="404">
        <v>5309.644299999989</v>
      </c>
      <c r="O13" s="402">
        <v>1.28</v>
      </c>
      <c r="P13" s="403">
        <f t="shared" si="4"/>
        <v>3.1840003980000498E-3</v>
      </c>
      <c r="Q13" s="417">
        <f t="shared" si="5"/>
        <v>468.39039999999994</v>
      </c>
      <c r="R13" s="405">
        <f t="shared" si="6"/>
        <v>13.229999999999992</v>
      </c>
      <c r="S13" s="403">
        <f t="shared" si="7"/>
        <v>3.2909629113703619E-2</v>
      </c>
      <c r="T13" s="407" t="s">
        <v>176</v>
      </c>
      <c r="U13" s="407" t="s">
        <v>477</v>
      </c>
      <c r="V13" s="408" t="s">
        <v>562</v>
      </c>
      <c r="W13" s="408" t="s">
        <v>593</v>
      </c>
      <c r="X13" s="408">
        <v>1</v>
      </c>
      <c r="Y13" s="409" t="s">
        <v>444</v>
      </c>
    </row>
    <row r="14" spans="2:34" s="150" customFormat="1" ht="27" customHeight="1">
      <c r="B14" s="829"/>
      <c r="C14" s="830"/>
      <c r="D14" s="397">
        <v>8</v>
      </c>
      <c r="E14" s="400" t="s">
        <v>406</v>
      </c>
      <c r="F14" s="401">
        <v>4345.2815999999993</v>
      </c>
      <c r="G14" s="402">
        <v>3801.9</v>
      </c>
      <c r="H14" s="402">
        <v>3681.9200000000005</v>
      </c>
      <c r="I14" s="403">
        <f t="shared" si="10"/>
        <v>0.96844209474210274</v>
      </c>
      <c r="J14" s="402">
        <v>165.3</v>
      </c>
      <c r="K14" s="403">
        <f>J14/G14</f>
        <v>4.3478260869565216E-2</v>
      </c>
      <c r="L14" s="402">
        <v>127.84000000000002</v>
      </c>
      <c r="M14" s="403">
        <f>(H14+J14)/G14</f>
        <v>1.011920355611668</v>
      </c>
      <c r="N14" s="404">
        <v>5793.7087999999994</v>
      </c>
      <c r="O14" s="402">
        <v>11.33</v>
      </c>
      <c r="P14" s="403">
        <f t="shared" si="4"/>
        <v>2.9800889029169626E-3</v>
      </c>
      <c r="Q14" s="417">
        <f t="shared" si="5"/>
        <v>1448.4272000000003</v>
      </c>
      <c r="R14" s="405">
        <f t="shared" si="6"/>
        <v>33.99000000000062</v>
      </c>
      <c r="S14" s="403">
        <f t="shared" si="7"/>
        <v>8.9402667087510514E-3</v>
      </c>
      <c r="T14" s="407" t="s">
        <v>176</v>
      </c>
      <c r="U14" s="407" t="s">
        <v>477</v>
      </c>
      <c r="V14" s="408" t="s">
        <v>547</v>
      </c>
      <c r="W14" s="408" t="s">
        <v>548</v>
      </c>
      <c r="X14" s="408">
        <v>1</v>
      </c>
      <c r="Y14" s="409" t="s">
        <v>349</v>
      </c>
    </row>
    <row r="15" spans="2:34" s="150" customFormat="1" ht="27" customHeight="1">
      <c r="B15" s="829"/>
      <c r="C15" s="830"/>
      <c r="D15" s="397">
        <v>9</v>
      </c>
      <c r="E15" s="400" t="s">
        <v>470</v>
      </c>
      <c r="F15" s="401">
        <v>4313.0783999999994</v>
      </c>
      <c r="G15" s="402">
        <v>821.12000000000012</v>
      </c>
      <c r="H15" s="402">
        <v>807.22</v>
      </c>
      <c r="I15" s="403">
        <f t="shared" si="10"/>
        <v>0.98307190179267334</v>
      </c>
      <c r="J15" s="402">
        <v>55.800000000000004</v>
      </c>
      <c r="K15" s="403">
        <f t="shared" ref="K15:K26" si="11">J15/G15</f>
        <v>6.7955962587685104E-2</v>
      </c>
      <c r="L15" s="402">
        <v>108.26</v>
      </c>
      <c r="M15" s="403">
        <f t="shared" ref="M15:M26" si="12">(H15+J15)/G15</f>
        <v>1.0510278643803583</v>
      </c>
      <c r="N15" s="404">
        <v>4536.0939999999991</v>
      </c>
      <c r="O15" s="402">
        <v>2.06</v>
      </c>
      <c r="P15" s="403">
        <f t="shared" si="4"/>
        <v>2.5087685113016366E-3</v>
      </c>
      <c r="Q15" s="417">
        <f t="shared" si="5"/>
        <v>223.01560000000001</v>
      </c>
      <c r="R15" s="405">
        <f t="shared" si="6"/>
        <v>39.839999999999861</v>
      </c>
      <c r="S15" s="403">
        <f t="shared" si="7"/>
        <v>4.8519095869056721E-2</v>
      </c>
      <c r="T15" s="407" t="s">
        <v>176</v>
      </c>
      <c r="U15" s="407" t="s">
        <v>219</v>
      </c>
      <c r="V15" s="408" t="s">
        <v>545</v>
      </c>
      <c r="W15" s="408" t="s">
        <v>549</v>
      </c>
      <c r="X15" s="408">
        <v>1</v>
      </c>
      <c r="Y15" s="409" t="s">
        <v>353</v>
      </c>
    </row>
    <row r="16" spans="2:34" s="150" customFormat="1" ht="27" customHeight="1">
      <c r="B16" s="829"/>
      <c r="C16" s="830"/>
      <c r="D16" s="397">
        <v>10</v>
      </c>
      <c r="E16" s="400" t="s">
        <v>584</v>
      </c>
      <c r="F16" s="401">
        <v>4087.1394000000105</v>
      </c>
      <c r="G16" s="402">
        <v>2659.03</v>
      </c>
      <c r="H16" s="402">
        <v>2548.83</v>
      </c>
      <c r="I16" s="403">
        <f t="shared" si="10"/>
        <v>0.95855631564893951</v>
      </c>
      <c r="J16" s="402">
        <v>138.43</v>
      </c>
      <c r="K16" s="403">
        <f t="shared" si="11"/>
        <v>5.2060337792352848E-2</v>
      </c>
      <c r="L16" s="402">
        <v>144.78</v>
      </c>
      <c r="M16" s="403">
        <f t="shared" si="12"/>
        <v>1.0106166534412924</v>
      </c>
      <c r="N16" s="404">
        <v>4087.1394000000105</v>
      </c>
      <c r="O16" s="402">
        <v>0</v>
      </c>
      <c r="P16" s="403">
        <f t="shared" si="4"/>
        <v>0</v>
      </c>
      <c r="Q16" s="417">
        <f t="shared" si="5"/>
        <v>0</v>
      </c>
      <c r="R16" s="405">
        <f t="shared" si="6"/>
        <v>28.229999999999563</v>
      </c>
      <c r="S16" s="403">
        <f t="shared" si="7"/>
        <v>1.0616653441292336E-2</v>
      </c>
      <c r="T16" s="407" t="s">
        <v>176</v>
      </c>
      <c r="U16" s="407" t="s">
        <v>477</v>
      </c>
      <c r="V16" s="408" t="s">
        <v>547</v>
      </c>
      <c r="W16" s="408" t="s">
        <v>548</v>
      </c>
      <c r="X16" s="408">
        <v>1</v>
      </c>
      <c r="Y16" s="409" t="s">
        <v>563</v>
      </c>
    </row>
    <row r="17" spans="2:34" s="150" customFormat="1" ht="27" customHeight="1">
      <c r="B17" s="829"/>
      <c r="C17" s="830"/>
      <c r="D17" s="397">
        <v>11</v>
      </c>
      <c r="E17" s="400" t="s">
        <v>520</v>
      </c>
      <c r="F17" s="401">
        <v>3938.6485999999977</v>
      </c>
      <c r="G17" s="402">
        <v>1239.6699999999998</v>
      </c>
      <c r="H17" s="402">
        <v>1128.58</v>
      </c>
      <c r="I17" s="403">
        <f t="shared" si="10"/>
        <v>0.91038744181919384</v>
      </c>
      <c r="J17" s="402">
        <v>166.03</v>
      </c>
      <c r="K17" s="403">
        <f t="shared" si="11"/>
        <v>0.13393080416562475</v>
      </c>
      <c r="L17" s="402">
        <v>71.69</v>
      </c>
      <c r="M17" s="403">
        <f t="shared" si="12"/>
        <v>1.0443182459848186</v>
      </c>
      <c r="N17" s="404">
        <v>3938.6485999999977</v>
      </c>
      <c r="O17" s="402">
        <v>0</v>
      </c>
      <c r="P17" s="403">
        <f t="shared" si="4"/>
        <v>0</v>
      </c>
      <c r="Q17" s="417">
        <f t="shared" si="5"/>
        <v>0</v>
      </c>
      <c r="R17" s="405">
        <f t="shared" si="6"/>
        <v>54.940000000000055</v>
      </c>
      <c r="S17" s="403">
        <f t="shared" si="7"/>
        <v>4.4318245984818587E-2</v>
      </c>
      <c r="T17" s="407" t="s">
        <v>176</v>
      </c>
      <c r="U17" s="407" t="s">
        <v>219</v>
      </c>
      <c r="V17" s="408" t="s">
        <v>545</v>
      </c>
      <c r="W17" s="408" t="s">
        <v>549</v>
      </c>
      <c r="X17" s="408">
        <v>1</v>
      </c>
      <c r="Y17" s="409" t="s">
        <v>515</v>
      </c>
    </row>
    <row r="18" spans="2:34" s="150" customFormat="1" ht="27" customHeight="1">
      <c r="B18" s="829"/>
      <c r="C18" s="830"/>
      <c r="D18" s="397">
        <v>12</v>
      </c>
      <c r="E18" s="400" t="s">
        <v>472</v>
      </c>
      <c r="F18" s="401">
        <v>3852.0000000000118</v>
      </c>
      <c r="G18" s="402">
        <v>1321.8</v>
      </c>
      <c r="H18" s="402">
        <v>1318.89</v>
      </c>
      <c r="I18" s="403">
        <f t="shared" si="10"/>
        <v>0.99779845665002276</v>
      </c>
      <c r="J18" s="402">
        <v>23.220000000000002</v>
      </c>
      <c r="K18" s="403">
        <f t="shared" si="11"/>
        <v>1.7566954153427149E-2</v>
      </c>
      <c r="L18" s="402">
        <v>200</v>
      </c>
      <c r="M18" s="403">
        <f t="shared" si="12"/>
        <v>1.01536541080345</v>
      </c>
      <c r="N18" s="404">
        <v>4062.0000000000114</v>
      </c>
      <c r="O18" s="402">
        <v>1.0499999999999998</v>
      </c>
      <c r="P18" s="403">
        <f t="shared" si="4"/>
        <v>7.9437131184748055E-4</v>
      </c>
      <c r="Q18" s="417">
        <f t="shared" si="5"/>
        <v>209.99999999999997</v>
      </c>
      <c r="R18" s="405">
        <f t="shared" si="6"/>
        <v>19.260000000000172</v>
      </c>
      <c r="S18" s="403">
        <f t="shared" si="7"/>
        <v>1.4571039491602491E-2</v>
      </c>
      <c r="T18" s="407" t="s">
        <v>176</v>
      </c>
      <c r="U18" s="407" t="s">
        <v>477</v>
      </c>
      <c r="V18" s="408" t="s">
        <v>575</v>
      </c>
      <c r="W18" s="408" t="s">
        <v>548</v>
      </c>
      <c r="X18" s="408">
        <v>1</v>
      </c>
      <c r="Y18" s="409" t="s">
        <v>349</v>
      </c>
    </row>
    <row r="19" spans="2:34" s="150" customFormat="1" ht="27" customHeight="1">
      <c r="B19" s="829"/>
      <c r="C19" s="830"/>
      <c r="D19" s="397">
        <v>13</v>
      </c>
      <c r="E19" s="400" t="s">
        <v>345</v>
      </c>
      <c r="F19" s="401">
        <v>3791.88</v>
      </c>
      <c r="G19" s="402">
        <v>1497.02</v>
      </c>
      <c r="H19" s="402">
        <v>1428.52</v>
      </c>
      <c r="I19" s="403">
        <f t="shared" si="10"/>
        <v>0.95424242829087125</v>
      </c>
      <c r="J19" s="402">
        <v>122.5</v>
      </c>
      <c r="K19" s="403">
        <f t="shared" si="11"/>
        <v>8.1829234078369034E-2</v>
      </c>
      <c r="L19" s="402">
        <v>70.220000000000013</v>
      </c>
      <c r="M19" s="403">
        <f t="shared" si="12"/>
        <v>1.0360716623692403</v>
      </c>
      <c r="N19" s="404">
        <v>3791.88</v>
      </c>
      <c r="O19" s="402">
        <v>0</v>
      </c>
      <c r="P19" s="403">
        <f t="shared" si="4"/>
        <v>0</v>
      </c>
      <c r="Q19" s="417">
        <f t="shared" si="5"/>
        <v>0</v>
      </c>
      <c r="R19" s="405">
        <f t="shared" si="6"/>
        <v>54</v>
      </c>
      <c r="S19" s="403">
        <f t="shared" si="7"/>
        <v>3.6071662369240226E-2</v>
      </c>
      <c r="T19" s="407" t="s">
        <v>176</v>
      </c>
      <c r="U19" s="407" t="s">
        <v>477</v>
      </c>
      <c r="V19" s="408" t="s">
        <v>545</v>
      </c>
      <c r="W19" s="408" t="s">
        <v>549</v>
      </c>
      <c r="X19" s="408">
        <v>1</v>
      </c>
      <c r="Y19" s="409" t="s">
        <v>352</v>
      </c>
    </row>
    <row r="20" spans="2:34" s="150" customFormat="1" ht="27" customHeight="1">
      <c r="B20" s="829"/>
      <c r="C20" s="830"/>
      <c r="D20" s="397">
        <v>14</v>
      </c>
      <c r="E20" s="400" t="s">
        <v>474</v>
      </c>
      <c r="F20" s="401">
        <v>3455.0415000000007</v>
      </c>
      <c r="G20" s="402">
        <v>186.34999999999997</v>
      </c>
      <c r="H20" s="402">
        <v>176.90999999999997</v>
      </c>
      <c r="I20" s="403">
        <f t="shared" si="10"/>
        <v>0.94934263482693859</v>
      </c>
      <c r="J20" s="402">
        <v>19.430000000000003</v>
      </c>
      <c r="K20" s="403">
        <f t="shared" si="11"/>
        <v>0.10426616581701104</v>
      </c>
      <c r="L20" s="402">
        <v>345.84999999999997</v>
      </c>
      <c r="M20" s="403">
        <f t="shared" si="12"/>
        <v>1.0536088006439497</v>
      </c>
      <c r="N20" s="404">
        <v>3455.0415000000007</v>
      </c>
      <c r="O20" s="402">
        <v>0</v>
      </c>
      <c r="P20" s="403">
        <f t="shared" si="4"/>
        <v>0</v>
      </c>
      <c r="Q20" s="417">
        <f t="shared" si="5"/>
        <v>0</v>
      </c>
      <c r="R20" s="405">
        <f t="shared" si="6"/>
        <v>9.9900000000000091</v>
      </c>
      <c r="S20" s="403">
        <f t="shared" si="7"/>
        <v>5.3608800643949614E-2</v>
      </c>
      <c r="T20" s="407" t="s">
        <v>176</v>
      </c>
      <c r="U20" s="407" t="s">
        <v>477</v>
      </c>
      <c r="V20" s="408" t="s">
        <v>562</v>
      </c>
      <c r="W20" s="408" t="s">
        <v>593</v>
      </c>
      <c r="X20" s="408">
        <v>1</v>
      </c>
      <c r="Y20" s="409" t="s">
        <v>473</v>
      </c>
    </row>
    <row r="21" spans="2:34" s="150" customFormat="1" ht="27" customHeight="1">
      <c r="B21" s="829"/>
      <c r="C21" s="830"/>
      <c r="D21" s="397">
        <v>15</v>
      </c>
      <c r="E21" s="400" t="s">
        <v>482</v>
      </c>
      <c r="F21" s="401">
        <v>3408.9764000000046</v>
      </c>
      <c r="G21" s="402">
        <v>405.08000000000004</v>
      </c>
      <c r="H21" s="402">
        <v>396.65999999999997</v>
      </c>
      <c r="I21" s="403">
        <f t="shared" si="10"/>
        <v>0.97921398242322488</v>
      </c>
      <c r="J21" s="402">
        <v>17.68</v>
      </c>
      <c r="K21" s="403">
        <f t="shared" si="11"/>
        <v>4.3645699614890877E-2</v>
      </c>
      <c r="L21" s="402">
        <v>368.13999999999993</v>
      </c>
      <c r="M21" s="403">
        <f t="shared" si="12"/>
        <v>1.0228596820381157</v>
      </c>
      <c r="N21" s="404">
        <v>3408.9764000000046</v>
      </c>
      <c r="O21" s="402">
        <v>0</v>
      </c>
      <c r="P21" s="403">
        <f t="shared" si="4"/>
        <v>0</v>
      </c>
      <c r="Q21" s="417">
        <f t="shared" si="5"/>
        <v>0</v>
      </c>
      <c r="R21" s="405">
        <f t="shared" si="6"/>
        <v>9.2599999999999341</v>
      </c>
      <c r="S21" s="403">
        <f t="shared" si="7"/>
        <v>2.2859682038115763E-2</v>
      </c>
      <c r="T21" s="407" t="s">
        <v>176</v>
      </c>
      <c r="U21" s="407" t="s">
        <v>477</v>
      </c>
      <c r="V21" s="408" t="s">
        <v>562</v>
      </c>
      <c r="W21" s="408" t="s">
        <v>593</v>
      </c>
      <c r="X21" s="408">
        <v>1</v>
      </c>
      <c r="Y21" s="409" t="s">
        <v>483</v>
      </c>
    </row>
    <row r="22" spans="2:34" s="150" customFormat="1" ht="27" customHeight="1">
      <c r="B22" s="829"/>
      <c r="C22" s="830"/>
      <c r="D22" s="397">
        <v>16</v>
      </c>
      <c r="E22" s="400" t="s">
        <v>512</v>
      </c>
      <c r="F22" s="401">
        <v>3340.2644000000037</v>
      </c>
      <c r="G22" s="402">
        <v>1702.3500000000001</v>
      </c>
      <c r="H22" s="402">
        <v>1678.46</v>
      </c>
      <c r="I22" s="403">
        <f t="shared" si="10"/>
        <v>0.98596645813140649</v>
      </c>
      <c r="J22" s="402">
        <v>72.709999999999994</v>
      </c>
      <c r="K22" s="403">
        <f t="shared" si="11"/>
        <v>4.2711545804329301E-2</v>
      </c>
      <c r="L22" s="402">
        <v>68.42</v>
      </c>
      <c r="M22" s="403">
        <f t="shared" si="12"/>
        <v>1.0286780039357359</v>
      </c>
      <c r="N22" s="404">
        <v>3340.2644000000037</v>
      </c>
      <c r="O22" s="402">
        <v>0</v>
      </c>
      <c r="P22" s="403">
        <f t="shared" si="4"/>
        <v>0</v>
      </c>
      <c r="Q22" s="417">
        <f t="shared" si="5"/>
        <v>0</v>
      </c>
      <c r="R22" s="405">
        <f t="shared" si="6"/>
        <v>48.819999999999936</v>
      </c>
      <c r="S22" s="403">
        <f t="shared" si="7"/>
        <v>2.8678003935735854E-2</v>
      </c>
      <c r="T22" s="407" t="s">
        <v>176</v>
      </c>
      <c r="U22" s="407" t="s">
        <v>219</v>
      </c>
      <c r="V22" s="408" t="s">
        <v>545</v>
      </c>
      <c r="W22" s="408" t="s">
        <v>549</v>
      </c>
      <c r="X22" s="408">
        <v>1</v>
      </c>
      <c r="Y22" s="409" t="s">
        <v>508</v>
      </c>
      <c r="AC22" s="413"/>
    </row>
    <row r="23" spans="2:34" s="150" customFormat="1" ht="27" customHeight="1">
      <c r="B23" s="829"/>
      <c r="C23" s="830"/>
      <c r="D23" s="397">
        <v>17</v>
      </c>
      <c r="E23" s="400" t="s">
        <v>471</v>
      </c>
      <c r="F23" s="401">
        <v>3151.7557999999985</v>
      </c>
      <c r="G23" s="402">
        <v>1614.7599999999998</v>
      </c>
      <c r="H23" s="402">
        <v>1577.2</v>
      </c>
      <c r="I23" s="403">
        <f t="shared" si="10"/>
        <v>0.97673957739849904</v>
      </c>
      <c r="J23" s="402">
        <v>88.3</v>
      </c>
      <c r="K23" s="403">
        <f t="shared" si="11"/>
        <v>5.4683048874136102E-2</v>
      </c>
      <c r="L23" s="402">
        <v>66.13</v>
      </c>
      <c r="M23" s="403">
        <f t="shared" si="12"/>
        <v>1.0314226262726351</v>
      </c>
      <c r="N23" s="404">
        <v>3355.4361999999983</v>
      </c>
      <c r="O23" s="402">
        <v>3.08</v>
      </c>
      <c r="P23" s="403">
        <f t="shared" si="4"/>
        <v>1.9074041962892322E-3</v>
      </c>
      <c r="Q23" s="417">
        <f t="shared" si="5"/>
        <v>203.68039999999999</v>
      </c>
      <c r="R23" s="405">
        <f t="shared" si="6"/>
        <v>47.660000000000238</v>
      </c>
      <c r="S23" s="403">
        <f t="shared" si="7"/>
        <v>2.9515222076345864E-2</v>
      </c>
      <c r="T23" s="407" t="s">
        <v>176</v>
      </c>
      <c r="U23" s="407" t="s">
        <v>477</v>
      </c>
      <c r="V23" s="408" t="s">
        <v>545</v>
      </c>
      <c r="W23" s="408" t="s">
        <v>549</v>
      </c>
      <c r="X23" s="408">
        <v>1</v>
      </c>
      <c r="Y23" s="409" t="s">
        <v>350</v>
      </c>
      <c r="AB23" s="415"/>
      <c r="AC23" s="413"/>
    </row>
    <row r="24" spans="2:34" s="150" customFormat="1" ht="27" customHeight="1">
      <c r="B24" s="829"/>
      <c r="C24" s="830"/>
      <c r="D24" s="397">
        <v>18</v>
      </c>
      <c r="E24" s="400" t="s">
        <v>566</v>
      </c>
      <c r="F24" s="401">
        <v>3094.42</v>
      </c>
      <c r="G24" s="402">
        <v>198855</v>
      </c>
      <c r="H24" s="402">
        <v>198286</v>
      </c>
      <c r="I24" s="403">
        <f t="shared" si="10"/>
        <v>0.99713861859143593</v>
      </c>
      <c r="J24" s="402">
        <v>1530</v>
      </c>
      <c r="K24" s="403">
        <f t="shared" si="11"/>
        <v>7.6940484272459836E-3</v>
      </c>
      <c r="L24" s="402">
        <v>3.2199999999999998</v>
      </c>
      <c r="M24" s="403">
        <f t="shared" si="12"/>
        <v>1.004832667018682</v>
      </c>
      <c r="N24" s="404">
        <v>3094.42</v>
      </c>
      <c r="O24" s="402">
        <v>0</v>
      </c>
      <c r="P24" s="403">
        <f t="shared" si="4"/>
        <v>0</v>
      </c>
      <c r="Q24" s="417">
        <f t="shared" si="5"/>
        <v>0</v>
      </c>
      <c r="R24" s="405">
        <f t="shared" si="6"/>
        <v>961</v>
      </c>
      <c r="S24" s="403">
        <f t="shared" si="7"/>
        <v>4.8326670186819541E-3</v>
      </c>
      <c r="T24" s="407" t="s">
        <v>176</v>
      </c>
      <c r="U24" s="407" t="s">
        <v>477</v>
      </c>
      <c r="V24" s="408" t="s">
        <v>594</v>
      </c>
      <c r="W24" s="408" t="s">
        <v>593</v>
      </c>
      <c r="X24" s="408">
        <v>1</v>
      </c>
      <c r="Y24" s="409" t="s">
        <v>349</v>
      </c>
      <c r="AC24" s="413"/>
    </row>
    <row r="25" spans="2:34" s="150" customFormat="1" ht="27" customHeight="1">
      <c r="B25" s="829"/>
      <c r="C25" s="830"/>
      <c r="D25" s="397">
        <v>19</v>
      </c>
      <c r="E25" s="400" t="s">
        <v>585</v>
      </c>
      <c r="F25" s="401">
        <v>3021.199999999998</v>
      </c>
      <c r="G25" s="402">
        <v>114.40000000000002</v>
      </c>
      <c r="H25" s="402">
        <v>116.46999999999998</v>
      </c>
      <c r="I25" s="403">
        <f t="shared" si="10"/>
        <v>1.0180944055944052</v>
      </c>
      <c r="J25" s="402">
        <v>4.46</v>
      </c>
      <c r="K25" s="403">
        <f t="shared" si="11"/>
        <v>3.8986013986013979E-2</v>
      </c>
      <c r="L25" s="402">
        <v>520</v>
      </c>
      <c r="M25" s="403">
        <f t="shared" si="12"/>
        <v>1.0570804195804193</v>
      </c>
      <c r="N25" s="404">
        <v>3395.5999999999981</v>
      </c>
      <c r="O25" s="402">
        <v>0.72</v>
      </c>
      <c r="P25" s="403">
        <f t="shared" si="4"/>
        <v>6.2937062937062924E-3</v>
      </c>
      <c r="Q25" s="417">
        <f t="shared" si="5"/>
        <v>374.4</v>
      </c>
      <c r="R25" s="405">
        <f t="shared" si="6"/>
        <v>5.8099999999999588</v>
      </c>
      <c r="S25" s="403">
        <f t="shared" si="7"/>
        <v>5.0786713286712915E-2</v>
      </c>
      <c r="T25" s="407" t="s">
        <v>176</v>
      </c>
      <c r="U25" s="407" t="s">
        <v>477</v>
      </c>
      <c r="V25" s="408" t="s">
        <v>595</v>
      </c>
      <c r="W25" s="408" t="s">
        <v>573</v>
      </c>
      <c r="X25" s="408">
        <v>1</v>
      </c>
      <c r="Y25" s="409" t="s">
        <v>577</v>
      </c>
      <c r="AB25" s="416"/>
      <c r="AC25" s="413"/>
    </row>
    <row r="26" spans="2:34" s="150" customFormat="1" ht="27" customHeight="1">
      <c r="B26" s="831"/>
      <c r="C26" s="832"/>
      <c r="D26" s="397">
        <v>20</v>
      </c>
      <c r="E26" s="400" t="s">
        <v>498</v>
      </c>
      <c r="F26" s="401">
        <v>2771.8075000000031</v>
      </c>
      <c r="G26" s="402">
        <v>153.37</v>
      </c>
      <c r="H26" s="402">
        <v>146.15</v>
      </c>
      <c r="I26" s="403">
        <f t="shared" si="10"/>
        <v>0.95292430071069967</v>
      </c>
      <c r="J26" s="402">
        <v>14.26</v>
      </c>
      <c r="K26" s="403">
        <f t="shared" si="11"/>
        <v>9.2977766186346733E-2</v>
      </c>
      <c r="L26" s="402">
        <v>458.15000000000003</v>
      </c>
      <c r="M26" s="403">
        <f t="shared" si="12"/>
        <v>1.0459020668970462</v>
      </c>
      <c r="N26" s="404">
        <v>3225.3760000000025</v>
      </c>
      <c r="O26" s="402">
        <v>0.99</v>
      </c>
      <c r="P26" s="403">
        <f t="shared" si="4"/>
        <v>6.454978157397144E-3</v>
      </c>
      <c r="Q26" s="417">
        <f t="shared" si="5"/>
        <v>453.56850000000003</v>
      </c>
      <c r="R26" s="405">
        <f t="shared" si="6"/>
        <v>6.0499999999999918</v>
      </c>
      <c r="S26" s="403">
        <f t="shared" si="7"/>
        <v>3.944708873964916E-2</v>
      </c>
      <c r="T26" s="407" t="s">
        <v>176</v>
      </c>
      <c r="U26" s="407" t="s">
        <v>477</v>
      </c>
      <c r="V26" s="408" t="s">
        <v>560</v>
      </c>
      <c r="W26" s="408" t="s">
        <v>548</v>
      </c>
      <c r="X26" s="408">
        <v>1</v>
      </c>
      <c r="Y26" s="409" t="s">
        <v>499</v>
      </c>
      <c r="AB26" s="416"/>
      <c r="AC26" s="413"/>
    </row>
    <row r="27" spans="2:34" ht="16.5" customHeight="1">
      <c r="B27" s="849" t="s">
        <v>526</v>
      </c>
      <c r="C27" s="850"/>
      <c r="D27" s="855" t="s">
        <v>172</v>
      </c>
      <c r="E27" s="855"/>
      <c r="F27" s="855"/>
      <c r="G27" s="855" t="s">
        <v>186</v>
      </c>
      <c r="H27" s="855"/>
      <c r="I27" s="855"/>
      <c r="J27" s="855"/>
      <c r="K27" s="855"/>
      <c r="L27" s="855"/>
      <c r="M27" s="855"/>
      <c r="N27" s="855"/>
      <c r="O27" s="855"/>
      <c r="P27" s="855"/>
      <c r="Q27" s="855"/>
      <c r="R27" s="855"/>
      <c r="S27" s="855"/>
      <c r="T27" s="855" t="s">
        <v>173</v>
      </c>
      <c r="U27" s="840" t="s">
        <v>252</v>
      </c>
      <c r="V27" s="860" t="s">
        <v>534</v>
      </c>
      <c r="W27" s="860" t="s">
        <v>528</v>
      </c>
      <c r="X27" s="836" t="s">
        <v>253</v>
      </c>
      <c r="Y27" s="839" t="s">
        <v>174</v>
      </c>
      <c r="AA27" s="855" t="s">
        <v>254</v>
      </c>
      <c r="AB27" s="855"/>
      <c r="AC27" s="855"/>
      <c r="AD27" s="855"/>
      <c r="AE27" s="855"/>
      <c r="AF27" s="855"/>
      <c r="AG27" s="855"/>
      <c r="AH27" s="855"/>
    </row>
    <row r="28" spans="2:34" ht="17.149999999999999" customHeight="1">
      <c r="B28" s="851"/>
      <c r="C28" s="852"/>
      <c r="D28" s="856" t="s">
        <v>171</v>
      </c>
      <c r="E28" s="855" t="s">
        <v>175</v>
      </c>
      <c r="F28" s="855"/>
      <c r="G28" s="855" t="s">
        <v>187</v>
      </c>
      <c r="H28" s="855"/>
      <c r="I28" s="855"/>
      <c r="J28" s="855"/>
      <c r="K28" s="855"/>
      <c r="L28" s="855"/>
      <c r="M28" s="855"/>
      <c r="N28" s="855"/>
      <c r="O28" s="855" t="s">
        <v>176</v>
      </c>
      <c r="P28" s="855"/>
      <c r="Q28" s="855"/>
      <c r="R28" s="855"/>
      <c r="S28" s="855"/>
      <c r="T28" s="855"/>
      <c r="U28" s="843"/>
      <c r="V28" s="837"/>
      <c r="W28" s="861"/>
      <c r="X28" s="837"/>
      <c r="Y28" s="839"/>
      <c r="AA28" s="855"/>
      <c r="AB28" s="855"/>
      <c r="AC28" s="855"/>
      <c r="AD28" s="855"/>
      <c r="AE28" s="855"/>
      <c r="AF28" s="855"/>
      <c r="AG28" s="855"/>
      <c r="AH28" s="855"/>
    </row>
    <row r="29" spans="2:34" ht="17.149999999999999" customHeight="1">
      <c r="B29" s="851"/>
      <c r="C29" s="852"/>
      <c r="D29" s="856"/>
      <c r="E29" s="856" t="s">
        <v>177</v>
      </c>
      <c r="F29" s="863" t="s">
        <v>535</v>
      </c>
      <c r="G29" s="857" t="s">
        <v>188</v>
      </c>
      <c r="H29" s="857"/>
      <c r="I29" s="857"/>
      <c r="J29" s="857"/>
      <c r="K29" s="857"/>
      <c r="L29" s="857"/>
      <c r="M29" s="857"/>
      <c r="N29" s="857"/>
      <c r="O29" s="864" t="s">
        <v>170</v>
      </c>
      <c r="P29" s="865"/>
      <c r="Q29" s="866"/>
      <c r="R29" s="857" t="s">
        <v>178</v>
      </c>
      <c r="S29" s="857"/>
      <c r="T29" s="855"/>
      <c r="U29" s="843"/>
      <c r="V29" s="837"/>
      <c r="W29" s="861"/>
      <c r="X29" s="837"/>
      <c r="Y29" s="839"/>
      <c r="AA29" s="855"/>
      <c r="AB29" s="855"/>
      <c r="AC29" s="855"/>
      <c r="AD29" s="855"/>
      <c r="AE29" s="855"/>
      <c r="AF29" s="855"/>
      <c r="AG29" s="855"/>
      <c r="AH29" s="855"/>
    </row>
    <row r="30" spans="2:34" ht="38.5" customHeight="1">
      <c r="B30" s="853"/>
      <c r="C30" s="854"/>
      <c r="D30" s="856"/>
      <c r="E30" s="856"/>
      <c r="F30" s="863"/>
      <c r="G30" s="398" t="s">
        <v>179</v>
      </c>
      <c r="H30" s="398" t="s">
        <v>259</v>
      </c>
      <c r="I30" s="398" t="s">
        <v>260</v>
      </c>
      <c r="J30" s="398" t="s">
        <v>180</v>
      </c>
      <c r="K30" s="398" t="s">
        <v>257</v>
      </c>
      <c r="L30" s="398" t="s">
        <v>181</v>
      </c>
      <c r="M30" s="398" t="s">
        <v>189</v>
      </c>
      <c r="N30" s="398" t="s">
        <v>182</v>
      </c>
      <c r="O30" s="399" t="s">
        <v>183</v>
      </c>
      <c r="P30" s="399" t="s">
        <v>184</v>
      </c>
      <c r="Q30" s="398" t="s">
        <v>185</v>
      </c>
      <c r="R30" s="399" t="s">
        <v>183</v>
      </c>
      <c r="S30" s="399" t="s">
        <v>184</v>
      </c>
      <c r="T30" s="855"/>
      <c r="U30" s="846"/>
      <c r="V30" s="838"/>
      <c r="W30" s="862"/>
      <c r="X30" s="838"/>
      <c r="Y30" s="839"/>
      <c r="AA30" s="163" t="s">
        <v>251</v>
      </c>
      <c r="AB30" s="163" t="s">
        <v>529</v>
      </c>
      <c r="AC30" s="158" t="s">
        <v>403</v>
      </c>
      <c r="AD30" s="158" t="s">
        <v>346</v>
      </c>
      <c r="AE30" s="158" t="s">
        <v>477</v>
      </c>
      <c r="AF30" s="158" t="s">
        <v>218</v>
      </c>
      <c r="AG30" s="158" t="s">
        <v>219</v>
      </c>
      <c r="AH30" s="158" t="s">
        <v>404</v>
      </c>
    </row>
    <row r="31" spans="2:34" s="150" customFormat="1" ht="27" customHeight="1">
      <c r="B31" s="827" t="s">
        <v>614</v>
      </c>
      <c r="C31" s="828"/>
      <c r="D31" s="397">
        <v>1</v>
      </c>
      <c r="E31" s="400" t="s">
        <v>344</v>
      </c>
      <c r="F31" s="401">
        <v>9525.4523000000427</v>
      </c>
      <c r="G31" s="402">
        <v>3781.83</v>
      </c>
      <c r="H31" s="402">
        <v>3747.04</v>
      </c>
      <c r="I31" s="403">
        <f>H31/G31</f>
        <v>0.99080074990150269</v>
      </c>
      <c r="J31" s="402">
        <v>105.47999999999999</v>
      </c>
      <c r="K31" s="403">
        <f>J31/G31</f>
        <v>2.7891258993661797E-2</v>
      </c>
      <c r="L31" s="402">
        <v>147.43000000000004</v>
      </c>
      <c r="M31" s="403">
        <f>(H31+J31)/G31</f>
        <v>1.0186920088951645</v>
      </c>
      <c r="N31" s="404">
        <v>10421.826700000041</v>
      </c>
      <c r="O31" s="402">
        <v>6.08</v>
      </c>
      <c r="P31" s="403">
        <f>O31/G31</f>
        <v>1.6076872836695462E-3</v>
      </c>
      <c r="Q31" s="417">
        <f>O31*L31</f>
        <v>896.37440000000026</v>
      </c>
      <c r="R31" s="405">
        <f>((H31+J31)-G31)-O31</f>
        <v>64.610000000000056</v>
      </c>
      <c r="S31" s="403">
        <f>R31/G31</f>
        <v>1.7084321611494979E-2</v>
      </c>
      <c r="T31" s="407" t="s">
        <v>176</v>
      </c>
      <c r="U31" s="407" t="s">
        <v>218</v>
      </c>
      <c r="V31" s="408" t="s">
        <v>505</v>
      </c>
      <c r="W31" s="408" t="s">
        <v>561</v>
      </c>
      <c r="X31" s="408">
        <v>1</v>
      </c>
      <c r="Y31" s="409" t="s">
        <v>349</v>
      </c>
      <c r="Z31" s="410" t="s">
        <v>530</v>
      </c>
      <c r="AA31" s="411">
        <f>SUM(X31:X50)</f>
        <v>20</v>
      </c>
      <c r="AB31" s="412">
        <f>SUMIF($U$31:$U$50,TRIM(AB30),$X$31:$X$50)</f>
        <v>0</v>
      </c>
      <c r="AC31" s="412">
        <f t="shared" ref="AC31:AH31" si="13">SUMIF($U$31:$U$50,TRIM(AC30),$X$31:$X$50)</f>
        <v>0</v>
      </c>
      <c r="AD31" s="412">
        <f t="shared" si="13"/>
        <v>0</v>
      </c>
      <c r="AE31" s="412">
        <f t="shared" si="13"/>
        <v>14</v>
      </c>
      <c r="AF31" s="412">
        <f t="shared" si="13"/>
        <v>1</v>
      </c>
      <c r="AG31" s="412">
        <f t="shared" si="13"/>
        <v>5</v>
      </c>
      <c r="AH31" s="412">
        <f t="shared" si="13"/>
        <v>0</v>
      </c>
    </row>
    <row r="32" spans="2:34" s="150" customFormat="1" ht="27" customHeight="1">
      <c r="B32" s="829"/>
      <c r="C32" s="830"/>
      <c r="D32" s="397">
        <v>2</v>
      </c>
      <c r="E32" s="400" t="s">
        <v>582</v>
      </c>
      <c r="F32" s="401">
        <v>7138.6312000000016</v>
      </c>
      <c r="G32" s="402">
        <v>812.96</v>
      </c>
      <c r="H32" s="402">
        <v>816.82999999999993</v>
      </c>
      <c r="I32" s="403">
        <f t="shared" ref="I32:I33" si="14">H32/G32</f>
        <v>1.0047603818146034</v>
      </c>
      <c r="J32" s="402">
        <v>18.28</v>
      </c>
      <c r="K32" s="403">
        <f t="shared" ref="K32:K37" si="15">J32/G32</f>
        <v>2.2485731155284395E-2</v>
      </c>
      <c r="L32" s="402">
        <v>327.16000000000003</v>
      </c>
      <c r="M32" s="403">
        <f t="shared" ref="M32:M37" si="16">(H32+J32)/G32</f>
        <v>1.0272461129698875</v>
      </c>
      <c r="N32" s="404">
        <v>7246.5940000000019</v>
      </c>
      <c r="O32" s="402">
        <v>0.33</v>
      </c>
      <c r="P32" s="403">
        <f t="shared" ref="P32:P50" si="17">O32/G32</f>
        <v>4.0592403070261758E-4</v>
      </c>
      <c r="Q32" s="417">
        <f t="shared" ref="Q32:Q50" si="18">O32*L32</f>
        <v>107.96280000000002</v>
      </c>
      <c r="R32" s="405">
        <f t="shared" ref="R32:R50" si="19">((H32+J32)-G32)-O32</f>
        <v>21.819999999999865</v>
      </c>
      <c r="S32" s="403">
        <f t="shared" ref="S32:S50" si="20">R32/G32</f>
        <v>2.6840188939185033E-2</v>
      </c>
      <c r="T32" s="407" t="s">
        <v>176</v>
      </c>
      <c r="U32" s="407" t="s">
        <v>219</v>
      </c>
      <c r="V32" s="408" t="s">
        <v>594</v>
      </c>
      <c r="W32" s="408" t="s">
        <v>593</v>
      </c>
      <c r="X32" s="408">
        <v>1</v>
      </c>
      <c r="Y32" s="409" t="s">
        <v>563</v>
      </c>
      <c r="AA32" s="411"/>
      <c r="AB32" s="418">
        <f>SUMIF($U$31:$U$50,TRIM(AB30),$F$31:$F$50)</f>
        <v>0</v>
      </c>
      <c r="AC32" s="418">
        <f t="shared" ref="AC32:AH32" si="21">SUMIF($U$31:$U$50,TRIM(AC30),$F$31:$F$50)</f>
        <v>0</v>
      </c>
      <c r="AD32" s="418">
        <f t="shared" si="21"/>
        <v>0</v>
      </c>
      <c r="AE32" s="418">
        <f t="shared" si="21"/>
        <v>51579.949499999995</v>
      </c>
      <c r="AF32" s="418">
        <f t="shared" si="21"/>
        <v>9525.4523000000427</v>
      </c>
      <c r="AG32" s="418">
        <f t="shared" si="21"/>
        <v>20928.296300000031</v>
      </c>
      <c r="AH32" s="418">
        <f t="shared" si="21"/>
        <v>0</v>
      </c>
    </row>
    <row r="33" spans="2:34" s="150" customFormat="1" ht="27" customHeight="1">
      <c r="B33" s="829"/>
      <c r="C33" s="830"/>
      <c r="D33" s="397">
        <v>3</v>
      </c>
      <c r="E33" s="400" t="s">
        <v>406</v>
      </c>
      <c r="F33" s="401">
        <v>5908.7647999999972</v>
      </c>
      <c r="G33" s="402">
        <v>3628.1099999999997</v>
      </c>
      <c r="H33" s="402">
        <v>3500.64</v>
      </c>
      <c r="I33" s="403">
        <f t="shared" si="14"/>
        <v>0.96486600461397265</v>
      </c>
      <c r="J33" s="402">
        <v>177.81</v>
      </c>
      <c r="K33" s="403">
        <f t="shared" si="15"/>
        <v>4.9008988150855408E-2</v>
      </c>
      <c r="L33" s="402">
        <v>127.84000000000002</v>
      </c>
      <c r="M33" s="403">
        <f t="shared" si="16"/>
        <v>1.0138749927648281</v>
      </c>
      <c r="N33" s="404">
        <v>6435.4655999999977</v>
      </c>
      <c r="O33" s="402">
        <v>4.12</v>
      </c>
      <c r="P33" s="403">
        <f t="shared" si="17"/>
        <v>1.1355774769783718E-3</v>
      </c>
      <c r="Q33" s="417">
        <f t="shared" si="18"/>
        <v>526.70080000000007</v>
      </c>
      <c r="R33" s="405">
        <f t="shared" si="19"/>
        <v>46.220000000000148</v>
      </c>
      <c r="S33" s="403">
        <f t="shared" si="20"/>
        <v>1.2739415287849639E-2</v>
      </c>
      <c r="T33" s="407" t="s">
        <v>176</v>
      </c>
      <c r="U33" s="407" t="s">
        <v>477</v>
      </c>
      <c r="V33" s="408" t="s">
        <v>547</v>
      </c>
      <c r="W33" s="408" t="s">
        <v>548</v>
      </c>
      <c r="X33" s="408">
        <v>1</v>
      </c>
      <c r="Y33" s="409" t="s">
        <v>349</v>
      </c>
      <c r="AA33" s="397"/>
      <c r="AB33" s="419">
        <f>AB31/$AA31</f>
        <v>0</v>
      </c>
      <c r="AC33" s="419">
        <f t="shared" ref="AC33:AH33" si="22">AC31/$AA31</f>
        <v>0</v>
      </c>
      <c r="AD33" s="419">
        <f t="shared" si="22"/>
        <v>0</v>
      </c>
      <c r="AE33" s="419">
        <f t="shared" si="22"/>
        <v>0.7</v>
      </c>
      <c r="AF33" s="419">
        <f t="shared" si="22"/>
        <v>0.05</v>
      </c>
      <c r="AG33" s="419">
        <f t="shared" si="22"/>
        <v>0.25</v>
      </c>
      <c r="AH33" s="419">
        <f t="shared" si="22"/>
        <v>0</v>
      </c>
    </row>
    <row r="34" spans="2:34" s="150" customFormat="1" ht="27" customHeight="1">
      <c r="B34" s="829"/>
      <c r="C34" s="830"/>
      <c r="D34" s="397">
        <v>4</v>
      </c>
      <c r="E34" s="400" t="s">
        <v>510</v>
      </c>
      <c r="F34" s="401">
        <v>5276.0532000000003</v>
      </c>
      <c r="G34" s="402">
        <v>306.24</v>
      </c>
      <c r="H34" s="402">
        <v>301.13</v>
      </c>
      <c r="I34" s="403">
        <f>H34/G34</f>
        <v>0.98331374085684431</v>
      </c>
      <c r="J34" s="402">
        <v>17.959999999999997</v>
      </c>
      <c r="K34" s="403">
        <f t="shared" si="15"/>
        <v>5.8646812957157776E-2</v>
      </c>
      <c r="L34" s="402">
        <v>421.40999999999997</v>
      </c>
      <c r="M34" s="403">
        <f t="shared" si="16"/>
        <v>1.041960553814002</v>
      </c>
      <c r="N34" s="404">
        <v>5415.1185000000005</v>
      </c>
      <c r="O34" s="402">
        <v>0.33</v>
      </c>
      <c r="P34" s="403">
        <f t="shared" si="17"/>
        <v>1.0775862068965517E-3</v>
      </c>
      <c r="Q34" s="417">
        <f t="shared" si="18"/>
        <v>139.06530000000001</v>
      </c>
      <c r="R34" s="405">
        <f t="shared" si="19"/>
        <v>12.519999999999966</v>
      </c>
      <c r="S34" s="403">
        <f t="shared" si="20"/>
        <v>4.0882967607105428E-2</v>
      </c>
      <c r="T34" s="407" t="s">
        <v>176</v>
      </c>
      <c r="U34" s="407" t="s">
        <v>477</v>
      </c>
      <c r="V34" s="408" t="s">
        <v>594</v>
      </c>
      <c r="W34" s="408" t="s">
        <v>593</v>
      </c>
      <c r="X34" s="408">
        <v>1</v>
      </c>
      <c r="Y34" s="409" t="s">
        <v>506</v>
      </c>
    </row>
    <row r="35" spans="2:34" s="150" customFormat="1" ht="27" customHeight="1">
      <c r="B35" s="829"/>
      <c r="C35" s="830"/>
      <c r="D35" s="397">
        <v>5</v>
      </c>
      <c r="E35" s="400" t="s">
        <v>377</v>
      </c>
      <c r="F35" s="401">
        <v>4493.0456999999997</v>
      </c>
      <c r="G35" s="402">
        <v>626.40000000000009</v>
      </c>
      <c r="H35" s="402">
        <v>608.5</v>
      </c>
      <c r="I35" s="403">
        <f t="shared" ref="I35:I50" si="23">H35/G35</f>
        <v>0.97142401021711355</v>
      </c>
      <c r="J35" s="402">
        <v>29.369999999999997</v>
      </c>
      <c r="K35" s="403">
        <f t="shared" si="15"/>
        <v>4.6886973180076619E-2</v>
      </c>
      <c r="L35" s="402">
        <v>426.69</v>
      </c>
      <c r="M35" s="403">
        <f t="shared" si="16"/>
        <v>1.0183109833971902</v>
      </c>
      <c r="N35" s="404">
        <v>4894.1342999999997</v>
      </c>
      <c r="O35" s="402">
        <v>0.94</v>
      </c>
      <c r="P35" s="403">
        <f t="shared" si="17"/>
        <v>1.5006385696040864E-3</v>
      </c>
      <c r="Q35" s="417">
        <f t="shared" si="18"/>
        <v>401.08859999999999</v>
      </c>
      <c r="R35" s="405">
        <f t="shared" si="19"/>
        <v>10.529999999999914</v>
      </c>
      <c r="S35" s="403">
        <f t="shared" si="20"/>
        <v>1.6810344827586067E-2</v>
      </c>
      <c r="T35" s="407" t="s">
        <v>176</v>
      </c>
      <c r="U35" s="407" t="s">
        <v>477</v>
      </c>
      <c r="V35" s="408" t="s">
        <v>590</v>
      </c>
      <c r="W35" s="433" t="s">
        <v>591</v>
      </c>
      <c r="X35" s="408">
        <v>1</v>
      </c>
      <c r="Y35" s="409" t="s">
        <v>378</v>
      </c>
    </row>
    <row r="36" spans="2:34" s="150" customFormat="1" ht="27" customHeight="1">
      <c r="B36" s="829"/>
      <c r="C36" s="830"/>
      <c r="D36" s="397">
        <v>6</v>
      </c>
      <c r="E36" s="400" t="s">
        <v>512</v>
      </c>
      <c r="F36" s="401">
        <v>4395.3008000000009</v>
      </c>
      <c r="G36" s="402">
        <v>1588.9499999999998</v>
      </c>
      <c r="H36" s="402">
        <v>1554.9299999999998</v>
      </c>
      <c r="I36" s="403">
        <f t="shared" si="23"/>
        <v>0.97858963466440108</v>
      </c>
      <c r="J36" s="402">
        <v>110.13</v>
      </c>
      <c r="K36" s="403">
        <f t="shared" si="15"/>
        <v>6.9309921646370246E-2</v>
      </c>
      <c r="L36" s="402">
        <v>68.42</v>
      </c>
      <c r="M36" s="403">
        <f t="shared" si="16"/>
        <v>1.0478995563107714</v>
      </c>
      <c r="N36" s="404">
        <v>5207.4462000000003</v>
      </c>
      <c r="O36" s="402">
        <v>11.870000000000001</v>
      </c>
      <c r="P36" s="403">
        <f t="shared" si="17"/>
        <v>7.4703420497813037E-3</v>
      </c>
      <c r="Q36" s="417">
        <f t="shared" si="18"/>
        <v>812.14540000000011</v>
      </c>
      <c r="R36" s="405">
        <f t="shared" si="19"/>
        <v>64.240000000000123</v>
      </c>
      <c r="S36" s="403">
        <f t="shared" si="20"/>
        <v>4.0429214260990047E-2</v>
      </c>
      <c r="T36" s="407" t="s">
        <v>176</v>
      </c>
      <c r="U36" s="407" t="s">
        <v>219</v>
      </c>
      <c r="V36" s="408" t="s">
        <v>656</v>
      </c>
      <c r="W36" s="408" t="s">
        <v>549</v>
      </c>
      <c r="X36" s="408">
        <v>1</v>
      </c>
      <c r="Y36" s="409" t="s">
        <v>508</v>
      </c>
    </row>
    <row r="37" spans="2:34" s="150" customFormat="1" ht="27" customHeight="1">
      <c r="B37" s="829"/>
      <c r="C37" s="830"/>
      <c r="D37" s="397">
        <v>7</v>
      </c>
      <c r="E37" s="400" t="s">
        <v>471</v>
      </c>
      <c r="F37" s="401">
        <v>4342.7571000000025</v>
      </c>
      <c r="G37" s="402">
        <v>1617.42</v>
      </c>
      <c r="H37" s="402">
        <v>1565.87</v>
      </c>
      <c r="I37" s="403">
        <f t="shared" si="23"/>
        <v>0.96812825363851063</v>
      </c>
      <c r="J37" s="402">
        <v>121.1</v>
      </c>
      <c r="K37" s="403">
        <f t="shared" si="15"/>
        <v>7.4872327533973854E-2</v>
      </c>
      <c r="L37" s="402">
        <v>66.13</v>
      </c>
      <c r="M37" s="403">
        <f t="shared" si="16"/>
        <v>1.0430005811724845</v>
      </c>
      <c r="N37" s="404">
        <v>4599.3415000000023</v>
      </c>
      <c r="O37" s="402">
        <v>3.88</v>
      </c>
      <c r="P37" s="403">
        <f t="shared" si="17"/>
        <v>2.3988821703700954E-3</v>
      </c>
      <c r="Q37" s="417">
        <f t="shared" si="18"/>
        <v>256.58439999999996</v>
      </c>
      <c r="R37" s="405">
        <f t="shared" si="19"/>
        <v>65.669999999999732</v>
      </c>
      <c r="S37" s="403">
        <f t="shared" si="20"/>
        <v>4.0601699002114314E-2</v>
      </c>
      <c r="T37" s="407" t="s">
        <v>176</v>
      </c>
      <c r="U37" s="407" t="s">
        <v>477</v>
      </c>
      <c r="V37" s="408" t="s">
        <v>656</v>
      </c>
      <c r="W37" s="408" t="s">
        <v>549</v>
      </c>
      <c r="X37" s="408">
        <v>1</v>
      </c>
      <c r="Y37" s="409" t="s">
        <v>350</v>
      </c>
    </row>
    <row r="38" spans="2:34" s="150" customFormat="1" ht="27" customHeight="1">
      <c r="B38" s="829"/>
      <c r="C38" s="830"/>
      <c r="D38" s="397">
        <v>8</v>
      </c>
      <c r="E38" s="400" t="s">
        <v>472</v>
      </c>
      <c r="F38" s="401">
        <v>4270.0000000000036</v>
      </c>
      <c r="G38" s="402">
        <v>1185.2799999999997</v>
      </c>
      <c r="H38" s="402">
        <v>1176.32</v>
      </c>
      <c r="I38" s="403">
        <f t="shared" si="23"/>
        <v>0.99244060475161999</v>
      </c>
      <c r="J38" s="402">
        <v>30.88</v>
      </c>
      <c r="K38" s="403">
        <f>J38/G38</f>
        <v>2.6052915766738665E-2</v>
      </c>
      <c r="L38" s="402">
        <v>200</v>
      </c>
      <c r="M38" s="403">
        <f>(H38+J38)/G38</f>
        <v>1.0184935205183587</v>
      </c>
      <c r="N38" s="404">
        <v>4384.0000000000036</v>
      </c>
      <c r="O38" s="402">
        <v>0.56999999999999995</v>
      </c>
      <c r="P38" s="403">
        <f t="shared" si="17"/>
        <v>4.8089902807775384E-4</v>
      </c>
      <c r="Q38" s="417">
        <f t="shared" si="18"/>
        <v>113.99999999999999</v>
      </c>
      <c r="R38" s="405">
        <f t="shared" si="19"/>
        <v>21.3500000000003</v>
      </c>
      <c r="S38" s="403">
        <f t="shared" si="20"/>
        <v>1.8012621490281034E-2</v>
      </c>
      <c r="T38" s="407" t="s">
        <v>176</v>
      </c>
      <c r="U38" s="407" t="s">
        <v>477</v>
      </c>
      <c r="V38" s="408" t="s">
        <v>575</v>
      </c>
      <c r="W38" s="408" t="s">
        <v>548</v>
      </c>
      <c r="X38" s="408">
        <v>1</v>
      </c>
      <c r="Y38" s="409" t="s">
        <v>349</v>
      </c>
    </row>
    <row r="39" spans="2:34" s="150" customFormat="1" ht="27" customHeight="1">
      <c r="B39" s="829"/>
      <c r="C39" s="830"/>
      <c r="D39" s="397">
        <v>9</v>
      </c>
      <c r="E39" s="400" t="s">
        <v>470</v>
      </c>
      <c r="F39" s="401">
        <v>4137.6971999999987</v>
      </c>
      <c r="G39" s="402">
        <v>791.19999999999993</v>
      </c>
      <c r="H39" s="402">
        <v>761.22</v>
      </c>
      <c r="I39" s="403">
        <f t="shared" si="23"/>
        <v>0.96210819009100113</v>
      </c>
      <c r="J39" s="402">
        <v>68.2</v>
      </c>
      <c r="K39" s="403">
        <f t="shared" ref="K39:K50" si="24">J39/G39</f>
        <v>8.6198179979777564E-2</v>
      </c>
      <c r="L39" s="402">
        <v>108.26</v>
      </c>
      <c r="M39" s="403">
        <f t="shared" ref="M39:M50" si="25">(H39+J39)/G39</f>
        <v>1.0483063700707786</v>
      </c>
      <c r="N39" s="404">
        <v>4137.6971999999987</v>
      </c>
      <c r="O39" s="402">
        <v>0</v>
      </c>
      <c r="P39" s="403">
        <f t="shared" si="17"/>
        <v>0</v>
      </c>
      <c r="Q39" s="417">
        <f t="shared" si="18"/>
        <v>0</v>
      </c>
      <c r="R39" s="405">
        <f t="shared" si="19"/>
        <v>38.220000000000141</v>
      </c>
      <c r="S39" s="403">
        <f t="shared" si="20"/>
        <v>4.8306370070778745E-2</v>
      </c>
      <c r="T39" s="407" t="s">
        <v>176</v>
      </c>
      <c r="U39" s="407" t="s">
        <v>219</v>
      </c>
      <c r="V39" s="408" t="s">
        <v>656</v>
      </c>
      <c r="W39" s="408" t="s">
        <v>549</v>
      </c>
      <c r="X39" s="408">
        <v>1</v>
      </c>
      <c r="Y39" s="409" t="s">
        <v>353</v>
      </c>
    </row>
    <row r="40" spans="2:34" s="150" customFormat="1" ht="27" customHeight="1">
      <c r="B40" s="829"/>
      <c r="C40" s="830"/>
      <c r="D40" s="397">
        <v>10</v>
      </c>
      <c r="E40" s="400" t="s">
        <v>345</v>
      </c>
      <c r="F40" s="401">
        <v>3749.7480000000005</v>
      </c>
      <c r="G40" s="402">
        <v>1491.42</v>
      </c>
      <c r="H40" s="402">
        <v>1421.3200000000002</v>
      </c>
      <c r="I40" s="403">
        <f t="shared" si="23"/>
        <v>0.95299781416368301</v>
      </c>
      <c r="J40" s="402">
        <v>123.5</v>
      </c>
      <c r="K40" s="403">
        <f t="shared" si="24"/>
        <v>8.2806989312199111E-2</v>
      </c>
      <c r="L40" s="402">
        <v>70.220000000000013</v>
      </c>
      <c r="M40" s="403">
        <f t="shared" si="25"/>
        <v>1.035804803475882</v>
      </c>
      <c r="N40" s="404">
        <v>3749.7480000000005</v>
      </c>
      <c r="O40" s="402">
        <v>0</v>
      </c>
      <c r="P40" s="403">
        <f t="shared" si="17"/>
        <v>0</v>
      </c>
      <c r="Q40" s="417">
        <f t="shared" si="18"/>
        <v>0</v>
      </c>
      <c r="R40" s="405">
        <f t="shared" si="19"/>
        <v>53.400000000000091</v>
      </c>
      <c r="S40" s="403">
        <f t="shared" si="20"/>
        <v>3.5804803475882108E-2</v>
      </c>
      <c r="T40" s="407" t="s">
        <v>176</v>
      </c>
      <c r="U40" s="407" t="s">
        <v>477</v>
      </c>
      <c r="V40" s="408" t="s">
        <v>545</v>
      </c>
      <c r="W40" s="408" t="s">
        <v>549</v>
      </c>
      <c r="X40" s="408">
        <v>1</v>
      </c>
      <c r="Y40" s="409" t="s">
        <v>352</v>
      </c>
    </row>
    <row r="41" spans="2:34" s="150" customFormat="1" ht="27" customHeight="1">
      <c r="B41" s="829"/>
      <c r="C41" s="830"/>
      <c r="D41" s="397">
        <v>11</v>
      </c>
      <c r="E41" s="400" t="s">
        <v>482</v>
      </c>
      <c r="F41" s="401">
        <v>3335.3483999999999</v>
      </c>
      <c r="G41" s="402">
        <v>391.82</v>
      </c>
      <c r="H41" s="402">
        <v>383.17999999999995</v>
      </c>
      <c r="I41" s="403">
        <f t="shared" si="23"/>
        <v>0.97794905824102896</v>
      </c>
      <c r="J41" s="402">
        <v>18.14</v>
      </c>
      <c r="K41" s="403">
        <f t="shared" si="24"/>
        <v>4.6296768924506154E-2</v>
      </c>
      <c r="L41" s="402">
        <v>368.13999999999993</v>
      </c>
      <c r="M41" s="403">
        <f t="shared" si="25"/>
        <v>1.024245827165535</v>
      </c>
      <c r="N41" s="404">
        <v>3497.33</v>
      </c>
      <c r="O41" s="402">
        <v>0.44</v>
      </c>
      <c r="P41" s="403">
        <f t="shared" si="17"/>
        <v>1.1229646266142617E-3</v>
      </c>
      <c r="Q41" s="417">
        <f t="shared" si="18"/>
        <v>161.98159999999996</v>
      </c>
      <c r="R41" s="405">
        <f t="shared" si="19"/>
        <v>9.0599999999999437</v>
      </c>
      <c r="S41" s="403">
        <f t="shared" si="20"/>
        <v>2.3122862538920791E-2</v>
      </c>
      <c r="T41" s="407" t="s">
        <v>176</v>
      </c>
      <c r="U41" s="407" t="s">
        <v>477</v>
      </c>
      <c r="V41" s="408" t="s">
        <v>562</v>
      </c>
      <c r="W41" s="408" t="s">
        <v>593</v>
      </c>
      <c r="X41" s="408">
        <v>1</v>
      </c>
      <c r="Y41" s="409" t="s">
        <v>483</v>
      </c>
    </row>
    <row r="42" spans="2:34" s="150" customFormat="1" ht="27" customHeight="1">
      <c r="B42" s="829"/>
      <c r="C42" s="830"/>
      <c r="D42" s="397">
        <v>12</v>
      </c>
      <c r="E42" s="400" t="s">
        <v>583</v>
      </c>
      <c r="F42" s="401">
        <v>3231.1618999999964</v>
      </c>
      <c r="G42" s="402">
        <v>378.68999999999994</v>
      </c>
      <c r="H42" s="402">
        <v>370.32</v>
      </c>
      <c r="I42" s="403">
        <f t="shared" si="23"/>
        <v>0.97789748871108306</v>
      </c>
      <c r="J42" s="402">
        <v>17.420000000000002</v>
      </c>
      <c r="K42" s="403">
        <f t="shared" si="24"/>
        <v>4.6000686577411617E-2</v>
      </c>
      <c r="L42" s="402">
        <v>365.92999999999995</v>
      </c>
      <c r="M42" s="403">
        <f t="shared" si="25"/>
        <v>1.0238981752884948</v>
      </c>
      <c r="N42" s="404">
        <v>3311.6664999999962</v>
      </c>
      <c r="O42" s="402">
        <v>0.22</v>
      </c>
      <c r="P42" s="403">
        <f t="shared" si="17"/>
        <v>5.8095011751036472E-4</v>
      </c>
      <c r="Q42" s="417">
        <f t="shared" si="18"/>
        <v>80.504599999999996</v>
      </c>
      <c r="R42" s="405">
        <f t="shared" si="19"/>
        <v>8.8300000000000676</v>
      </c>
      <c r="S42" s="403">
        <f t="shared" si="20"/>
        <v>2.3317225170984366E-2</v>
      </c>
      <c r="T42" s="407" t="s">
        <v>176</v>
      </c>
      <c r="U42" s="407" t="s">
        <v>477</v>
      </c>
      <c r="V42" s="408" t="s">
        <v>562</v>
      </c>
      <c r="W42" s="408" t="s">
        <v>593</v>
      </c>
      <c r="X42" s="408">
        <v>1</v>
      </c>
      <c r="Y42" s="409" t="s">
        <v>444</v>
      </c>
    </row>
    <row r="43" spans="2:34" s="150" customFormat="1" ht="27" customHeight="1">
      <c r="B43" s="829"/>
      <c r="C43" s="830"/>
      <c r="D43" s="397">
        <v>13</v>
      </c>
      <c r="E43" s="400" t="s">
        <v>498</v>
      </c>
      <c r="F43" s="401">
        <v>3106.257000000001</v>
      </c>
      <c r="G43" s="402">
        <v>145.03</v>
      </c>
      <c r="H43" s="402">
        <v>143.41</v>
      </c>
      <c r="I43" s="403">
        <f t="shared" si="23"/>
        <v>0.98882989726263526</v>
      </c>
      <c r="J43" s="402">
        <v>8.4</v>
      </c>
      <c r="K43" s="403">
        <f t="shared" si="24"/>
        <v>5.7919051230779839E-2</v>
      </c>
      <c r="L43" s="402">
        <v>458.15000000000003</v>
      </c>
      <c r="M43" s="403">
        <f t="shared" si="25"/>
        <v>1.0467489484934152</v>
      </c>
      <c r="N43" s="404">
        <v>3106.257000000001</v>
      </c>
      <c r="O43" s="402">
        <v>0</v>
      </c>
      <c r="P43" s="403">
        <f t="shared" si="17"/>
        <v>0</v>
      </c>
      <c r="Q43" s="417">
        <f t="shared" si="18"/>
        <v>0</v>
      </c>
      <c r="R43" s="405">
        <f t="shared" si="19"/>
        <v>6.7800000000000011</v>
      </c>
      <c r="S43" s="403">
        <f t="shared" si="20"/>
        <v>4.6748948493415161E-2</v>
      </c>
      <c r="T43" s="407" t="s">
        <v>176</v>
      </c>
      <c r="U43" s="407" t="s">
        <v>477</v>
      </c>
      <c r="V43" s="408" t="s">
        <v>594</v>
      </c>
      <c r="W43" s="408" t="s">
        <v>593</v>
      </c>
      <c r="X43" s="408">
        <v>1</v>
      </c>
      <c r="Y43" s="409" t="s">
        <v>499</v>
      </c>
    </row>
    <row r="44" spans="2:34" s="150" customFormat="1" ht="27" customHeight="1">
      <c r="B44" s="829"/>
      <c r="C44" s="830"/>
      <c r="D44" s="397">
        <v>14</v>
      </c>
      <c r="E44" s="400" t="s">
        <v>492</v>
      </c>
      <c r="F44" s="401">
        <v>2847.4512000000013</v>
      </c>
      <c r="G44" s="402">
        <v>986.65000000000009</v>
      </c>
      <c r="H44" s="402">
        <v>958.2700000000001</v>
      </c>
      <c r="I44" s="403">
        <f t="shared" si="23"/>
        <v>0.97123600060811843</v>
      </c>
      <c r="J44" s="402">
        <v>73.509999999999991</v>
      </c>
      <c r="K44" s="403">
        <f t="shared" si="24"/>
        <v>7.450463690265037E-2</v>
      </c>
      <c r="L44" s="402">
        <v>65.67</v>
      </c>
      <c r="M44" s="403">
        <f t="shared" si="25"/>
        <v>1.045740637510769</v>
      </c>
      <c r="N44" s="404">
        <v>2963.6871000000015</v>
      </c>
      <c r="O44" s="402">
        <v>1.77</v>
      </c>
      <c r="P44" s="403">
        <f t="shared" si="17"/>
        <v>1.7939492221152383E-3</v>
      </c>
      <c r="Q44" s="417">
        <f t="shared" si="18"/>
        <v>116.2359</v>
      </c>
      <c r="R44" s="405">
        <f t="shared" si="19"/>
        <v>43.360000000000106</v>
      </c>
      <c r="S44" s="403">
        <f t="shared" si="20"/>
        <v>4.3946688288653626E-2</v>
      </c>
      <c r="T44" s="407" t="s">
        <v>176</v>
      </c>
      <c r="U44" s="407" t="s">
        <v>477</v>
      </c>
      <c r="V44" s="408" t="s">
        <v>545</v>
      </c>
      <c r="W44" s="408" t="s">
        <v>549</v>
      </c>
      <c r="X44" s="408">
        <v>1</v>
      </c>
      <c r="Y44" s="409" t="s">
        <v>493</v>
      </c>
      <c r="AC44" s="414"/>
    </row>
    <row r="45" spans="2:34" s="150" customFormat="1" ht="27" customHeight="1">
      <c r="B45" s="829"/>
      <c r="C45" s="830"/>
      <c r="D45" s="397">
        <v>15</v>
      </c>
      <c r="E45" s="400" t="s">
        <v>442</v>
      </c>
      <c r="F45" s="401">
        <v>2814.8220999999999</v>
      </c>
      <c r="G45" s="402">
        <v>1438.77</v>
      </c>
      <c r="H45" s="402">
        <v>1448.25</v>
      </c>
      <c r="I45" s="403">
        <f t="shared" si="23"/>
        <v>1.0065889614045331</v>
      </c>
      <c r="J45" s="402">
        <v>15.520000000000001</v>
      </c>
      <c r="K45" s="403">
        <f t="shared" si="24"/>
        <v>1.0786991666492909E-2</v>
      </c>
      <c r="L45" s="402">
        <v>157.87000000000003</v>
      </c>
      <c r="M45" s="403">
        <f t="shared" si="25"/>
        <v>1.017375953071026</v>
      </c>
      <c r="N45" s="404">
        <v>3946.75</v>
      </c>
      <c r="O45" s="402">
        <v>7.1700000000000008</v>
      </c>
      <c r="P45" s="403">
        <f t="shared" si="17"/>
        <v>4.9834233407702417E-3</v>
      </c>
      <c r="Q45" s="417">
        <f t="shared" si="18"/>
        <v>1131.9279000000004</v>
      </c>
      <c r="R45" s="405">
        <f t="shared" si="19"/>
        <v>17.829999999999998</v>
      </c>
      <c r="S45" s="403">
        <f t="shared" si="20"/>
        <v>1.2392529730255704E-2</v>
      </c>
      <c r="T45" s="407" t="s">
        <v>176</v>
      </c>
      <c r="U45" s="407" t="s">
        <v>477</v>
      </c>
      <c r="V45" s="408" t="s">
        <v>628</v>
      </c>
      <c r="W45" s="408" t="s">
        <v>629</v>
      </c>
      <c r="X45" s="408">
        <v>1</v>
      </c>
      <c r="Y45" s="409" t="s">
        <v>349</v>
      </c>
      <c r="AC45" s="413"/>
    </row>
    <row r="46" spans="2:34" s="150" customFormat="1" ht="27" customHeight="1">
      <c r="B46" s="829"/>
      <c r="C46" s="830"/>
      <c r="D46" s="397">
        <v>16</v>
      </c>
      <c r="E46" s="400" t="s">
        <v>622</v>
      </c>
      <c r="F46" s="401">
        <v>2791.1985999999952</v>
      </c>
      <c r="G46" s="402">
        <v>669.95</v>
      </c>
      <c r="H46" s="402">
        <v>665.48</v>
      </c>
      <c r="I46" s="403">
        <f t="shared" si="23"/>
        <v>0.99332786028808118</v>
      </c>
      <c r="J46" s="402">
        <v>31.15</v>
      </c>
      <c r="K46" s="403">
        <f t="shared" si="24"/>
        <v>4.6496007164713776E-2</v>
      </c>
      <c r="L46" s="402">
        <v>128.38999999999999</v>
      </c>
      <c r="M46" s="403">
        <f t="shared" si="25"/>
        <v>1.0398238674527949</v>
      </c>
      <c r="N46" s="404">
        <v>3425.4451999999951</v>
      </c>
      <c r="O46" s="402">
        <v>4.9399999999999995</v>
      </c>
      <c r="P46" s="403">
        <f t="shared" si="17"/>
        <v>7.3736846033286051E-3</v>
      </c>
      <c r="Q46" s="417">
        <f t="shared" si="18"/>
        <v>634.24659999999983</v>
      </c>
      <c r="R46" s="405">
        <f t="shared" si="19"/>
        <v>21.739999999999952</v>
      </c>
      <c r="S46" s="403">
        <f t="shared" si="20"/>
        <v>3.2450182849466304E-2</v>
      </c>
      <c r="T46" s="407" t="s">
        <v>176</v>
      </c>
      <c r="U46" s="407" t="s">
        <v>477</v>
      </c>
      <c r="V46" s="408" t="s">
        <v>628</v>
      </c>
      <c r="W46" s="408" t="s">
        <v>629</v>
      </c>
      <c r="X46" s="408">
        <v>1</v>
      </c>
      <c r="Y46" s="409" t="s">
        <v>366</v>
      </c>
      <c r="AC46" s="413"/>
    </row>
    <row r="47" spans="2:34" s="150" customFormat="1" ht="27" customHeight="1">
      <c r="B47" s="829"/>
      <c r="C47" s="830"/>
      <c r="D47" s="397">
        <v>17</v>
      </c>
      <c r="E47" s="400" t="s">
        <v>474</v>
      </c>
      <c r="F47" s="401">
        <v>2756.4245000000001</v>
      </c>
      <c r="G47" s="402">
        <v>166.53999999999996</v>
      </c>
      <c r="H47" s="402">
        <v>166.52999999999997</v>
      </c>
      <c r="I47" s="403">
        <f t="shared" si="23"/>
        <v>0.99993995436531768</v>
      </c>
      <c r="J47" s="402">
        <v>8.8600000000000012</v>
      </c>
      <c r="K47" s="403">
        <f t="shared" si="24"/>
        <v>5.3200432328569733E-2</v>
      </c>
      <c r="L47" s="402">
        <v>345.84999999999997</v>
      </c>
      <c r="M47" s="403">
        <f t="shared" si="25"/>
        <v>1.0531403866938875</v>
      </c>
      <c r="N47" s="404">
        <v>3060.7725</v>
      </c>
      <c r="O47" s="402">
        <v>0.88</v>
      </c>
      <c r="P47" s="403">
        <f t="shared" si="17"/>
        <v>5.2840158520475571E-3</v>
      </c>
      <c r="Q47" s="417">
        <f t="shared" si="18"/>
        <v>304.34799999999996</v>
      </c>
      <c r="R47" s="405">
        <f t="shared" si="19"/>
        <v>7.9700000000000228</v>
      </c>
      <c r="S47" s="403">
        <f t="shared" si="20"/>
        <v>4.7856370841839947E-2</v>
      </c>
      <c r="T47" s="407" t="s">
        <v>176</v>
      </c>
      <c r="U47" s="407" t="s">
        <v>477</v>
      </c>
      <c r="V47" s="408" t="s">
        <v>562</v>
      </c>
      <c r="W47" s="408" t="s">
        <v>593</v>
      </c>
      <c r="X47" s="408">
        <v>1</v>
      </c>
      <c r="Y47" s="409" t="s">
        <v>473</v>
      </c>
      <c r="AB47" s="415"/>
      <c r="AC47" s="413"/>
    </row>
    <row r="48" spans="2:34" s="150" customFormat="1" ht="27" customHeight="1">
      <c r="B48" s="829"/>
      <c r="C48" s="830"/>
      <c r="D48" s="397">
        <v>18</v>
      </c>
      <c r="E48" s="400" t="s">
        <v>475</v>
      </c>
      <c r="F48" s="401">
        <v>2656.9169999999995</v>
      </c>
      <c r="G48" s="402">
        <v>1020.24</v>
      </c>
      <c r="H48" s="402">
        <v>977.63999999999987</v>
      </c>
      <c r="I48" s="403">
        <f t="shared" si="23"/>
        <v>0.95824511879557739</v>
      </c>
      <c r="J48" s="402">
        <v>71.2</v>
      </c>
      <c r="K48" s="403">
        <f t="shared" si="24"/>
        <v>6.9787500980161538E-2</v>
      </c>
      <c r="L48" s="402">
        <v>99.51</v>
      </c>
      <c r="M48" s="403">
        <f t="shared" si="25"/>
        <v>1.028032619775739</v>
      </c>
      <c r="N48" s="404">
        <v>2845.9859999999999</v>
      </c>
      <c r="O48" s="402">
        <v>1.9</v>
      </c>
      <c r="P48" s="403">
        <f t="shared" si="17"/>
        <v>1.8623069081784677E-3</v>
      </c>
      <c r="Q48" s="417">
        <f t="shared" si="18"/>
        <v>189.06899999999999</v>
      </c>
      <c r="R48" s="405">
        <f t="shared" si="19"/>
        <v>26.69999999999991</v>
      </c>
      <c r="S48" s="403">
        <f t="shared" si="20"/>
        <v>2.6170312867560486E-2</v>
      </c>
      <c r="T48" s="407" t="s">
        <v>176</v>
      </c>
      <c r="U48" s="407" t="s">
        <v>477</v>
      </c>
      <c r="V48" s="408" t="s">
        <v>545</v>
      </c>
      <c r="W48" s="408" t="s">
        <v>549</v>
      </c>
      <c r="X48" s="408">
        <v>1</v>
      </c>
      <c r="Y48" s="409" t="s">
        <v>364</v>
      </c>
      <c r="AC48" s="413"/>
    </row>
    <row r="49" spans="2:34" s="150" customFormat="1" ht="27" customHeight="1">
      <c r="B49" s="829"/>
      <c r="C49" s="830"/>
      <c r="D49" s="397">
        <v>19</v>
      </c>
      <c r="E49" s="400" t="s">
        <v>520</v>
      </c>
      <c r="F49" s="401">
        <v>2651.8131000000008</v>
      </c>
      <c r="G49" s="402">
        <v>1085.98</v>
      </c>
      <c r="H49" s="402">
        <v>1065.0700000000002</v>
      </c>
      <c r="I49" s="403">
        <f t="shared" si="23"/>
        <v>0.98074550175878017</v>
      </c>
      <c r="J49" s="402">
        <v>64.849999999999994</v>
      </c>
      <c r="K49" s="403">
        <f t="shared" si="24"/>
        <v>5.9715648538647116E-2</v>
      </c>
      <c r="L49" s="402">
        <v>71.69</v>
      </c>
      <c r="M49" s="403">
        <f t="shared" si="25"/>
        <v>1.0404611502974273</v>
      </c>
      <c r="N49" s="404">
        <v>3150.0586000000008</v>
      </c>
      <c r="O49" s="402">
        <v>6.9500000000000011</v>
      </c>
      <c r="P49" s="403">
        <f t="shared" si="17"/>
        <v>6.3997495349822292E-3</v>
      </c>
      <c r="Q49" s="417">
        <f t="shared" si="18"/>
        <v>498.24550000000005</v>
      </c>
      <c r="R49" s="405">
        <f t="shared" si="19"/>
        <v>36.990000000000052</v>
      </c>
      <c r="S49" s="403">
        <f t="shared" si="20"/>
        <v>3.4061400762445029E-2</v>
      </c>
      <c r="T49" s="407" t="s">
        <v>176</v>
      </c>
      <c r="U49" s="407" t="s">
        <v>219</v>
      </c>
      <c r="V49" s="408" t="s">
        <v>545</v>
      </c>
      <c r="W49" s="408" t="s">
        <v>549</v>
      </c>
      <c r="X49" s="408">
        <v>1</v>
      </c>
      <c r="Y49" s="409" t="s">
        <v>515</v>
      </c>
      <c r="AB49" s="416"/>
      <c r="AC49" s="413"/>
    </row>
    <row r="50" spans="2:34" s="150" customFormat="1" ht="27" customHeight="1">
      <c r="B50" s="831"/>
      <c r="C50" s="832"/>
      <c r="D50" s="397">
        <v>20</v>
      </c>
      <c r="E50" s="400" t="s">
        <v>623</v>
      </c>
      <c r="F50" s="401">
        <v>2604.8540000000285</v>
      </c>
      <c r="G50" s="402">
        <v>1101.8499999999999</v>
      </c>
      <c r="H50" s="402">
        <v>1084.74</v>
      </c>
      <c r="I50" s="403">
        <f t="shared" si="23"/>
        <v>0.98447157054045475</v>
      </c>
      <c r="J50" s="402">
        <v>22.34</v>
      </c>
      <c r="K50" s="403">
        <f t="shared" si="24"/>
        <v>2.0274992058810185E-2</v>
      </c>
      <c r="L50" s="402">
        <v>605.77999999999986</v>
      </c>
      <c r="M50" s="403">
        <f t="shared" si="25"/>
        <v>1.0047465625992649</v>
      </c>
      <c r="N50" s="404">
        <v>3168.2294000000284</v>
      </c>
      <c r="O50" s="402">
        <v>0.92999999999999994</v>
      </c>
      <c r="P50" s="403">
        <f t="shared" si="17"/>
        <v>8.4403503199165046E-4</v>
      </c>
      <c r="Q50" s="417">
        <f t="shared" si="18"/>
        <v>563.37539999999979</v>
      </c>
      <c r="R50" s="405">
        <f t="shared" si="19"/>
        <v>4.3000000000000185</v>
      </c>
      <c r="S50" s="403">
        <f t="shared" si="20"/>
        <v>3.9025275672732395E-3</v>
      </c>
      <c r="T50" s="407" t="s">
        <v>176</v>
      </c>
      <c r="U50" s="407" t="s">
        <v>219</v>
      </c>
      <c r="V50" s="408" t="s">
        <v>630</v>
      </c>
      <c r="W50" s="408" t="s">
        <v>631</v>
      </c>
      <c r="X50" s="408">
        <v>1</v>
      </c>
      <c r="Y50" s="409" t="s">
        <v>351</v>
      </c>
      <c r="AB50" s="416"/>
      <c r="AC50" s="413"/>
    </row>
    <row r="51" spans="2:34" ht="16.5" customHeight="1">
      <c r="B51" s="849" t="s">
        <v>526</v>
      </c>
      <c r="C51" s="850"/>
      <c r="D51" s="855" t="s">
        <v>172</v>
      </c>
      <c r="E51" s="855"/>
      <c r="F51" s="855"/>
      <c r="G51" s="855" t="s">
        <v>186</v>
      </c>
      <c r="H51" s="855"/>
      <c r="I51" s="855"/>
      <c r="J51" s="855"/>
      <c r="K51" s="855"/>
      <c r="L51" s="855"/>
      <c r="M51" s="855"/>
      <c r="N51" s="855"/>
      <c r="O51" s="855"/>
      <c r="P51" s="855"/>
      <c r="Q51" s="855"/>
      <c r="R51" s="855"/>
      <c r="S51" s="855"/>
      <c r="T51" s="855" t="s">
        <v>173</v>
      </c>
      <c r="U51" s="840" t="s">
        <v>252</v>
      </c>
      <c r="V51" s="860" t="s">
        <v>534</v>
      </c>
      <c r="W51" s="860" t="s">
        <v>528</v>
      </c>
      <c r="X51" s="836" t="s">
        <v>253</v>
      </c>
      <c r="Y51" s="839" t="s">
        <v>174</v>
      </c>
      <c r="AA51" s="855" t="s">
        <v>254</v>
      </c>
      <c r="AB51" s="855"/>
      <c r="AC51" s="855"/>
      <c r="AD51" s="855"/>
      <c r="AE51" s="855"/>
      <c r="AF51" s="855"/>
      <c r="AG51" s="855"/>
      <c r="AH51" s="855"/>
    </row>
    <row r="52" spans="2:34" ht="17.149999999999999" customHeight="1">
      <c r="B52" s="851"/>
      <c r="C52" s="852"/>
      <c r="D52" s="856" t="s">
        <v>171</v>
      </c>
      <c r="E52" s="855" t="s">
        <v>175</v>
      </c>
      <c r="F52" s="855"/>
      <c r="G52" s="855" t="s">
        <v>187</v>
      </c>
      <c r="H52" s="855"/>
      <c r="I52" s="855"/>
      <c r="J52" s="855"/>
      <c r="K52" s="855"/>
      <c r="L52" s="855"/>
      <c r="M52" s="855"/>
      <c r="N52" s="855"/>
      <c r="O52" s="855" t="s">
        <v>176</v>
      </c>
      <c r="P52" s="855"/>
      <c r="Q52" s="855"/>
      <c r="R52" s="855"/>
      <c r="S52" s="855"/>
      <c r="T52" s="855"/>
      <c r="U52" s="843"/>
      <c r="V52" s="837"/>
      <c r="W52" s="861"/>
      <c r="X52" s="837"/>
      <c r="Y52" s="839"/>
      <c r="AA52" s="855"/>
      <c r="AB52" s="855"/>
      <c r="AC52" s="855"/>
      <c r="AD52" s="855"/>
      <c r="AE52" s="855"/>
      <c r="AF52" s="855"/>
      <c r="AG52" s="855"/>
      <c r="AH52" s="855"/>
    </row>
    <row r="53" spans="2:34" ht="17.149999999999999" customHeight="1">
      <c r="B53" s="851"/>
      <c r="C53" s="852"/>
      <c r="D53" s="856"/>
      <c r="E53" s="856" t="s">
        <v>177</v>
      </c>
      <c r="F53" s="863" t="s">
        <v>535</v>
      </c>
      <c r="G53" s="857" t="s">
        <v>188</v>
      </c>
      <c r="H53" s="857"/>
      <c r="I53" s="857"/>
      <c r="J53" s="857"/>
      <c r="K53" s="857"/>
      <c r="L53" s="857"/>
      <c r="M53" s="857"/>
      <c r="N53" s="857"/>
      <c r="O53" s="864" t="s">
        <v>170</v>
      </c>
      <c r="P53" s="865"/>
      <c r="Q53" s="866"/>
      <c r="R53" s="857" t="s">
        <v>178</v>
      </c>
      <c r="S53" s="857"/>
      <c r="T53" s="855"/>
      <c r="U53" s="843"/>
      <c r="V53" s="837"/>
      <c r="W53" s="861"/>
      <c r="X53" s="837"/>
      <c r="Y53" s="839"/>
      <c r="AA53" s="855"/>
      <c r="AB53" s="855"/>
      <c r="AC53" s="855"/>
      <c r="AD53" s="855"/>
      <c r="AE53" s="855"/>
      <c r="AF53" s="855"/>
      <c r="AG53" s="855"/>
      <c r="AH53" s="855"/>
    </row>
    <row r="54" spans="2:34" ht="38.5" customHeight="1">
      <c r="B54" s="853"/>
      <c r="C54" s="854"/>
      <c r="D54" s="856"/>
      <c r="E54" s="856"/>
      <c r="F54" s="863"/>
      <c r="G54" s="398" t="s">
        <v>179</v>
      </c>
      <c r="H54" s="398" t="s">
        <v>259</v>
      </c>
      <c r="I54" s="398" t="s">
        <v>260</v>
      </c>
      <c r="J54" s="398" t="s">
        <v>180</v>
      </c>
      <c r="K54" s="398" t="s">
        <v>257</v>
      </c>
      <c r="L54" s="398" t="s">
        <v>181</v>
      </c>
      <c r="M54" s="398" t="s">
        <v>189</v>
      </c>
      <c r="N54" s="398" t="s">
        <v>182</v>
      </c>
      <c r="O54" s="399" t="s">
        <v>183</v>
      </c>
      <c r="P54" s="399" t="s">
        <v>184</v>
      </c>
      <c r="Q54" s="398" t="s">
        <v>185</v>
      </c>
      <c r="R54" s="399" t="s">
        <v>183</v>
      </c>
      <c r="S54" s="399" t="s">
        <v>184</v>
      </c>
      <c r="T54" s="855"/>
      <c r="U54" s="846"/>
      <c r="V54" s="838"/>
      <c r="W54" s="862"/>
      <c r="X54" s="838"/>
      <c r="Y54" s="839"/>
      <c r="AA54" s="163" t="s">
        <v>251</v>
      </c>
      <c r="AB54" s="163" t="s">
        <v>529</v>
      </c>
      <c r="AC54" s="158" t="s">
        <v>403</v>
      </c>
      <c r="AD54" s="158" t="s">
        <v>346</v>
      </c>
      <c r="AE54" s="158" t="s">
        <v>477</v>
      </c>
      <c r="AF54" s="158" t="s">
        <v>218</v>
      </c>
      <c r="AG54" s="158" t="s">
        <v>219</v>
      </c>
      <c r="AH54" s="158" t="s">
        <v>404</v>
      </c>
    </row>
    <row r="55" spans="2:34" s="150" customFormat="1" ht="27" customHeight="1">
      <c r="B55" s="827" t="s">
        <v>660</v>
      </c>
      <c r="C55" s="828"/>
      <c r="D55" s="397">
        <v>1</v>
      </c>
      <c r="E55" s="400" t="s">
        <v>344</v>
      </c>
      <c r="F55" s="401">
        <v>9777.5575999999983</v>
      </c>
      <c r="G55" s="402">
        <v>4245.75</v>
      </c>
      <c r="H55" s="402">
        <v>4223.8500000000004</v>
      </c>
      <c r="I55" s="403">
        <f>H55/G55</f>
        <v>0.99484190072425371</v>
      </c>
      <c r="J55" s="402">
        <v>88.22</v>
      </c>
      <c r="K55" s="403">
        <f>J55/G55</f>
        <v>2.0778425484307837E-2</v>
      </c>
      <c r="L55" s="402">
        <v>147.43000000000004</v>
      </c>
      <c r="M55" s="403">
        <f>(H55+J55)/G55</f>
        <v>1.0156203262085617</v>
      </c>
      <c r="N55" s="404">
        <v>9777.5575999999983</v>
      </c>
      <c r="O55" s="402">
        <v>0</v>
      </c>
      <c r="P55" s="403">
        <f>O55/G55</f>
        <v>0</v>
      </c>
      <c r="Q55" s="417">
        <f>O55*L55</f>
        <v>0</v>
      </c>
      <c r="R55" s="405">
        <f>((H55+J55)-G55)-O55</f>
        <v>66.320000000000618</v>
      </c>
      <c r="S55" s="403">
        <f>R55/G55</f>
        <v>1.5620326208561649E-2</v>
      </c>
      <c r="T55" s="407" t="s">
        <v>176</v>
      </c>
      <c r="U55" s="407" t="s">
        <v>218</v>
      </c>
      <c r="V55" s="408" t="s">
        <v>505</v>
      </c>
      <c r="W55" s="408" t="s">
        <v>561</v>
      </c>
      <c r="X55" s="408">
        <v>1</v>
      </c>
      <c r="Y55" s="409" t="s">
        <v>349</v>
      </c>
      <c r="Z55" s="410" t="s">
        <v>530</v>
      </c>
      <c r="AA55" s="411">
        <f>SUM(X55:X74)</f>
        <v>20</v>
      </c>
      <c r="AB55" s="412">
        <f>SUMIF($U$55:$U$74,TRIM(AB54),$X$55:$X$74)</f>
        <v>0</v>
      </c>
      <c r="AC55" s="412">
        <f t="shared" ref="AC55:AH55" si="26">SUMIF($U$55:$U$74,TRIM(AC54),$X$55:$X$74)</f>
        <v>0</v>
      </c>
      <c r="AD55" s="412">
        <f t="shared" si="26"/>
        <v>0</v>
      </c>
      <c r="AE55" s="412">
        <f t="shared" si="26"/>
        <v>16</v>
      </c>
      <c r="AF55" s="412">
        <f t="shared" si="26"/>
        <v>1</v>
      </c>
      <c r="AG55" s="412">
        <f t="shared" si="26"/>
        <v>3</v>
      </c>
      <c r="AH55" s="412">
        <f t="shared" si="26"/>
        <v>0</v>
      </c>
    </row>
    <row r="56" spans="2:34" s="150" customFormat="1" ht="27" customHeight="1">
      <c r="B56" s="829"/>
      <c r="C56" s="830"/>
      <c r="D56" s="397">
        <v>2</v>
      </c>
      <c r="E56" s="400" t="s">
        <v>582</v>
      </c>
      <c r="F56" s="401">
        <v>6641.3480000000091</v>
      </c>
      <c r="G56" s="402">
        <v>651.96</v>
      </c>
      <c r="H56" s="402">
        <v>649.24</v>
      </c>
      <c r="I56" s="403">
        <f t="shared" ref="I56:I57" si="27">H56/G56</f>
        <v>0.99582796490582237</v>
      </c>
      <c r="J56" s="402">
        <v>23.02</v>
      </c>
      <c r="K56" s="403">
        <f t="shared" ref="K56:K61" si="28">J56/G56</f>
        <v>3.5308914657340935E-2</v>
      </c>
      <c r="L56" s="402">
        <v>327.16000000000003</v>
      </c>
      <c r="M56" s="403">
        <f t="shared" ref="M56:M61" si="29">(H56+J56)/G56</f>
        <v>1.0311368795631632</v>
      </c>
      <c r="N56" s="404">
        <v>6641.3480000000091</v>
      </c>
      <c r="O56" s="402">
        <v>0</v>
      </c>
      <c r="P56" s="403">
        <f t="shared" ref="P56:P74" si="30">O56/G56</f>
        <v>0</v>
      </c>
      <c r="Q56" s="417">
        <f t="shared" ref="Q56:Q74" si="31">O56*L56</f>
        <v>0</v>
      </c>
      <c r="R56" s="405">
        <f t="shared" ref="R56:R74" si="32">((H56+J56)-G56)-O56</f>
        <v>20.299999999999955</v>
      </c>
      <c r="S56" s="403">
        <f t="shared" ref="S56:S74" si="33">R56/G56</f>
        <v>3.1136879563163314E-2</v>
      </c>
      <c r="T56" s="407" t="s">
        <v>176</v>
      </c>
      <c r="U56" s="407" t="s">
        <v>219</v>
      </c>
      <c r="V56" s="408" t="s">
        <v>594</v>
      </c>
      <c r="W56" s="408" t="s">
        <v>593</v>
      </c>
      <c r="X56" s="408">
        <v>1</v>
      </c>
      <c r="Y56" s="409" t="s">
        <v>563</v>
      </c>
      <c r="AA56" s="411"/>
      <c r="AB56" s="418">
        <f>SUMIF($U$55:$U$74,TRIM(AB54),$F$55:$F$74)</f>
        <v>0</v>
      </c>
      <c r="AC56" s="418">
        <f t="shared" ref="AC56:AF56" si="34">SUMIF($U$55:$U$74,TRIM(AC54),$F$55:$F$74)</f>
        <v>0</v>
      </c>
      <c r="AD56" s="418">
        <f t="shared" si="34"/>
        <v>0</v>
      </c>
      <c r="AE56" s="418">
        <f t="shared" si="34"/>
        <v>56404.805599999985</v>
      </c>
      <c r="AF56" s="418">
        <f t="shared" si="34"/>
        <v>9777.5575999999983</v>
      </c>
      <c r="AG56" s="418">
        <f>SUMIF($U$55:$U$74,TRIM(AG54),$F$55:$F$74)</f>
        <v>17526.676600000043</v>
      </c>
      <c r="AH56" s="418">
        <f t="shared" ref="AH56" si="35">SUMIF($U$55:$U$74,TRIM(AH54),$G$55:$G$74)</f>
        <v>0</v>
      </c>
    </row>
    <row r="57" spans="2:34" s="150" customFormat="1" ht="27" customHeight="1">
      <c r="B57" s="829"/>
      <c r="C57" s="830"/>
      <c r="D57" s="397">
        <v>3</v>
      </c>
      <c r="E57" s="400" t="s">
        <v>406</v>
      </c>
      <c r="F57" s="401">
        <v>6256.4895999999953</v>
      </c>
      <c r="G57" s="402">
        <v>4037.48</v>
      </c>
      <c r="H57" s="402">
        <v>3915.96</v>
      </c>
      <c r="I57" s="403">
        <f t="shared" si="27"/>
        <v>0.96990201809049215</v>
      </c>
      <c r="J57" s="402">
        <v>172.50000000000003</v>
      </c>
      <c r="K57" s="403">
        <f t="shared" si="28"/>
        <v>4.2724669843565793E-2</v>
      </c>
      <c r="L57" s="402">
        <v>127.84000000000002</v>
      </c>
      <c r="M57" s="403">
        <f t="shared" si="29"/>
        <v>1.012626687934058</v>
      </c>
      <c r="N57" s="404">
        <v>6517.2831999999944</v>
      </c>
      <c r="O57" s="402">
        <v>2.04</v>
      </c>
      <c r="P57" s="403">
        <f t="shared" si="30"/>
        <v>5.0526566075869111E-4</v>
      </c>
      <c r="Q57" s="417">
        <f t="shared" si="31"/>
        <v>260.79360000000003</v>
      </c>
      <c r="R57" s="405">
        <f t="shared" si="32"/>
        <v>48.940000000000019</v>
      </c>
      <c r="S57" s="403">
        <f t="shared" si="33"/>
        <v>1.2121422273299192E-2</v>
      </c>
      <c r="T57" s="407" t="s">
        <v>176</v>
      </c>
      <c r="U57" s="407" t="s">
        <v>477</v>
      </c>
      <c r="V57" s="408" t="s">
        <v>547</v>
      </c>
      <c r="W57" s="408" t="s">
        <v>548</v>
      </c>
      <c r="X57" s="408">
        <v>1</v>
      </c>
      <c r="Y57" s="409" t="s">
        <v>349</v>
      </c>
      <c r="AA57" s="397"/>
      <c r="AB57" s="419">
        <f>AB55/$AA55</f>
        <v>0</v>
      </c>
      <c r="AC57" s="419">
        <f t="shared" ref="AC57:AH57" si="36">AC55/$AA55</f>
        <v>0</v>
      </c>
      <c r="AD57" s="419">
        <f t="shared" si="36"/>
        <v>0</v>
      </c>
      <c r="AE57" s="419">
        <f t="shared" si="36"/>
        <v>0.8</v>
      </c>
      <c r="AF57" s="419">
        <f t="shared" si="36"/>
        <v>0.05</v>
      </c>
      <c r="AG57" s="419">
        <f t="shared" si="36"/>
        <v>0.15</v>
      </c>
      <c r="AH57" s="419">
        <f t="shared" si="36"/>
        <v>0</v>
      </c>
    </row>
    <row r="58" spans="2:34" s="150" customFormat="1" ht="27" customHeight="1">
      <c r="B58" s="829"/>
      <c r="C58" s="830"/>
      <c r="D58" s="397">
        <v>4</v>
      </c>
      <c r="E58" s="400" t="s">
        <v>623</v>
      </c>
      <c r="F58" s="401">
        <v>5645.8696000000218</v>
      </c>
      <c r="G58" s="402">
        <v>1004.6</v>
      </c>
      <c r="H58" s="402">
        <v>975.65000000000009</v>
      </c>
      <c r="I58" s="403">
        <f>H58/G58</f>
        <v>0.97118256022297433</v>
      </c>
      <c r="J58" s="402">
        <v>38.269999999999996</v>
      </c>
      <c r="K58" s="403">
        <f t="shared" si="28"/>
        <v>3.8094764085208038E-2</v>
      </c>
      <c r="L58" s="402">
        <v>605.77999999999986</v>
      </c>
      <c r="M58" s="403">
        <f t="shared" si="29"/>
        <v>1.0092773243081825</v>
      </c>
      <c r="N58" s="404">
        <v>5645.8696000000218</v>
      </c>
      <c r="O58" s="402">
        <v>0</v>
      </c>
      <c r="P58" s="403">
        <f t="shared" si="30"/>
        <v>0</v>
      </c>
      <c r="Q58" s="417">
        <f t="shared" si="31"/>
        <v>0</v>
      </c>
      <c r="R58" s="405">
        <f t="shared" si="32"/>
        <v>9.32000000000005</v>
      </c>
      <c r="S58" s="403">
        <f t="shared" si="33"/>
        <v>9.2773243081824101E-3</v>
      </c>
      <c r="T58" s="407" t="s">
        <v>176</v>
      </c>
      <c r="U58" s="407" t="s">
        <v>219</v>
      </c>
      <c r="V58" s="408" t="s">
        <v>630</v>
      </c>
      <c r="W58" s="408" t="s">
        <v>631</v>
      </c>
      <c r="X58" s="408">
        <v>1</v>
      </c>
      <c r="Y58" s="409" t="s">
        <v>351</v>
      </c>
    </row>
    <row r="59" spans="2:34" s="150" customFormat="1" ht="27" customHeight="1">
      <c r="B59" s="829"/>
      <c r="C59" s="830"/>
      <c r="D59" s="397">
        <v>5</v>
      </c>
      <c r="E59" s="400" t="s">
        <v>671</v>
      </c>
      <c r="F59" s="401">
        <v>5239.4590000000107</v>
      </c>
      <c r="G59" s="402">
        <v>1099.76</v>
      </c>
      <c r="H59" s="402">
        <v>1103.8600000000001</v>
      </c>
      <c r="I59" s="403">
        <f t="shared" ref="I59:I74" si="37">H59/G59</f>
        <v>1.0037280861278826</v>
      </c>
      <c r="J59" s="402">
        <v>9.9499999999999993</v>
      </c>
      <c r="K59" s="403">
        <f t="shared" si="28"/>
        <v>9.0474285298610593E-3</v>
      </c>
      <c r="L59" s="402">
        <v>407.74000000000007</v>
      </c>
      <c r="M59" s="403">
        <f t="shared" si="29"/>
        <v>1.0127755146577437</v>
      </c>
      <c r="N59" s="404">
        <v>5728.7470000000103</v>
      </c>
      <c r="O59" s="402">
        <v>1.2000000000000002</v>
      </c>
      <c r="P59" s="403">
        <f t="shared" si="30"/>
        <v>1.0911471593802286E-3</v>
      </c>
      <c r="Q59" s="417">
        <f t="shared" si="31"/>
        <v>489.28800000000012</v>
      </c>
      <c r="R59" s="405">
        <f t="shared" si="32"/>
        <v>12.850000000000183</v>
      </c>
      <c r="S59" s="403">
        <f t="shared" si="33"/>
        <v>1.1684367498363445E-2</v>
      </c>
      <c r="T59" s="407" t="s">
        <v>176</v>
      </c>
      <c r="U59" s="407" t="s">
        <v>219</v>
      </c>
      <c r="V59" s="408" t="s">
        <v>692</v>
      </c>
      <c r="W59" s="408" t="s">
        <v>693</v>
      </c>
      <c r="X59" s="408">
        <v>1</v>
      </c>
      <c r="Y59" s="409" t="s">
        <v>677</v>
      </c>
    </row>
    <row r="60" spans="2:34" s="150" customFormat="1" ht="27" customHeight="1">
      <c r="B60" s="829"/>
      <c r="C60" s="830"/>
      <c r="D60" s="397">
        <v>6</v>
      </c>
      <c r="E60" s="400" t="s">
        <v>377</v>
      </c>
      <c r="F60" s="401">
        <v>4894.1342999999961</v>
      </c>
      <c r="G60" s="402">
        <v>637.16999999999996</v>
      </c>
      <c r="H60" s="402">
        <v>632.9</v>
      </c>
      <c r="I60" s="403">
        <f t="shared" si="37"/>
        <v>0.99329849176828788</v>
      </c>
      <c r="J60" s="402">
        <v>16.14</v>
      </c>
      <c r="K60" s="403">
        <f t="shared" si="28"/>
        <v>2.5330759451951602E-2</v>
      </c>
      <c r="L60" s="402">
        <v>426.69</v>
      </c>
      <c r="M60" s="403">
        <f t="shared" si="29"/>
        <v>1.0186292512202395</v>
      </c>
      <c r="N60" s="404">
        <v>5064.8102999999956</v>
      </c>
      <c r="O60" s="402">
        <v>0.4</v>
      </c>
      <c r="P60" s="403">
        <f t="shared" si="30"/>
        <v>6.2777594676459978E-4</v>
      </c>
      <c r="Q60" s="417">
        <f t="shared" si="31"/>
        <v>170.67600000000002</v>
      </c>
      <c r="R60" s="405">
        <f t="shared" si="32"/>
        <v>11.470000000000004</v>
      </c>
      <c r="S60" s="403">
        <f t="shared" si="33"/>
        <v>1.8001475273474905E-2</v>
      </c>
      <c r="T60" s="407" t="s">
        <v>176</v>
      </c>
      <c r="U60" s="407" t="s">
        <v>477</v>
      </c>
      <c r="V60" s="408" t="s">
        <v>590</v>
      </c>
      <c r="W60" s="408" t="s">
        <v>591</v>
      </c>
      <c r="X60" s="408">
        <v>1</v>
      </c>
      <c r="Y60" s="409" t="s">
        <v>378</v>
      </c>
    </row>
    <row r="61" spans="2:34" s="150" customFormat="1" ht="27" customHeight="1">
      <c r="B61" s="829"/>
      <c r="C61" s="830"/>
      <c r="D61" s="397">
        <v>7</v>
      </c>
      <c r="E61" s="400" t="s">
        <v>475</v>
      </c>
      <c r="F61" s="401">
        <v>4195.3415999999997</v>
      </c>
      <c r="G61" s="402">
        <v>1056.96</v>
      </c>
      <c r="H61" s="402">
        <v>1021.55</v>
      </c>
      <c r="I61" s="403">
        <f t="shared" si="37"/>
        <v>0.96649825915834087</v>
      </c>
      <c r="J61" s="402">
        <v>80.419999999999987</v>
      </c>
      <c r="K61" s="403">
        <f t="shared" si="28"/>
        <v>7.608613381774143E-2</v>
      </c>
      <c r="L61" s="402">
        <v>99.51</v>
      </c>
      <c r="M61" s="403">
        <f t="shared" si="29"/>
        <v>1.0425843929760823</v>
      </c>
      <c r="N61" s="404">
        <v>4478.9450999999999</v>
      </c>
      <c r="O61" s="402">
        <v>2.8499999999999996</v>
      </c>
      <c r="P61" s="403">
        <f t="shared" si="30"/>
        <v>2.6964123524069023E-3</v>
      </c>
      <c r="Q61" s="417">
        <f t="shared" si="31"/>
        <v>283.6035</v>
      </c>
      <c r="R61" s="405">
        <f t="shared" si="32"/>
        <v>42.159999999999989</v>
      </c>
      <c r="S61" s="403">
        <f t="shared" si="33"/>
        <v>3.9887980623675434E-2</v>
      </c>
      <c r="T61" s="407" t="s">
        <v>176</v>
      </c>
      <c r="U61" s="407" t="s">
        <v>477</v>
      </c>
      <c r="V61" s="408" t="s">
        <v>656</v>
      </c>
      <c r="W61" s="408" t="s">
        <v>549</v>
      </c>
      <c r="X61" s="408">
        <v>1</v>
      </c>
      <c r="Y61" s="409" t="s">
        <v>364</v>
      </c>
    </row>
    <row r="62" spans="2:34" s="150" customFormat="1" ht="27" customHeight="1">
      <c r="B62" s="829"/>
      <c r="C62" s="830"/>
      <c r="D62" s="397">
        <v>8</v>
      </c>
      <c r="E62" s="400" t="s">
        <v>472</v>
      </c>
      <c r="F62" s="401">
        <v>4098.0000000000073</v>
      </c>
      <c r="G62" s="402">
        <v>1079.5899999999999</v>
      </c>
      <c r="H62" s="402">
        <v>1076.06</v>
      </c>
      <c r="I62" s="403">
        <f t="shared" si="37"/>
        <v>0.99673024018377354</v>
      </c>
      <c r="J62" s="402">
        <v>24.02</v>
      </c>
      <c r="K62" s="403">
        <f>J62/G62</f>
        <v>2.2249187191433786E-2</v>
      </c>
      <c r="L62" s="402">
        <v>200</v>
      </c>
      <c r="M62" s="403">
        <f>(H62+J62)/G62</f>
        <v>1.0189794273752073</v>
      </c>
      <c r="N62" s="404">
        <v>4098.0000000000073</v>
      </c>
      <c r="O62" s="402">
        <v>0</v>
      </c>
      <c r="P62" s="403">
        <f t="shared" si="30"/>
        <v>0</v>
      </c>
      <c r="Q62" s="417">
        <f t="shared" si="31"/>
        <v>0</v>
      </c>
      <c r="R62" s="405">
        <f t="shared" si="32"/>
        <v>20.490000000000009</v>
      </c>
      <c r="S62" s="403">
        <f t="shared" si="33"/>
        <v>1.8979427375207265E-2</v>
      </c>
      <c r="T62" s="407" t="s">
        <v>176</v>
      </c>
      <c r="U62" s="407" t="s">
        <v>477</v>
      </c>
      <c r="V62" s="408" t="s">
        <v>694</v>
      </c>
      <c r="W62" s="408" t="s">
        <v>695</v>
      </c>
      <c r="X62" s="408">
        <v>1</v>
      </c>
      <c r="Y62" s="409" t="s">
        <v>349</v>
      </c>
    </row>
    <row r="63" spans="2:34" s="150" customFormat="1" ht="27" customHeight="1">
      <c r="B63" s="829"/>
      <c r="C63" s="830"/>
      <c r="D63" s="397">
        <v>9</v>
      </c>
      <c r="E63" s="400" t="s">
        <v>345</v>
      </c>
      <c r="F63" s="401">
        <v>3945.6617999999999</v>
      </c>
      <c r="G63" s="402">
        <v>1469.58</v>
      </c>
      <c r="H63" s="402">
        <v>1410.49</v>
      </c>
      <c r="I63" s="403">
        <f t="shared" si="37"/>
        <v>0.95979123286925516</v>
      </c>
      <c r="J63" s="402">
        <v>115.28</v>
      </c>
      <c r="K63" s="403">
        <f t="shared" ref="K63:K74" si="38">J63/G63</f>
        <v>7.8444181330720342E-2</v>
      </c>
      <c r="L63" s="402">
        <v>70.220000000000013</v>
      </c>
      <c r="M63" s="403">
        <f t="shared" ref="M63:M74" si="39">(H63+J63)/G63</f>
        <v>1.0382354141999754</v>
      </c>
      <c r="N63" s="404">
        <v>3945.6617999999999</v>
      </c>
      <c r="O63" s="402">
        <v>0</v>
      </c>
      <c r="P63" s="403">
        <f t="shared" si="30"/>
        <v>0</v>
      </c>
      <c r="Q63" s="417">
        <f t="shared" si="31"/>
        <v>0</v>
      </c>
      <c r="R63" s="405">
        <f t="shared" si="32"/>
        <v>56.190000000000055</v>
      </c>
      <c r="S63" s="403">
        <f t="shared" si="33"/>
        <v>3.8235414199975545E-2</v>
      </c>
      <c r="T63" s="407" t="s">
        <v>176</v>
      </c>
      <c r="U63" s="407" t="s">
        <v>477</v>
      </c>
      <c r="V63" s="408" t="s">
        <v>656</v>
      </c>
      <c r="W63" s="408" t="s">
        <v>549</v>
      </c>
      <c r="X63" s="408">
        <v>1</v>
      </c>
      <c r="Y63" s="409" t="s">
        <v>352</v>
      </c>
    </row>
    <row r="64" spans="2:34" s="150" customFormat="1" ht="27" customHeight="1">
      <c r="B64" s="829"/>
      <c r="C64" s="830"/>
      <c r="D64" s="397">
        <v>10</v>
      </c>
      <c r="E64" s="400" t="s">
        <v>672</v>
      </c>
      <c r="F64" s="401">
        <v>3866.0215999999914</v>
      </c>
      <c r="G64" s="402">
        <v>2147.4</v>
      </c>
      <c r="H64" s="402">
        <v>2133.8799999999997</v>
      </c>
      <c r="I64" s="403">
        <f t="shared" si="37"/>
        <v>0.99370401415665432</v>
      </c>
      <c r="J64" s="402">
        <v>57.96</v>
      </c>
      <c r="K64" s="403">
        <f t="shared" si="38"/>
        <v>2.6990779547359598E-2</v>
      </c>
      <c r="L64" s="402">
        <v>94.570000000000007</v>
      </c>
      <c r="M64" s="403">
        <f t="shared" si="39"/>
        <v>1.0206947937040141</v>
      </c>
      <c r="N64" s="404">
        <v>4202.6907999999912</v>
      </c>
      <c r="O64" s="402">
        <v>3.56</v>
      </c>
      <c r="P64" s="403">
        <f t="shared" si="30"/>
        <v>1.6578187575672907E-3</v>
      </c>
      <c r="Q64" s="417">
        <f t="shared" si="31"/>
        <v>336.66920000000005</v>
      </c>
      <c r="R64" s="405">
        <f t="shared" si="32"/>
        <v>40.879999999999598</v>
      </c>
      <c r="S64" s="403">
        <f t="shared" si="33"/>
        <v>1.9036974946446676E-2</v>
      </c>
      <c r="T64" s="407" t="s">
        <v>176</v>
      </c>
      <c r="U64" s="407" t="s">
        <v>477</v>
      </c>
      <c r="V64" s="408" t="s">
        <v>696</v>
      </c>
      <c r="W64" s="408" t="s">
        <v>697</v>
      </c>
      <c r="X64" s="408">
        <v>1</v>
      </c>
      <c r="Y64" s="409" t="s">
        <v>493</v>
      </c>
    </row>
    <row r="65" spans="2:34" s="150" customFormat="1" ht="27" customHeight="1">
      <c r="B65" s="829"/>
      <c r="C65" s="830"/>
      <c r="D65" s="397">
        <v>11</v>
      </c>
      <c r="E65" s="400" t="s">
        <v>510</v>
      </c>
      <c r="F65" s="401">
        <v>3750.5489999999954</v>
      </c>
      <c r="G65" s="402">
        <v>296.75</v>
      </c>
      <c r="H65" s="402">
        <v>286.98999999999995</v>
      </c>
      <c r="I65" s="403">
        <f t="shared" si="37"/>
        <v>0.96711036225779257</v>
      </c>
      <c r="J65" s="402">
        <v>18.990000000000002</v>
      </c>
      <c r="K65" s="403">
        <f t="shared" si="38"/>
        <v>6.3993260320134804E-2</v>
      </c>
      <c r="L65" s="402">
        <v>421.40999999999997</v>
      </c>
      <c r="M65" s="403">
        <f t="shared" si="39"/>
        <v>1.0311036225779273</v>
      </c>
      <c r="N65" s="404">
        <v>3889.6142999999956</v>
      </c>
      <c r="O65" s="402">
        <v>0.33</v>
      </c>
      <c r="P65" s="403">
        <f t="shared" si="30"/>
        <v>1.1120471777590565E-3</v>
      </c>
      <c r="Q65" s="417">
        <f t="shared" si="31"/>
        <v>139.06530000000001</v>
      </c>
      <c r="R65" s="405">
        <f t="shared" si="32"/>
        <v>8.8999999999999613</v>
      </c>
      <c r="S65" s="403">
        <f t="shared" si="33"/>
        <v>2.9991575400168363E-2</v>
      </c>
      <c r="T65" s="407" t="s">
        <v>176</v>
      </c>
      <c r="U65" s="407" t="s">
        <v>477</v>
      </c>
      <c r="V65" s="408" t="s">
        <v>692</v>
      </c>
      <c r="W65" s="408" t="s">
        <v>693</v>
      </c>
      <c r="X65" s="408">
        <v>1</v>
      </c>
      <c r="Y65" s="409" t="s">
        <v>506</v>
      </c>
    </row>
    <row r="66" spans="2:34" s="150" customFormat="1" ht="27" customHeight="1">
      <c r="B66" s="829"/>
      <c r="C66" s="830"/>
      <c r="D66" s="397">
        <v>12</v>
      </c>
      <c r="E66" s="400" t="s">
        <v>442</v>
      </c>
      <c r="F66" s="401">
        <v>3411.5706999999966</v>
      </c>
      <c r="G66" s="402">
        <v>1628.7199999999998</v>
      </c>
      <c r="H66" s="402">
        <v>1643.76</v>
      </c>
      <c r="I66" s="403">
        <f t="shared" si="37"/>
        <v>1.0092342452969203</v>
      </c>
      <c r="J66" s="402">
        <v>11.36</v>
      </c>
      <c r="K66" s="403">
        <f t="shared" si="38"/>
        <v>6.9748022987376592E-3</v>
      </c>
      <c r="L66" s="402">
        <v>157.87000000000003</v>
      </c>
      <c r="M66" s="403">
        <f t="shared" si="39"/>
        <v>1.016209047595658</v>
      </c>
      <c r="N66" s="404">
        <v>4167.7679999999964</v>
      </c>
      <c r="O66" s="402">
        <v>4.79</v>
      </c>
      <c r="P66" s="403">
        <f t="shared" si="30"/>
        <v>2.9409597720909675E-3</v>
      </c>
      <c r="Q66" s="417">
        <f t="shared" si="31"/>
        <v>756.19730000000015</v>
      </c>
      <c r="R66" s="405">
        <f t="shared" si="32"/>
        <v>21.610000000000092</v>
      </c>
      <c r="S66" s="403">
        <f t="shared" si="33"/>
        <v>1.326808782356703E-2</v>
      </c>
      <c r="T66" s="407" t="s">
        <v>176</v>
      </c>
      <c r="U66" s="407" t="s">
        <v>477</v>
      </c>
      <c r="V66" s="408" t="s">
        <v>628</v>
      </c>
      <c r="W66" s="408" t="s">
        <v>629</v>
      </c>
      <c r="X66" s="408">
        <v>1</v>
      </c>
      <c r="Y66" s="409" t="s">
        <v>349</v>
      </c>
    </row>
    <row r="67" spans="2:34" s="150" customFormat="1" ht="27" customHeight="1">
      <c r="B67" s="829"/>
      <c r="C67" s="830"/>
      <c r="D67" s="397">
        <v>13</v>
      </c>
      <c r="E67" s="400" t="s">
        <v>566</v>
      </c>
      <c r="F67" s="401">
        <v>3091.2000000000003</v>
      </c>
      <c r="G67" s="402">
        <v>210554</v>
      </c>
      <c r="H67" s="402">
        <v>210224</v>
      </c>
      <c r="I67" s="403">
        <f t="shared" si="37"/>
        <v>0.99843270609914792</v>
      </c>
      <c r="J67" s="402">
        <v>1290</v>
      </c>
      <c r="K67" s="403">
        <f t="shared" si="38"/>
        <v>6.1266943396943302E-3</v>
      </c>
      <c r="L67" s="402">
        <v>3.2199999999999998</v>
      </c>
      <c r="M67" s="403">
        <f t="shared" si="39"/>
        <v>1.0045594004388423</v>
      </c>
      <c r="N67" s="404">
        <v>3091.2000000000003</v>
      </c>
      <c r="O67" s="402">
        <v>0</v>
      </c>
      <c r="P67" s="403">
        <f t="shared" si="30"/>
        <v>0</v>
      </c>
      <c r="Q67" s="417">
        <f t="shared" si="31"/>
        <v>0</v>
      </c>
      <c r="R67" s="405">
        <f t="shared" si="32"/>
        <v>960</v>
      </c>
      <c r="S67" s="403">
        <f t="shared" si="33"/>
        <v>4.5594004388422923E-3</v>
      </c>
      <c r="T67" s="407" t="s">
        <v>176</v>
      </c>
      <c r="U67" s="407" t="s">
        <v>477</v>
      </c>
      <c r="V67" s="408" t="s">
        <v>692</v>
      </c>
      <c r="W67" s="408" t="s">
        <v>693</v>
      </c>
      <c r="X67" s="408">
        <v>1</v>
      </c>
      <c r="Y67" s="409" t="s">
        <v>349</v>
      </c>
    </row>
    <row r="68" spans="2:34" s="150" customFormat="1" ht="27" customHeight="1">
      <c r="B68" s="829"/>
      <c r="C68" s="830"/>
      <c r="D68" s="397">
        <v>14</v>
      </c>
      <c r="E68" s="400" t="s">
        <v>482</v>
      </c>
      <c r="F68" s="401">
        <v>2963.5270000000064</v>
      </c>
      <c r="G68" s="402">
        <v>457.65000000000003</v>
      </c>
      <c r="H68" s="402">
        <v>447.86</v>
      </c>
      <c r="I68" s="403">
        <f t="shared" si="37"/>
        <v>0.97860810663170539</v>
      </c>
      <c r="J68" s="402">
        <v>19.529999999999998</v>
      </c>
      <c r="K68" s="403">
        <f t="shared" si="38"/>
        <v>4.267453294001966E-2</v>
      </c>
      <c r="L68" s="402">
        <v>368.13999999999993</v>
      </c>
      <c r="M68" s="403">
        <f t="shared" si="39"/>
        <v>1.0212826395717249</v>
      </c>
      <c r="N68" s="404">
        <v>3585.6836000000058</v>
      </c>
      <c r="O68" s="402">
        <v>1.69</v>
      </c>
      <c r="P68" s="403">
        <f t="shared" si="30"/>
        <v>3.6927783240467602E-3</v>
      </c>
      <c r="Q68" s="417">
        <f t="shared" si="31"/>
        <v>622.15659999999991</v>
      </c>
      <c r="R68" s="405">
        <f t="shared" si="32"/>
        <v>8.0499999999999527</v>
      </c>
      <c r="S68" s="403">
        <f t="shared" si="33"/>
        <v>1.7589861247678251E-2</v>
      </c>
      <c r="T68" s="407" t="s">
        <v>176</v>
      </c>
      <c r="U68" s="407" t="s">
        <v>477</v>
      </c>
      <c r="V68" s="408" t="s">
        <v>562</v>
      </c>
      <c r="W68" s="408" t="s">
        <v>593</v>
      </c>
      <c r="X68" s="408">
        <v>1</v>
      </c>
      <c r="Y68" s="409" t="s">
        <v>483</v>
      </c>
      <c r="AC68" s="414"/>
    </row>
    <row r="69" spans="2:34" s="150" customFormat="1" ht="27" customHeight="1">
      <c r="B69" s="829"/>
      <c r="C69" s="830"/>
      <c r="D69" s="397">
        <v>15</v>
      </c>
      <c r="E69" s="400" t="s">
        <v>673</v>
      </c>
      <c r="F69" s="401">
        <v>2729.9877999999994</v>
      </c>
      <c r="G69" s="402">
        <v>18090</v>
      </c>
      <c r="H69" s="402">
        <v>16964.66</v>
      </c>
      <c r="I69" s="403">
        <f t="shared" si="37"/>
        <v>0.93779215035931451</v>
      </c>
      <c r="J69" s="402">
        <v>2090</v>
      </c>
      <c r="K69" s="403">
        <f t="shared" si="38"/>
        <v>0.11553344389165285</v>
      </c>
      <c r="L69" s="402">
        <v>2.8300000000000005</v>
      </c>
      <c r="M69" s="403">
        <f t="shared" si="39"/>
        <v>1.0533255942509674</v>
      </c>
      <c r="N69" s="404">
        <v>2729.9877999999994</v>
      </c>
      <c r="O69" s="402">
        <v>0</v>
      </c>
      <c r="P69" s="403">
        <f t="shared" si="30"/>
        <v>0</v>
      </c>
      <c r="Q69" s="417">
        <f t="shared" si="31"/>
        <v>0</v>
      </c>
      <c r="R69" s="405">
        <f t="shared" si="32"/>
        <v>964.65999999999985</v>
      </c>
      <c r="S69" s="403">
        <f t="shared" si="33"/>
        <v>5.3325594250967376E-2</v>
      </c>
      <c r="T69" s="407" t="s">
        <v>176</v>
      </c>
      <c r="U69" s="407" t="s">
        <v>477</v>
      </c>
      <c r="V69" s="408" t="s">
        <v>698</v>
      </c>
      <c r="W69" s="408" t="s">
        <v>693</v>
      </c>
      <c r="X69" s="408">
        <v>1</v>
      </c>
      <c r="Y69" s="409" t="s">
        <v>486</v>
      </c>
      <c r="AC69" s="413"/>
    </row>
    <row r="70" spans="2:34" s="150" customFormat="1" ht="27" customHeight="1">
      <c r="B70" s="829"/>
      <c r="C70" s="830"/>
      <c r="D70" s="397">
        <v>16</v>
      </c>
      <c r="E70" s="400" t="s">
        <v>674</v>
      </c>
      <c r="F70" s="401">
        <v>2692.8000000000038</v>
      </c>
      <c r="G70" s="402">
        <v>63.129999999999995</v>
      </c>
      <c r="H70" s="402">
        <v>59.710000000000008</v>
      </c>
      <c r="I70" s="403">
        <f t="shared" si="37"/>
        <v>0.94582607318232237</v>
      </c>
      <c r="J70" s="402">
        <v>4.9500000000000011</v>
      </c>
      <c r="K70" s="403">
        <f t="shared" si="38"/>
        <v>7.8409630920323159E-2</v>
      </c>
      <c r="L70" s="402">
        <v>1760</v>
      </c>
      <c r="M70" s="403">
        <f t="shared" si="39"/>
        <v>1.0242357041026455</v>
      </c>
      <c r="N70" s="404">
        <v>2692.8000000000038</v>
      </c>
      <c r="O70" s="402">
        <v>0</v>
      </c>
      <c r="P70" s="403">
        <f t="shared" si="30"/>
        <v>0</v>
      </c>
      <c r="Q70" s="417">
        <f t="shared" si="31"/>
        <v>0</v>
      </c>
      <c r="R70" s="405">
        <f t="shared" si="32"/>
        <v>1.5300000000000153</v>
      </c>
      <c r="S70" s="403">
        <f t="shared" si="33"/>
        <v>2.423570410264558E-2</v>
      </c>
      <c r="T70" s="407" t="s">
        <v>176</v>
      </c>
      <c r="U70" s="407" t="s">
        <v>477</v>
      </c>
      <c r="V70" s="408" t="s">
        <v>633</v>
      </c>
      <c r="W70" s="408" t="s">
        <v>634</v>
      </c>
      <c r="X70" s="408">
        <v>1</v>
      </c>
      <c r="Y70" s="409" t="s">
        <v>678</v>
      </c>
      <c r="AC70" s="413"/>
    </row>
    <row r="71" spans="2:34" s="150" customFormat="1" ht="27" customHeight="1">
      <c r="B71" s="829"/>
      <c r="C71" s="830"/>
      <c r="D71" s="397">
        <v>17</v>
      </c>
      <c r="E71" s="400" t="s">
        <v>471</v>
      </c>
      <c r="F71" s="401">
        <v>2684.2167000000036</v>
      </c>
      <c r="G71" s="402">
        <v>1634.0800000000002</v>
      </c>
      <c r="H71" s="402">
        <v>1595.99</v>
      </c>
      <c r="I71" s="403">
        <f t="shared" si="37"/>
        <v>0.97669024772348956</v>
      </c>
      <c r="J71" s="402">
        <v>87.240000000000009</v>
      </c>
      <c r="K71" s="403">
        <f t="shared" si="38"/>
        <v>5.3387839028688926E-2</v>
      </c>
      <c r="L71" s="402">
        <v>66.13</v>
      </c>
      <c r="M71" s="403">
        <f t="shared" si="39"/>
        <v>1.0300780867521786</v>
      </c>
      <c r="N71" s="404">
        <v>3250.289500000004</v>
      </c>
      <c r="O71" s="402">
        <v>8.5599999999999987</v>
      </c>
      <c r="P71" s="403">
        <f t="shared" si="30"/>
        <v>5.2384216195045519E-3</v>
      </c>
      <c r="Q71" s="417">
        <f t="shared" si="31"/>
        <v>566.07279999999992</v>
      </c>
      <c r="R71" s="405">
        <f t="shared" si="32"/>
        <v>40.589999999999861</v>
      </c>
      <c r="S71" s="403">
        <f t="shared" si="33"/>
        <v>2.4839665132673956E-2</v>
      </c>
      <c r="T71" s="407" t="s">
        <v>176</v>
      </c>
      <c r="U71" s="407" t="s">
        <v>477</v>
      </c>
      <c r="V71" s="408" t="s">
        <v>656</v>
      </c>
      <c r="W71" s="408" t="s">
        <v>549</v>
      </c>
      <c r="X71" s="408">
        <v>1</v>
      </c>
      <c r="Y71" s="409" t="s">
        <v>350</v>
      </c>
      <c r="AB71" s="415"/>
      <c r="AC71" s="413"/>
    </row>
    <row r="72" spans="2:34" s="150" customFormat="1" ht="27" customHeight="1">
      <c r="B72" s="829"/>
      <c r="C72" s="830"/>
      <c r="D72" s="397">
        <v>18</v>
      </c>
      <c r="E72" s="400" t="s">
        <v>583</v>
      </c>
      <c r="F72" s="401">
        <v>2674.9482999999914</v>
      </c>
      <c r="G72" s="402">
        <v>414.14</v>
      </c>
      <c r="H72" s="402">
        <v>409.05</v>
      </c>
      <c r="I72" s="403">
        <f t="shared" si="37"/>
        <v>0.98770947022745936</v>
      </c>
      <c r="J72" s="402">
        <v>13.21</v>
      </c>
      <c r="K72" s="403">
        <f t="shared" si="38"/>
        <v>3.1897425991210704E-2</v>
      </c>
      <c r="L72" s="402">
        <v>365.92999999999995</v>
      </c>
      <c r="M72" s="403">
        <f t="shared" si="39"/>
        <v>1.01960689621867</v>
      </c>
      <c r="N72" s="404">
        <v>2971.3515999999913</v>
      </c>
      <c r="O72" s="402">
        <v>0.81</v>
      </c>
      <c r="P72" s="403">
        <f t="shared" si="30"/>
        <v>1.9558603370840779E-3</v>
      </c>
      <c r="Q72" s="417">
        <f t="shared" si="31"/>
        <v>296.4033</v>
      </c>
      <c r="R72" s="405">
        <f t="shared" si="32"/>
        <v>7.3100000000000041</v>
      </c>
      <c r="S72" s="403">
        <f t="shared" si="33"/>
        <v>1.7651035881585949E-2</v>
      </c>
      <c r="T72" s="407" t="s">
        <v>176</v>
      </c>
      <c r="U72" s="407" t="s">
        <v>477</v>
      </c>
      <c r="V72" s="408" t="s">
        <v>562</v>
      </c>
      <c r="W72" s="408" t="s">
        <v>593</v>
      </c>
      <c r="X72" s="408">
        <v>1</v>
      </c>
      <c r="Y72" s="409" t="s">
        <v>444</v>
      </c>
      <c r="AC72" s="413"/>
    </row>
    <row r="73" spans="2:34" s="150" customFormat="1" ht="27" customHeight="1">
      <c r="B73" s="829"/>
      <c r="C73" s="830"/>
      <c r="D73" s="397">
        <v>19</v>
      </c>
      <c r="E73" s="400" t="s">
        <v>675</v>
      </c>
      <c r="F73" s="401">
        <v>2613.0103000000017</v>
      </c>
      <c r="G73" s="402">
        <v>1092.4000000000001</v>
      </c>
      <c r="H73" s="402">
        <v>1082.47</v>
      </c>
      <c r="I73" s="403">
        <f t="shared" si="37"/>
        <v>0.99090992310508963</v>
      </c>
      <c r="J73" s="402">
        <v>27.14</v>
      </c>
      <c r="K73" s="403">
        <f t="shared" si="38"/>
        <v>2.4844379348224092E-2</v>
      </c>
      <c r="L73" s="402">
        <v>190.87000000000003</v>
      </c>
      <c r="M73" s="403">
        <f t="shared" si="39"/>
        <v>1.0157543024533138</v>
      </c>
      <c r="N73" s="404">
        <v>3284.8727000000017</v>
      </c>
      <c r="O73" s="402">
        <v>3.5200000000000005</v>
      </c>
      <c r="P73" s="403">
        <f t="shared" si="30"/>
        <v>3.2222629073599416E-3</v>
      </c>
      <c r="Q73" s="417">
        <f t="shared" si="31"/>
        <v>671.86240000000021</v>
      </c>
      <c r="R73" s="405">
        <f t="shared" si="32"/>
        <v>13.690000000000037</v>
      </c>
      <c r="S73" s="403">
        <f t="shared" si="33"/>
        <v>1.2532039545953895E-2</v>
      </c>
      <c r="T73" s="407" t="s">
        <v>176</v>
      </c>
      <c r="U73" s="407" t="s">
        <v>477</v>
      </c>
      <c r="V73" s="408" t="s">
        <v>575</v>
      </c>
      <c r="W73" s="408" t="s">
        <v>548</v>
      </c>
      <c r="X73" s="408">
        <v>1</v>
      </c>
      <c r="Y73" s="409" t="s">
        <v>679</v>
      </c>
      <c r="AB73" s="416"/>
      <c r="AC73" s="413"/>
    </row>
    <row r="74" spans="2:34" s="150" customFormat="1" ht="27" customHeight="1">
      <c r="B74" s="831"/>
      <c r="C74" s="832"/>
      <c r="D74" s="397">
        <v>20</v>
      </c>
      <c r="E74" s="400" t="s">
        <v>676</v>
      </c>
      <c r="F74" s="401">
        <v>2537.3468999999996</v>
      </c>
      <c r="G74" s="402">
        <v>728.07999999999993</v>
      </c>
      <c r="H74" s="402">
        <v>670.27</v>
      </c>
      <c r="I74" s="403">
        <f t="shared" si="37"/>
        <v>0.92059938468300195</v>
      </c>
      <c r="J74" s="402">
        <v>75.86</v>
      </c>
      <c r="K74" s="403">
        <f t="shared" si="38"/>
        <v>0.10419184704977476</v>
      </c>
      <c r="L74" s="402">
        <v>160.49</v>
      </c>
      <c r="M74" s="403">
        <f t="shared" si="39"/>
        <v>1.0247912317327768</v>
      </c>
      <c r="N74" s="404">
        <v>2896.8445000000002</v>
      </c>
      <c r="O74" s="402">
        <v>2.2400000000000002</v>
      </c>
      <c r="P74" s="403">
        <f t="shared" si="30"/>
        <v>3.0765849906603678E-3</v>
      </c>
      <c r="Q74" s="417">
        <f t="shared" si="31"/>
        <v>359.49760000000003</v>
      </c>
      <c r="R74" s="405">
        <f t="shared" si="32"/>
        <v>15.810000000000068</v>
      </c>
      <c r="S74" s="403">
        <f t="shared" si="33"/>
        <v>2.1714646742116348E-2</v>
      </c>
      <c r="T74" s="407" t="s">
        <v>176</v>
      </c>
      <c r="U74" s="407" t="s">
        <v>477</v>
      </c>
      <c r="V74" s="408" t="s">
        <v>547</v>
      </c>
      <c r="W74" s="408" t="s">
        <v>548</v>
      </c>
      <c r="X74" s="408">
        <v>1</v>
      </c>
      <c r="Y74" s="409" t="s">
        <v>483</v>
      </c>
      <c r="AB74" s="416"/>
      <c r="AC74" s="413"/>
    </row>
    <row r="75" spans="2:34" ht="16.5" customHeight="1">
      <c r="B75" s="849" t="s">
        <v>526</v>
      </c>
      <c r="C75" s="850"/>
      <c r="D75" s="855" t="s">
        <v>172</v>
      </c>
      <c r="E75" s="855"/>
      <c r="F75" s="855"/>
      <c r="G75" s="855" t="s">
        <v>186</v>
      </c>
      <c r="H75" s="855"/>
      <c r="I75" s="855"/>
      <c r="J75" s="855"/>
      <c r="K75" s="855"/>
      <c r="L75" s="855"/>
      <c r="M75" s="855"/>
      <c r="N75" s="855"/>
      <c r="O75" s="855"/>
      <c r="P75" s="855"/>
      <c r="Q75" s="855"/>
      <c r="R75" s="855"/>
      <c r="S75" s="855"/>
      <c r="T75" s="855" t="s">
        <v>173</v>
      </c>
      <c r="U75" s="840" t="s">
        <v>252</v>
      </c>
      <c r="V75" s="860" t="s">
        <v>534</v>
      </c>
      <c r="W75" s="860" t="s">
        <v>528</v>
      </c>
      <c r="X75" s="836" t="s">
        <v>253</v>
      </c>
      <c r="Y75" s="839" t="s">
        <v>174</v>
      </c>
      <c r="AA75" s="855" t="s">
        <v>254</v>
      </c>
      <c r="AB75" s="855"/>
      <c r="AC75" s="855"/>
      <c r="AD75" s="855"/>
      <c r="AE75" s="855"/>
      <c r="AF75" s="855"/>
      <c r="AG75" s="855"/>
      <c r="AH75" s="855"/>
    </row>
    <row r="76" spans="2:34" ht="17.149999999999999" customHeight="1">
      <c r="B76" s="851"/>
      <c r="C76" s="852"/>
      <c r="D76" s="856" t="s">
        <v>171</v>
      </c>
      <c r="E76" s="855" t="s">
        <v>175</v>
      </c>
      <c r="F76" s="855"/>
      <c r="G76" s="855" t="s">
        <v>187</v>
      </c>
      <c r="H76" s="855"/>
      <c r="I76" s="855"/>
      <c r="J76" s="855"/>
      <c r="K76" s="855"/>
      <c r="L76" s="855"/>
      <c r="M76" s="855"/>
      <c r="N76" s="855"/>
      <c r="O76" s="855" t="s">
        <v>176</v>
      </c>
      <c r="P76" s="855"/>
      <c r="Q76" s="855"/>
      <c r="R76" s="855"/>
      <c r="S76" s="855"/>
      <c r="T76" s="855"/>
      <c r="U76" s="843"/>
      <c r="V76" s="837"/>
      <c r="W76" s="861"/>
      <c r="X76" s="837"/>
      <c r="Y76" s="839"/>
      <c r="AA76" s="855"/>
      <c r="AB76" s="855"/>
      <c r="AC76" s="855"/>
      <c r="AD76" s="855"/>
      <c r="AE76" s="855"/>
      <c r="AF76" s="855"/>
      <c r="AG76" s="855"/>
      <c r="AH76" s="855"/>
    </row>
    <row r="77" spans="2:34" ht="17.149999999999999" customHeight="1">
      <c r="B77" s="851"/>
      <c r="C77" s="852"/>
      <c r="D77" s="856"/>
      <c r="E77" s="856" t="s">
        <v>177</v>
      </c>
      <c r="F77" s="863" t="s">
        <v>535</v>
      </c>
      <c r="G77" s="857" t="s">
        <v>188</v>
      </c>
      <c r="H77" s="857"/>
      <c r="I77" s="857"/>
      <c r="J77" s="857"/>
      <c r="K77" s="857"/>
      <c r="L77" s="857"/>
      <c r="M77" s="857"/>
      <c r="N77" s="857"/>
      <c r="O77" s="864" t="s">
        <v>170</v>
      </c>
      <c r="P77" s="865"/>
      <c r="Q77" s="866"/>
      <c r="R77" s="857" t="s">
        <v>178</v>
      </c>
      <c r="S77" s="857"/>
      <c r="T77" s="855"/>
      <c r="U77" s="843"/>
      <c r="V77" s="837"/>
      <c r="W77" s="861"/>
      <c r="X77" s="837"/>
      <c r="Y77" s="839"/>
      <c r="AA77" s="855"/>
      <c r="AB77" s="855"/>
      <c r="AC77" s="855"/>
      <c r="AD77" s="855"/>
      <c r="AE77" s="855"/>
      <c r="AF77" s="855"/>
      <c r="AG77" s="855"/>
      <c r="AH77" s="855"/>
    </row>
    <row r="78" spans="2:34" ht="38.5" customHeight="1">
      <c r="B78" s="853"/>
      <c r="C78" s="854"/>
      <c r="D78" s="856"/>
      <c r="E78" s="856"/>
      <c r="F78" s="863"/>
      <c r="G78" s="398" t="s">
        <v>179</v>
      </c>
      <c r="H78" s="398" t="s">
        <v>259</v>
      </c>
      <c r="I78" s="398" t="s">
        <v>260</v>
      </c>
      <c r="J78" s="398" t="s">
        <v>180</v>
      </c>
      <c r="K78" s="398" t="s">
        <v>257</v>
      </c>
      <c r="L78" s="398" t="s">
        <v>181</v>
      </c>
      <c r="M78" s="398" t="s">
        <v>189</v>
      </c>
      <c r="N78" s="398" t="s">
        <v>182</v>
      </c>
      <c r="O78" s="399" t="s">
        <v>183</v>
      </c>
      <c r="P78" s="399" t="s">
        <v>184</v>
      </c>
      <c r="Q78" s="398" t="s">
        <v>185</v>
      </c>
      <c r="R78" s="399" t="s">
        <v>183</v>
      </c>
      <c r="S78" s="399" t="s">
        <v>184</v>
      </c>
      <c r="T78" s="855"/>
      <c r="U78" s="846"/>
      <c r="V78" s="838"/>
      <c r="W78" s="862"/>
      <c r="X78" s="838"/>
      <c r="Y78" s="839"/>
      <c r="AA78" s="163" t="s">
        <v>251</v>
      </c>
      <c r="AB78" s="163" t="s">
        <v>529</v>
      </c>
      <c r="AC78" s="158" t="s">
        <v>403</v>
      </c>
      <c r="AD78" s="158" t="s">
        <v>346</v>
      </c>
      <c r="AE78" s="158" t="s">
        <v>477</v>
      </c>
      <c r="AF78" s="158" t="s">
        <v>218</v>
      </c>
      <c r="AG78" s="158" t="s">
        <v>219</v>
      </c>
      <c r="AH78" s="158" t="s">
        <v>404</v>
      </c>
    </row>
    <row r="79" spans="2:34" s="150" customFormat="1" ht="27" customHeight="1">
      <c r="B79" s="827" t="s">
        <v>682</v>
      </c>
      <c r="C79" s="828"/>
      <c r="D79" s="397">
        <v>1</v>
      </c>
      <c r="E79" s="400" t="s">
        <v>344</v>
      </c>
      <c r="F79" s="401">
        <v>10138.761100000007</v>
      </c>
      <c r="G79" s="402">
        <v>3830.5900000000006</v>
      </c>
      <c r="H79" s="402">
        <v>3806.85</v>
      </c>
      <c r="I79" s="403">
        <f>H79/G79</f>
        <v>0.99380252128262203</v>
      </c>
      <c r="J79" s="402">
        <v>95.809999999999988</v>
      </c>
      <c r="K79" s="403">
        <f>J79/G79</f>
        <v>2.5011812801683284E-2</v>
      </c>
      <c r="L79" s="402">
        <v>147.43000000000004</v>
      </c>
      <c r="M79" s="403">
        <f>(H79+J79)/G79</f>
        <v>1.0188143340843054</v>
      </c>
      <c r="N79" s="404">
        <v>10625.280100000007</v>
      </c>
      <c r="O79" s="402">
        <v>3.3</v>
      </c>
      <c r="P79" s="403">
        <f>O79/G79</f>
        <v>8.6148608961021656E-4</v>
      </c>
      <c r="Q79" s="417">
        <f>O79*L79</f>
        <v>486.51900000000006</v>
      </c>
      <c r="R79" s="405">
        <f>((H79+J79)-G79)-O79</f>
        <v>68.769999999999257</v>
      </c>
      <c r="S79" s="403">
        <f>R79/G79</f>
        <v>1.7952847994695136E-2</v>
      </c>
      <c r="T79" s="407" t="s">
        <v>176</v>
      </c>
      <c r="U79" s="407" t="s">
        <v>218</v>
      </c>
      <c r="V79" s="408" t="s">
        <v>505</v>
      </c>
      <c r="W79" s="408" t="s">
        <v>561</v>
      </c>
      <c r="X79" s="408">
        <v>1</v>
      </c>
      <c r="Y79" s="409" t="s">
        <v>349</v>
      </c>
      <c r="Z79" s="410" t="s">
        <v>530</v>
      </c>
      <c r="AA79" s="411">
        <f>SUM(X79:X98)</f>
        <v>20</v>
      </c>
      <c r="AB79" s="412">
        <f>SUMIF($U$79:$U$98,TRIM(AB78),$X$79:$X$98)</f>
        <v>0</v>
      </c>
      <c r="AC79" s="412">
        <f t="shared" ref="AC79:AH79" si="40">SUMIF($U$79:$U$98,TRIM(AC78),$X$79:$X$98)</f>
        <v>0</v>
      </c>
      <c r="AD79" s="412">
        <f t="shared" si="40"/>
        <v>0</v>
      </c>
      <c r="AE79" s="412">
        <f t="shared" si="40"/>
        <v>14</v>
      </c>
      <c r="AF79" s="412">
        <f t="shared" si="40"/>
        <v>1</v>
      </c>
      <c r="AG79" s="412">
        <f t="shared" si="40"/>
        <v>5</v>
      </c>
      <c r="AH79" s="412">
        <f t="shared" si="40"/>
        <v>0</v>
      </c>
    </row>
    <row r="80" spans="2:34" s="150" customFormat="1" ht="27" customHeight="1">
      <c r="B80" s="829"/>
      <c r="C80" s="830"/>
      <c r="D80" s="397">
        <v>2</v>
      </c>
      <c r="E80" s="400" t="s">
        <v>406</v>
      </c>
      <c r="F80" s="401">
        <v>9812.9983999999713</v>
      </c>
      <c r="G80" s="402">
        <v>3614.53</v>
      </c>
      <c r="H80" s="402">
        <v>3519.06</v>
      </c>
      <c r="I80" s="403">
        <f t="shared" ref="I80:I81" si="41">H80/G80</f>
        <v>0.97358716070969109</v>
      </c>
      <c r="J80" s="402">
        <v>174.28</v>
      </c>
      <c r="K80" s="403">
        <f t="shared" ref="K80:K85" si="42">J80/G80</f>
        <v>4.8216503943804584E-2</v>
      </c>
      <c r="L80" s="402">
        <v>127.84000000000002</v>
      </c>
      <c r="M80" s="403">
        <f t="shared" ref="M80:M85" si="43">(H80+J80)/G80</f>
        <v>1.0218036646534958</v>
      </c>
      <c r="N80" s="404">
        <v>10075.070399999971</v>
      </c>
      <c r="O80" s="402">
        <v>2.0499999999999998</v>
      </c>
      <c r="P80" s="403">
        <f t="shared" ref="P80:P98" si="44">O80/G80</f>
        <v>5.6715534246499534E-4</v>
      </c>
      <c r="Q80" s="417">
        <f t="shared" ref="Q80:Q98" si="45">O80*L80</f>
        <v>262.072</v>
      </c>
      <c r="R80" s="405">
        <f t="shared" ref="R80:R98" si="46">((H80+J80)-G80)-O80</f>
        <v>76.759999999999948</v>
      </c>
      <c r="S80" s="403">
        <f t="shared" ref="S80:S98" si="47">R80/G80</f>
        <v>2.123650931103074E-2</v>
      </c>
      <c r="T80" s="407" t="s">
        <v>176</v>
      </c>
      <c r="U80" s="407" t="s">
        <v>477</v>
      </c>
      <c r="V80" s="408" t="s">
        <v>547</v>
      </c>
      <c r="W80" s="408" t="s">
        <v>548</v>
      </c>
      <c r="X80" s="408">
        <v>1</v>
      </c>
      <c r="Y80" s="409" t="s">
        <v>349</v>
      </c>
      <c r="AA80" s="411"/>
      <c r="AB80" s="418">
        <f>SUMIF($U$79:$U$98,TRIM(AB78),$F$79:$F$98)</f>
        <v>0</v>
      </c>
      <c r="AC80" s="418">
        <f t="shared" ref="AC80:AH80" si="48">SUMIF($U$79:$U$98,TRIM(AC78),$F$79:$F$98)</f>
        <v>0</v>
      </c>
      <c r="AD80" s="418">
        <f t="shared" si="48"/>
        <v>0</v>
      </c>
      <c r="AE80" s="418">
        <f t="shared" si="48"/>
        <v>63161.680899999927</v>
      </c>
      <c r="AF80" s="418">
        <f t="shared" si="48"/>
        <v>10138.761100000007</v>
      </c>
      <c r="AG80" s="418">
        <f t="shared" si="48"/>
        <v>17183.859700000023</v>
      </c>
      <c r="AH80" s="418">
        <f t="shared" si="48"/>
        <v>0</v>
      </c>
    </row>
    <row r="81" spans="2:34" s="150" customFormat="1" ht="27" customHeight="1">
      <c r="B81" s="829"/>
      <c r="C81" s="830"/>
      <c r="D81" s="397">
        <v>3</v>
      </c>
      <c r="E81" s="400" t="s">
        <v>584</v>
      </c>
      <c r="F81" s="401">
        <v>9703.1555999999946</v>
      </c>
      <c r="G81" s="402">
        <v>1723.3899999999999</v>
      </c>
      <c r="H81" s="402">
        <v>1644.49</v>
      </c>
      <c r="I81" s="403">
        <f t="shared" si="41"/>
        <v>0.9542181398290579</v>
      </c>
      <c r="J81" s="402">
        <v>145.92000000000002</v>
      </c>
      <c r="K81" s="403">
        <f t="shared" si="42"/>
        <v>8.4670329989149307E-2</v>
      </c>
      <c r="L81" s="402">
        <v>144.78</v>
      </c>
      <c r="M81" s="403">
        <f t="shared" si="43"/>
        <v>1.0388884698182073</v>
      </c>
      <c r="N81" s="404">
        <v>9703.1555999999946</v>
      </c>
      <c r="O81" s="402">
        <v>0</v>
      </c>
      <c r="P81" s="403">
        <f t="shared" si="44"/>
        <v>0</v>
      </c>
      <c r="Q81" s="417">
        <f t="shared" si="45"/>
        <v>0</v>
      </c>
      <c r="R81" s="405">
        <f t="shared" si="46"/>
        <v>67.020000000000209</v>
      </c>
      <c r="S81" s="403">
        <f t="shared" si="47"/>
        <v>3.8888469818207261E-2</v>
      </c>
      <c r="T81" s="407" t="s">
        <v>176</v>
      </c>
      <c r="U81" s="407" t="s">
        <v>477</v>
      </c>
      <c r="V81" s="408" t="s">
        <v>717</v>
      </c>
      <c r="W81" s="408" t="s">
        <v>542</v>
      </c>
      <c r="X81" s="408">
        <v>1</v>
      </c>
      <c r="Y81" s="409" t="s">
        <v>563</v>
      </c>
      <c r="AA81" s="397"/>
      <c r="AB81" s="419">
        <f>AB79/$AA79</f>
        <v>0</v>
      </c>
      <c r="AC81" s="419">
        <f t="shared" ref="AC81:AH81" si="49">AC79/$AA79</f>
        <v>0</v>
      </c>
      <c r="AD81" s="419">
        <f t="shared" si="49"/>
        <v>0</v>
      </c>
      <c r="AE81" s="419">
        <f t="shared" si="49"/>
        <v>0.7</v>
      </c>
      <c r="AF81" s="419">
        <f t="shared" si="49"/>
        <v>0.05</v>
      </c>
      <c r="AG81" s="419">
        <f t="shared" si="49"/>
        <v>0.25</v>
      </c>
      <c r="AH81" s="419">
        <f t="shared" si="49"/>
        <v>0</v>
      </c>
    </row>
    <row r="82" spans="2:34" s="150" customFormat="1" ht="27" customHeight="1">
      <c r="B82" s="829"/>
      <c r="C82" s="830"/>
      <c r="D82" s="397">
        <v>4</v>
      </c>
      <c r="E82" s="400" t="s">
        <v>482</v>
      </c>
      <c r="F82" s="401">
        <v>6225.2473999999938</v>
      </c>
      <c r="G82" s="402">
        <v>410.52000000000004</v>
      </c>
      <c r="H82" s="402">
        <v>405.23</v>
      </c>
      <c r="I82" s="403">
        <f>H82/G82</f>
        <v>0.98711390431647661</v>
      </c>
      <c r="J82" s="402">
        <v>23.109999999999996</v>
      </c>
      <c r="K82" s="403">
        <f t="shared" si="42"/>
        <v>5.6294455812140681E-2</v>
      </c>
      <c r="L82" s="402">
        <v>368.13999999999993</v>
      </c>
      <c r="M82" s="403">
        <f t="shared" si="43"/>
        <v>1.0434083601286173</v>
      </c>
      <c r="N82" s="404">
        <v>6560.2547999999942</v>
      </c>
      <c r="O82" s="402">
        <v>0.90999999999999992</v>
      </c>
      <c r="P82" s="403">
        <f t="shared" si="44"/>
        <v>2.2167007697554315E-3</v>
      </c>
      <c r="Q82" s="417">
        <f t="shared" si="45"/>
        <v>335.0073999999999</v>
      </c>
      <c r="R82" s="405">
        <f t="shared" si="46"/>
        <v>16.909999999999993</v>
      </c>
      <c r="S82" s="403">
        <f t="shared" si="47"/>
        <v>4.1191659358861911E-2</v>
      </c>
      <c r="T82" s="407" t="s">
        <v>176</v>
      </c>
      <c r="U82" s="407" t="s">
        <v>477</v>
      </c>
      <c r="V82" s="408" t="s">
        <v>562</v>
      </c>
      <c r="W82" s="408" t="s">
        <v>593</v>
      </c>
      <c r="X82" s="408">
        <v>1</v>
      </c>
      <c r="Y82" s="409" t="s">
        <v>483</v>
      </c>
    </row>
    <row r="83" spans="2:34" s="150" customFormat="1" ht="27" customHeight="1">
      <c r="B83" s="829"/>
      <c r="C83" s="830"/>
      <c r="D83" s="397">
        <v>5</v>
      </c>
      <c r="E83" s="400" t="s">
        <v>582</v>
      </c>
      <c r="F83" s="401">
        <v>5185.4859999999899</v>
      </c>
      <c r="G83" s="402">
        <v>599.43999999999994</v>
      </c>
      <c r="H83" s="402">
        <v>591.83000000000004</v>
      </c>
      <c r="I83" s="403">
        <f t="shared" ref="I83:I98" si="50">H83/G83</f>
        <v>0.98730481782997481</v>
      </c>
      <c r="J83" s="402">
        <v>25.299999999999997</v>
      </c>
      <c r="K83" s="403">
        <f t="shared" si="42"/>
        <v>4.220605898838916E-2</v>
      </c>
      <c r="L83" s="402">
        <v>327.16000000000003</v>
      </c>
      <c r="M83" s="403">
        <f t="shared" si="43"/>
        <v>1.0295108768183638</v>
      </c>
      <c r="N83" s="404">
        <v>5787.4603999999908</v>
      </c>
      <c r="O83" s="402">
        <v>1.8399999999999999</v>
      </c>
      <c r="P83" s="403">
        <f t="shared" si="44"/>
        <v>3.0695315627919393E-3</v>
      </c>
      <c r="Q83" s="417">
        <f t="shared" si="45"/>
        <v>601.97439999999995</v>
      </c>
      <c r="R83" s="405">
        <f t="shared" si="46"/>
        <v>15.850000000000055</v>
      </c>
      <c r="S83" s="403">
        <f t="shared" si="47"/>
        <v>2.6441345255571961E-2</v>
      </c>
      <c r="T83" s="407" t="s">
        <v>176</v>
      </c>
      <c r="U83" s="407" t="s">
        <v>219</v>
      </c>
      <c r="V83" s="408" t="s">
        <v>692</v>
      </c>
      <c r="W83" s="433" t="s">
        <v>693</v>
      </c>
      <c r="X83" s="408">
        <v>1</v>
      </c>
      <c r="Y83" s="409" t="s">
        <v>563</v>
      </c>
    </row>
    <row r="84" spans="2:34" s="150" customFormat="1" ht="27" customHeight="1">
      <c r="B84" s="829"/>
      <c r="C84" s="830"/>
      <c r="D84" s="397">
        <v>6</v>
      </c>
      <c r="E84" s="400" t="s">
        <v>676</v>
      </c>
      <c r="F84" s="401">
        <v>4819.5146999999961</v>
      </c>
      <c r="G84" s="402">
        <v>653.09999999999991</v>
      </c>
      <c r="H84" s="402">
        <v>627.67999999999995</v>
      </c>
      <c r="I84" s="403">
        <f t="shared" si="50"/>
        <v>0.9610779359975502</v>
      </c>
      <c r="J84" s="402">
        <v>58.400000000000006</v>
      </c>
      <c r="K84" s="403">
        <f t="shared" si="42"/>
        <v>8.9419690705864363E-2</v>
      </c>
      <c r="L84" s="402">
        <v>160.49</v>
      </c>
      <c r="M84" s="403">
        <f t="shared" si="43"/>
        <v>1.0504976267034145</v>
      </c>
      <c r="N84" s="404">
        <v>5292.9601999999959</v>
      </c>
      <c r="O84" s="402">
        <v>2.95</v>
      </c>
      <c r="P84" s="403">
        <f t="shared" si="44"/>
        <v>4.5169193079160931E-3</v>
      </c>
      <c r="Q84" s="417">
        <f t="shared" si="45"/>
        <v>473.44550000000004</v>
      </c>
      <c r="R84" s="405">
        <f t="shared" si="46"/>
        <v>30.030000000000019</v>
      </c>
      <c r="S84" s="403">
        <f t="shared" si="47"/>
        <v>4.5980707395498428E-2</v>
      </c>
      <c r="T84" s="407" t="s">
        <v>176</v>
      </c>
      <c r="U84" s="407" t="s">
        <v>477</v>
      </c>
      <c r="V84" s="408" t="s">
        <v>547</v>
      </c>
      <c r="W84" s="408" t="s">
        <v>548</v>
      </c>
      <c r="X84" s="408">
        <v>1</v>
      </c>
      <c r="Y84" s="409" t="s">
        <v>483</v>
      </c>
    </row>
    <row r="85" spans="2:34" s="150" customFormat="1" ht="27" customHeight="1">
      <c r="B85" s="829"/>
      <c r="C85" s="830"/>
      <c r="D85" s="397">
        <v>7</v>
      </c>
      <c r="E85" s="400" t="s">
        <v>472</v>
      </c>
      <c r="F85" s="401">
        <v>4587.9999999999864</v>
      </c>
      <c r="G85" s="402">
        <v>925.83999999999992</v>
      </c>
      <c r="H85" s="402">
        <v>925.61</v>
      </c>
      <c r="I85" s="403">
        <f t="shared" si="50"/>
        <v>0.99975157694634076</v>
      </c>
      <c r="J85" s="402">
        <v>24.290000000000003</v>
      </c>
      <c r="K85" s="403">
        <f t="shared" si="42"/>
        <v>2.6235634666897094E-2</v>
      </c>
      <c r="L85" s="402">
        <v>200</v>
      </c>
      <c r="M85" s="403">
        <f t="shared" si="43"/>
        <v>1.0259872116132378</v>
      </c>
      <c r="N85" s="404">
        <v>4811.9999999999864</v>
      </c>
      <c r="O85" s="402">
        <v>1.1200000000000001</v>
      </c>
      <c r="P85" s="403">
        <f t="shared" si="44"/>
        <v>1.2097122612978487E-3</v>
      </c>
      <c r="Q85" s="417">
        <f t="shared" si="45"/>
        <v>224.00000000000003</v>
      </c>
      <c r="R85" s="405">
        <f t="shared" si="46"/>
        <v>22.940000000000058</v>
      </c>
      <c r="S85" s="403">
        <f t="shared" si="47"/>
        <v>2.4777499351939927E-2</v>
      </c>
      <c r="T85" s="407" t="s">
        <v>176</v>
      </c>
      <c r="U85" s="407" t="s">
        <v>477</v>
      </c>
      <c r="V85" s="408" t="s">
        <v>735</v>
      </c>
      <c r="W85" s="408" t="s">
        <v>695</v>
      </c>
      <c r="X85" s="408">
        <v>1</v>
      </c>
      <c r="Y85" s="409" t="s">
        <v>349</v>
      </c>
    </row>
    <row r="86" spans="2:34" s="150" customFormat="1" ht="27" customHeight="1">
      <c r="B86" s="829"/>
      <c r="C86" s="830"/>
      <c r="D86" s="397">
        <v>8</v>
      </c>
      <c r="E86" s="400" t="s">
        <v>512</v>
      </c>
      <c r="F86" s="401">
        <v>4498.6150000000016</v>
      </c>
      <c r="G86" s="402">
        <v>2067.9299999999998</v>
      </c>
      <c r="H86" s="402">
        <v>2014.4</v>
      </c>
      <c r="I86" s="403">
        <f t="shared" si="50"/>
        <v>0.97411421082918681</v>
      </c>
      <c r="J86" s="402">
        <v>122.72</v>
      </c>
      <c r="K86" s="403">
        <f>J86/G86</f>
        <v>5.9344368523112485E-2</v>
      </c>
      <c r="L86" s="402">
        <v>68.42</v>
      </c>
      <c r="M86" s="403">
        <f>(H86+J86)/G86</f>
        <v>1.0334585793522992</v>
      </c>
      <c r="N86" s="404">
        <v>4733.9798000000019</v>
      </c>
      <c r="O86" s="402">
        <v>3.44</v>
      </c>
      <c r="P86" s="403">
        <f t="shared" si="44"/>
        <v>1.6634992480403109E-3</v>
      </c>
      <c r="Q86" s="417">
        <f t="shared" si="45"/>
        <v>235.3648</v>
      </c>
      <c r="R86" s="405">
        <f t="shared" si="46"/>
        <v>65.750000000000057</v>
      </c>
      <c r="S86" s="403">
        <f t="shared" si="47"/>
        <v>3.1795080104258876E-2</v>
      </c>
      <c r="T86" s="407" t="s">
        <v>176</v>
      </c>
      <c r="U86" s="407" t="s">
        <v>219</v>
      </c>
      <c r="V86" s="408" t="s">
        <v>656</v>
      </c>
      <c r="W86" s="408" t="s">
        <v>549</v>
      </c>
      <c r="X86" s="408">
        <v>1</v>
      </c>
      <c r="Y86" s="409" t="s">
        <v>508</v>
      </c>
    </row>
    <row r="87" spans="2:34" s="150" customFormat="1" ht="27" customHeight="1">
      <c r="B87" s="829"/>
      <c r="C87" s="830"/>
      <c r="D87" s="397">
        <v>9</v>
      </c>
      <c r="E87" s="400" t="s">
        <v>475</v>
      </c>
      <c r="F87" s="401">
        <v>3769.4387999999994</v>
      </c>
      <c r="G87" s="402">
        <v>975.72</v>
      </c>
      <c r="H87" s="402">
        <v>959.44</v>
      </c>
      <c r="I87" s="403">
        <f t="shared" si="50"/>
        <v>0.98331488541794776</v>
      </c>
      <c r="J87" s="402">
        <v>56.960000000000008</v>
      </c>
      <c r="K87" s="403">
        <f t="shared" ref="K87:K98" si="51">J87/G87</f>
        <v>5.8377403353421072E-2</v>
      </c>
      <c r="L87" s="402">
        <v>99.51</v>
      </c>
      <c r="M87" s="403">
        <f t="shared" ref="M87:M98" si="52">(H87+J87)/G87</f>
        <v>1.0416922887713689</v>
      </c>
      <c r="N87" s="404">
        <v>4048.0667999999996</v>
      </c>
      <c r="O87" s="402">
        <v>2.8</v>
      </c>
      <c r="P87" s="403">
        <f t="shared" si="44"/>
        <v>2.869675726642889E-3</v>
      </c>
      <c r="Q87" s="417">
        <f t="shared" si="45"/>
        <v>278.62799999999999</v>
      </c>
      <c r="R87" s="405">
        <f t="shared" si="46"/>
        <v>37.880000000000067</v>
      </c>
      <c r="S87" s="403">
        <f t="shared" si="47"/>
        <v>3.8822613044726013E-2</v>
      </c>
      <c r="T87" s="407" t="s">
        <v>176</v>
      </c>
      <c r="U87" s="407" t="s">
        <v>477</v>
      </c>
      <c r="V87" s="408" t="s">
        <v>545</v>
      </c>
      <c r="W87" s="408" t="s">
        <v>691</v>
      </c>
      <c r="X87" s="408">
        <v>1</v>
      </c>
      <c r="Y87" s="409" t="s">
        <v>364</v>
      </c>
    </row>
    <row r="88" spans="2:34" s="150" customFormat="1" ht="27" customHeight="1">
      <c r="B88" s="829"/>
      <c r="C88" s="830"/>
      <c r="D88" s="397">
        <v>10</v>
      </c>
      <c r="E88" s="400" t="s">
        <v>345</v>
      </c>
      <c r="F88" s="401">
        <v>3573.4958000000006</v>
      </c>
      <c r="G88" s="402">
        <v>1387.12</v>
      </c>
      <c r="H88" s="402">
        <v>1319.1100000000001</v>
      </c>
      <c r="I88" s="403">
        <f t="shared" si="50"/>
        <v>0.95097035584520462</v>
      </c>
      <c r="J88" s="402">
        <v>127.78</v>
      </c>
      <c r="K88" s="403">
        <f t="shared" si="51"/>
        <v>9.2118922659899655E-2</v>
      </c>
      <c r="L88" s="402">
        <v>70.220000000000013</v>
      </c>
      <c r="M88" s="403">
        <f t="shared" si="52"/>
        <v>1.0430892785051042</v>
      </c>
      <c r="N88" s="404">
        <v>4197.0494000000008</v>
      </c>
      <c r="O88" s="402">
        <v>8.879999999999999</v>
      </c>
      <c r="P88" s="403">
        <f t="shared" si="44"/>
        <v>6.4017532729684521E-3</v>
      </c>
      <c r="Q88" s="417">
        <f t="shared" si="45"/>
        <v>623.55360000000007</v>
      </c>
      <c r="R88" s="405">
        <f t="shared" si="46"/>
        <v>50.890000000000214</v>
      </c>
      <c r="S88" s="403">
        <f t="shared" si="47"/>
        <v>3.6687525232135802E-2</v>
      </c>
      <c r="T88" s="407" t="s">
        <v>176</v>
      </c>
      <c r="U88" s="407" t="s">
        <v>477</v>
      </c>
      <c r="V88" s="408" t="s">
        <v>545</v>
      </c>
      <c r="W88" s="408" t="s">
        <v>691</v>
      </c>
      <c r="X88" s="408">
        <v>1</v>
      </c>
      <c r="Y88" s="409" t="s">
        <v>352</v>
      </c>
    </row>
    <row r="89" spans="2:34" s="150" customFormat="1" ht="27" customHeight="1">
      <c r="B89" s="829"/>
      <c r="C89" s="830"/>
      <c r="D89" s="397">
        <v>11</v>
      </c>
      <c r="E89" s="400" t="s">
        <v>675</v>
      </c>
      <c r="F89" s="401">
        <v>3435.6600000000035</v>
      </c>
      <c r="G89" s="402">
        <v>1059.3599999999999</v>
      </c>
      <c r="H89" s="402">
        <v>1059.5999999999999</v>
      </c>
      <c r="I89" s="403">
        <f t="shared" si="50"/>
        <v>1.0002265518803806</v>
      </c>
      <c r="J89" s="402">
        <v>19.520000000000003</v>
      </c>
      <c r="K89" s="403">
        <f t="shared" si="51"/>
        <v>1.8426219604289387E-2</v>
      </c>
      <c r="L89" s="402">
        <v>190.87000000000003</v>
      </c>
      <c r="M89" s="403">
        <f t="shared" si="52"/>
        <v>1.01865277148467</v>
      </c>
      <c r="N89" s="404">
        <v>3771.5912000000035</v>
      </c>
      <c r="O89" s="402">
        <v>1.76</v>
      </c>
      <c r="P89" s="403">
        <f t="shared" si="44"/>
        <v>1.6613804561244527E-3</v>
      </c>
      <c r="Q89" s="417">
        <f t="shared" si="45"/>
        <v>335.93120000000005</v>
      </c>
      <c r="R89" s="405">
        <f t="shared" si="46"/>
        <v>17.999999999999989</v>
      </c>
      <c r="S89" s="403">
        <f t="shared" si="47"/>
        <v>1.6991391028545529E-2</v>
      </c>
      <c r="T89" s="407" t="s">
        <v>176</v>
      </c>
      <c r="U89" s="407" t="s">
        <v>477</v>
      </c>
      <c r="V89" s="408" t="s">
        <v>720</v>
      </c>
      <c r="W89" s="408" t="s">
        <v>721</v>
      </c>
      <c r="X89" s="408">
        <v>1</v>
      </c>
      <c r="Y89" s="409" t="s">
        <v>679</v>
      </c>
    </row>
    <row r="90" spans="2:34" s="150" customFormat="1" ht="27" customHeight="1">
      <c r="B90" s="829"/>
      <c r="C90" s="830"/>
      <c r="D90" s="397">
        <v>12</v>
      </c>
      <c r="E90" s="400" t="s">
        <v>583</v>
      </c>
      <c r="F90" s="401">
        <v>3355.5780999999943</v>
      </c>
      <c r="G90" s="402">
        <v>374.53000000000003</v>
      </c>
      <c r="H90" s="402">
        <v>366.63</v>
      </c>
      <c r="I90" s="403">
        <f t="shared" si="50"/>
        <v>0.97890689664379349</v>
      </c>
      <c r="J90" s="402">
        <v>18.410000000000004</v>
      </c>
      <c r="K90" s="403">
        <f t="shared" si="51"/>
        <v>4.9154940859210218E-2</v>
      </c>
      <c r="L90" s="402">
        <v>365.92999999999995</v>
      </c>
      <c r="M90" s="403">
        <f t="shared" si="52"/>
        <v>1.0280618375030037</v>
      </c>
      <c r="N90" s="404">
        <v>3845.9242999999938</v>
      </c>
      <c r="O90" s="402">
        <v>1.34</v>
      </c>
      <c r="P90" s="403">
        <f t="shared" si="44"/>
        <v>3.5778175313059034E-3</v>
      </c>
      <c r="Q90" s="417">
        <f t="shared" si="45"/>
        <v>490.34619999999995</v>
      </c>
      <c r="R90" s="405">
        <f t="shared" si="46"/>
        <v>9.169999999999991</v>
      </c>
      <c r="S90" s="403">
        <f t="shared" si="47"/>
        <v>2.4484019971697836E-2</v>
      </c>
      <c r="T90" s="407" t="s">
        <v>176</v>
      </c>
      <c r="U90" s="407" t="s">
        <v>477</v>
      </c>
      <c r="V90" s="408" t="s">
        <v>718</v>
      </c>
      <c r="W90" s="408" t="s">
        <v>719</v>
      </c>
      <c r="X90" s="408">
        <v>1</v>
      </c>
      <c r="Y90" s="409" t="s">
        <v>444</v>
      </c>
    </row>
    <row r="91" spans="2:34" s="150" customFormat="1" ht="27" customHeight="1">
      <c r="B91" s="829"/>
      <c r="C91" s="830"/>
      <c r="D91" s="397">
        <v>13</v>
      </c>
      <c r="E91" s="400" t="s">
        <v>471</v>
      </c>
      <c r="F91" s="401">
        <v>3056.528599999996</v>
      </c>
      <c r="G91" s="402">
        <v>1567.58</v>
      </c>
      <c r="H91" s="402">
        <v>1522.5</v>
      </c>
      <c r="I91" s="403">
        <f t="shared" si="50"/>
        <v>0.97124229704385112</v>
      </c>
      <c r="J91" s="402">
        <v>97.14</v>
      </c>
      <c r="K91" s="403">
        <f t="shared" si="51"/>
        <v>6.1968129218285511E-2</v>
      </c>
      <c r="L91" s="402">
        <v>66.13</v>
      </c>
      <c r="M91" s="403">
        <f t="shared" si="52"/>
        <v>1.0332104262621367</v>
      </c>
      <c r="N91" s="404">
        <v>3442.727799999996</v>
      </c>
      <c r="O91" s="402">
        <v>5.84</v>
      </c>
      <c r="P91" s="403">
        <f t="shared" si="44"/>
        <v>3.7254876944079409E-3</v>
      </c>
      <c r="Q91" s="417">
        <f t="shared" si="45"/>
        <v>386.19919999999996</v>
      </c>
      <c r="R91" s="405">
        <f t="shared" si="46"/>
        <v>46.220000000000169</v>
      </c>
      <c r="S91" s="403">
        <f t="shared" si="47"/>
        <v>2.948493856772871E-2</v>
      </c>
      <c r="T91" s="407" t="s">
        <v>176</v>
      </c>
      <c r="U91" s="407" t="s">
        <v>477</v>
      </c>
      <c r="V91" s="408" t="s">
        <v>545</v>
      </c>
      <c r="W91" s="408" t="s">
        <v>691</v>
      </c>
      <c r="X91" s="408">
        <v>1</v>
      </c>
      <c r="Y91" s="409" t="s">
        <v>350</v>
      </c>
    </row>
    <row r="92" spans="2:34" s="150" customFormat="1" ht="27" customHeight="1">
      <c r="B92" s="829"/>
      <c r="C92" s="830"/>
      <c r="D92" s="397">
        <v>14</v>
      </c>
      <c r="E92" s="400" t="s">
        <v>510</v>
      </c>
      <c r="F92" s="401">
        <v>3034.1519999999982</v>
      </c>
      <c r="G92" s="402">
        <v>277.59999999999997</v>
      </c>
      <c r="H92" s="402">
        <v>276.77000000000004</v>
      </c>
      <c r="I92" s="403">
        <f t="shared" si="50"/>
        <v>0.99701008645533162</v>
      </c>
      <c r="J92" s="402">
        <v>9.35</v>
      </c>
      <c r="K92" s="403">
        <f t="shared" si="51"/>
        <v>3.3681556195965419E-2</v>
      </c>
      <c r="L92" s="402">
        <v>421.40999999999997</v>
      </c>
      <c r="M92" s="403">
        <f t="shared" si="52"/>
        <v>1.0306916426512971</v>
      </c>
      <c r="N92" s="404">
        <v>3590.4131999999986</v>
      </c>
      <c r="O92" s="402">
        <v>1.32</v>
      </c>
      <c r="P92" s="403">
        <f t="shared" si="44"/>
        <v>4.7550432276657071E-3</v>
      </c>
      <c r="Q92" s="417">
        <f t="shared" si="45"/>
        <v>556.26120000000003</v>
      </c>
      <c r="R92" s="405">
        <f t="shared" si="46"/>
        <v>7.2000000000000952</v>
      </c>
      <c r="S92" s="403">
        <f t="shared" si="47"/>
        <v>2.5936599423631471E-2</v>
      </c>
      <c r="T92" s="407" t="s">
        <v>176</v>
      </c>
      <c r="U92" s="407" t="s">
        <v>477</v>
      </c>
      <c r="V92" s="408" t="s">
        <v>722</v>
      </c>
      <c r="W92" s="408" t="s">
        <v>542</v>
      </c>
      <c r="X92" s="408">
        <v>1</v>
      </c>
      <c r="Y92" s="409" t="s">
        <v>506</v>
      </c>
      <c r="AC92" s="414"/>
    </row>
    <row r="93" spans="2:34" s="150" customFormat="1" ht="27" customHeight="1">
      <c r="B93" s="829"/>
      <c r="C93" s="830"/>
      <c r="D93" s="397">
        <v>15</v>
      </c>
      <c r="E93" s="400" t="s">
        <v>622</v>
      </c>
      <c r="F93" s="401">
        <v>2665.3764000000019</v>
      </c>
      <c r="G93" s="402">
        <v>871.86000000000013</v>
      </c>
      <c r="H93" s="402">
        <v>866.13</v>
      </c>
      <c r="I93" s="403">
        <f t="shared" si="50"/>
        <v>0.99342784391989525</v>
      </c>
      <c r="J93" s="402">
        <v>32.57</v>
      </c>
      <c r="K93" s="403">
        <f t="shared" si="51"/>
        <v>3.7356915101048327E-2</v>
      </c>
      <c r="L93" s="402">
        <v>128.38999999999999</v>
      </c>
      <c r="M93" s="403">
        <f t="shared" si="52"/>
        <v>1.0307847590209436</v>
      </c>
      <c r="N93" s="404">
        <v>3445.9876000000022</v>
      </c>
      <c r="O93" s="402">
        <v>6.08</v>
      </c>
      <c r="P93" s="403">
        <f t="shared" si="44"/>
        <v>6.9735966783657918E-3</v>
      </c>
      <c r="Q93" s="417">
        <f t="shared" si="45"/>
        <v>780.61119999999994</v>
      </c>
      <c r="R93" s="405">
        <f t="shared" si="46"/>
        <v>20.75999999999992</v>
      </c>
      <c r="S93" s="403">
        <f t="shared" si="47"/>
        <v>2.3811162342577841E-2</v>
      </c>
      <c r="T93" s="407" t="s">
        <v>176</v>
      </c>
      <c r="U93" s="407" t="s">
        <v>477</v>
      </c>
      <c r="V93" s="408" t="s">
        <v>723</v>
      </c>
      <c r="W93" s="408" t="s">
        <v>724</v>
      </c>
      <c r="X93" s="408">
        <v>1</v>
      </c>
      <c r="Y93" s="409" t="s">
        <v>366</v>
      </c>
      <c r="AC93" s="413"/>
    </row>
    <row r="94" spans="2:34" s="150" customFormat="1" ht="27" customHeight="1">
      <c r="B94" s="829"/>
      <c r="C94" s="830"/>
      <c r="D94" s="397">
        <v>16</v>
      </c>
      <c r="E94" s="400" t="s">
        <v>668</v>
      </c>
      <c r="F94" s="401">
        <v>2616.3132000000041</v>
      </c>
      <c r="G94" s="402">
        <v>217.35</v>
      </c>
      <c r="H94" s="402">
        <v>216.29000000000002</v>
      </c>
      <c r="I94" s="403">
        <f t="shared" si="50"/>
        <v>0.99512307338394312</v>
      </c>
      <c r="J94" s="402">
        <v>8.25</v>
      </c>
      <c r="K94" s="403">
        <f t="shared" si="51"/>
        <v>3.7957211870255352E-2</v>
      </c>
      <c r="L94" s="402">
        <v>411.36999999999995</v>
      </c>
      <c r="M94" s="403">
        <f t="shared" si="52"/>
        <v>1.0330802852541985</v>
      </c>
      <c r="N94" s="404">
        <v>2957.7503000000038</v>
      </c>
      <c r="O94" s="402">
        <v>0.83000000000000007</v>
      </c>
      <c r="P94" s="403">
        <f t="shared" si="44"/>
        <v>3.818725557855993E-3</v>
      </c>
      <c r="Q94" s="417">
        <f t="shared" si="45"/>
        <v>341.43709999999999</v>
      </c>
      <c r="R94" s="405">
        <f t="shared" si="46"/>
        <v>6.3600000000000261</v>
      </c>
      <c r="S94" s="403">
        <f t="shared" si="47"/>
        <v>2.9261559696342424E-2</v>
      </c>
      <c r="T94" s="407" t="s">
        <v>176</v>
      </c>
      <c r="U94" s="407" t="s">
        <v>477</v>
      </c>
      <c r="V94" s="408" t="s">
        <v>718</v>
      </c>
      <c r="W94" s="408" t="s">
        <v>719</v>
      </c>
      <c r="X94" s="408">
        <v>1</v>
      </c>
      <c r="Y94" s="409" t="s">
        <v>486</v>
      </c>
      <c r="AC94" s="413"/>
    </row>
    <row r="95" spans="2:34" s="150" customFormat="1" ht="27" customHeight="1">
      <c r="B95" s="829"/>
      <c r="C95" s="830"/>
      <c r="D95" s="397">
        <v>17</v>
      </c>
      <c r="E95" s="400" t="s">
        <v>707</v>
      </c>
      <c r="F95" s="401">
        <v>2601.2805000000008</v>
      </c>
      <c r="G95" s="402">
        <v>1496.16</v>
      </c>
      <c r="H95" s="402">
        <v>1449.82</v>
      </c>
      <c r="I95" s="403">
        <f t="shared" si="50"/>
        <v>0.96902737675114947</v>
      </c>
      <c r="J95" s="402">
        <v>99.88000000000001</v>
      </c>
      <c r="K95" s="403">
        <f t="shared" si="51"/>
        <v>6.6757566035718113E-2</v>
      </c>
      <c r="L95" s="402">
        <v>51.87</v>
      </c>
      <c r="M95" s="403">
        <f t="shared" si="52"/>
        <v>1.0357849427868677</v>
      </c>
      <c r="N95" s="404">
        <v>2777.1198000000013</v>
      </c>
      <c r="O95" s="402">
        <v>3.39</v>
      </c>
      <c r="P95" s="403">
        <f t="shared" si="44"/>
        <v>2.2658004491498233E-3</v>
      </c>
      <c r="Q95" s="417">
        <f t="shared" si="45"/>
        <v>175.83930000000001</v>
      </c>
      <c r="R95" s="405">
        <f t="shared" si="46"/>
        <v>50.149999999999963</v>
      </c>
      <c r="S95" s="403">
        <f t="shared" si="47"/>
        <v>3.3519142337717862E-2</v>
      </c>
      <c r="T95" s="407" t="s">
        <v>176</v>
      </c>
      <c r="U95" s="407" t="s">
        <v>219</v>
      </c>
      <c r="V95" s="408" t="s">
        <v>545</v>
      </c>
      <c r="W95" s="408" t="s">
        <v>691</v>
      </c>
      <c r="X95" s="408">
        <v>1</v>
      </c>
      <c r="Y95" s="409" t="s">
        <v>481</v>
      </c>
      <c r="AB95" s="415"/>
      <c r="AC95" s="413"/>
    </row>
    <row r="96" spans="2:34" s="150" customFormat="1" ht="27" customHeight="1">
      <c r="B96" s="829"/>
      <c r="C96" s="830"/>
      <c r="D96" s="397">
        <v>18</v>
      </c>
      <c r="E96" s="400" t="s">
        <v>623</v>
      </c>
      <c r="F96" s="401">
        <v>2538.2182000000275</v>
      </c>
      <c r="G96" s="402">
        <v>1049.4099999999999</v>
      </c>
      <c r="H96" s="402">
        <v>1049.56</v>
      </c>
      <c r="I96" s="403">
        <f t="shared" si="50"/>
        <v>1.0001429374600967</v>
      </c>
      <c r="J96" s="402">
        <v>4.3</v>
      </c>
      <c r="K96" s="403">
        <f t="shared" si="51"/>
        <v>4.0975405227699378E-3</v>
      </c>
      <c r="L96" s="402">
        <v>605.77999999999986</v>
      </c>
      <c r="M96" s="403">
        <f t="shared" si="52"/>
        <v>1.0042404779828666</v>
      </c>
      <c r="N96" s="404">
        <v>2695.7210000000273</v>
      </c>
      <c r="O96" s="402">
        <v>0.26</v>
      </c>
      <c r="P96" s="403">
        <f t="shared" si="44"/>
        <v>2.4775826416748465E-4</v>
      </c>
      <c r="Q96" s="417">
        <f t="shared" si="45"/>
        <v>157.50279999999998</v>
      </c>
      <c r="R96" s="405">
        <f t="shared" si="46"/>
        <v>4.1900000000000457</v>
      </c>
      <c r="S96" s="403">
        <f t="shared" si="47"/>
        <v>3.9927197186991224E-3</v>
      </c>
      <c r="T96" s="407" t="s">
        <v>176</v>
      </c>
      <c r="U96" s="407" t="s">
        <v>219</v>
      </c>
      <c r="V96" s="408" t="s">
        <v>630</v>
      </c>
      <c r="W96" s="408" t="s">
        <v>631</v>
      </c>
      <c r="X96" s="408">
        <v>1</v>
      </c>
      <c r="Y96" s="409" t="s">
        <v>351</v>
      </c>
      <c r="AC96" s="413"/>
    </row>
    <row r="97" spans="2:34" s="150" customFormat="1" ht="27" customHeight="1">
      <c r="B97" s="829"/>
      <c r="C97" s="830"/>
      <c r="D97" s="397">
        <v>19</v>
      </c>
      <c r="E97" s="400" t="s">
        <v>708</v>
      </c>
      <c r="F97" s="401">
        <v>2506.2218999999882</v>
      </c>
      <c r="G97" s="402">
        <v>1896.46</v>
      </c>
      <c r="H97" s="402">
        <v>1890.0900000000001</v>
      </c>
      <c r="I97" s="403">
        <f t="shared" si="50"/>
        <v>0.9966411102791517</v>
      </c>
      <c r="J97" s="402">
        <v>20</v>
      </c>
      <c r="K97" s="403">
        <f t="shared" si="51"/>
        <v>1.0545964586650919E-2</v>
      </c>
      <c r="L97" s="402">
        <v>193.82999999999998</v>
      </c>
      <c r="M97" s="403">
        <f t="shared" si="52"/>
        <v>1.0071870748658027</v>
      </c>
      <c r="N97" s="404">
        <v>2641.9028999999882</v>
      </c>
      <c r="O97" s="402">
        <v>0.7</v>
      </c>
      <c r="P97" s="403">
        <f t="shared" si="44"/>
        <v>3.6910876053278209E-4</v>
      </c>
      <c r="Q97" s="417">
        <f t="shared" si="45"/>
        <v>135.68099999999998</v>
      </c>
      <c r="R97" s="405">
        <f t="shared" si="46"/>
        <v>12.93000000000011</v>
      </c>
      <c r="S97" s="403">
        <f t="shared" si="47"/>
        <v>6.8179661052698761E-3</v>
      </c>
      <c r="T97" s="407" t="s">
        <v>176</v>
      </c>
      <c r="U97" s="407" t="s">
        <v>477</v>
      </c>
      <c r="V97" s="408" t="s">
        <v>720</v>
      </c>
      <c r="W97" s="408" t="s">
        <v>542</v>
      </c>
      <c r="X97" s="408">
        <v>1</v>
      </c>
      <c r="Y97" s="409" t="s">
        <v>709</v>
      </c>
      <c r="AB97" s="416"/>
      <c r="AC97" s="413"/>
    </row>
    <row r="98" spans="2:34" s="150" customFormat="1" ht="27" customHeight="1">
      <c r="B98" s="831"/>
      <c r="C98" s="832"/>
      <c r="D98" s="397">
        <v>20</v>
      </c>
      <c r="E98" s="400" t="s">
        <v>566</v>
      </c>
      <c r="F98" s="401">
        <v>2360.2600000000002</v>
      </c>
      <c r="G98" s="402">
        <v>187559</v>
      </c>
      <c r="H98" s="402">
        <v>187040</v>
      </c>
      <c r="I98" s="403">
        <f t="shared" si="50"/>
        <v>0.99723287072334577</v>
      </c>
      <c r="J98" s="402">
        <v>1252</v>
      </c>
      <c r="K98" s="403">
        <f t="shared" si="51"/>
        <v>6.6752328600600342E-3</v>
      </c>
      <c r="L98" s="402">
        <v>3.2199999999999998</v>
      </c>
      <c r="M98" s="403">
        <f t="shared" si="52"/>
        <v>1.0039081035834057</v>
      </c>
      <c r="N98" s="404">
        <v>2360.2600000000002</v>
      </c>
      <c r="O98" s="402">
        <v>0</v>
      </c>
      <c r="P98" s="403">
        <f t="shared" si="44"/>
        <v>0</v>
      </c>
      <c r="Q98" s="417">
        <f t="shared" si="45"/>
        <v>0</v>
      </c>
      <c r="R98" s="405">
        <f t="shared" si="46"/>
        <v>733</v>
      </c>
      <c r="S98" s="403">
        <f t="shared" si="47"/>
        <v>3.9081035834057547E-3</v>
      </c>
      <c r="T98" s="407" t="s">
        <v>176</v>
      </c>
      <c r="U98" s="407" t="s">
        <v>219</v>
      </c>
      <c r="V98" s="408" t="s">
        <v>692</v>
      </c>
      <c r="W98" s="408" t="s">
        <v>693</v>
      </c>
      <c r="X98" s="408">
        <v>1</v>
      </c>
      <c r="Y98" s="409" t="s">
        <v>349</v>
      </c>
      <c r="AB98" s="416"/>
      <c r="AC98" s="413"/>
    </row>
    <row r="99" spans="2:34" ht="16.5" customHeight="1">
      <c r="B99" s="849" t="s">
        <v>526</v>
      </c>
      <c r="C99" s="850"/>
      <c r="D99" s="855" t="s">
        <v>172</v>
      </c>
      <c r="E99" s="855"/>
      <c r="F99" s="855"/>
      <c r="G99" s="855" t="s">
        <v>186</v>
      </c>
      <c r="H99" s="855"/>
      <c r="I99" s="855"/>
      <c r="J99" s="855"/>
      <c r="K99" s="855"/>
      <c r="L99" s="855"/>
      <c r="M99" s="855"/>
      <c r="N99" s="855"/>
      <c r="O99" s="855"/>
      <c r="P99" s="855"/>
      <c r="Q99" s="855"/>
      <c r="R99" s="855"/>
      <c r="S99" s="855"/>
      <c r="T99" s="855" t="s">
        <v>173</v>
      </c>
      <c r="U99" s="840" t="s">
        <v>252</v>
      </c>
      <c r="V99" s="860" t="s">
        <v>534</v>
      </c>
      <c r="W99" s="860" t="s">
        <v>528</v>
      </c>
      <c r="X99" s="836" t="s">
        <v>253</v>
      </c>
      <c r="Y99" s="839" t="s">
        <v>174</v>
      </c>
      <c r="AA99" s="855" t="s">
        <v>254</v>
      </c>
      <c r="AB99" s="855"/>
      <c r="AC99" s="855"/>
      <c r="AD99" s="855"/>
      <c r="AE99" s="855"/>
      <c r="AF99" s="855"/>
      <c r="AG99" s="855"/>
      <c r="AH99" s="855"/>
    </row>
    <row r="100" spans="2:34" ht="17.149999999999999" customHeight="1">
      <c r="B100" s="851"/>
      <c r="C100" s="852"/>
      <c r="D100" s="856" t="s">
        <v>171</v>
      </c>
      <c r="E100" s="855" t="s">
        <v>175</v>
      </c>
      <c r="F100" s="855"/>
      <c r="G100" s="855" t="s">
        <v>187</v>
      </c>
      <c r="H100" s="855"/>
      <c r="I100" s="855"/>
      <c r="J100" s="855"/>
      <c r="K100" s="855"/>
      <c r="L100" s="855"/>
      <c r="M100" s="855"/>
      <c r="N100" s="855"/>
      <c r="O100" s="855" t="s">
        <v>176</v>
      </c>
      <c r="P100" s="855"/>
      <c r="Q100" s="855"/>
      <c r="R100" s="855"/>
      <c r="S100" s="855"/>
      <c r="T100" s="855"/>
      <c r="U100" s="843"/>
      <c r="V100" s="837"/>
      <c r="W100" s="861"/>
      <c r="X100" s="837"/>
      <c r="Y100" s="839"/>
      <c r="AA100" s="855"/>
      <c r="AB100" s="855"/>
      <c r="AC100" s="855"/>
      <c r="AD100" s="855"/>
      <c r="AE100" s="855"/>
      <c r="AF100" s="855"/>
      <c r="AG100" s="855"/>
      <c r="AH100" s="855"/>
    </row>
    <row r="101" spans="2:34" ht="17.149999999999999" customHeight="1">
      <c r="B101" s="851"/>
      <c r="C101" s="852"/>
      <c r="D101" s="856"/>
      <c r="E101" s="856" t="s">
        <v>177</v>
      </c>
      <c r="F101" s="863" t="s">
        <v>535</v>
      </c>
      <c r="G101" s="857" t="s">
        <v>188</v>
      </c>
      <c r="H101" s="857"/>
      <c r="I101" s="857"/>
      <c r="J101" s="857"/>
      <c r="K101" s="857"/>
      <c r="L101" s="857"/>
      <c r="M101" s="857"/>
      <c r="N101" s="857"/>
      <c r="O101" s="864" t="s">
        <v>170</v>
      </c>
      <c r="P101" s="865"/>
      <c r="Q101" s="866"/>
      <c r="R101" s="857" t="s">
        <v>178</v>
      </c>
      <c r="S101" s="857"/>
      <c r="T101" s="855"/>
      <c r="U101" s="843"/>
      <c r="V101" s="837"/>
      <c r="W101" s="861"/>
      <c r="X101" s="837"/>
      <c r="Y101" s="839"/>
      <c r="AA101" s="855"/>
      <c r="AB101" s="855"/>
      <c r="AC101" s="855"/>
      <c r="AD101" s="855"/>
      <c r="AE101" s="855"/>
      <c r="AF101" s="855"/>
      <c r="AG101" s="855"/>
      <c r="AH101" s="855"/>
    </row>
    <row r="102" spans="2:34" ht="38.5" customHeight="1">
      <c r="B102" s="853"/>
      <c r="C102" s="854"/>
      <c r="D102" s="856"/>
      <c r="E102" s="856"/>
      <c r="F102" s="863"/>
      <c r="G102" s="398" t="s">
        <v>179</v>
      </c>
      <c r="H102" s="398" t="s">
        <v>259</v>
      </c>
      <c r="I102" s="398" t="s">
        <v>260</v>
      </c>
      <c r="J102" s="398" t="s">
        <v>180</v>
      </c>
      <c r="K102" s="398" t="s">
        <v>257</v>
      </c>
      <c r="L102" s="398" t="s">
        <v>181</v>
      </c>
      <c r="M102" s="398" t="s">
        <v>189</v>
      </c>
      <c r="N102" s="398" t="s">
        <v>182</v>
      </c>
      <c r="O102" s="399" t="s">
        <v>183</v>
      </c>
      <c r="P102" s="399" t="s">
        <v>184</v>
      </c>
      <c r="Q102" s="398" t="s">
        <v>185</v>
      </c>
      <c r="R102" s="399" t="s">
        <v>183</v>
      </c>
      <c r="S102" s="399" t="s">
        <v>184</v>
      </c>
      <c r="T102" s="855"/>
      <c r="U102" s="846"/>
      <c r="V102" s="838"/>
      <c r="W102" s="862"/>
      <c r="X102" s="838"/>
      <c r="Y102" s="839"/>
      <c r="AA102" s="163" t="s">
        <v>251</v>
      </c>
      <c r="AB102" s="163" t="s">
        <v>529</v>
      </c>
      <c r="AC102" s="158" t="s">
        <v>403</v>
      </c>
      <c r="AD102" s="158" t="s">
        <v>346</v>
      </c>
      <c r="AE102" s="158" t="s">
        <v>477</v>
      </c>
      <c r="AF102" s="158" t="s">
        <v>218</v>
      </c>
      <c r="AG102" s="158" t="s">
        <v>219</v>
      </c>
      <c r="AH102" s="158" t="s">
        <v>404</v>
      </c>
    </row>
    <row r="103" spans="2:34" s="150" customFormat="1" ht="27" customHeight="1">
      <c r="B103" s="827" t="s">
        <v>739</v>
      </c>
      <c r="C103" s="828"/>
      <c r="D103" s="397">
        <v>1</v>
      </c>
      <c r="E103" s="400" t="s">
        <v>344</v>
      </c>
      <c r="F103" s="401">
        <v>17196.235200000003</v>
      </c>
      <c r="G103" s="402">
        <v>4218.1900000000005</v>
      </c>
      <c r="H103" s="402">
        <v>4180.3499999999995</v>
      </c>
      <c r="I103" s="403">
        <f>H103/G103</f>
        <v>0.99102932774483821</v>
      </c>
      <c r="J103" s="402">
        <v>157.07000000000002</v>
      </c>
      <c r="K103" s="403">
        <f>J103/G103</f>
        <v>3.7236350188113859E-2</v>
      </c>
      <c r="L103" s="402">
        <v>147.43000000000004</v>
      </c>
      <c r="M103" s="403">
        <f>(H103+J103)/G103</f>
        <v>1.028265677932952</v>
      </c>
      <c r="N103" s="404">
        <v>17578.078900000004</v>
      </c>
      <c r="O103" s="402">
        <v>2.59</v>
      </c>
      <c r="P103" s="403">
        <f>O103/G103</f>
        <v>6.1400742972696806E-4</v>
      </c>
      <c r="Q103" s="417">
        <f>O103*L103</f>
        <v>381.84370000000007</v>
      </c>
      <c r="R103" s="405">
        <f>((H103+J103)-G103)-O103</f>
        <v>116.63999999999865</v>
      </c>
      <c r="S103" s="403">
        <f>R103/G103</f>
        <v>2.7651670503224993E-2</v>
      </c>
      <c r="T103" s="407" t="s">
        <v>176</v>
      </c>
      <c r="U103" s="407" t="s">
        <v>218</v>
      </c>
      <c r="V103" s="408"/>
      <c r="W103" s="408"/>
      <c r="X103" s="408">
        <v>1</v>
      </c>
      <c r="Y103" s="409" t="s">
        <v>349</v>
      </c>
      <c r="Z103" s="410" t="s">
        <v>530</v>
      </c>
      <c r="AA103" s="411">
        <f>SUM(X103:X122)</f>
        <v>20</v>
      </c>
      <c r="AB103" s="412">
        <f>SUMIF($U$103:$U$122,TRIM(AB102),$X$103:$X$122)</f>
        <v>0</v>
      </c>
      <c r="AC103" s="412">
        <f t="shared" ref="AC103:AH103" si="53">SUMIF($U$103:$U$122,TRIM(AC102),$X$103:$X$122)</f>
        <v>0</v>
      </c>
      <c r="AD103" s="412">
        <f t="shared" si="53"/>
        <v>0</v>
      </c>
      <c r="AE103" s="412">
        <f t="shared" si="53"/>
        <v>13</v>
      </c>
      <c r="AF103" s="412">
        <f t="shared" si="53"/>
        <v>1</v>
      </c>
      <c r="AG103" s="412">
        <f t="shared" si="53"/>
        <v>6</v>
      </c>
      <c r="AH103" s="412">
        <f t="shared" si="53"/>
        <v>0</v>
      </c>
    </row>
    <row r="104" spans="2:34" s="150" customFormat="1" ht="27" customHeight="1">
      <c r="B104" s="829"/>
      <c r="C104" s="830"/>
      <c r="D104" s="397">
        <v>2</v>
      </c>
      <c r="E104" s="400" t="s">
        <v>752</v>
      </c>
      <c r="F104" s="401">
        <v>9364.2560000000085</v>
      </c>
      <c r="G104" s="402">
        <v>4780.88</v>
      </c>
      <c r="H104" s="402">
        <v>4642.58</v>
      </c>
      <c r="I104" s="403">
        <f t="shared" ref="I104:I105" si="54">H104/G104</f>
        <v>0.97107227121366779</v>
      </c>
      <c r="J104" s="402">
        <v>282.10000000000002</v>
      </c>
      <c r="K104" s="403">
        <f t="shared" ref="K104:K109" si="55">J104/G104</f>
        <v>5.9005873395692847E-2</v>
      </c>
      <c r="L104" s="402">
        <v>65.12</v>
      </c>
      <c r="M104" s="403">
        <f t="shared" ref="M104:M109" si="56">(H104+J104)/G104</f>
        <v>1.0300781446093608</v>
      </c>
      <c r="N104" s="404">
        <v>9364.2560000000085</v>
      </c>
      <c r="O104" s="402">
        <v>0</v>
      </c>
      <c r="P104" s="403">
        <f t="shared" ref="P104:P122" si="57">O104/G104</f>
        <v>0</v>
      </c>
      <c r="Q104" s="417">
        <f t="shared" ref="Q104:Q122" si="58">O104*L104</f>
        <v>0</v>
      </c>
      <c r="R104" s="405">
        <f t="shared" ref="R104:R122" si="59">((H104+J104)-G104)-O104</f>
        <v>143.80000000000018</v>
      </c>
      <c r="S104" s="403">
        <f t="shared" ref="S104:S122" si="60">R104/G104</f>
        <v>3.0078144609360657E-2</v>
      </c>
      <c r="T104" s="407" t="s">
        <v>176</v>
      </c>
      <c r="U104" s="407" t="s">
        <v>219</v>
      </c>
      <c r="V104" s="408"/>
      <c r="W104" s="408"/>
      <c r="X104" s="408">
        <v>1</v>
      </c>
      <c r="Y104" s="409" t="s">
        <v>742</v>
      </c>
      <c r="AA104" s="411"/>
      <c r="AB104" s="418">
        <f>SUMIF($U$103:$U$122,TRIM(AB102),$F$103:$F$122)</f>
        <v>0</v>
      </c>
      <c r="AC104" s="418">
        <f t="shared" ref="AC104:AH104" si="61">SUMIF($U$103:$U$122,TRIM(AC102),$F$103:$F$122)</f>
        <v>0</v>
      </c>
      <c r="AD104" s="418">
        <f t="shared" si="61"/>
        <v>0</v>
      </c>
      <c r="AE104" s="418">
        <f t="shared" si="61"/>
        <v>54954.452999999987</v>
      </c>
      <c r="AF104" s="418">
        <f t="shared" si="61"/>
        <v>17196.235200000003</v>
      </c>
      <c r="AG104" s="418">
        <f t="shared" si="61"/>
        <v>26970.093900000003</v>
      </c>
      <c r="AH104" s="418">
        <f t="shared" si="61"/>
        <v>0</v>
      </c>
    </row>
    <row r="105" spans="2:34" s="150" customFormat="1" ht="27" customHeight="1">
      <c r="B105" s="829"/>
      <c r="C105" s="830"/>
      <c r="D105" s="397">
        <v>3</v>
      </c>
      <c r="E105" s="400" t="s">
        <v>406</v>
      </c>
      <c r="F105" s="401">
        <v>9146.9519999999957</v>
      </c>
      <c r="G105" s="402">
        <v>3647.87</v>
      </c>
      <c r="H105" s="402">
        <v>3544.6699999999996</v>
      </c>
      <c r="I105" s="403">
        <f t="shared" si="54"/>
        <v>0.9717095181571711</v>
      </c>
      <c r="J105" s="402">
        <v>177.54999999999998</v>
      </c>
      <c r="K105" s="403">
        <f t="shared" si="55"/>
        <v>4.8672238868161417E-2</v>
      </c>
      <c r="L105" s="402">
        <v>127.84000000000002</v>
      </c>
      <c r="M105" s="403">
        <f t="shared" si="56"/>
        <v>1.0203817570253326</v>
      </c>
      <c r="N105" s="404">
        <v>9504.903999999995</v>
      </c>
      <c r="O105" s="402">
        <v>2.8</v>
      </c>
      <c r="P105" s="403">
        <f t="shared" si="57"/>
        <v>7.6757121278992944E-4</v>
      </c>
      <c r="Q105" s="417">
        <f t="shared" si="58"/>
        <v>357.95200000000006</v>
      </c>
      <c r="R105" s="405">
        <f t="shared" si="59"/>
        <v>71.549999999999912</v>
      </c>
      <c r="S105" s="403">
        <f t="shared" si="60"/>
        <v>1.9614185812542637E-2</v>
      </c>
      <c r="T105" s="407" t="s">
        <v>176</v>
      </c>
      <c r="U105" s="407" t="s">
        <v>477</v>
      </c>
      <c r="V105" s="408"/>
      <c r="W105" s="408"/>
      <c r="X105" s="408">
        <v>1</v>
      </c>
      <c r="Y105" s="409" t="s">
        <v>349</v>
      </c>
      <c r="AA105" s="397"/>
      <c r="AB105" s="419">
        <f>AB103/$AA103</f>
        <v>0</v>
      </c>
      <c r="AC105" s="419">
        <f t="shared" ref="AC105:AH105" si="62">AC103/$AA103</f>
        <v>0</v>
      </c>
      <c r="AD105" s="419">
        <f t="shared" si="62"/>
        <v>0</v>
      </c>
      <c r="AE105" s="419">
        <f t="shared" si="62"/>
        <v>0.65</v>
      </c>
      <c r="AF105" s="419">
        <f t="shared" si="62"/>
        <v>0.05</v>
      </c>
      <c r="AG105" s="419">
        <f t="shared" si="62"/>
        <v>0.3</v>
      </c>
      <c r="AH105" s="419">
        <f t="shared" si="62"/>
        <v>0</v>
      </c>
    </row>
    <row r="106" spans="2:34" s="150" customFormat="1" ht="27" customHeight="1">
      <c r="B106" s="829"/>
      <c r="C106" s="830"/>
      <c r="D106" s="397">
        <v>4</v>
      </c>
      <c r="E106" s="400" t="s">
        <v>584</v>
      </c>
      <c r="F106" s="401">
        <v>5668.1369999999924</v>
      </c>
      <c r="G106" s="402">
        <v>1520.0700000000002</v>
      </c>
      <c r="H106" s="402">
        <v>1429</v>
      </c>
      <c r="I106" s="403">
        <f>H106/G106</f>
        <v>0.94008828540790879</v>
      </c>
      <c r="J106" s="402">
        <v>130.21999999999997</v>
      </c>
      <c r="K106" s="403">
        <f t="shared" si="55"/>
        <v>8.5667107435841744E-2</v>
      </c>
      <c r="L106" s="402">
        <v>144.78</v>
      </c>
      <c r="M106" s="403">
        <f t="shared" si="56"/>
        <v>1.0257553928437506</v>
      </c>
      <c r="N106" s="404">
        <v>5668.1369999999924</v>
      </c>
      <c r="O106" s="402">
        <v>0</v>
      </c>
      <c r="P106" s="403">
        <f t="shared" si="57"/>
        <v>0</v>
      </c>
      <c r="Q106" s="417">
        <f t="shared" si="58"/>
        <v>0</v>
      </c>
      <c r="R106" s="405">
        <f t="shared" si="59"/>
        <v>39.149999999999864</v>
      </c>
      <c r="S106" s="403">
        <f t="shared" si="60"/>
        <v>2.5755392843750523E-2</v>
      </c>
      <c r="T106" s="407" t="s">
        <v>176</v>
      </c>
      <c r="U106" s="407" t="s">
        <v>477</v>
      </c>
      <c r="V106" s="408"/>
      <c r="W106" s="408"/>
      <c r="X106" s="408">
        <v>1</v>
      </c>
      <c r="Y106" s="409" t="s">
        <v>563</v>
      </c>
    </row>
    <row r="107" spans="2:34" s="150" customFormat="1" ht="27" customHeight="1">
      <c r="B107" s="829"/>
      <c r="C107" s="830"/>
      <c r="D107" s="397">
        <v>5</v>
      </c>
      <c r="E107" s="400" t="s">
        <v>512</v>
      </c>
      <c r="F107" s="401">
        <v>4918.0295999999944</v>
      </c>
      <c r="G107" s="402">
        <v>2097.63</v>
      </c>
      <c r="H107" s="402">
        <v>2026</v>
      </c>
      <c r="I107" s="403">
        <f t="shared" ref="I107:I122" si="63">H107/G107</f>
        <v>0.9658519376629815</v>
      </c>
      <c r="J107" s="402">
        <v>143.51</v>
      </c>
      <c r="K107" s="403">
        <f t="shared" si="55"/>
        <v>6.8415306798625106E-2</v>
      </c>
      <c r="L107" s="402">
        <v>68.42</v>
      </c>
      <c r="M107" s="403">
        <f t="shared" si="56"/>
        <v>1.0342672444616068</v>
      </c>
      <c r="N107" s="404">
        <v>4918.0295999999944</v>
      </c>
      <c r="O107" s="402">
        <v>0</v>
      </c>
      <c r="P107" s="403">
        <f t="shared" si="57"/>
        <v>0</v>
      </c>
      <c r="Q107" s="417">
        <f t="shared" si="58"/>
        <v>0</v>
      </c>
      <c r="R107" s="405">
        <f t="shared" si="59"/>
        <v>71.880000000000109</v>
      </c>
      <c r="S107" s="403">
        <f t="shared" si="60"/>
        <v>3.426724446160672E-2</v>
      </c>
      <c r="T107" s="407" t="s">
        <v>176</v>
      </c>
      <c r="U107" s="407" t="s">
        <v>219</v>
      </c>
      <c r="V107" s="408"/>
      <c r="W107" s="433"/>
      <c r="X107" s="408">
        <v>1</v>
      </c>
      <c r="Y107" s="409" t="s">
        <v>508</v>
      </c>
    </row>
    <row r="108" spans="2:34" s="150" customFormat="1" ht="27" customHeight="1">
      <c r="B108" s="829"/>
      <c r="C108" s="830"/>
      <c r="D108" s="397">
        <v>6</v>
      </c>
      <c r="E108" s="400" t="s">
        <v>753</v>
      </c>
      <c r="F108" s="401">
        <v>4542.7635000000009</v>
      </c>
      <c r="G108" s="402">
        <v>367.76000000000005</v>
      </c>
      <c r="H108" s="402">
        <v>354.28999999999996</v>
      </c>
      <c r="I108" s="403">
        <f t="shared" si="63"/>
        <v>0.9633728518599084</v>
      </c>
      <c r="J108" s="402">
        <v>40.200000000000003</v>
      </c>
      <c r="K108" s="403">
        <f t="shared" si="55"/>
        <v>0.10931041983902544</v>
      </c>
      <c r="L108" s="402">
        <v>169.95000000000002</v>
      </c>
      <c r="M108" s="403">
        <f t="shared" si="56"/>
        <v>1.0726832716989338</v>
      </c>
      <c r="N108" s="404">
        <v>4542.7635000000009</v>
      </c>
      <c r="O108" s="402">
        <v>0</v>
      </c>
      <c r="P108" s="403">
        <f t="shared" si="57"/>
        <v>0</v>
      </c>
      <c r="Q108" s="417">
        <f t="shared" si="58"/>
        <v>0</v>
      </c>
      <c r="R108" s="405">
        <f t="shared" si="59"/>
        <v>26.729999999999905</v>
      </c>
      <c r="S108" s="403">
        <f t="shared" si="60"/>
        <v>7.2683271698933821E-2</v>
      </c>
      <c r="T108" s="407" t="s">
        <v>176</v>
      </c>
      <c r="U108" s="407" t="s">
        <v>477</v>
      </c>
      <c r="V108" s="408"/>
      <c r="W108" s="408"/>
      <c r="X108" s="408">
        <v>1</v>
      </c>
      <c r="Y108" s="409" t="s">
        <v>742</v>
      </c>
    </row>
    <row r="109" spans="2:34" s="150" customFormat="1" ht="27" customHeight="1">
      <c r="B109" s="829"/>
      <c r="C109" s="830"/>
      <c r="D109" s="397">
        <v>7</v>
      </c>
      <c r="E109" s="400" t="s">
        <v>676</v>
      </c>
      <c r="F109" s="401">
        <v>4456.8072999999986</v>
      </c>
      <c r="G109" s="402">
        <v>643.18999999999994</v>
      </c>
      <c r="H109" s="402">
        <v>613.04</v>
      </c>
      <c r="I109" s="403">
        <f t="shared" si="63"/>
        <v>0.95312427121068433</v>
      </c>
      <c r="J109" s="402">
        <v>59.879999999999995</v>
      </c>
      <c r="K109" s="403">
        <f t="shared" si="55"/>
        <v>9.3098462351715663E-2</v>
      </c>
      <c r="L109" s="402">
        <v>160.49</v>
      </c>
      <c r="M109" s="403">
        <f t="shared" si="56"/>
        <v>1.0462227335623999</v>
      </c>
      <c r="N109" s="404">
        <v>4771.3676999999989</v>
      </c>
      <c r="O109" s="402">
        <v>1.96</v>
      </c>
      <c r="P109" s="403">
        <f t="shared" si="57"/>
        <v>3.0473110589405933E-3</v>
      </c>
      <c r="Q109" s="417">
        <f t="shared" si="58"/>
        <v>314.56040000000002</v>
      </c>
      <c r="R109" s="405">
        <f t="shared" si="59"/>
        <v>27.770000000000017</v>
      </c>
      <c r="S109" s="403">
        <f t="shared" si="60"/>
        <v>4.3175422503459349E-2</v>
      </c>
      <c r="T109" s="407" t="s">
        <v>176</v>
      </c>
      <c r="U109" s="407" t="s">
        <v>477</v>
      </c>
      <c r="V109" s="408"/>
      <c r="W109" s="408"/>
      <c r="X109" s="408">
        <v>1</v>
      </c>
      <c r="Y109" s="409" t="s">
        <v>483</v>
      </c>
    </row>
    <row r="110" spans="2:34" s="150" customFormat="1" ht="27" customHeight="1">
      <c r="B110" s="829"/>
      <c r="C110" s="830"/>
      <c r="D110" s="397">
        <v>8</v>
      </c>
      <c r="E110" s="400" t="s">
        <v>475</v>
      </c>
      <c r="F110" s="401">
        <v>4241.116200000004</v>
      </c>
      <c r="G110" s="402">
        <v>1014.8400000000001</v>
      </c>
      <c r="H110" s="402">
        <v>995.25000000000011</v>
      </c>
      <c r="I110" s="403">
        <f t="shared" si="63"/>
        <v>0.98069646446730518</v>
      </c>
      <c r="J110" s="402">
        <v>66.300000000000011</v>
      </c>
      <c r="K110" s="403">
        <f>J110/G110</f>
        <v>6.5330495447558243E-2</v>
      </c>
      <c r="L110" s="402">
        <v>99.51</v>
      </c>
      <c r="M110" s="403">
        <f>(H110+J110)/G110</f>
        <v>1.0460269599148635</v>
      </c>
      <c r="N110" s="404">
        <v>4648.1121000000039</v>
      </c>
      <c r="O110" s="402">
        <v>4.09</v>
      </c>
      <c r="P110" s="403">
        <f t="shared" si="57"/>
        <v>4.0301919514406205E-3</v>
      </c>
      <c r="Q110" s="417">
        <f t="shared" si="58"/>
        <v>406.99590000000001</v>
      </c>
      <c r="R110" s="405">
        <f t="shared" si="59"/>
        <v>42.620000000000033</v>
      </c>
      <c r="S110" s="403">
        <f t="shared" si="60"/>
        <v>4.1996767963422832E-2</v>
      </c>
      <c r="T110" s="407" t="s">
        <v>176</v>
      </c>
      <c r="U110" s="407" t="s">
        <v>477</v>
      </c>
      <c r="V110" s="408"/>
      <c r="W110" s="408"/>
      <c r="X110" s="408">
        <v>1</v>
      </c>
      <c r="Y110" s="409" t="s">
        <v>364</v>
      </c>
    </row>
    <row r="111" spans="2:34" s="150" customFormat="1" ht="27" customHeight="1">
      <c r="B111" s="829"/>
      <c r="C111" s="830"/>
      <c r="D111" s="397">
        <v>9</v>
      </c>
      <c r="E111" s="400" t="s">
        <v>754</v>
      </c>
      <c r="F111" s="401">
        <v>4050.5499999999975</v>
      </c>
      <c r="G111" s="402">
        <v>104.45000000000002</v>
      </c>
      <c r="H111" s="402">
        <v>104.35</v>
      </c>
      <c r="I111" s="403">
        <f t="shared" si="63"/>
        <v>0.99904260411680212</v>
      </c>
      <c r="J111" s="402">
        <v>1.73</v>
      </c>
      <c r="K111" s="403">
        <f t="shared" ref="K111:K122" si="64">J111/G111</f>
        <v>1.6562948779320245E-2</v>
      </c>
      <c r="L111" s="402">
        <v>2485</v>
      </c>
      <c r="M111" s="403">
        <f t="shared" ref="M111:M122" si="65">(H111+J111)/G111</f>
        <v>1.0156055528961223</v>
      </c>
      <c r="N111" s="404">
        <v>4050.5499999999975</v>
      </c>
      <c r="O111" s="402">
        <v>0</v>
      </c>
      <c r="P111" s="403">
        <f t="shared" si="57"/>
        <v>0</v>
      </c>
      <c r="Q111" s="417">
        <f t="shared" si="58"/>
        <v>0</v>
      </c>
      <c r="R111" s="405">
        <f t="shared" si="59"/>
        <v>1.6299999999999812</v>
      </c>
      <c r="S111" s="403">
        <f t="shared" si="60"/>
        <v>1.5605552896122364E-2</v>
      </c>
      <c r="T111" s="407" t="s">
        <v>176</v>
      </c>
      <c r="U111" s="407" t="s">
        <v>477</v>
      </c>
      <c r="V111" s="408"/>
      <c r="W111" s="408"/>
      <c r="X111" s="408">
        <v>1</v>
      </c>
      <c r="Y111" s="409" t="s">
        <v>740</v>
      </c>
    </row>
    <row r="112" spans="2:34" s="150" customFormat="1" ht="27" customHeight="1">
      <c r="B112" s="829"/>
      <c r="C112" s="830"/>
      <c r="D112" s="397">
        <v>10</v>
      </c>
      <c r="E112" s="400" t="s">
        <v>482</v>
      </c>
      <c r="F112" s="401">
        <v>3674.0371999999907</v>
      </c>
      <c r="G112" s="402">
        <v>404.29</v>
      </c>
      <c r="H112" s="402">
        <v>398.94</v>
      </c>
      <c r="I112" s="403">
        <f t="shared" si="63"/>
        <v>0.98676692473224659</v>
      </c>
      <c r="J112" s="402">
        <v>16.939999999999998</v>
      </c>
      <c r="K112" s="403">
        <f t="shared" si="64"/>
        <v>4.1900615894531146E-2</v>
      </c>
      <c r="L112" s="402">
        <v>368.13999999999993</v>
      </c>
      <c r="M112" s="403">
        <f t="shared" si="65"/>
        <v>1.0286675406267778</v>
      </c>
      <c r="N112" s="404">
        <v>4266.7425999999905</v>
      </c>
      <c r="O112" s="402">
        <v>1.6099999999999999</v>
      </c>
      <c r="P112" s="403">
        <f t="shared" si="57"/>
        <v>3.9822899403893237E-3</v>
      </c>
      <c r="Q112" s="417">
        <f t="shared" si="58"/>
        <v>592.70539999999983</v>
      </c>
      <c r="R112" s="405">
        <f t="shared" si="59"/>
        <v>9.9799999999999756</v>
      </c>
      <c r="S112" s="403">
        <f t="shared" si="60"/>
        <v>2.4685250686388421E-2</v>
      </c>
      <c r="T112" s="407" t="s">
        <v>176</v>
      </c>
      <c r="U112" s="407" t="s">
        <v>477</v>
      </c>
      <c r="V112" s="408"/>
      <c r="W112" s="408"/>
      <c r="X112" s="408">
        <v>1</v>
      </c>
      <c r="Y112" s="409" t="s">
        <v>483</v>
      </c>
    </row>
    <row r="113" spans="2:29" s="150" customFormat="1" ht="27" customHeight="1">
      <c r="B113" s="829"/>
      <c r="C113" s="830"/>
      <c r="D113" s="397">
        <v>11</v>
      </c>
      <c r="E113" s="400" t="s">
        <v>675</v>
      </c>
      <c r="F113" s="401">
        <v>3422.299100000007</v>
      </c>
      <c r="G113" s="402">
        <v>1069.9099999999999</v>
      </c>
      <c r="H113" s="402">
        <v>1058.04</v>
      </c>
      <c r="I113" s="403">
        <f t="shared" si="63"/>
        <v>0.98890560888299028</v>
      </c>
      <c r="J113" s="402">
        <v>29.799999999999997</v>
      </c>
      <c r="K113" s="403">
        <f t="shared" si="64"/>
        <v>2.7852810049443413E-2</v>
      </c>
      <c r="L113" s="402">
        <v>190.87000000000003</v>
      </c>
      <c r="M113" s="403">
        <f t="shared" si="65"/>
        <v>1.0167584189324337</v>
      </c>
      <c r="N113" s="404">
        <v>3422.299100000007</v>
      </c>
      <c r="O113" s="402">
        <v>0</v>
      </c>
      <c r="P113" s="403">
        <f t="shared" si="57"/>
        <v>0</v>
      </c>
      <c r="Q113" s="417">
        <f t="shared" si="58"/>
        <v>0</v>
      </c>
      <c r="R113" s="405">
        <f t="shared" si="59"/>
        <v>17.930000000000064</v>
      </c>
      <c r="S113" s="403">
        <f t="shared" si="60"/>
        <v>1.6758418932433631E-2</v>
      </c>
      <c r="T113" s="407" t="s">
        <v>176</v>
      </c>
      <c r="U113" s="407" t="s">
        <v>477</v>
      </c>
      <c r="V113" s="408"/>
      <c r="W113" s="408"/>
      <c r="X113" s="408">
        <v>1</v>
      </c>
      <c r="Y113" s="409" t="s">
        <v>679</v>
      </c>
    </row>
    <row r="114" spans="2:29" s="150" customFormat="1" ht="27" customHeight="1">
      <c r="B114" s="829"/>
      <c r="C114" s="830"/>
      <c r="D114" s="397">
        <v>12</v>
      </c>
      <c r="E114" s="400" t="s">
        <v>755</v>
      </c>
      <c r="F114" s="401">
        <v>3412.5970000000038</v>
      </c>
      <c r="G114" s="402">
        <v>478.09999999999997</v>
      </c>
      <c r="H114" s="402">
        <v>479.11</v>
      </c>
      <c r="I114" s="403">
        <f t="shared" si="63"/>
        <v>1.0021125287596737</v>
      </c>
      <c r="J114" s="402">
        <v>9.5</v>
      </c>
      <c r="K114" s="403">
        <f t="shared" si="64"/>
        <v>1.9870320016732904E-2</v>
      </c>
      <c r="L114" s="402">
        <v>324.7</v>
      </c>
      <c r="M114" s="403">
        <f t="shared" si="65"/>
        <v>1.0219828487764067</v>
      </c>
      <c r="N114" s="404">
        <v>3412.5970000000038</v>
      </c>
      <c r="O114" s="402">
        <v>0</v>
      </c>
      <c r="P114" s="403">
        <f t="shared" si="57"/>
        <v>0</v>
      </c>
      <c r="Q114" s="417">
        <f t="shared" si="58"/>
        <v>0</v>
      </c>
      <c r="R114" s="405">
        <f t="shared" si="59"/>
        <v>10.510000000000048</v>
      </c>
      <c r="S114" s="403">
        <f t="shared" si="60"/>
        <v>2.1982848776406713E-2</v>
      </c>
      <c r="T114" s="407" t="s">
        <v>176</v>
      </c>
      <c r="U114" s="407" t="s">
        <v>219</v>
      </c>
      <c r="V114" s="408"/>
      <c r="W114" s="408"/>
      <c r="X114" s="408">
        <v>1</v>
      </c>
      <c r="Y114" s="409" t="s">
        <v>742</v>
      </c>
    </row>
    <row r="115" spans="2:29" s="150" customFormat="1" ht="27" customHeight="1">
      <c r="B115" s="829"/>
      <c r="C115" s="830"/>
      <c r="D115" s="397">
        <v>13</v>
      </c>
      <c r="E115" s="400" t="s">
        <v>471</v>
      </c>
      <c r="F115" s="401">
        <v>3410.3240999999998</v>
      </c>
      <c r="G115" s="402">
        <v>1547.8400000000001</v>
      </c>
      <c r="H115" s="402">
        <v>1521.1100000000001</v>
      </c>
      <c r="I115" s="403">
        <f t="shared" si="63"/>
        <v>0.98273077320653301</v>
      </c>
      <c r="J115" s="402">
        <v>78.3</v>
      </c>
      <c r="K115" s="403">
        <f t="shared" si="64"/>
        <v>5.0586623940458958E-2</v>
      </c>
      <c r="L115" s="402">
        <v>66.13</v>
      </c>
      <c r="M115" s="403">
        <f t="shared" si="65"/>
        <v>1.033317397146992</v>
      </c>
      <c r="N115" s="404">
        <v>3410.3240999999998</v>
      </c>
      <c r="O115" s="402">
        <v>0</v>
      </c>
      <c r="P115" s="403">
        <f t="shared" si="57"/>
        <v>0</v>
      </c>
      <c r="Q115" s="417">
        <f t="shared" si="58"/>
        <v>0</v>
      </c>
      <c r="R115" s="405">
        <f t="shared" si="59"/>
        <v>51.569999999999936</v>
      </c>
      <c r="S115" s="403">
        <f t="shared" si="60"/>
        <v>3.3317397146991889E-2</v>
      </c>
      <c r="T115" s="407" t="s">
        <v>176</v>
      </c>
      <c r="U115" s="407" t="s">
        <v>477</v>
      </c>
      <c r="V115" s="408"/>
      <c r="W115" s="408"/>
      <c r="X115" s="408">
        <v>1</v>
      </c>
      <c r="Y115" s="409" t="s">
        <v>350</v>
      </c>
    </row>
    <row r="116" spans="2:29" s="150" customFormat="1" ht="27" customHeight="1">
      <c r="B116" s="829"/>
      <c r="C116" s="830"/>
      <c r="D116" s="397">
        <v>14</v>
      </c>
      <c r="E116" s="400" t="s">
        <v>673</v>
      </c>
      <c r="F116" s="401">
        <v>3223.3700000000003</v>
      </c>
      <c r="G116" s="402">
        <v>17496</v>
      </c>
      <c r="H116" s="402">
        <v>17385</v>
      </c>
      <c r="I116" s="403">
        <f t="shared" si="63"/>
        <v>0.99365569272976684</v>
      </c>
      <c r="J116" s="402">
        <v>1250</v>
      </c>
      <c r="K116" s="403">
        <f t="shared" si="64"/>
        <v>7.1444901691815277E-2</v>
      </c>
      <c r="L116" s="402">
        <v>2.8300000000000005</v>
      </c>
      <c r="M116" s="403">
        <f t="shared" si="65"/>
        <v>1.0651005944215821</v>
      </c>
      <c r="N116" s="404">
        <v>3223.3700000000003</v>
      </c>
      <c r="O116" s="402">
        <v>0</v>
      </c>
      <c r="P116" s="403">
        <f t="shared" si="57"/>
        <v>0</v>
      </c>
      <c r="Q116" s="417">
        <f t="shared" si="58"/>
        <v>0</v>
      </c>
      <c r="R116" s="405">
        <f t="shared" si="59"/>
        <v>1139</v>
      </c>
      <c r="S116" s="403">
        <f t="shared" si="60"/>
        <v>6.5100594421582073E-2</v>
      </c>
      <c r="T116" s="407" t="s">
        <v>176</v>
      </c>
      <c r="U116" s="407" t="s">
        <v>477</v>
      </c>
      <c r="V116" s="408"/>
      <c r="W116" s="408"/>
      <c r="X116" s="408">
        <v>1</v>
      </c>
      <c r="Y116" s="409" t="s">
        <v>486</v>
      </c>
      <c r="AC116" s="414"/>
    </row>
    <row r="117" spans="2:29" s="150" customFormat="1" ht="27" customHeight="1">
      <c r="B117" s="829"/>
      <c r="C117" s="830"/>
      <c r="D117" s="397">
        <v>15</v>
      </c>
      <c r="E117" s="400" t="s">
        <v>671</v>
      </c>
      <c r="F117" s="401">
        <v>3217.0685999999992</v>
      </c>
      <c r="G117" s="402">
        <v>1027.26</v>
      </c>
      <c r="H117" s="402">
        <v>1021.5799999999999</v>
      </c>
      <c r="I117" s="403">
        <f t="shared" si="63"/>
        <v>0.99447072795592151</v>
      </c>
      <c r="J117" s="402">
        <v>14.010000000000002</v>
      </c>
      <c r="K117" s="403">
        <f t="shared" si="64"/>
        <v>1.3638222066468081E-2</v>
      </c>
      <c r="L117" s="402">
        <v>407.74000000000007</v>
      </c>
      <c r="M117" s="403">
        <f t="shared" si="65"/>
        <v>1.0081089500223896</v>
      </c>
      <c r="N117" s="404">
        <v>3396.4741999999992</v>
      </c>
      <c r="O117" s="402">
        <v>0.44</v>
      </c>
      <c r="P117" s="403">
        <f t="shared" si="57"/>
        <v>4.2832389073846935E-4</v>
      </c>
      <c r="Q117" s="417">
        <f t="shared" si="58"/>
        <v>179.40560000000002</v>
      </c>
      <c r="R117" s="405">
        <f t="shared" si="59"/>
        <v>7.8899999999999268</v>
      </c>
      <c r="S117" s="403">
        <f t="shared" si="60"/>
        <v>7.6806261316511174E-3</v>
      </c>
      <c r="T117" s="407" t="s">
        <v>176</v>
      </c>
      <c r="U117" s="407" t="s">
        <v>219</v>
      </c>
      <c r="V117" s="408"/>
      <c r="W117" s="408"/>
      <c r="X117" s="408">
        <v>1</v>
      </c>
      <c r="Y117" s="409" t="s">
        <v>677</v>
      </c>
      <c r="AC117" s="413"/>
    </row>
    <row r="118" spans="2:29" s="150" customFormat="1" ht="27" customHeight="1">
      <c r="B118" s="829"/>
      <c r="C118" s="830"/>
      <c r="D118" s="397">
        <v>16</v>
      </c>
      <c r="E118" s="400" t="s">
        <v>345</v>
      </c>
      <c r="F118" s="401">
        <v>3108.6393999999991</v>
      </c>
      <c r="G118" s="402">
        <v>1404.06</v>
      </c>
      <c r="H118" s="402">
        <v>1361.73</v>
      </c>
      <c r="I118" s="403">
        <f t="shared" si="63"/>
        <v>0.9698517157386437</v>
      </c>
      <c r="J118" s="402">
        <v>91</v>
      </c>
      <c r="K118" s="403">
        <f t="shared" si="64"/>
        <v>6.4812045069299037E-2</v>
      </c>
      <c r="L118" s="402">
        <v>70.220000000000013</v>
      </c>
      <c r="M118" s="403">
        <f t="shared" si="65"/>
        <v>1.0346637608079428</v>
      </c>
      <c r="N118" s="404">
        <v>3417.607399999999</v>
      </c>
      <c r="O118" s="402">
        <v>4.4000000000000004</v>
      </c>
      <c r="P118" s="403">
        <f t="shared" si="57"/>
        <v>3.1337692121419314E-3</v>
      </c>
      <c r="Q118" s="417">
        <f t="shared" si="58"/>
        <v>308.96800000000007</v>
      </c>
      <c r="R118" s="405">
        <f t="shared" si="59"/>
        <v>44.270000000000074</v>
      </c>
      <c r="S118" s="403">
        <f t="shared" si="60"/>
        <v>3.1529991595800805E-2</v>
      </c>
      <c r="T118" s="407" t="s">
        <v>176</v>
      </c>
      <c r="U118" s="407" t="s">
        <v>477</v>
      </c>
      <c r="V118" s="408"/>
      <c r="W118" s="408"/>
      <c r="X118" s="408">
        <v>1</v>
      </c>
      <c r="Y118" s="409" t="s">
        <v>352</v>
      </c>
      <c r="AC118" s="413"/>
    </row>
    <row r="119" spans="2:29" s="150" customFormat="1" ht="27" customHeight="1">
      <c r="B119" s="829"/>
      <c r="C119" s="830"/>
      <c r="D119" s="397">
        <v>17</v>
      </c>
      <c r="E119" s="400" t="s">
        <v>582</v>
      </c>
      <c r="F119" s="401">
        <v>3062.2175999999972</v>
      </c>
      <c r="G119" s="402">
        <v>528.71999999999991</v>
      </c>
      <c r="H119" s="402">
        <v>527.06999999999994</v>
      </c>
      <c r="I119" s="403">
        <f t="shared" si="63"/>
        <v>0.9968792555605992</v>
      </c>
      <c r="J119" s="402">
        <v>12.02</v>
      </c>
      <c r="K119" s="403">
        <f t="shared" si="64"/>
        <v>2.2734150400968378E-2</v>
      </c>
      <c r="L119" s="402">
        <v>327.16000000000003</v>
      </c>
      <c r="M119" s="403">
        <f t="shared" si="65"/>
        <v>1.0196134059615676</v>
      </c>
      <c r="N119" s="404">
        <v>3392.6491999999976</v>
      </c>
      <c r="O119" s="402">
        <v>1.01</v>
      </c>
      <c r="P119" s="403">
        <f t="shared" si="57"/>
        <v>1.9102738689665611E-3</v>
      </c>
      <c r="Q119" s="417">
        <f t="shared" si="58"/>
        <v>330.4316</v>
      </c>
      <c r="R119" s="405">
        <f t="shared" si="59"/>
        <v>9.3600000000000048</v>
      </c>
      <c r="S119" s="403">
        <f t="shared" si="60"/>
        <v>1.770313209260101E-2</v>
      </c>
      <c r="T119" s="407" t="s">
        <v>176</v>
      </c>
      <c r="U119" s="407" t="s">
        <v>219</v>
      </c>
      <c r="V119" s="408"/>
      <c r="W119" s="408"/>
      <c r="X119" s="408">
        <v>1</v>
      </c>
      <c r="Y119" s="409" t="s">
        <v>563</v>
      </c>
      <c r="AB119" s="415"/>
      <c r="AC119" s="413"/>
    </row>
    <row r="120" spans="2:29" s="150" customFormat="1" ht="27" customHeight="1">
      <c r="B120" s="829"/>
      <c r="C120" s="830"/>
      <c r="D120" s="397">
        <v>18</v>
      </c>
      <c r="E120" s="400" t="s">
        <v>442</v>
      </c>
      <c r="F120" s="401">
        <v>3029.5253000000007</v>
      </c>
      <c r="G120" s="402">
        <v>1523.32</v>
      </c>
      <c r="H120" s="402">
        <v>1532.69</v>
      </c>
      <c r="I120" s="403">
        <f t="shared" si="63"/>
        <v>1.006151038521125</v>
      </c>
      <c r="J120" s="402">
        <v>14.440000000000001</v>
      </c>
      <c r="K120" s="403">
        <f t="shared" si="64"/>
        <v>9.4792952235905805E-3</v>
      </c>
      <c r="L120" s="402">
        <v>157.87000000000003</v>
      </c>
      <c r="M120" s="403">
        <f t="shared" si="65"/>
        <v>1.0156303337447157</v>
      </c>
      <c r="N120" s="404">
        <v>3758.8847000000005</v>
      </c>
      <c r="O120" s="402">
        <v>4.62</v>
      </c>
      <c r="P120" s="403">
        <f t="shared" si="57"/>
        <v>3.032849302838537E-3</v>
      </c>
      <c r="Q120" s="417">
        <f t="shared" si="58"/>
        <v>729.35940000000016</v>
      </c>
      <c r="R120" s="405">
        <f t="shared" si="59"/>
        <v>19.190000000000172</v>
      </c>
      <c r="S120" s="403">
        <f t="shared" si="60"/>
        <v>1.2597484441877067E-2</v>
      </c>
      <c r="T120" s="407" t="s">
        <v>176</v>
      </c>
      <c r="U120" s="407" t="s">
        <v>477</v>
      </c>
      <c r="V120" s="408"/>
      <c r="W120" s="408"/>
      <c r="X120" s="408">
        <v>1</v>
      </c>
      <c r="Y120" s="409" t="s">
        <v>349</v>
      </c>
      <c r="AC120" s="413"/>
    </row>
    <row r="121" spans="2:29" s="150" customFormat="1" ht="27" customHeight="1">
      <c r="B121" s="829"/>
      <c r="C121" s="830"/>
      <c r="D121" s="397">
        <v>19</v>
      </c>
      <c r="E121" s="400" t="s">
        <v>520</v>
      </c>
      <c r="F121" s="401">
        <v>2995.9250999999995</v>
      </c>
      <c r="G121" s="402">
        <v>1126.25</v>
      </c>
      <c r="H121" s="402">
        <v>1083.3400000000001</v>
      </c>
      <c r="I121" s="403">
        <f t="shared" si="63"/>
        <v>0.96190011098779149</v>
      </c>
      <c r="J121" s="402">
        <v>90.93</v>
      </c>
      <c r="K121" s="403">
        <f t="shared" si="64"/>
        <v>8.0736958934517211E-2</v>
      </c>
      <c r="L121" s="402">
        <v>71.69</v>
      </c>
      <c r="M121" s="403">
        <f t="shared" si="65"/>
        <v>1.0426370699223086</v>
      </c>
      <c r="N121" s="404">
        <v>3442.5537999999997</v>
      </c>
      <c r="O121" s="402">
        <v>6.2299999999999995</v>
      </c>
      <c r="P121" s="403">
        <f t="shared" si="57"/>
        <v>5.5316315205327406E-3</v>
      </c>
      <c r="Q121" s="417">
        <f t="shared" si="58"/>
        <v>446.62869999999998</v>
      </c>
      <c r="R121" s="405">
        <f t="shared" si="59"/>
        <v>41.790000000000212</v>
      </c>
      <c r="S121" s="403">
        <f t="shared" si="60"/>
        <v>3.7105438401775992E-2</v>
      </c>
      <c r="T121" s="407" t="s">
        <v>176</v>
      </c>
      <c r="U121" s="407" t="s">
        <v>219</v>
      </c>
      <c r="V121" s="408"/>
      <c r="W121" s="408"/>
      <c r="X121" s="408">
        <v>1</v>
      </c>
      <c r="Y121" s="409" t="s">
        <v>515</v>
      </c>
      <c r="AB121" s="416"/>
      <c r="AC121" s="413"/>
    </row>
    <row r="122" spans="2:29" s="150" customFormat="1" ht="27" customHeight="1">
      <c r="B122" s="831"/>
      <c r="C122" s="832"/>
      <c r="D122" s="397">
        <v>20</v>
      </c>
      <c r="E122" s="400" t="s">
        <v>622</v>
      </c>
      <c r="F122" s="401">
        <v>2979.931900000001</v>
      </c>
      <c r="G122" s="402">
        <v>841.7600000000001</v>
      </c>
      <c r="H122" s="402">
        <v>817.25</v>
      </c>
      <c r="I122" s="403">
        <f t="shared" si="63"/>
        <v>0.97088243679908748</v>
      </c>
      <c r="J122" s="402">
        <v>50.919999999999995</v>
      </c>
      <c r="K122" s="403">
        <f t="shared" si="64"/>
        <v>6.0492301843755925E-2</v>
      </c>
      <c r="L122" s="402">
        <v>128.38999999999999</v>
      </c>
      <c r="M122" s="403">
        <f t="shared" si="65"/>
        <v>1.0313747386428433</v>
      </c>
      <c r="N122" s="404">
        <v>3390.7799000000009</v>
      </c>
      <c r="O122" s="402">
        <v>3.2</v>
      </c>
      <c r="P122" s="403">
        <f t="shared" si="57"/>
        <v>3.8015586390420068E-3</v>
      </c>
      <c r="Q122" s="417">
        <f t="shared" si="58"/>
        <v>410.84799999999996</v>
      </c>
      <c r="R122" s="405">
        <f t="shared" si="59"/>
        <v>23.209999999999855</v>
      </c>
      <c r="S122" s="403">
        <f t="shared" si="60"/>
        <v>2.7573180003801382E-2</v>
      </c>
      <c r="T122" s="407" t="s">
        <v>176</v>
      </c>
      <c r="U122" s="407" t="s">
        <v>477</v>
      </c>
      <c r="V122" s="408"/>
      <c r="W122" s="408"/>
      <c r="X122" s="408">
        <v>1</v>
      </c>
      <c r="Y122" s="409" t="s">
        <v>366</v>
      </c>
      <c r="AB122" s="416"/>
      <c r="AC122" s="413"/>
    </row>
    <row r="124" spans="2:29" ht="14.15" customHeight="1"/>
    <row r="134" ht="14.15" customHeight="1"/>
    <row r="144" ht="14.15" customHeight="1"/>
    <row r="154" ht="14.15" customHeight="1"/>
    <row r="164" ht="14.15" customHeight="1"/>
    <row r="174" ht="14.15" customHeight="1"/>
    <row r="184" ht="14.15" customHeight="1"/>
    <row r="194" ht="14.15" customHeight="1"/>
    <row r="204" ht="14.15" customHeight="1"/>
    <row r="214" ht="14.15" customHeight="1"/>
    <row r="224" ht="14.15" customHeight="1"/>
  </sheetData>
  <mergeCells count="101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</mergeCells>
  <phoneticPr fontId="15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70" t="s">
        <v>12</v>
      </c>
      <c r="D21" s="868"/>
      <c r="E21" s="869"/>
      <c r="F21" s="49" t="s">
        <v>46</v>
      </c>
      <c r="G21" s="49" t="s">
        <v>48</v>
      </c>
      <c r="H21" s="49" t="s">
        <v>49</v>
      </c>
      <c r="I21" s="8" t="s">
        <v>13</v>
      </c>
      <c r="J21" s="883" t="s">
        <v>51</v>
      </c>
      <c r="K21" s="86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72" t="s">
        <v>14</v>
      </c>
      <c r="D22" s="868"/>
      <c r="E22" s="869"/>
      <c r="F22" s="4">
        <v>3</v>
      </c>
      <c r="G22" s="4">
        <v>3000</v>
      </c>
      <c r="H22" s="4">
        <v>1000</v>
      </c>
      <c r="I22" s="4">
        <v>10</v>
      </c>
      <c r="J22" s="871" t="s">
        <v>76</v>
      </c>
      <c r="K22" s="869"/>
      <c r="M22" s="52" t="s">
        <v>26</v>
      </c>
      <c r="N22" s="57" t="s">
        <v>47</v>
      </c>
      <c r="O22" s="878" t="s">
        <v>12</v>
      </c>
      <c r="P22" s="868"/>
      <c r="Q22" s="869"/>
      <c r="R22" s="884" t="s">
        <v>53</v>
      </c>
      <c r="S22" s="868"/>
      <c r="T22" s="86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83" t="s">
        <v>51</v>
      </c>
      <c r="AA22" s="869"/>
    </row>
    <row r="23" spans="1:27" ht="15.75" customHeight="1">
      <c r="A23" s="23"/>
      <c r="B23" s="6">
        <v>2</v>
      </c>
      <c r="C23" s="867"/>
      <c r="D23" s="868"/>
      <c r="E23" s="869"/>
      <c r="F23" s="4"/>
      <c r="G23" s="4"/>
      <c r="H23" s="4"/>
      <c r="I23" s="4"/>
      <c r="J23" s="867"/>
      <c r="K23" s="869"/>
      <c r="M23" s="56" t="s">
        <v>42</v>
      </c>
      <c r="N23" s="24">
        <v>1</v>
      </c>
      <c r="O23" s="871" t="s">
        <v>82</v>
      </c>
      <c r="P23" s="868"/>
      <c r="Q23" s="869"/>
      <c r="R23" s="871" t="s">
        <v>85</v>
      </c>
      <c r="S23" s="868"/>
      <c r="T23" s="86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1" t="s">
        <v>86</v>
      </c>
      <c r="AA23" s="869"/>
    </row>
    <row r="24" spans="1:27" ht="15.75" customHeight="1">
      <c r="A24" s="23"/>
      <c r="B24" s="6">
        <v>3</v>
      </c>
      <c r="C24" s="867"/>
      <c r="D24" s="868"/>
      <c r="E24" s="869"/>
      <c r="F24" s="4"/>
      <c r="G24" s="4"/>
      <c r="H24" s="4"/>
      <c r="I24" s="4"/>
      <c r="J24" s="867"/>
      <c r="K24" s="869"/>
      <c r="M24" s="25"/>
      <c r="N24" s="24">
        <v>2</v>
      </c>
      <c r="O24" s="872"/>
      <c r="P24" s="868"/>
      <c r="Q24" s="869"/>
      <c r="R24" s="872"/>
      <c r="S24" s="868"/>
      <c r="T24" s="869"/>
      <c r="U24" s="4"/>
      <c r="V24" s="14"/>
      <c r="W24" s="4"/>
      <c r="X24" s="16">
        <f t="shared" si="16"/>
        <v>0</v>
      </c>
      <c r="Y24" s="4"/>
      <c r="Z24" s="872"/>
      <c r="AA24" s="869"/>
    </row>
    <row r="25" spans="1:27" ht="15.75" customHeight="1">
      <c r="A25" s="23"/>
      <c r="B25" s="6">
        <v>4</v>
      </c>
      <c r="C25" s="867"/>
      <c r="D25" s="868"/>
      <c r="E25" s="869"/>
      <c r="F25" s="4"/>
      <c r="G25" s="4"/>
      <c r="H25" s="4"/>
      <c r="I25" s="4"/>
      <c r="J25" s="867"/>
      <c r="K25" s="869"/>
      <c r="M25" s="25"/>
      <c r="N25" s="24">
        <v>3</v>
      </c>
      <c r="O25" s="872"/>
      <c r="P25" s="868"/>
      <c r="Q25" s="869"/>
      <c r="R25" s="872"/>
      <c r="S25" s="868"/>
      <c r="T25" s="869"/>
      <c r="U25" s="4"/>
      <c r="V25" s="14"/>
      <c r="W25" s="4"/>
      <c r="X25" s="16">
        <f t="shared" si="16"/>
        <v>0</v>
      </c>
      <c r="Y25" s="4"/>
      <c r="Z25" s="872"/>
      <c r="AA25" s="869"/>
    </row>
    <row r="26" spans="1:27" ht="15.75" customHeight="1">
      <c r="A26" s="23"/>
      <c r="B26" s="26">
        <v>5</v>
      </c>
      <c r="C26" s="881"/>
      <c r="D26" s="877"/>
      <c r="E26" s="874"/>
      <c r="F26" s="27"/>
      <c r="G26" s="27"/>
      <c r="H26" s="27"/>
      <c r="I26" s="27"/>
      <c r="J26" s="881"/>
      <c r="K26" s="874"/>
      <c r="M26" s="25"/>
      <c r="N26" s="24">
        <v>4</v>
      </c>
      <c r="O26" s="872"/>
      <c r="P26" s="868"/>
      <c r="Q26" s="869"/>
      <c r="R26" s="872"/>
      <c r="S26" s="868"/>
      <c r="T26" s="869"/>
      <c r="U26" s="4"/>
      <c r="V26" s="14"/>
      <c r="W26" s="4"/>
      <c r="X26" s="16">
        <f t="shared" si="16"/>
        <v>0</v>
      </c>
      <c r="Y26" s="4"/>
      <c r="Z26" s="872"/>
      <c r="AA26" s="869"/>
    </row>
    <row r="27" spans="1:27" ht="15.75" customHeight="1">
      <c r="A27" s="23"/>
      <c r="B27" s="69" t="s">
        <v>101</v>
      </c>
      <c r="C27" s="875" t="s">
        <v>75</v>
      </c>
      <c r="D27" s="882"/>
      <c r="E27" s="876"/>
      <c r="F27" s="28">
        <v>4</v>
      </c>
      <c r="G27" s="28">
        <v>2800</v>
      </c>
      <c r="H27" s="28">
        <v>700</v>
      </c>
      <c r="I27" s="28" t="s">
        <v>15</v>
      </c>
      <c r="J27" s="875" t="s">
        <v>77</v>
      </c>
      <c r="K27" s="876"/>
      <c r="M27" s="25"/>
      <c r="N27" s="29">
        <v>5</v>
      </c>
      <c r="O27" s="873"/>
      <c r="P27" s="877"/>
      <c r="Q27" s="874"/>
      <c r="R27" s="873"/>
      <c r="S27" s="877"/>
      <c r="T27" s="874"/>
      <c r="U27" s="27"/>
      <c r="V27" s="30"/>
      <c r="W27" s="27"/>
      <c r="X27" s="31">
        <f t="shared" si="16"/>
        <v>0</v>
      </c>
      <c r="Y27" s="4"/>
      <c r="Z27" s="873"/>
      <c r="AA27" s="874"/>
    </row>
    <row r="28" spans="1:27" ht="15.75" customHeight="1">
      <c r="A28" s="23"/>
      <c r="B28" s="70" t="s">
        <v>102</v>
      </c>
      <c r="C28" s="867"/>
      <c r="D28" s="868"/>
      <c r="E28" s="869"/>
      <c r="F28" s="4"/>
      <c r="G28" s="4"/>
      <c r="H28" s="4"/>
      <c r="I28" s="4"/>
      <c r="J28" s="867"/>
      <c r="K28" s="869"/>
      <c r="M28" s="32"/>
      <c r="N28" s="55"/>
      <c r="O28" s="879"/>
      <c r="P28" s="868"/>
      <c r="Q28" s="868"/>
      <c r="R28" s="879"/>
      <c r="S28" s="868"/>
      <c r="T28" s="868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79"/>
      <c r="AA28" s="869"/>
    </row>
    <row r="29" spans="1:27" ht="15.75" customHeight="1">
      <c r="A29" s="23"/>
      <c r="B29" s="70" t="s">
        <v>100</v>
      </c>
      <c r="C29" s="867"/>
      <c r="D29" s="868"/>
      <c r="E29" s="869"/>
      <c r="F29" s="4"/>
      <c r="G29" s="4"/>
      <c r="H29" s="4"/>
      <c r="I29" s="4"/>
      <c r="J29" s="867"/>
      <c r="K29" s="869"/>
      <c r="M29" s="56" t="s">
        <v>43</v>
      </c>
      <c r="N29" s="24">
        <v>1</v>
      </c>
      <c r="O29" s="892" t="s">
        <v>16</v>
      </c>
      <c r="P29" s="888"/>
      <c r="Q29" s="889"/>
      <c r="R29" s="887" t="s">
        <v>87</v>
      </c>
      <c r="S29" s="888"/>
      <c r="T29" s="88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87" t="s">
        <v>88</v>
      </c>
      <c r="AA29" s="889"/>
    </row>
    <row r="30" spans="1:27" ht="15.75" customHeight="1">
      <c r="A30" s="23"/>
      <c r="B30" s="70" t="s">
        <v>99</v>
      </c>
      <c r="C30" s="867"/>
      <c r="D30" s="868"/>
      <c r="E30" s="869"/>
      <c r="F30" s="4"/>
      <c r="G30" s="4"/>
      <c r="H30" s="4"/>
      <c r="I30" s="4"/>
      <c r="J30" s="867"/>
      <c r="K30" s="869"/>
      <c r="M30" s="25"/>
      <c r="N30" s="24">
        <v>2</v>
      </c>
      <c r="O30" s="872"/>
      <c r="P30" s="868"/>
      <c r="Q30" s="869"/>
      <c r="R30" s="872"/>
      <c r="S30" s="868"/>
      <c r="T30" s="869"/>
      <c r="U30" s="4"/>
      <c r="V30" s="14"/>
      <c r="W30" s="4"/>
      <c r="X30" s="16">
        <f t="shared" si="17"/>
        <v>0</v>
      </c>
      <c r="Y30" s="4"/>
      <c r="Z30" s="872"/>
      <c r="AA30" s="869"/>
    </row>
    <row r="31" spans="1:27" ht="15.75" customHeight="1">
      <c r="A31" s="20"/>
      <c r="B31" s="70" t="s">
        <v>103</v>
      </c>
      <c r="C31" s="867"/>
      <c r="D31" s="868"/>
      <c r="E31" s="869"/>
      <c r="F31" s="4"/>
      <c r="G31" s="4"/>
      <c r="H31" s="4"/>
      <c r="I31" s="4"/>
      <c r="J31" s="867"/>
      <c r="K31" s="869"/>
      <c r="M31" s="25"/>
      <c r="N31" s="24">
        <v>3</v>
      </c>
      <c r="O31" s="872"/>
      <c r="P31" s="868"/>
      <c r="Q31" s="869"/>
      <c r="R31" s="872"/>
      <c r="S31" s="868"/>
      <c r="T31" s="869"/>
      <c r="U31" s="4"/>
      <c r="V31" s="14"/>
      <c r="W31" s="4"/>
      <c r="X31" s="16">
        <f t="shared" si="17"/>
        <v>0</v>
      </c>
      <c r="Y31" s="4"/>
      <c r="Z31" s="872"/>
      <c r="AA31" s="869"/>
    </row>
    <row r="32" spans="1:27" ht="15.75" customHeight="1">
      <c r="A32" s="67"/>
      <c r="M32" s="25"/>
      <c r="N32" s="24">
        <v>4</v>
      </c>
      <c r="O32" s="872"/>
      <c r="P32" s="868"/>
      <c r="Q32" s="869"/>
      <c r="R32" s="872"/>
      <c r="S32" s="868"/>
      <c r="T32" s="869"/>
      <c r="U32" s="4"/>
      <c r="V32" s="14"/>
      <c r="W32" s="4"/>
      <c r="X32" s="16">
        <f t="shared" si="17"/>
        <v>0</v>
      </c>
      <c r="Y32" s="4"/>
      <c r="Z32" s="872"/>
      <c r="AA32" s="869"/>
    </row>
    <row r="33" spans="1:27" ht="15.75" customHeight="1">
      <c r="A33" s="18"/>
      <c r="B33" s="49" t="s">
        <v>47</v>
      </c>
      <c r="C33" s="870" t="s">
        <v>12</v>
      </c>
      <c r="D33" s="868"/>
      <c r="E33" s="869"/>
      <c r="F33" s="49" t="s">
        <v>46</v>
      </c>
      <c r="G33" s="49" t="s">
        <v>48</v>
      </c>
      <c r="H33" s="49" t="s">
        <v>49</v>
      </c>
      <c r="I33" s="8" t="s">
        <v>13</v>
      </c>
      <c r="J33" s="883" t="s">
        <v>51</v>
      </c>
      <c r="K33" s="869"/>
      <c r="M33" s="25"/>
      <c r="N33" s="29">
        <v>5</v>
      </c>
      <c r="O33" s="872"/>
      <c r="P33" s="868"/>
      <c r="Q33" s="869"/>
      <c r="R33" s="872"/>
      <c r="S33" s="868"/>
      <c r="T33" s="869"/>
      <c r="U33" s="27"/>
      <c r="V33" s="30"/>
      <c r="W33" s="27"/>
      <c r="X33" s="31">
        <f t="shared" si="17"/>
        <v>0</v>
      </c>
      <c r="Y33" s="4"/>
      <c r="Z33" s="872"/>
      <c r="AA33" s="869"/>
    </row>
    <row r="34" spans="1:27" ht="15.75" customHeight="1">
      <c r="A34" s="52" t="s">
        <v>35</v>
      </c>
      <c r="B34" s="6">
        <v>1</v>
      </c>
      <c r="C34" s="871" t="s">
        <v>79</v>
      </c>
      <c r="D34" s="868"/>
      <c r="E34" s="869"/>
      <c r="F34" s="4">
        <v>3</v>
      </c>
      <c r="G34" s="4">
        <v>2500</v>
      </c>
      <c r="H34" s="4">
        <v>833.33</v>
      </c>
      <c r="I34" s="4">
        <v>20</v>
      </c>
      <c r="J34" s="871" t="s">
        <v>78</v>
      </c>
      <c r="K34" s="869"/>
      <c r="M34" s="68"/>
      <c r="N34" s="45"/>
      <c r="O34" s="879"/>
      <c r="P34" s="868"/>
      <c r="Q34" s="868"/>
      <c r="R34" s="879"/>
      <c r="S34" s="868"/>
      <c r="T34" s="868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79"/>
      <c r="AA34" s="869"/>
    </row>
    <row r="35" spans="1:27" ht="15.75" customHeight="1">
      <c r="A35" s="23"/>
      <c r="B35" s="6">
        <v>2</v>
      </c>
      <c r="C35" s="872"/>
      <c r="D35" s="868"/>
      <c r="E35" s="869"/>
      <c r="F35" s="4"/>
      <c r="G35" s="4"/>
      <c r="H35" s="4"/>
      <c r="I35" s="4"/>
      <c r="J35" s="872"/>
      <c r="K35" s="869"/>
      <c r="M35" s="1"/>
      <c r="N35" s="1"/>
      <c r="O35" s="890"/>
      <c r="P35" s="891"/>
      <c r="Q35" s="891"/>
      <c r="R35" s="890"/>
      <c r="S35" s="891"/>
      <c r="T35" s="891"/>
      <c r="U35" s="1"/>
      <c r="V35" s="38"/>
      <c r="W35" s="1"/>
      <c r="X35" s="1"/>
      <c r="Y35" s="890"/>
      <c r="Z35" s="891"/>
      <c r="AA35" s="891"/>
    </row>
    <row r="36" spans="1:27" ht="15.75" customHeight="1">
      <c r="A36" s="23"/>
      <c r="B36" s="6">
        <v>3</v>
      </c>
      <c r="C36" s="872"/>
      <c r="D36" s="868"/>
      <c r="E36" s="869"/>
      <c r="F36" s="4"/>
      <c r="G36" s="4"/>
      <c r="H36" s="4"/>
      <c r="I36" s="4"/>
      <c r="J36" s="872"/>
      <c r="K36" s="869"/>
      <c r="M36" s="52" t="s">
        <v>27</v>
      </c>
      <c r="N36" s="57" t="s">
        <v>47</v>
      </c>
      <c r="O36" s="878" t="s">
        <v>12</v>
      </c>
      <c r="P36" s="879"/>
      <c r="Q36" s="880"/>
      <c r="R36" s="884" t="s">
        <v>53</v>
      </c>
      <c r="S36" s="885"/>
      <c r="T36" s="886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83" t="s">
        <v>51</v>
      </c>
      <c r="AA36" s="893"/>
    </row>
    <row r="37" spans="1:27" ht="15.75" customHeight="1">
      <c r="A37" s="23"/>
      <c r="B37" s="6">
        <v>4</v>
      </c>
      <c r="C37" s="872"/>
      <c r="D37" s="868"/>
      <c r="E37" s="869"/>
      <c r="F37" s="4"/>
      <c r="G37" s="4"/>
      <c r="H37" s="4"/>
      <c r="I37" s="4"/>
      <c r="J37" s="872"/>
      <c r="K37" s="869"/>
      <c r="M37" s="56" t="s">
        <v>42</v>
      </c>
      <c r="N37" s="24">
        <v>1</v>
      </c>
      <c r="O37" s="871" t="s">
        <v>89</v>
      </c>
      <c r="P37" s="868"/>
      <c r="Q37" s="869"/>
      <c r="R37" s="871" t="s">
        <v>90</v>
      </c>
      <c r="S37" s="868"/>
      <c r="T37" s="86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1" t="s">
        <v>91</v>
      </c>
      <c r="AA37" s="869"/>
    </row>
    <row r="38" spans="1:27" ht="15.75" customHeight="1">
      <c r="A38" s="23"/>
      <c r="B38" s="26">
        <v>5</v>
      </c>
      <c r="C38" s="873"/>
      <c r="D38" s="877"/>
      <c r="E38" s="874"/>
      <c r="F38" s="27"/>
      <c r="G38" s="27"/>
      <c r="H38" s="27"/>
      <c r="I38" s="27"/>
      <c r="J38" s="873"/>
      <c r="K38" s="874"/>
      <c r="M38" s="25"/>
      <c r="N38" s="24">
        <v>2</v>
      </c>
      <c r="O38" s="872"/>
      <c r="P38" s="868"/>
      <c r="Q38" s="869"/>
      <c r="R38" s="872"/>
      <c r="S38" s="868"/>
      <c r="T38" s="869"/>
      <c r="U38" s="4"/>
      <c r="V38" s="14"/>
      <c r="W38" s="4"/>
      <c r="X38" s="16">
        <f t="shared" si="18"/>
        <v>0</v>
      </c>
      <c r="Y38" s="4"/>
      <c r="Z38" s="872"/>
      <c r="AA38" s="869"/>
    </row>
    <row r="39" spans="1:27" ht="14">
      <c r="A39" s="23"/>
      <c r="B39" s="69" t="s">
        <v>101</v>
      </c>
      <c r="C39" s="875" t="s">
        <v>80</v>
      </c>
      <c r="D39" s="882"/>
      <c r="E39" s="876"/>
      <c r="F39" s="28">
        <v>7</v>
      </c>
      <c r="G39" s="28">
        <v>2200</v>
      </c>
      <c r="H39" s="28">
        <v>314.29000000000002</v>
      </c>
      <c r="I39" s="28">
        <v>-15</v>
      </c>
      <c r="J39" s="875" t="s">
        <v>81</v>
      </c>
      <c r="K39" s="876"/>
      <c r="M39" s="25"/>
      <c r="N39" s="24">
        <v>3</v>
      </c>
      <c r="O39" s="872"/>
      <c r="P39" s="868"/>
      <c r="Q39" s="869"/>
      <c r="R39" s="872"/>
      <c r="S39" s="868"/>
      <c r="T39" s="869"/>
      <c r="U39" s="4"/>
      <c r="V39" s="14"/>
      <c r="W39" s="4"/>
      <c r="X39" s="16">
        <f t="shared" si="18"/>
        <v>0</v>
      </c>
      <c r="Y39" s="4"/>
      <c r="Z39" s="872"/>
      <c r="AA39" s="869"/>
    </row>
    <row r="40" spans="1:27" ht="14">
      <c r="A40" s="23"/>
      <c r="B40" s="70" t="s">
        <v>102</v>
      </c>
      <c r="C40" s="872"/>
      <c r="D40" s="868"/>
      <c r="E40" s="869"/>
      <c r="F40" s="4"/>
      <c r="G40" s="4"/>
      <c r="H40" s="4"/>
      <c r="I40" s="4"/>
      <c r="J40" s="872"/>
      <c r="K40" s="869"/>
      <c r="M40" s="25"/>
      <c r="N40" s="24">
        <v>4</v>
      </c>
      <c r="O40" s="872"/>
      <c r="P40" s="868"/>
      <c r="Q40" s="869"/>
      <c r="R40" s="872"/>
      <c r="S40" s="868"/>
      <c r="T40" s="869"/>
      <c r="U40" s="4"/>
      <c r="V40" s="14"/>
      <c r="W40" s="4"/>
      <c r="X40" s="16">
        <f t="shared" si="18"/>
        <v>0</v>
      </c>
      <c r="Y40" s="4"/>
      <c r="Z40" s="872"/>
      <c r="AA40" s="869"/>
    </row>
    <row r="41" spans="1:27" ht="14">
      <c r="A41" s="23"/>
      <c r="B41" s="70" t="s">
        <v>100</v>
      </c>
      <c r="C41" s="872"/>
      <c r="D41" s="868"/>
      <c r="E41" s="869"/>
      <c r="F41" s="4"/>
      <c r="G41" s="4"/>
      <c r="H41" s="4"/>
      <c r="I41" s="4"/>
      <c r="J41" s="872"/>
      <c r="K41" s="869"/>
      <c r="M41" s="25"/>
      <c r="N41" s="29">
        <v>5</v>
      </c>
      <c r="O41" s="873"/>
      <c r="P41" s="877"/>
      <c r="Q41" s="874"/>
      <c r="R41" s="873"/>
      <c r="S41" s="877"/>
      <c r="T41" s="874"/>
      <c r="U41" s="27"/>
      <c r="V41" s="30"/>
      <c r="W41" s="27"/>
      <c r="X41" s="31">
        <f t="shared" si="18"/>
        <v>0</v>
      </c>
      <c r="Y41" s="4"/>
      <c r="Z41" s="872"/>
      <c r="AA41" s="869"/>
    </row>
    <row r="42" spans="1:27" ht="14">
      <c r="A42" s="23"/>
      <c r="B42" s="70" t="s">
        <v>99</v>
      </c>
      <c r="C42" s="872"/>
      <c r="D42" s="868"/>
      <c r="E42" s="869"/>
      <c r="F42" s="4"/>
      <c r="G42" s="4"/>
      <c r="H42" s="4"/>
      <c r="I42" s="4"/>
      <c r="J42" s="872"/>
      <c r="K42" s="869"/>
      <c r="M42" s="32"/>
      <c r="N42" s="54"/>
      <c r="O42" s="879"/>
      <c r="P42" s="868"/>
      <c r="Q42" s="868"/>
      <c r="R42" s="879"/>
      <c r="S42" s="868"/>
      <c r="T42" s="868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79"/>
      <c r="AA42" s="869"/>
    </row>
    <row r="43" spans="1:27" ht="14">
      <c r="A43" s="20"/>
      <c r="B43" s="70" t="s">
        <v>103</v>
      </c>
      <c r="C43" s="872"/>
      <c r="D43" s="868"/>
      <c r="E43" s="869"/>
      <c r="F43" s="4"/>
      <c r="G43" s="4"/>
      <c r="H43" s="4"/>
      <c r="I43" s="4"/>
      <c r="J43" s="872"/>
      <c r="K43" s="869"/>
      <c r="M43" s="56" t="s">
        <v>43</v>
      </c>
      <c r="N43" s="24">
        <v>1</v>
      </c>
      <c r="O43" s="871" t="s">
        <v>89</v>
      </c>
      <c r="P43" s="868"/>
      <c r="Q43" s="869"/>
      <c r="R43" s="887" t="s">
        <v>93</v>
      </c>
      <c r="S43" s="888"/>
      <c r="T43" s="88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1" t="s">
        <v>92</v>
      </c>
      <c r="AA43" s="869"/>
    </row>
    <row r="44" spans="1:27" ht="14">
      <c r="A44" s="67"/>
      <c r="M44" s="25"/>
      <c r="N44" s="24">
        <v>2</v>
      </c>
      <c r="O44" s="872"/>
      <c r="P44" s="868"/>
      <c r="Q44" s="869"/>
      <c r="R44" s="872"/>
      <c r="S44" s="868"/>
      <c r="T44" s="869"/>
      <c r="U44" s="4"/>
      <c r="V44" s="14"/>
      <c r="W44" s="4"/>
      <c r="X44" s="37">
        <f t="shared" si="19"/>
        <v>0</v>
      </c>
      <c r="Y44" s="4"/>
      <c r="Z44" s="872"/>
      <c r="AA44" s="869"/>
    </row>
    <row r="45" spans="1:27" ht="14">
      <c r="A45" s="18"/>
      <c r="B45" s="49" t="s">
        <v>47</v>
      </c>
      <c r="C45" s="870" t="s">
        <v>12</v>
      </c>
      <c r="D45" s="868"/>
      <c r="E45" s="869"/>
      <c r="F45" s="49" t="s">
        <v>46</v>
      </c>
      <c r="G45" s="49" t="s">
        <v>48</v>
      </c>
      <c r="H45" s="49" t="s">
        <v>49</v>
      </c>
      <c r="I45" s="8" t="s">
        <v>13</v>
      </c>
      <c r="J45" s="883" t="s">
        <v>51</v>
      </c>
      <c r="K45" s="869"/>
      <c r="M45" s="25"/>
      <c r="N45" s="24">
        <v>3</v>
      </c>
      <c r="O45" s="872"/>
      <c r="P45" s="868"/>
      <c r="Q45" s="869"/>
      <c r="R45" s="872"/>
      <c r="S45" s="868"/>
      <c r="T45" s="869"/>
      <c r="U45" s="4"/>
      <c r="V45" s="14"/>
      <c r="W45" s="4"/>
      <c r="X45" s="37">
        <f t="shared" si="19"/>
        <v>0</v>
      </c>
      <c r="Y45" s="4"/>
      <c r="Z45" s="872"/>
      <c r="AA45" s="869"/>
    </row>
    <row r="46" spans="1:27" ht="14">
      <c r="A46" s="52" t="s">
        <v>36</v>
      </c>
      <c r="B46" s="6">
        <v>1</v>
      </c>
      <c r="C46" s="871" t="s">
        <v>82</v>
      </c>
      <c r="D46" s="868"/>
      <c r="E46" s="869"/>
      <c r="F46" s="4">
        <v>15</v>
      </c>
      <c r="G46" s="4">
        <v>1200</v>
      </c>
      <c r="H46" s="4">
        <v>80</v>
      </c>
      <c r="I46" s="4">
        <v>5</v>
      </c>
      <c r="J46" s="871" t="s">
        <v>83</v>
      </c>
      <c r="K46" s="869"/>
      <c r="M46" s="25"/>
      <c r="N46" s="24">
        <v>4</v>
      </c>
      <c r="O46" s="872"/>
      <c r="P46" s="868"/>
      <c r="Q46" s="869"/>
      <c r="R46" s="872"/>
      <c r="S46" s="868"/>
      <c r="T46" s="869"/>
      <c r="U46" s="4"/>
      <c r="V46" s="14"/>
      <c r="W46" s="4"/>
      <c r="X46" s="37">
        <f t="shared" si="19"/>
        <v>0</v>
      </c>
      <c r="Y46" s="4"/>
      <c r="Z46" s="872"/>
      <c r="AA46" s="869"/>
    </row>
    <row r="47" spans="1:27" ht="14">
      <c r="A47" s="23"/>
      <c r="B47" s="6">
        <v>2</v>
      </c>
      <c r="C47" s="872"/>
      <c r="D47" s="868"/>
      <c r="E47" s="869"/>
      <c r="F47" s="4"/>
      <c r="G47" s="4"/>
      <c r="H47" s="4"/>
      <c r="I47" s="4"/>
      <c r="J47" s="872"/>
      <c r="K47" s="869"/>
      <c r="M47" s="25"/>
      <c r="N47" s="29">
        <v>5</v>
      </c>
      <c r="O47" s="872"/>
      <c r="P47" s="868"/>
      <c r="Q47" s="869"/>
      <c r="R47" s="872"/>
      <c r="S47" s="868"/>
      <c r="T47" s="869"/>
      <c r="U47" s="27"/>
      <c r="V47" s="30"/>
      <c r="W47" s="27"/>
      <c r="X47" s="40">
        <f t="shared" si="19"/>
        <v>0</v>
      </c>
      <c r="Y47" s="4"/>
      <c r="Z47" s="872"/>
      <c r="AA47" s="869"/>
    </row>
    <row r="48" spans="1:27" ht="14">
      <c r="A48" s="23"/>
      <c r="B48" s="6">
        <v>3</v>
      </c>
      <c r="C48" s="872"/>
      <c r="D48" s="868"/>
      <c r="E48" s="869"/>
      <c r="F48" s="4"/>
      <c r="G48" s="4"/>
      <c r="H48" s="4"/>
      <c r="I48" s="4"/>
      <c r="J48" s="872"/>
      <c r="K48" s="869"/>
      <c r="M48" s="68"/>
      <c r="N48" s="45"/>
      <c r="O48" s="879"/>
      <c r="P48" s="868"/>
      <c r="Q48" s="868"/>
      <c r="R48" s="879"/>
      <c r="S48" s="868"/>
      <c r="T48" s="868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79"/>
      <c r="AA48" s="869"/>
    </row>
    <row r="49" spans="1:27" ht="14">
      <c r="A49" s="23"/>
      <c r="B49" s="6">
        <v>4</v>
      </c>
      <c r="C49" s="872"/>
      <c r="D49" s="868"/>
      <c r="E49" s="869"/>
      <c r="F49" s="4"/>
      <c r="G49" s="4"/>
      <c r="H49" s="4"/>
      <c r="I49" s="4"/>
      <c r="J49" s="872"/>
      <c r="K49" s="86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873"/>
      <c r="D50" s="877"/>
      <c r="E50" s="874"/>
      <c r="F50" s="27"/>
      <c r="G50" s="27"/>
      <c r="H50" s="27"/>
      <c r="I50" s="27"/>
      <c r="J50" s="873"/>
      <c r="K50" s="87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875" t="s">
        <v>89</v>
      </c>
      <c r="D51" s="882"/>
      <c r="E51" s="876"/>
      <c r="F51" s="28">
        <v>18</v>
      </c>
      <c r="G51" s="28">
        <v>800</v>
      </c>
      <c r="H51" s="28">
        <v>44.44</v>
      </c>
      <c r="I51" s="28">
        <v>-15</v>
      </c>
      <c r="J51" s="875" t="s">
        <v>84</v>
      </c>
      <c r="K51" s="876"/>
      <c r="M51" s="8"/>
      <c r="N51" s="8" t="s">
        <v>18</v>
      </c>
      <c r="O51" s="878" t="s">
        <v>12</v>
      </c>
      <c r="P51" s="879"/>
      <c r="Q51" s="880"/>
      <c r="R51" s="884" t="s">
        <v>53</v>
      </c>
      <c r="S51" s="885"/>
      <c r="T51" s="886"/>
      <c r="U51" s="57" t="s">
        <v>54</v>
      </c>
      <c r="V51" s="39" t="s">
        <v>19</v>
      </c>
      <c r="W51" s="57" t="s">
        <v>57</v>
      </c>
      <c r="X51" s="8" t="s">
        <v>2</v>
      </c>
      <c r="Y51" s="878" t="s">
        <v>50</v>
      </c>
      <c r="Z51" s="879"/>
      <c r="AA51" s="880"/>
    </row>
    <row r="52" spans="1:27" ht="14">
      <c r="A52" s="23"/>
      <c r="B52" s="70" t="s">
        <v>102</v>
      </c>
      <c r="C52" s="872"/>
      <c r="D52" s="868"/>
      <c r="E52" s="869"/>
      <c r="F52" s="4"/>
      <c r="G52" s="4"/>
      <c r="H52" s="4"/>
      <c r="I52" s="4"/>
      <c r="J52" s="872"/>
      <c r="K52" s="869"/>
      <c r="M52" s="56" t="s">
        <v>42</v>
      </c>
      <c r="N52" s="24">
        <v>1</v>
      </c>
      <c r="O52" s="871" t="s">
        <v>89</v>
      </c>
      <c r="P52" s="868"/>
      <c r="Q52" s="869"/>
      <c r="R52" s="887" t="s">
        <v>93</v>
      </c>
      <c r="S52" s="888"/>
      <c r="T52" s="88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1" t="s">
        <v>97</v>
      </c>
      <c r="Z52" s="868"/>
      <c r="AA52" s="869"/>
    </row>
    <row r="53" spans="1:27" ht="14">
      <c r="A53" s="23"/>
      <c r="B53" s="70" t="s">
        <v>100</v>
      </c>
      <c r="C53" s="872"/>
      <c r="D53" s="868"/>
      <c r="E53" s="869"/>
      <c r="F53" s="4"/>
      <c r="G53" s="4"/>
      <c r="H53" s="4"/>
      <c r="I53" s="4"/>
      <c r="J53" s="872"/>
      <c r="K53" s="869"/>
      <c r="M53" s="25"/>
      <c r="N53" s="29">
        <v>2</v>
      </c>
      <c r="O53" s="873"/>
      <c r="P53" s="877"/>
      <c r="Q53" s="874"/>
      <c r="R53" s="873"/>
      <c r="S53" s="877"/>
      <c r="T53" s="874"/>
      <c r="U53" s="27"/>
      <c r="V53" s="30"/>
      <c r="W53" s="30"/>
      <c r="X53" s="41">
        <f t="shared" si="20"/>
        <v>0</v>
      </c>
      <c r="Y53" s="873"/>
      <c r="Z53" s="877"/>
      <c r="AA53" s="874"/>
    </row>
    <row r="54" spans="1:27" ht="14">
      <c r="A54" s="23"/>
      <c r="B54" s="70" t="s">
        <v>99</v>
      </c>
      <c r="C54" s="872"/>
      <c r="D54" s="868"/>
      <c r="E54" s="869"/>
      <c r="F54" s="4"/>
      <c r="G54" s="4"/>
      <c r="H54" s="4"/>
      <c r="I54" s="4"/>
      <c r="J54" s="872"/>
      <c r="K54" s="869"/>
      <c r="M54" s="56" t="s">
        <v>43</v>
      </c>
      <c r="N54" s="42">
        <v>1</v>
      </c>
      <c r="O54" s="875" t="s">
        <v>94</v>
      </c>
      <c r="P54" s="882"/>
      <c r="Q54" s="876"/>
      <c r="R54" s="875" t="s">
        <v>95</v>
      </c>
      <c r="S54" s="882"/>
      <c r="T54" s="87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5" t="s">
        <v>96</v>
      </c>
      <c r="Z54" s="882"/>
      <c r="AA54" s="876"/>
    </row>
    <row r="55" spans="1:27" ht="14">
      <c r="A55" s="20"/>
      <c r="B55" s="70" t="s">
        <v>103</v>
      </c>
      <c r="C55" s="872"/>
      <c r="D55" s="868"/>
      <c r="E55" s="869"/>
      <c r="F55" s="4"/>
      <c r="G55" s="4"/>
      <c r="H55" s="4"/>
      <c r="I55" s="4"/>
      <c r="J55" s="872"/>
      <c r="K55" s="869"/>
      <c r="M55" s="22"/>
      <c r="N55" s="24">
        <v>2</v>
      </c>
      <c r="O55" s="872"/>
      <c r="P55" s="868"/>
      <c r="Q55" s="869"/>
      <c r="R55" s="872"/>
      <c r="S55" s="868"/>
      <c r="T55" s="869"/>
      <c r="U55" s="4"/>
      <c r="V55" s="14"/>
      <c r="W55" s="14"/>
      <c r="X55" s="13">
        <f t="shared" si="20"/>
        <v>0</v>
      </c>
      <c r="Y55" s="872"/>
      <c r="Z55" s="868"/>
      <c r="AA55" s="86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51"/>
    <col min="3" max="3" width="14" style="151" bestFit="1" customWidth="1"/>
    <col min="4" max="4" width="0.26953125" style="151" customWidth="1"/>
    <col min="5" max="5" width="8.7265625" style="151"/>
    <col min="6" max="6" width="16.26953125" style="151" bestFit="1" customWidth="1"/>
    <col min="7" max="16384" width="8.7265625" style="151"/>
  </cols>
  <sheetData>
    <row r="2" spans="2:7" ht="15.5">
      <c r="B2" s="894" t="s">
        <v>262</v>
      </c>
      <c r="C2" s="894"/>
      <c r="D2" s="894"/>
      <c r="E2" s="894"/>
      <c r="F2" s="894"/>
    </row>
    <row r="3" spans="2:7" ht="14.5">
      <c r="B3" s="152" t="s">
        <v>263</v>
      </c>
      <c r="C3" s="152" t="s">
        <v>264</v>
      </c>
      <c r="D3" s="153"/>
      <c r="E3" s="152" t="s">
        <v>265</v>
      </c>
      <c r="F3" s="152" t="s">
        <v>266</v>
      </c>
      <c r="G3" s="153"/>
    </row>
    <row r="4" spans="2:7" ht="14.5">
      <c r="B4" s="154" t="s">
        <v>267</v>
      </c>
      <c r="C4" s="154" t="s">
        <v>268</v>
      </c>
      <c r="D4" s="153"/>
      <c r="E4" s="154" t="s">
        <v>269</v>
      </c>
      <c r="F4" s="154" t="s">
        <v>270</v>
      </c>
      <c r="G4" s="153"/>
    </row>
    <row r="5" spans="2:7" ht="14.5">
      <c r="B5" s="154" t="s">
        <v>271</v>
      </c>
      <c r="C5" s="154" t="s">
        <v>272</v>
      </c>
      <c r="D5" s="153"/>
      <c r="E5" s="154" t="s">
        <v>273</v>
      </c>
      <c r="F5" s="154" t="s">
        <v>274</v>
      </c>
      <c r="G5" s="153"/>
    </row>
    <row r="6" spans="2:7" ht="14.5">
      <c r="B6" s="154" t="s">
        <v>275</v>
      </c>
      <c r="C6" s="154" t="s">
        <v>276</v>
      </c>
      <c r="D6" s="153"/>
      <c r="E6" s="155" t="s">
        <v>277</v>
      </c>
      <c r="F6" s="155" t="s">
        <v>142</v>
      </c>
      <c r="G6" s="153"/>
    </row>
    <row r="7" spans="2:7" ht="14.5">
      <c r="B7" s="155" t="s">
        <v>278</v>
      </c>
      <c r="C7" s="155" t="s">
        <v>279</v>
      </c>
      <c r="D7" s="153"/>
      <c r="E7" s="154" t="s">
        <v>280</v>
      </c>
      <c r="F7" s="154" t="s">
        <v>281</v>
      </c>
      <c r="G7" s="153"/>
    </row>
    <row r="8" spans="2:7" ht="14.5">
      <c r="B8" s="154" t="s">
        <v>282</v>
      </c>
      <c r="C8" s="154" t="s">
        <v>283</v>
      </c>
      <c r="D8" s="153"/>
      <c r="E8" s="154" t="s">
        <v>284</v>
      </c>
      <c r="F8" s="154" t="s">
        <v>285</v>
      </c>
      <c r="G8" s="153"/>
    </row>
    <row r="9" spans="2:7" ht="14.5">
      <c r="B9" s="154" t="s">
        <v>286</v>
      </c>
      <c r="C9" s="154" t="s">
        <v>287</v>
      </c>
      <c r="D9" s="153"/>
      <c r="E9" s="155" t="s">
        <v>288</v>
      </c>
      <c r="F9" s="155" t="s">
        <v>141</v>
      </c>
      <c r="G9" s="153"/>
    </row>
    <row r="10" spans="2:7" ht="14.5">
      <c r="B10" s="154" t="s">
        <v>289</v>
      </c>
      <c r="C10" s="154" t="s">
        <v>290</v>
      </c>
      <c r="D10" s="153"/>
      <c r="E10" s="154" t="s">
        <v>291</v>
      </c>
      <c r="F10" s="154" t="s">
        <v>292</v>
      </c>
      <c r="G10" s="153"/>
    </row>
    <row r="11" spans="2:7" ht="14.5">
      <c r="B11" s="154" t="s">
        <v>293</v>
      </c>
      <c r="C11" s="154" t="s">
        <v>294</v>
      </c>
      <c r="D11" s="153"/>
      <c r="E11" s="154" t="s">
        <v>295</v>
      </c>
      <c r="F11" s="154" t="s">
        <v>285</v>
      </c>
      <c r="G11" s="153"/>
    </row>
    <row r="12" spans="2:7" ht="14.5">
      <c r="B12" s="154" t="s">
        <v>296</v>
      </c>
      <c r="C12" s="154" t="s">
        <v>297</v>
      </c>
      <c r="D12" s="153"/>
      <c r="E12" s="154" t="s">
        <v>298</v>
      </c>
      <c r="F12" s="154" t="s">
        <v>299</v>
      </c>
      <c r="G12" s="153"/>
    </row>
    <row r="13" spans="2:7" ht="14.5">
      <c r="B13" s="155" t="s">
        <v>300</v>
      </c>
      <c r="C13" s="155" t="s">
        <v>137</v>
      </c>
      <c r="D13" s="153"/>
      <c r="E13" s="154" t="s">
        <v>301</v>
      </c>
      <c r="F13" s="154" t="s">
        <v>302</v>
      </c>
      <c r="G13" s="153"/>
    </row>
    <row r="14" spans="2:7" ht="14.5">
      <c r="B14" s="154" t="s">
        <v>303</v>
      </c>
      <c r="C14" s="154" t="s">
        <v>304</v>
      </c>
      <c r="D14" s="153"/>
      <c r="E14" s="155" t="s">
        <v>305</v>
      </c>
      <c r="F14" s="155" t="s">
        <v>306</v>
      </c>
      <c r="G14" s="153"/>
    </row>
    <row r="15" spans="2:7" ht="14.5">
      <c r="B15" s="155" t="s">
        <v>307</v>
      </c>
      <c r="C15" s="155" t="s">
        <v>308</v>
      </c>
      <c r="D15" s="153"/>
      <c r="E15" s="154" t="s">
        <v>309</v>
      </c>
      <c r="F15" s="154" t="s">
        <v>306</v>
      </c>
      <c r="G15" s="153"/>
    </row>
    <row r="16" spans="2:7" ht="14.5">
      <c r="B16" s="154" t="s">
        <v>310</v>
      </c>
      <c r="C16" s="154" t="s">
        <v>311</v>
      </c>
      <c r="D16" s="153"/>
      <c r="E16" s="155" t="s">
        <v>312</v>
      </c>
      <c r="F16" s="155" t="s">
        <v>313</v>
      </c>
      <c r="G16" s="153"/>
    </row>
    <row r="17" spans="2:7" ht="14.5">
      <c r="B17" s="154" t="s">
        <v>314</v>
      </c>
      <c r="C17" s="154" t="s">
        <v>315</v>
      </c>
      <c r="D17" s="153"/>
      <c r="E17" s="154" t="s">
        <v>316</v>
      </c>
      <c r="F17" s="154" t="s">
        <v>317</v>
      </c>
      <c r="G17" s="153"/>
    </row>
    <row r="18" spans="2:7" ht="14.5">
      <c r="B18" s="154" t="s">
        <v>318</v>
      </c>
      <c r="C18" s="154" t="s">
        <v>319</v>
      </c>
      <c r="D18" s="153"/>
      <c r="E18" s="154" t="s">
        <v>320</v>
      </c>
      <c r="F18" s="154" t="s">
        <v>321</v>
      </c>
      <c r="G18" s="153"/>
    </row>
    <row r="19" spans="2:7" ht="14.5">
      <c r="B19" s="154" t="s">
        <v>322</v>
      </c>
      <c r="C19" s="154" t="s">
        <v>323</v>
      </c>
      <c r="D19" s="153"/>
      <c r="E19" s="154" t="s">
        <v>324</v>
      </c>
      <c r="F19" s="154" t="s">
        <v>325</v>
      </c>
      <c r="G19" s="153"/>
    </row>
    <row r="20" spans="2:7" ht="14.5">
      <c r="B20" s="154" t="s">
        <v>326</v>
      </c>
      <c r="C20" s="154" t="s">
        <v>327</v>
      </c>
      <c r="D20" s="153"/>
      <c r="G20" s="153"/>
    </row>
    <row r="21" spans="2:7" ht="14.5">
      <c r="D21" s="153"/>
      <c r="G21" s="153"/>
    </row>
    <row r="22" spans="2:7" ht="14.5">
      <c r="D22" s="153"/>
      <c r="G22" s="153"/>
    </row>
    <row r="23" spans="2:7" ht="14.5">
      <c r="D23" s="153"/>
      <c r="G23" s="153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51" t="s">
        <v>382</v>
      </c>
    </row>
    <row r="4" spans="1:2" ht="14">
      <c r="A4">
        <v>2</v>
      </c>
      <c r="B4" s="151" t="s">
        <v>403</v>
      </c>
    </row>
    <row r="5" spans="1:2" ht="14">
      <c r="A5">
        <v>3</v>
      </c>
      <c r="B5" s="151" t="s">
        <v>346</v>
      </c>
    </row>
    <row r="6" spans="1:2" ht="14">
      <c r="A6">
        <v>4</v>
      </c>
      <c r="B6" s="151" t="s">
        <v>217</v>
      </c>
    </row>
    <row r="7" spans="1:2" ht="14">
      <c r="A7">
        <v>5</v>
      </c>
      <c r="B7" s="151" t="s">
        <v>218</v>
      </c>
    </row>
    <row r="8" spans="1:2" ht="14">
      <c r="A8">
        <v>6</v>
      </c>
      <c r="B8" s="151" t="s">
        <v>219</v>
      </c>
    </row>
    <row r="9" spans="1:2" ht="14">
      <c r="A9">
        <v>7</v>
      </c>
      <c r="B9" s="151" t="s">
        <v>404</v>
      </c>
    </row>
    <row r="10" spans="1:2" ht="14">
      <c r="A10">
        <v>8</v>
      </c>
      <c r="B10" s="151" t="s">
        <v>405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006BBE-BADE-4C41-94AD-F821AD1DF729}"/>
</file>

<file path=customXml/itemProps3.xml><?xml version="1.0" encoding="utf-8"?>
<ds:datastoreItem xmlns:ds="http://schemas.openxmlformats.org/officeDocument/2006/customXml" ds:itemID="{88BA5A48-F04F-4AF8-9F2F-E0C435B137A5}"/>
</file>

<file path=customXml/itemProps4.xml><?xml version="1.0" encoding="utf-8"?>
<ds:datastoreItem xmlns:ds="http://schemas.openxmlformats.org/officeDocument/2006/customXml" ds:itemID="{11C2E1DE-EB1E-432C-8932-C984ABD2C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2026-01-29T12:57:22Z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