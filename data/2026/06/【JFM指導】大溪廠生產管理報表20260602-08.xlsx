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-120" yWindow="-120" windowWidth="29040" windowHeight="15720" tabRatio="866" firstSheet="2" activeTab="2"/>
  </bookViews>
  <sheets>
    <sheet name="數值累積總表(月)" sheetId="65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8-1(月報廢)" sheetId="57" state="hidden" r:id="rId23"/>
    <sheet name="生產管理報表 8-2(月報廢)" sheetId="58" state="hidden" r:id="rId24"/>
    <sheet name="生產管理報表 8-3(月超用)" sheetId="59" state="hidden" r:id="rId25"/>
    <sheet name="生產管理報表 8-4(月超用)" sheetId="60" state="hidden" r:id="rId26"/>
    <sheet name="生產管理報表 7-1 (週)" sheetId="41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20大－原因別分析" sheetId="63" r:id="rId34"/>
    <sheet name="超用20大－原因別分析" sheetId="66" r:id="rId35"/>
    <sheet name="填寫舉例" sheetId="1" r:id="rId36"/>
    <sheet name="鮮食品群番" sheetId="38" r:id="rId37"/>
    <sheet name="下拉式選單" sheetId="54" r:id="rId38"/>
  </sheets>
  <externalReferences>
    <externalReference r:id="rId39"/>
    <externalReference r:id="rId40"/>
  </externalReference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'報廢20大－原因別分析'!#REF!</definedName>
    <definedName name="_xlnm._FilterDatabase" localSheetId="34" hidden="1">'超用20大－原因別分析'!#REF!</definedName>
    <definedName name="_xlnm.Print_Area" localSheetId="16">'生產管理報表 6-1'!$A$1:$L$54</definedName>
    <definedName name="_xlnm.Print_Area" localSheetId="17">'生產管理報表 6-2'!$A$1:$L$54</definedName>
    <definedName name="_xlnm.Print_Area" localSheetId="18">'生產管理報表 6-3'!$A$1:$L$54</definedName>
    <definedName name="_xlnm.Print_Area" localSheetId="19">'生產管理報表 6-4'!$A$1:$L$54</definedName>
    <definedName name="_xlnm.Print_Area" localSheetId="20">'生產管理報表 6-5'!$A$1:$L$54</definedName>
    <definedName name="_xlnm.Print_Area" localSheetId="26">'生產管理報表 7-1 (週)'!$A$1:$M$59</definedName>
    <definedName name="_xlnm.Print_Area" localSheetId="21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7">'生產管理報表 8-5(週報廢)'!$A$1:$Q$58</definedName>
    <definedName name="_xlnm.Print_Area" localSheetId="28">'生產管理報表 8-6(週報廢)'!$A$1:$P$74</definedName>
    <definedName name="_xlnm.Print_Area" localSheetId="29">'生產管理報表 8-7(週超用)'!$A$1:$Q$30</definedName>
    <definedName name="_xlnm.Print_Area" localSheetId="30">'生產管理報表 8-8(週超用) '!$A$1:$P$58</definedName>
    <definedName name="_xlnm.Print_Area" localSheetId="31">'生產管理報表 9'!#REF!</definedName>
    <definedName name="_xlnm.Print_Area" localSheetId="1">'生產管理報表(月)'!$A$1:$K$37</definedName>
    <definedName name="_xlnm.Print_Area" localSheetId="2">'生產管理報表(週) '!$A$1:$K$36</definedName>
    <definedName name="_xlnm.Print_Area" localSheetId="36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39" l="1"/>
  <c r="K10" i="39"/>
  <c r="K9" i="39"/>
  <c r="K8" i="39"/>
  <c r="K7" i="39"/>
  <c r="K6" i="39"/>
  <c r="B36" i="39" l="1"/>
  <c r="B35" i="39"/>
  <c r="B34" i="39"/>
  <c r="B33" i="39"/>
  <c r="B32" i="39"/>
  <c r="B31" i="39"/>
  <c r="B30" i="39"/>
  <c r="J34" i="15" l="1"/>
  <c r="AW30" i="52"/>
  <c r="AW29" i="52"/>
  <c r="AW28" i="52"/>
  <c r="AW27" i="52"/>
  <c r="AR30" i="52"/>
  <c r="AR29" i="52"/>
  <c r="AR28" i="52"/>
  <c r="AR27" i="52"/>
  <c r="AM30" i="52"/>
  <c r="AM29" i="52"/>
  <c r="AM28" i="52"/>
  <c r="AM27" i="52"/>
  <c r="AH30" i="52"/>
  <c r="AH29" i="52"/>
  <c r="AH28" i="52"/>
  <c r="AH27" i="52"/>
  <c r="AC30" i="52"/>
  <c r="AC29" i="52"/>
  <c r="AC28" i="52"/>
  <c r="AC27" i="52"/>
  <c r="X30" i="52"/>
  <c r="X29" i="52"/>
  <c r="X28" i="52"/>
  <c r="X27" i="52"/>
  <c r="S28" i="52"/>
  <c r="S29" i="52"/>
  <c r="S30" i="52"/>
  <c r="S27" i="52"/>
  <c r="M28" i="52"/>
  <c r="M29" i="52"/>
  <c r="M30" i="52"/>
  <c r="M27" i="52"/>
  <c r="C1" i="52"/>
  <c r="AV30" i="52"/>
  <c r="AQ30" i="52"/>
  <c r="AL30" i="52"/>
  <c r="AG30" i="52"/>
  <c r="AB30" i="52"/>
  <c r="W30" i="52"/>
  <c r="R30" i="52"/>
  <c r="J30" i="52"/>
  <c r="I30" i="52"/>
  <c r="G30" i="52"/>
  <c r="AV29" i="52"/>
  <c r="AQ29" i="52"/>
  <c r="AL29" i="52"/>
  <c r="AG29" i="52"/>
  <c r="AB29" i="52"/>
  <c r="W29" i="52"/>
  <c r="R29" i="52"/>
  <c r="J29" i="52"/>
  <c r="I29" i="52"/>
  <c r="G29" i="52"/>
  <c r="AV28" i="52"/>
  <c r="AQ28" i="52"/>
  <c r="AL28" i="52"/>
  <c r="AG28" i="52"/>
  <c r="AB28" i="52"/>
  <c r="W28" i="52"/>
  <c r="R28" i="52"/>
  <c r="J28" i="52"/>
  <c r="I28" i="52"/>
  <c r="G28" i="52"/>
  <c r="AV27" i="52"/>
  <c r="AQ27" i="52"/>
  <c r="AS27" i="52" s="1"/>
  <c r="AL27" i="52"/>
  <c r="AN27" i="52" s="1"/>
  <c r="AI27" i="52"/>
  <c r="AG27" i="52"/>
  <c r="AD27" i="52"/>
  <c r="AB27" i="52"/>
  <c r="W27" i="52"/>
  <c r="Y27" i="52" s="1"/>
  <c r="R27" i="52"/>
  <c r="K27" i="52" s="1"/>
  <c r="J27" i="52"/>
  <c r="I27" i="52"/>
  <c r="G27" i="52"/>
  <c r="H27" i="52" s="1"/>
  <c r="C1" i="51"/>
  <c r="AW34" i="51"/>
  <c r="AW33" i="51"/>
  <c r="AW32" i="51"/>
  <c r="AW31" i="51"/>
  <c r="AW30" i="51"/>
  <c r="AW29" i="51"/>
  <c r="AW28" i="51"/>
  <c r="AW27" i="51"/>
  <c r="AR34" i="51"/>
  <c r="AR33" i="51"/>
  <c r="AR32" i="51"/>
  <c r="AR31" i="51"/>
  <c r="AR30" i="51"/>
  <c r="AR29" i="51"/>
  <c r="AR28" i="51"/>
  <c r="AR27" i="51"/>
  <c r="AM34" i="51"/>
  <c r="AM33" i="51"/>
  <c r="AM32" i="51"/>
  <c r="AM31" i="51"/>
  <c r="AM30" i="51"/>
  <c r="AM29" i="51"/>
  <c r="AM28" i="51"/>
  <c r="AM27" i="51"/>
  <c r="AH34" i="51"/>
  <c r="AH33" i="51"/>
  <c r="AH32" i="51"/>
  <c r="AH31" i="51"/>
  <c r="AH30" i="51"/>
  <c r="AH29" i="51"/>
  <c r="AH28" i="51"/>
  <c r="AH27" i="51"/>
  <c r="AC34" i="51"/>
  <c r="AC33" i="51"/>
  <c r="AC32" i="51"/>
  <c r="AC31" i="51"/>
  <c r="AC30" i="51"/>
  <c r="AC29" i="51"/>
  <c r="AC28" i="51"/>
  <c r="AC27" i="51"/>
  <c r="X34" i="51"/>
  <c r="X33" i="51"/>
  <c r="X32" i="51"/>
  <c r="X31" i="51"/>
  <c r="X30" i="51"/>
  <c r="X29" i="51"/>
  <c r="X28" i="51"/>
  <c r="X27" i="51"/>
  <c r="S28" i="51"/>
  <c r="S29" i="51"/>
  <c r="S30" i="51"/>
  <c r="S31" i="51"/>
  <c r="S32" i="51"/>
  <c r="S33" i="51"/>
  <c r="S34" i="51"/>
  <c r="S27" i="51"/>
  <c r="M28" i="51"/>
  <c r="M29" i="51"/>
  <c r="M30" i="51"/>
  <c r="M31" i="51"/>
  <c r="M32" i="51"/>
  <c r="M33" i="51"/>
  <c r="M34" i="51"/>
  <c r="M27" i="51"/>
  <c r="AV34" i="51"/>
  <c r="AQ34" i="51"/>
  <c r="AL34" i="51"/>
  <c r="AG34" i="51"/>
  <c r="AB34" i="51"/>
  <c r="W34" i="51"/>
  <c r="R34" i="51"/>
  <c r="K34" i="51"/>
  <c r="J34" i="51"/>
  <c r="I34" i="51"/>
  <c r="G34" i="51"/>
  <c r="AV33" i="51"/>
  <c r="AQ33" i="51"/>
  <c r="AL33" i="51"/>
  <c r="AG33" i="51"/>
  <c r="AB33" i="51"/>
  <c r="W33" i="51"/>
  <c r="R33" i="51"/>
  <c r="K33" i="51"/>
  <c r="J33" i="51"/>
  <c r="I33" i="51"/>
  <c r="G33" i="51"/>
  <c r="AV32" i="51"/>
  <c r="AQ32" i="51"/>
  <c r="AL32" i="51"/>
  <c r="AG32" i="51"/>
  <c r="AB32" i="51"/>
  <c r="W32" i="51"/>
  <c r="R32" i="51"/>
  <c r="J32" i="51"/>
  <c r="I32" i="51"/>
  <c r="G32" i="51"/>
  <c r="AV31" i="51"/>
  <c r="AQ31" i="51"/>
  <c r="AL31" i="51"/>
  <c r="AG31" i="51"/>
  <c r="AB31" i="51"/>
  <c r="W31" i="51"/>
  <c r="R31" i="51"/>
  <c r="J31" i="51"/>
  <c r="I31" i="51"/>
  <c r="G31" i="51"/>
  <c r="AV30" i="51"/>
  <c r="AQ30" i="51"/>
  <c r="K30" i="51" s="1"/>
  <c r="AL30" i="51"/>
  <c r="AG30" i="51"/>
  <c r="AB30" i="51"/>
  <c r="W30" i="51"/>
  <c r="R30" i="51"/>
  <c r="J30" i="51"/>
  <c r="I30" i="51"/>
  <c r="G30" i="51"/>
  <c r="AV29" i="51"/>
  <c r="AQ29" i="51"/>
  <c r="AL29" i="51"/>
  <c r="AG29" i="51"/>
  <c r="AB29" i="51"/>
  <c r="W29" i="51"/>
  <c r="R29" i="51"/>
  <c r="J29" i="51"/>
  <c r="I29" i="51"/>
  <c r="G29" i="51"/>
  <c r="AV28" i="51"/>
  <c r="AQ28" i="51"/>
  <c r="AL28" i="51"/>
  <c r="K28" i="51" s="1"/>
  <c r="AG28" i="51"/>
  <c r="AB28" i="51"/>
  <c r="W28" i="51"/>
  <c r="R28" i="51"/>
  <c r="J28" i="51"/>
  <c r="I28" i="51"/>
  <c r="G28" i="51"/>
  <c r="AV27" i="51"/>
  <c r="AQ27" i="51"/>
  <c r="K27" i="51" s="1"/>
  <c r="AN27" i="51"/>
  <c r="AL27" i="51"/>
  <c r="AG27" i="51"/>
  <c r="AI27" i="51" s="1"/>
  <c r="AB27" i="51"/>
  <c r="AD27" i="51" s="1"/>
  <c r="W27" i="51"/>
  <c r="R27" i="51"/>
  <c r="J27" i="51"/>
  <c r="I27" i="51"/>
  <c r="H27" i="51"/>
  <c r="G27" i="51"/>
  <c r="P22" i="50"/>
  <c r="P23" i="50" s="1"/>
  <c r="AW35" i="49"/>
  <c r="AW34" i="49"/>
  <c r="AW33" i="49"/>
  <c r="AW32" i="49"/>
  <c r="AW31" i="49"/>
  <c r="AW30" i="49"/>
  <c r="AW29" i="49"/>
  <c r="AW28" i="49"/>
  <c r="AW27" i="49"/>
  <c r="AR35" i="49"/>
  <c r="AR34" i="49"/>
  <c r="AR33" i="49"/>
  <c r="AR32" i="49"/>
  <c r="AR31" i="49"/>
  <c r="AR30" i="49"/>
  <c r="AR29" i="49"/>
  <c r="AR28" i="49"/>
  <c r="AR27" i="49"/>
  <c r="AM35" i="49"/>
  <c r="AM34" i="49"/>
  <c r="AM33" i="49"/>
  <c r="AM32" i="49"/>
  <c r="AM31" i="49"/>
  <c r="AM30" i="49"/>
  <c r="AM29" i="49"/>
  <c r="AM28" i="49"/>
  <c r="AM27" i="49"/>
  <c r="AH35" i="49"/>
  <c r="AH34" i="49"/>
  <c r="AH33" i="49"/>
  <c r="AH32" i="49"/>
  <c r="AH31" i="49"/>
  <c r="AH30" i="49"/>
  <c r="AH29" i="49"/>
  <c r="AH28" i="49"/>
  <c r="AH27" i="49"/>
  <c r="AC35" i="49"/>
  <c r="AC34" i="49"/>
  <c r="AC33" i="49"/>
  <c r="AC32" i="49"/>
  <c r="AC31" i="49"/>
  <c r="AC30" i="49"/>
  <c r="AC29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C1" i="49"/>
  <c r="AV35" i="49"/>
  <c r="AQ35" i="49"/>
  <c r="AL35" i="49"/>
  <c r="AG35" i="49"/>
  <c r="AB35" i="49"/>
  <c r="W35" i="49"/>
  <c r="R35" i="49"/>
  <c r="K35" i="49"/>
  <c r="J35" i="49"/>
  <c r="I35" i="49"/>
  <c r="G35" i="49"/>
  <c r="AV34" i="49"/>
  <c r="AQ34" i="49"/>
  <c r="AL34" i="49"/>
  <c r="AG34" i="49"/>
  <c r="AB34" i="49"/>
  <c r="W34" i="49"/>
  <c r="R34" i="49"/>
  <c r="K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K30" i="49" s="1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K28" i="49" s="1"/>
  <c r="AG28" i="49"/>
  <c r="AB28" i="49"/>
  <c r="W28" i="49"/>
  <c r="R28" i="49"/>
  <c r="J28" i="49"/>
  <c r="I28" i="49"/>
  <c r="G28" i="49"/>
  <c r="AV27" i="49"/>
  <c r="AQ27" i="49"/>
  <c r="AS27" i="49" s="1"/>
  <c r="AL27" i="49"/>
  <c r="AG27" i="49"/>
  <c r="AI27" i="49" s="1"/>
  <c r="AB27" i="49"/>
  <c r="W27" i="49"/>
  <c r="Y27" i="49" s="1"/>
  <c r="R27" i="49"/>
  <c r="T27" i="49" s="1"/>
  <c r="J27" i="49"/>
  <c r="I27" i="49"/>
  <c r="G27" i="49"/>
  <c r="H27" i="49" s="1"/>
  <c r="AW33" i="48"/>
  <c r="AW32" i="48"/>
  <c r="AW31" i="48"/>
  <c r="AW30" i="48"/>
  <c r="AW29" i="48"/>
  <c r="AW28" i="48"/>
  <c r="AW27" i="48"/>
  <c r="AR33" i="48"/>
  <c r="AR32" i="48"/>
  <c r="AR31" i="48"/>
  <c r="AR30" i="48"/>
  <c r="AR29" i="48"/>
  <c r="AR28" i="48"/>
  <c r="AR27" i="48"/>
  <c r="AM33" i="48"/>
  <c r="AM32" i="48"/>
  <c r="AM31" i="48"/>
  <c r="AM30" i="48"/>
  <c r="AM29" i="48"/>
  <c r="AM28" i="48"/>
  <c r="AM27" i="48"/>
  <c r="AH33" i="48"/>
  <c r="AH32" i="48"/>
  <c r="AH31" i="48"/>
  <c r="AH30" i="48"/>
  <c r="AH29" i="48"/>
  <c r="AH28" i="48"/>
  <c r="AH27" i="48"/>
  <c r="AC33" i="48"/>
  <c r="AC32" i="48"/>
  <c r="AC31" i="48"/>
  <c r="AC30" i="48"/>
  <c r="AC29" i="48"/>
  <c r="AC28" i="48"/>
  <c r="AC27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27" i="48"/>
  <c r="M28" i="48"/>
  <c r="M29" i="48"/>
  <c r="M30" i="48"/>
  <c r="M31" i="48"/>
  <c r="M32" i="48"/>
  <c r="M33" i="48"/>
  <c r="M27" i="48"/>
  <c r="C1" i="48"/>
  <c r="AV33" i="48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K32" i="48" s="1"/>
  <c r="R32" i="48"/>
  <c r="J32" i="48"/>
  <c r="I32" i="48"/>
  <c r="G32" i="48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K30" i="48" s="1"/>
  <c r="J30" i="48"/>
  <c r="I30" i="48"/>
  <c r="G30" i="48"/>
  <c r="AV29" i="48"/>
  <c r="AQ29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X27" i="48" s="1"/>
  <c r="AQ27" i="48"/>
  <c r="AS27" i="48" s="1"/>
  <c r="AL27" i="48"/>
  <c r="AN27" i="48" s="1"/>
  <c r="AG27" i="48"/>
  <c r="AI27" i="48" s="1"/>
  <c r="AB27" i="48"/>
  <c r="AD27" i="48" s="1"/>
  <c r="Y27" i="48"/>
  <c r="W27" i="48"/>
  <c r="R27" i="48"/>
  <c r="T27" i="48" s="1"/>
  <c r="J27" i="48"/>
  <c r="I27" i="48"/>
  <c r="G27" i="48"/>
  <c r="H27" i="48" s="1"/>
  <c r="C1" i="47"/>
  <c r="AW32" i="47"/>
  <c r="AW31" i="47"/>
  <c r="AW30" i="47"/>
  <c r="AW29" i="47"/>
  <c r="AW27" i="47"/>
  <c r="AR32" i="47"/>
  <c r="AR31" i="47"/>
  <c r="AR30" i="47"/>
  <c r="AR29" i="47"/>
  <c r="AR28" i="47"/>
  <c r="AR27" i="47"/>
  <c r="AM32" i="47"/>
  <c r="AM31" i="47"/>
  <c r="AM30" i="47"/>
  <c r="AM29" i="47"/>
  <c r="AM28" i="47"/>
  <c r="AM27" i="47"/>
  <c r="AH32" i="47"/>
  <c r="AH31" i="47"/>
  <c r="AH30" i="47"/>
  <c r="AH29" i="47"/>
  <c r="AH28" i="47"/>
  <c r="AH27" i="47"/>
  <c r="AC32" i="47"/>
  <c r="AC31" i="47"/>
  <c r="AC30" i="47"/>
  <c r="AC29" i="47"/>
  <c r="AC28" i="47"/>
  <c r="AC27" i="47"/>
  <c r="X32" i="47"/>
  <c r="X31" i="47"/>
  <c r="X30" i="47"/>
  <c r="X29" i="47"/>
  <c r="X28" i="47"/>
  <c r="X27" i="47"/>
  <c r="S28" i="47"/>
  <c r="S29" i="47"/>
  <c r="S30" i="47"/>
  <c r="S31" i="47"/>
  <c r="S32" i="47"/>
  <c r="S27" i="47"/>
  <c r="M28" i="47"/>
  <c r="M29" i="47"/>
  <c r="M30" i="47"/>
  <c r="M31" i="47"/>
  <c r="M32" i="47"/>
  <c r="M27" i="47"/>
  <c r="AV32" i="47"/>
  <c r="AQ32" i="47"/>
  <c r="AL32" i="47"/>
  <c r="AG32" i="47"/>
  <c r="AB32" i="47"/>
  <c r="W32" i="47"/>
  <c r="R32" i="47"/>
  <c r="K32" i="47"/>
  <c r="J32" i="47"/>
  <c r="I32" i="47"/>
  <c r="G32" i="47"/>
  <c r="AV31" i="47"/>
  <c r="AQ31" i="47"/>
  <c r="AL31" i="47"/>
  <c r="AG31" i="47"/>
  <c r="AB31" i="47"/>
  <c r="W31" i="47"/>
  <c r="R31" i="47"/>
  <c r="J31" i="47"/>
  <c r="I31" i="47"/>
  <c r="G31" i="47"/>
  <c r="AV30" i="47"/>
  <c r="AQ30" i="47"/>
  <c r="AL30" i="47"/>
  <c r="AG30" i="47"/>
  <c r="AB30" i="47"/>
  <c r="W30" i="47"/>
  <c r="R30" i="47"/>
  <c r="J30" i="47"/>
  <c r="I30" i="47"/>
  <c r="G30" i="47"/>
  <c r="AV29" i="47"/>
  <c r="AQ29" i="47"/>
  <c r="AL29" i="47"/>
  <c r="AG29" i="47"/>
  <c r="AB29" i="47"/>
  <c r="W29" i="47"/>
  <c r="R29" i="47"/>
  <c r="J29" i="47"/>
  <c r="I29" i="47"/>
  <c r="G29" i="47"/>
  <c r="AQ28" i="47"/>
  <c r="AL28" i="47"/>
  <c r="AG28" i="47"/>
  <c r="AB28" i="47"/>
  <c r="W28" i="47"/>
  <c r="R28" i="47"/>
  <c r="J28" i="47"/>
  <c r="I28" i="47"/>
  <c r="G28" i="47"/>
  <c r="AV27" i="47"/>
  <c r="AX27" i="47" s="1"/>
  <c r="AQ27" i="47"/>
  <c r="AL27" i="47"/>
  <c r="AG27" i="47"/>
  <c r="AI27" i="47" s="1"/>
  <c r="AB27" i="47"/>
  <c r="AD27" i="47" s="1"/>
  <c r="Y27" i="47"/>
  <c r="W27" i="47"/>
  <c r="R27" i="47"/>
  <c r="T27" i="47" s="1"/>
  <c r="J27" i="47"/>
  <c r="I27" i="47"/>
  <c r="H27" i="47"/>
  <c r="G27" i="47"/>
  <c r="C1" i="46"/>
  <c r="AW27" i="46"/>
  <c r="AR27" i="46"/>
  <c r="AM27" i="46"/>
  <c r="AH27" i="46"/>
  <c r="AC27" i="46"/>
  <c r="X27" i="46"/>
  <c r="S27" i="46"/>
  <c r="M27" i="46"/>
  <c r="AV27" i="46"/>
  <c r="AX27" i="46" s="1"/>
  <c r="AQ27" i="46"/>
  <c r="AS27" i="46" s="1"/>
  <c r="AL27" i="46"/>
  <c r="AN27" i="46" s="1"/>
  <c r="AG27" i="46"/>
  <c r="AI27" i="46" s="1"/>
  <c r="AB27" i="46"/>
  <c r="AD27" i="46" s="1"/>
  <c r="W27" i="46"/>
  <c r="K27" i="46" s="1"/>
  <c r="T27" i="46"/>
  <c r="R27" i="46"/>
  <c r="J27" i="46"/>
  <c r="I27" i="46"/>
  <c r="G27" i="46"/>
  <c r="H27" i="46" s="1"/>
  <c r="B29" i="39"/>
  <c r="C1" i="45"/>
  <c r="AW29" i="45"/>
  <c r="AW28" i="45"/>
  <c r="AW27" i="45"/>
  <c r="AR29" i="45"/>
  <c r="AR28" i="45"/>
  <c r="AR27" i="45"/>
  <c r="AM29" i="45"/>
  <c r="AM28" i="45"/>
  <c r="AM27" i="45"/>
  <c r="AH29" i="45"/>
  <c r="AH28" i="45"/>
  <c r="AH27" i="45"/>
  <c r="AC29" i="45"/>
  <c r="AC28" i="45"/>
  <c r="AC27" i="45"/>
  <c r="X29" i="45"/>
  <c r="X28" i="45"/>
  <c r="X27" i="45"/>
  <c r="S28" i="45"/>
  <c r="S29" i="45"/>
  <c r="S27" i="45"/>
  <c r="M28" i="45"/>
  <c r="M29" i="45"/>
  <c r="M27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K28" i="45" s="1"/>
  <c r="R28" i="45"/>
  <c r="J28" i="45"/>
  <c r="I28" i="45"/>
  <c r="G28" i="45"/>
  <c r="AX27" i="45"/>
  <c r="AV27" i="45"/>
  <c r="AQ27" i="45"/>
  <c r="AS27" i="45" s="1"/>
  <c r="AL27" i="45"/>
  <c r="AN27" i="45" s="1"/>
  <c r="AG27" i="45"/>
  <c r="AI27" i="45" s="1"/>
  <c r="AB27" i="45"/>
  <c r="W27" i="45"/>
  <c r="Y27" i="45" s="1"/>
  <c r="R27" i="45"/>
  <c r="K27" i="45" s="1"/>
  <c r="J27" i="45"/>
  <c r="I27" i="45"/>
  <c r="G27" i="45"/>
  <c r="H27" i="45" s="1"/>
  <c r="B28" i="39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C1" i="44"/>
  <c r="AW79" i="44"/>
  <c r="AW78" i="44"/>
  <c r="AW77" i="44"/>
  <c r="AW76" i="44"/>
  <c r="AW75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R79" i="44"/>
  <c r="AR78" i="44"/>
  <c r="AR77" i="44"/>
  <c r="AR76" i="44"/>
  <c r="AR7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M79" i="44"/>
  <c r="AM78" i="44"/>
  <c r="AM77" i="44"/>
  <c r="AM76" i="44"/>
  <c r="AM7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H79" i="44"/>
  <c r="AH78" i="44"/>
  <c r="AH77" i="44"/>
  <c r="AH76" i="44"/>
  <c r="AH7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C79" i="44"/>
  <c r="AC78" i="44"/>
  <c r="AC77" i="44"/>
  <c r="AC76" i="44"/>
  <c r="AC7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X79" i="44"/>
  <c r="X78" i="44"/>
  <c r="X77" i="44"/>
  <c r="X76" i="44"/>
  <c r="X7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75" i="44"/>
  <c r="S76" i="44"/>
  <c r="S77" i="44"/>
  <c r="S78" i="44"/>
  <c r="S79" i="44"/>
  <c r="S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76" i="44"/>
  <c r="M77" i="44"/>
  <c r="M78" i="44"/>
  <c r="M79" i="44"/>
  <c r="M47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R77" i="44"/>
  <c r="J77" i="44"/>
  <c r="I77" i="44"/>
  <c r="G77" i="44"/>
  <c r="AV76" i="44"/>
  <c r="AQ76" i="44"/>
  <c r="AL76" i="44"/>
  <c r="AG76" i="44"/>
  <c r="AB76" i="44"/>
  <c r="W76" i="44"/>
  <c r="R76" i="44"/>
  <c r="J76" i="44"/>
  <c r="I76" i="44"/>
  <c r="G76" i="44"/>
  <c r="AV75" i="44"/>
  <c r="AQ75" i="44"/>
  <c r="AL75" i="44"/>
  <c r="AG75" i="44"/>
  <c r="AB75" i="44"/>
  <c r="W75" i="44"/>
  <c r="R75" i="44"/>
  <c r="J75" i="44"/>
  <c r="I75" i="44"/>
  <c r="G75" i="44"/>
  <c r="AV74" i="44"/>
  <c r="AQ74" i="44"/>
  <c r="AL74" i="44"/>
  <c r="AG74" i="44"/>
  <c r="AB74" i="44"/>
  <c r="W74" i="44"/>
  <c r="R74" i="44"/>
  <c r="J74" i="44"/>
  <c r="I74" i="44"/>
  <c r="G74" i="44"/>
  <c r="AV73" i="44"/>
  <c r="AQ73" i="44"/>
  <c r="AL73" i="44"/>
  <c r="K73" i="44" s="1"/>
  <c r="AG73" i="44"/>
  <c r="AB73" i="44"/>
  <c r="W73" i="44"/>
  <c r="R73" i="44"/>
  <c r="J73" i="44"/>
  <c r="I73" i="44"/>
  <c r="G73" i="44"/>
  <c r="AV72" i="44"/>
  <c r="AQ72" i="44"/>
  <c r="AL72" i="44"/>
  <c r="K72" i="44" s="1"/>
  <c r="AG72" i="44"/>
  <c r="AB72" i="44"/>
  <c r="W72" i="44"/>
  <c r="R72" i="44"/>
  <c r="J72" i="44"/>
  <c r="I72" i="44"/>
  <c r="G72" i="44"/>
  <c r="AV71" i="44"/>
  <c r="AQ71" i="44"/>
  <c r="AL71" i="44"/>
  <c r="AG71" i="44"/>
  <c r="K71" i="44" s="1"/>
  <c r="AB71" i="44"/>
  <c r="W71" i="44"/>
  <c r="R71" i="44"/>
  <c r="J71" i="44"/>
  <c r="I71" i="44"/>
  <c r="G71" i="44"/>
  <c r="AV70" i="44"/>
  <c r="AQ70" i="44"/>
  <c r="AL70" i="44"/>
  <c r="AG70" i="44"/>
  <c r="K70" i="44" s="1"/>
  <c r="AB70" i="44"/>
  <c r="W70" i="44"/>
  <c r="R70" i="44"/>
  <c r="J70" i="44"/>
  <c r="I70" i="44"/>
  <c r="G70" i="44"/>
  <c r="AV69" i="44"/>
  <c r="AQ69" i="44"/>
  <c r="AL69" i="44"/>
  <c r="AG69" i="44"/>
  <c r="AB69" i="44"/>
  <c r="K69" i="44" s="1"/>
  <c r="W69" i="44"/>
  <c r="R69" i="44"/>
  <c r="J69" i="44"/>
  <c r="I69" i="44"/>
  <c r="G69" i="44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K67" i="44" s="1"/>
  <c r="R67" i="44"/>
  <c r="J67" i="44"/>
  <c r="I67" i="44"/>
  <c r="G67" i="44"/>
  <c r="AV66" i="44"/>
  <c r="AQ66" i="44"/>
  <c r="AL66" i="44"/>
  <c r="AG66" i="44"/>
  <c r="AB66" i="44"/>
  <c r="W66" i="44"/>
  <c r="K66" i="44" s="1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K64" i="44" s="1"/>
  <c r="J64" i="44"/>
  <c r="I64" i="44"/>
  <c r="G64" i="44"/>
  <c r="AV63" i="44"/>
  <c r="AQ63" i="44"/>
  <c r="AL63" i="44"/>
  <c r="AG63" i="44"/>
  <c r="AB63" i="44"/>
  <c r="W63" i="44"/>
  <c r="R63" i="44"/>
  <c r="K63" i="44"/>
  <c r="J63" i="44"/>
  <c r="I63" i="44"/>
  <c r="G63" i="44"/>
  <c r="AV62" i="44"/>
  <c r="AQ62" i="44"/>
  <c r="AL62" i="44"/>
  <c r="AG62" i="44"/>
  <c r="AB62" i="44"/>
  <c r="W62" i="44"/>
  <c r="R62" i="44"/>
  <c r="K62" i="44"/>
  <c r="J62" i="44"/>
  <c r="I62" i="44"/>
  <c r="G62" i="44"/>
  <c r="AV61" i="44"/>
  <c r="AQ61" i="44"/>
  <c r="AL61" i="44"/>
  <c r="AG61" i="44"/>
  <c r="AB61" i="44"/>
  <c r="W61" i="44"/>
  <c r="R61" i="44"/>
  <c r="K61" i="44"/>
  <c r="J61" i="44"/>
  <c r="I61" i="44"/>
  <c r="G61" i="44"/>
  <c r="AV60" i="44"/>
  <c r="AQ60" i="44"/>
  <c r="AL60" i="44"/>
  <c r="AG60" i="44"/>
  <c r="AB60" i="44"/>
  <c r="W60" i="44"/>
  <c r="R60" i="44"/>
  <c r="K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V55" i="44"/>
  <c r="AQ55" i="44"/>
  <c r="AL55" i="44"/>
  <c r="AG55" i="44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K53" i="44"/>
  <c r="J53" i="44"/>
  <c r="I53" i="44"/>
  <c r="G53" i="44"/>
  <c r="AV52" i="44"/>
  <c r="AQ52" i="44"/>
  <c r="AL52" i="44"/>
  <c r="K52" i="44" s="1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K50" i="44" s="1"/>
  <c r="AB50" i="44"/>
  <c r="W50" i="44"/>
  <c r="R50" i="44"/>
  <c r="J50" i="44"/>
  <c r="I50" i="44"/>
  <c r="G50" i="44"/>
  <c r="AV49" i="44"/>
  <c r="AQ49" i="44"/>
  <c r="AL49" i="44"/>
  <c r="AG49" i="44"/>
  <c r="AB49" i="44"/>
  <c r="K49" i="44" s="1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I47" i="44" s="1"/>
  <c r="AB47" i="44"/>
  <c r="AD47" i="44" s="1"/>
  <c r="W47" i="44"/>
  <c r="Y47" i="44" s="1"/>
  <c r="R47" i="44"/>
  <c r="T47" i="44" s="1"/>
  <c r="J47" i="44"/>
  <c r="I47" i="44"/>
  <c r="G47" i="44"/>
  <c r="AX27" i="52" l="1"/>
  <c r="T27" i="52"/>
  <c r="K30" i="52"/>
  <c r="K29" i="52"/>
  <c r="K28" i="52"/>
  <c r="K29" i="51"/>
  <c r="AS27" i="51"/>
  <c r="AX27" i="51"/>
  <c r="K31" i="51"/>
  <c r="T27" i="51"/>
  <c r="K32" i="51"/>
  <c r="Y27" i="51"/>
  <c r="U22" i="50"/>
  <c r="K31" i="49"/>
  <c r="K32" i="49"/>
  <c r="K27" i="49"/>
  <c r="AX27" i="49"/>
  <c r="K29" i="49"/>
  <c r="AD27" i="49"/>
  <c r="K33" i="49"/>
  <c r="AN27" i="49"/>
  <c r="K27" i="48"/>
  <c r="K33" i="48"/>
  <c r="K31" i="48"/>
  <c r="K29" i="48"/>
  <c r="K28" i="48"/>
  <c r="K27" i="47"/>
  <c r="AS27" i="47"/>
  <c r="K31" i="47"/>
  <c r="K30" i="47"/>
  <c r="K29" i="47"/>
  <c r="K28" i="47"/>
  <c r="AN27" i="47"/>
  <c r="L27" i="46"/>
  <c r="Y27" i="46"/>
  <c r="T27" i="45"/>
  <c r="K29" i="45"/>
  <c r="AD27" i="45"/>
  <c r="K77" i="44"/>
  <c r="AN47" i="44"/>
  <c r="K55" i="44"/>
  <c r="K57" i="44"/>
  <c r="K75" i="44"/>
  <c r="K79" i="44"/>
  <c r="H47" i="44"/>
  <c r="AS47" i="44"/>
  <c r="AX47" i="44"/>
  <c r="K65" i="44"/>
  <c r="K51" i="44"/>
  <c r="K59" i="44"/>
  <c r="K58" i="44"/>
  <c r="K78" i="44"/>
  <c r="K56" i="44"/>
  <c r="K76" i="44"/>
  <c r="K47" i="44"/>
  <c r="K54" i="44"/>
  <c r="K74" i="44"/>
  <c r="K48" i="44"/>
  <c r="K68" i="44"/>
  <c r="L27" i="52" l="1"/>
  <c r="L27" i="51"/>
  <c r="U23" i="50"/>
  <c r="Z22" i="50"/>
  <c r="L27" i="49"/>
  <c r="L27" i="48"/>
  <c r="L27" i="47"/>
  <c r="L27" i="45"/>
  <c r="L47" i="44"/>
  <c r="Z23" i="50" l="1"/>
  <c r="AE22" i="50"/>
  <c r="AE23" i="50" l="1"/>
  <c r="AJ22" i="50"/>
  <c r="AO22" i="50" l="1"/>
  <c r="AJ23" i="50"/>
  <c r="AT22" i="50" l="1"/>
  <c r="AT23" i="50" s="1"/>
  <c r="AO23" i="50"/>
  <c r="H13" i="6" l="1"/>
  <c r="H13" i="7"/>
  <c r="AC20" i="6"/>
  <c r="S20" i="6"/>
  <c r="M20" i="6"/>
  <c r="F20" i="6"/>
  <c r="AL20" i="6" s="1"/>
  <c r="AC19" i="6"/>
  <c r="F19" i="6" s="1"/>
  <c r="AL19" i="6" s="1"/>
  <c r="S19" i="6"/>
  <c r="M19" i="6"/>
  <c r="AC18" i="6"/>
  <c r="S18" i="6"/>
  <c r="F18" i="6" s="1"/>
  <c r="AL18" i="6" s="1"/>
  <c r="M18" i="6"/>
  <c r="AC17" i="6"/>
  <c r="S17" i="6"/>
  <c r="M17" i="6"/>
  <c r="F17" i="6"/>
  <c r="AL17" i="6" s="1"/>
  <c r="AC16" i="6"/>
  <c r="S16" i="6"/>
  <c r="M16" i="6"/>
  <c r="F16" i="6" s="1"/>
  <c r="AL16" i="6" s="1"/>
  <c r="AC15" i="6"/>
  <c r="F15" i="6" s="1"/>
  <c r="AL15" i="6" s="1"/>
  <c r="S15" i="6"/>
  <c r="M15" i="6"/>
  <c r="AC14" i="6"/>
  <c r="S14" i="6"/>
  <c r="M14" i="6"/>
  <c r="B15" i="39"/>
  <c r="B14" i="7"/>
  <c r="AC20" i="7"/>
  <c r="S20" i="7"/>
  <c r="M20" i="7"/>
  <c r="F20" i="7" s="1"/>
  <c r="AL20" i="7" s="1"/>
  <c r="AC19" i="7"/>
  <c r="S19" i="7"/>
  <c r="F19" i="7" s="1"/>
  <c r="AL19" i="7" s="1"/>
  <c r="M19" i="7"/>
  <c r="AC18" i="7"/>
  <c r="S18" i="7"/>
  <c r="M18" i="7"/>
  <c r="F18" i="7"/>
  <c r="AL18" i="7" s="1"/>
  <c r="AC17" i="7"/>
  <c r="S17" i="7"/>
  <c r="M17" i="7"/>
  <c r="F17" i="7"/>
  <c r="AL17" i="7" s="1"/>
  <c r="AC16" i="7"/>
  <c r="S16" i="7"/>
  <c r="F16" i="7" s="1"/>
  <c r="AL16" i="7" s="1"/>
  <c r="M16" i="7"/>
  <c r="AC15" i="7"/>
  <c r="S15" i="7"/>
  <c r="M15" i="7"/>
  <c r="F15" i="7" s="1"/>
  <c r="AL15" i="7" s="1"/>
  <c r="AC14" i="7"/>
  <c r="S14" i="7"/>
  <c r="F14" i="7" s="1"/>
  <c r="M14" i="7"/>
  <c r="U13" i="5"/>
  <c r="U14" i="5"/>
  <c r="U15" i="5"/>
  <c r="U16" i="5"/>
  <c r="U17" i="5"/>
  <c r="U18" i="5"/>
  <c r="U12" i="5"/>
  <c r="G12" i="5"/>
  <c r="J34" i="25"/>
  <c r="M30" i="62"/>
  <c r="M29" i="62"/>
  <c r="M28" i="62"/>
  <c r="M27" i="62"/>
  <c r="M26" i="62"/>
  <c r="M25" i="62"/>
  <c r="M21" i="62"/>
  <c r="M20" i="62"/>
  <c r="M19" i="62"/>
  <c r="M18" i="62"/>
  <c r="M17" i="62"/>
  <c r="M22" i="62" s="1"/>
  <c r="M13" i="62"/>
  <c r="M12" i="62"/>
  <c r="M11" i="62"/>
  <c r="M10" i="62"/>
  <c r="M14" i="62" s="1"/>
  <c r="M9" i="62"/>
  <c r="M35" i="20"/>
  <c r="M34" i="20"/>
  <c r="M33" i="20"/>
  <c r="M38" i="20" s="1"/>
  <c r="K38" i="20" s="1"/>
  <c r="M26" i="20"/>
  <c r="M25" i="20"/>
  <c r="M30" i="20" s="1"/>
  <c r="M21" i="20"/>
  <c r="M20" i="20"/>
  <c r="M19" i="20"/>
  <c r="M18" i="20"/>
  <c r="M17" i="20"/>
  <c r="M22" i="20" s="1"/>
  <c r="M13" i="20"/>
  <c r="M12" i="20"/>
  <c r="M14" i="20" s="1"/>
  <c r="M11" i="20"/>
  <c r="M10" i="20"/>
  <c r="M9" i="20"/>
  <c r="M29" i="19"/>
  <c r="M28" i="19"/>
  <c r="M27" i="19"/>
  <c r="M26" i="19"/>
  <c r="M25" i="19"/>
  <c r="M30" i="19" s="1"/>
  <c r="M21" i="19"/>
  <c r="M22" i="19" s="1"/>
  <c r="M20" i="19"/>
  <c r="M19" i="19"/>
  <c r="M18" i="19"/>
  <c r="M17" i="19"/>
  <c r="M13" i="19"/>
  <c r="M12" i="19"/>
  <c r="M11" i="19"/>
  <c r="M10" i="19"/>
  <c r="M14" i="19" s="1"/>
  <c r="M9" i="19"/>
  <c r="K134" i="19"/>
  <c r="M37" i="19"/>
  <c r="M38" i="19"/>
  <c r="M39" i="19"/>
  <c r="M40" i="19"/>
  <c r="M41" i="19"/>
  <c r="M42" i="19"/>
  <c r="M45" i="19"/>
  <c r="M46" i="19"/>
  <c r="M47" i="19"/>
  <c r="M48" i="19"/>
  <c r="M49" i="19"/>
  <c r="M50" i="19"/>
  <c r="M53" i="19"/>
  <c r="M54" i="19"/>
  <c r="M55" i="19"/>
  <c r="M56" i="19"/>
  <c r="M57" i="19"/>
  <c r="M65" i="19"/>
  <c r="M70" i="19" s="1"/>
  <c r="K70" i="19" s="1"/>
  <c r="M66" i="19"/>
  <c r="M67" i="19"/>
  <c r="M68" i="19"/>
  <c r="M69" i="19"/>
  <c r="M73" i="19"/>
  <c r="M74" i="19"/>
  <c r="M75" i="19"/>
  <c r="M76" i="19"/>
  <c r="M77" i="19"/>
  <c r="M78" i="19"/>
  <c r="K78" i="19" s="1"/>
  <c r="M81" i="19"/>
  <c r="M82" i="19"/>
  <c r="M83" i="19"/>
  <c r="M84" i="19"/>
  <c r="M85" i="19"/>
  <c r="M93" i="19"/>
  <c r="M94" i="19"/>
  <c r="M95" i="19"/>
  <c r="M96" i="19"/>
  <c r="M97" i="19"/>
  <c r="M101" i="19"/>
  <c r="M102" i="19"/>
  <c r="M103" i="19"/>
  <c r="M104" i="19"/>
  <c r="M105" i="19"/>
  <c r="M106" i="19"/>
  <c r="K106" i="19" s="1"/>
  <c r="M109" i="19"/>
  <c r="M110" i="19"/>
  <c r="M111" i="19"/>
  <c r="M112" i="19"/>
  <c r="M113" i="19"/>
  <c r="J37" i="25"/>
  <c r="J36" i="25"/>
  <c r="J35" i="25"/>
  <c r="J49" i="24"/>
  <c r="J52" i="24"/>
  <c r="J51" i="24"/>
  <c r="J48" i="24"/>
  <c r="J47" i="24"/>
  <c r="J46" i="24"/>
  <c r="J45" i="24"/>
  <c r="J53" i="23"/>
  <c r="J52" i="23"/>
  <c r="J51" i="23"/>
  <c r="J50" i="23"/>
  <c r="J49" i="23"/>
  <c r="J48" i="23"/>
  <c r="J47" i="23"/>
  <c r="J46" i="23"/>
  <c r="J45" i="23"/>
  <c r="J40" i="23"/>
  <c r="J39" i="23"/>
  <c r="J38" i="23"/>
  <c r="J37" i="23"/>
  <c r="J36" i="23"/>
  <c r="J35" i="23"/>
  <c r="J34" i="23"/>
  <c r="J49" i="22"/>
  <c r="J48" i="22"/>
  <c r="J47" i="22"/>
  <c r="J45" i="22"/>
  <c r="J34" i="22"/>
  <c r="J47" i="15"/>
  <c r="J46" i="15"/>
  <c r="J45" i="15"/>
  <c r="J38" i="15"/>
  <c r="J37" i="15"/>
  <c r="J35" i="15"/>
  <c r="F14" i="6" l="1"/>
  <c r="AL14" i="6" s="1"/>
  <c r="T16" i="6"/>
  <c r="N18" i="6"/>
  <c r="AD18" i="6"/>
  <c r="N14" i="6"/>
  <c r="N19" i="6"/>
  <c r="T14" i="6"/>
  <c r="T19" i="6"/>
  <c r="N15" i="6"/>
  <c r="N20" i="6"/>
  <c r="AD16" i="6"/>
  <c r="T17" i="6"/>
  <c r="T18" i="6"/>
  <c r="AD15" i="6"/>
  <c r="AD20" i="6"/>
  <c r="AD17" i="6"/>
  <c r="AD19" i="6"/>
  <c r="T15" i="6"/>
  <c r="N17" i="6"/>
  <c r="AD14" i="6"/>
  <c r="T20" i="6"/>
  <c r="N16" i="6"/>
  <c r="G14" i="6"/>
  <c r="J14" i="6"/>
  <c r="J15" i="6"/>
  <c r="J16" i="6"/>
  <c r="J17" i="6"/>
  <c r="J18" i="6"/>
  <c r="J19" i="6"/>
  <c r="J20" i="6"/>
  <c r="L14" i="6"/>
  <c r="L15" i="6"/>
  <c r="L16" i="6"/>
  <c r="L17" i="6"/>
  <c r="L18" i="6"/>
  <c r="P17" i="6"/>
  <c r="R17" i="6"/>
  <c r="L19" i="6"/>
  <c r="P14" i="6"/>
  <c r="P18" i="6"/>
  <c r="R19" i="6"/>
  <c r="V14" i="6"/>
  <c r="V15" i="6"/>
  <c r="V16" i="6"/>
  <c r="V17" i="6"/>
  <c r="V20" i="6"/>
  <c r="Z19" i="6"/>
  <c r="L20" i="6"/>
  <c r="P16" i="6"/>
  <c r="P19" i="6"/>
  <c r="R14" i="6"/>
  <c r="R18" i="6"/>
  <c r="V18" i="6"/>
  <c r="X14" i="6"/>
  <c r="X17" i="6"/>
  <c r="X18" i="6"/>
  <c r="X20" i="6"/>
  <c r="Z18" i="6"/>
  <c r="AB15" i="6"/>
  <c r="AB17" i="6"/>
  <c r="AB20" i="6"/>
  <c r="AF15" i="6"/>
  <c r="AF17" i="6"/>
  <c r="AF19" i="6"/>
  <c r="AH14" i="6"/>
  <c r="AH16" i="6"/>
  <c r="AH18" i="6"/>
  <c r="AH20" i="6"/>
  <c r="AJ14" i="6"/>
  <c r="AJ15" i="6"/>
  <c r="AJ16" i="6"/>
  <c r="AJ17" i="6"/>
  <c r="AJ18" i="6"/>
  <c r="AJ19" i="6"/>
  <c r="AJ20" i="6"/>
  <c r="P15" i="6"/>
  <c r="P20" i="6"/>
  <c r="R15" i="6"/>
  <c r="R16" i="6"/>
  <c r="R20" i="6"/>
  <c r="V19" i="6"/>
  <c r="X15" i="6"/>
  <c r="X16" i="6"/>
  <c r="X19" i="6"/>
  <c r="Z14" i="6"/>
  <c r="Z15" i="6"/>
  <c r="Z16" i="6"/>
  <c r="Z17" i="6"/>
  <c r="Z20" i="6"/>
  <c r="AB14" i="6"/>
  <c r="AB16" i="6"/>
  <c r="AB18" i="6"/>
  <c r="AB19" i="6"/>
  <c r="AF14" i="6"/>
  <c r="AF16" i="6"/>
  <c r="AF18" i="6"/>
  <c r="AF20" i="6"/>
  <c r="AH15" i="6"/>
  <c r="AH17" i="6"/>
  <c r="AH19" i="6"/>
  <c r="AL14" i="7"/>
  <c r="AD17" i="7"/>
  <c r="AD18" i="7"/>
  <c r="N14" i="7"/>
  <c r="N19" i="7"/>
  <c r="AD14" i="7"/>
  <c r="AD19" i="7"/>
  <c r="N17" i="7"/>
  <c r="N18" i="7"/>
  <c r="N15" i="7"/>
  <c r="AD15" i="7"/>
  <c r="AD20" i="7"/>
  <c r="N20" i="7"/>
  <c r="AD16" i="7"/>
  <c r="N16" i="7"/>
  <c r="G14" i="7"/>
  <c r="J14" i="7"/>
  <c r="J15" i="7"/>
  <c r="J16" i="7"/>
  <c r="J17" i="7"/>
  <c r="J18" i="7"/>
  <c r="J19" i="7"/>
  <c r="J20" i="7"/>
  <c r="L14" i="7"/>
  <c r="L15" i="7"/>
  <c r="L16" i="7"/>
  <c r="L17" i="7"/>
  <c r="L18" i="7"/>
  <c r="L19" i="7"/>
  <c r="L20" i="7"/>
  <c r="P14" i="7"/>
  <c r="P15" i="7"/>
  <c r="P16" i="7"/>
  <c r="P17" i="7"/>
  <c r="P18" i="7"/>
  <c r="P19" i="7"/>
  <c r="P20" i="7"/>
  <c r="R14" i="7"/>
  <c r="R15" i="7"/>
  <c r="R16" i="7"/>
  <c r="R17" i="7"/>
  <c r="R18" i="7"/>
  <c r="R19" i="7"/>
  <c r="R20" i="7"/>
  <c r="T14" i="7"/>
  <c r="T15" i="7"/>
  <c r="T16" i="7"/>
  <c r="T17" i="7"/>
  <c r="T18" i="7"/>
  <c r="T19" i="7"/>
  <c r="T20" i="7"/>
  <c r="V19" i="7"/>
  <c r="X15" i="7"/>
  <c r="X17" i="7"/>
  <c r="X18" i="7"/>
  <c r="X20" i="7"/>
  <c r="Z15" i="7"/>
  <c r="Z17" i="7"/>
  <c r="Z19" i="7"/>
  <c r="AB15" i="7"/>
  <c r="AB16" i="7"/>
  <c r="AB18" i="7"/>
  <c r="AB19" i="7"/>
  <c r="AF14" i="7"/>
  <c r="AF15" i="7"/>
  <c r="AF16" i="7"/>
  <c r="AF17" i="7"/>
  <c r="AF18" i="7"/>
  <c r="AF19" i="7"/>
  <c r="AF20" i="7"/>
  <c r="V14" i="7"/>
  <c r="V17" i="7"/>
  <c r="V20" i="7"/>
  <c r="Z18" i="7"/>
  <c r="V15" i="7"/>
  <c r="V16" i="7"/>
  <c r="V18" i="7"/>
  <c r="X14" i="7"/>
  <c r="X16" i="7"/>
  <c r="X19" i="7"/>
  <c r="Z14" i="7"/>
  <c r="Z16" i="7"/>
  <c r="Z20" i="7"/>
  <c r="AB14" i="7"/>
  <c r="AB17" i="7"/>
  <c r="AB20" i="7"/>
  <c r="AH14" i="7"/>
  <c r="AH15" i="7"/>
  <c r="AH16" i="7"/>
  <c r="AH17" i="7"/>
  <c r="AH18" i="7"/>
  <c r="AH19" i="7"/>
  <c r="AH20" i="7"/>
  <c r="AJ14" i="7"/>
  <c r="AJ15" i="7"/>
  <c r="AJ16" i="7"/>
  <c r="AJ17" i="7"/>
  <c r="AJ18" i="7"/>
  <c r="AJ19" i="7"/>
  <c r="AJ20" i="7"/>
  <c r="M114" i="19"/>
  <c r="K114" i="19" s="1"/>
  <c r="M98" i="19"/>
  <c r="K98" i="19" s="1"/>
  <c r="M86" i="19"/>
  <c r="K86" i="19" s="1"/>
  <c r="M58" i="19"/>
  <c r="B54" i="41" l="1"/>
  <c r="B53" i="41"/>
  <c r="B43" i="41"/>
  <c r="B42" i="41"/>
  <c r="B32" i="41"/>
  <c r="B31" i="41"/>
  <c r="S114" i="66"/>
  <c r="R114" i="66"/>
  <c r="O114" i="66"/>
  <c r="T114" i="66" s="1"/>
  <c r="N114" i="66"/>
  <c r="L114" i="66"/>
  <c r="J114" i="66"/>
  <c r="S113" i="66"/>
  <c r="R113" i="66"/>
  <c r="O113" i="66"/>
  <c r="T113" i="66" s="1"/>
  <c r="N113" i="66"/>
  <c r="L113" i="66"/>
  <c r="J113" i="66"/>
  <c r="S112" i="66"/>
  <c r="R112" i="66"/>
  <c r="O112" i="66"/>
  <c r="T112" i="66" s="1"/>
  <c r="N112" i="66"/>
  <c r="L112" i="66"/>
  <c r="J112" i="66"/>
  <c r="S111" i="66"/>
  <c r="R111" i="66"/>
  <c r="O111" i="66"/>
  <c r="T111" i="66" s="1"/>
  <c r="N111" i="66"/>
  <c r="L111" i="66"/>
  <c r="J111" i="66"/>
  <c r="S110" i="66"/>
  <c r="R110" i="66"/>
  <c r="O110" i="66"/>
  <c r="T110" i="66" s="1"/>
  <c r="N110" i="66"/>
  <c r="L110" i="66"/>
  <c r="J110" i="66"/>
  <c r="S109" i="66"/>
  <c r="R109" i="66"/>
  <c r="O109" i="66"/>
  <c r="T109" i="66" s="1"/>
  <c r="N109" i="66"/>
  <c r="L109" i="66"/>
  <c r="J109" i="66"/>
  <c r="S108" i="66"/>
  <c r="R108" i="66"/>
  <c r="O108" i="66"/>
  <c r="T108" i="66" s="1"/>
  <c r="N108" i="66"/>
  <c r="L108" i="66"/>
  <c r="J108" i="66"/>
  <c r="S107" i="66"/>
  <c r="R107" i="66"/>
  <c r="O107" i="66"/>
  <c r="T107" i="66" s="1"/>
  <c r="N107" i="66"/>
  <c r="L107" i="66"/>
  <c r="J107" i="66"/>
  <c r="S106" i="66"/>
  <c r="R106" i="66"/>
  <c r="O106" i="66"/>
  <c r="T106" i="66" s="1"/>
  <c r="N106" i="66"/>
  <c r="L106" i="66"/>
  <c r="J106" i="66"/>
  <c r="S105" i="66"/>
  <c r="R105" i="66"/>
  <c r="O105" i="66"/>
  <c r="T105" i="66" s="1"/>
  <c r="N105" i="66"/>
  <c r="L105" i="66"/>
  <c r="J105" i="66"/>
  <c r="S104" i="66"/>
  <c r="R104" i="66"/>
  <c r="O104" i="66"/>
  <c r="T104" i="66" s="1"/>
  <c r="N104" i="66"/>
  <c r="L104" i="66"/>
  <c r="J104" i="66"/>
  <c r="S103" i="66"/>
  <c r="R103" i="66"/>
  <c r="O103" i="66"/>
  <c r="T103" i="66" s="1"/>
  <c r="N103" i="66"/>
  <c r="L103" i="66"/>
  <c r="J103" i="66"/>
  <c r="S102" i="66"/>
  <c r="R102" i="66"/>
  <c r="O102" i="66"/>
  <c r="T102" i="66" s="1"/>
  <c r="N102" i="66"/>
  <c r="L102" i="66"/>
  <c r="J102" i="66"/>
  <c r="S101" i="66"/>
  <c r="R101" i="66"/>
  <c r="O101" i="66"/>
  <c r="T101" i="66" s="1"/>
  <c r="N101" i="66"/>
  <c r="L101" i="66"/>
  <c r="J101" i="66"/>
  <c r="S100" i="66"/>
  <c r="R100" i="66"/>
  <c r="O100" i="66"/>
  <c r="T100" i="66" s="1"/>
  <c r="N100" i="66"/>
  <c r="L100" i="66"/>
  <c r="J100" i="66"/>
  <c r="S99" i="66"/>
  <c r="R99" i="66"/>
  <c r="O99" i="66"/>
  <c r="T99" i="66" s="1"/>
  <c r="N99" i="66"/>
  <c r="L99" i="66"/>
  <c r="J99" i="66"/>
  <c r="S98" i="66"/>
  <c r="R98" i="66"/>
  <c r="O98" i="66"/>
  <c r="T98" i="66" s="1"/>
  <c r="N98" i="66"/>
  <c r="L98" i="66"/>
  <c r="J98" i="66"/>
  <c r="S97" i="66"/>
  <c r="R97" i="66"/>
  <c r="O97" i="66"/>
  <c r="T97" i="66" s="1"/>
  <c r="N97" i="66"/>
  <c r="L97" i="66"/>
  <c r="J97" i="66"/>
  <c r="S96" i="66"/>
  <c r="R96" i="66"/>
  <c r="O96" i="66"/>
  <c r="T96" i="66" s="1"/>
  <c r="N96" i="66"/>
  <c r="L96" i="66"/>
  <c r="J96" i="66"/>
  <c r="S95" i="66"/>
  <c r="R95" i="66"/>
  <c r="O95" i="66"/>
  <c r="T95" i="66" s="1"/>
  <c r="N95" i="66"/>
  <c r="L95" i="66"/>
  <c r="J95" i="66"/>
  <c r="S92" i="66"/>
  <c r="R92" i="66"/>
  <c r="O92" i="66"/>
  <c r="T92" i="66" s="1"/>
  <c r="N92" i="66"/>
  <c r="L92" i="66"/>
  <c r="J92" i="66"/>
  <c r="S91" i="66"/>
  <c r="R91" i="66"/>
  <c r="O91" i="66"/>
  <c r="T91" i="66" s="1"/>
  <c r="N91" i="66"/>
  <c r="L91" i="66"/>
  <c r="J91" i="66"/>
  <c r="S90" i="66"/>
  <c r="R90" i="66"/>
  <c r="O90" i="66"/>
  <c r="T90" i="66" s="1"/>
  <c r="N90" i="66"/>
  <c r="L90" i="66"/>
  <c r="J90" i="66"/>
  <c r="S89" i="66"/>
  <c r="R89" i="66"/>
  <c r="O89" i="66"/>
  <c r="T89" i="66" s="1"/>
  <c r="N89" i="66"/>
  <c r="L89" i="66"/>
  <c r="J89" i="66"/>
  <c r="S88" i="66"/>
  <c r="R88" i="66"/>
  <c r="O88" i="66"/>
  <c r="P88" i="66" s="1"/>
  <c r="N88" i="66"/>
  <c r="L88" i="66"/>
  <c r="J88" i="66"/>
  <c r="S87" i="66"/>
  <c r="R87" i="66"/>
  <c r="O87" i="66"/>
  <c r="T87" i="66" s="1"/>
  <c r="N87" i="66"/>
  <c r="L87" i="66"/>
  <c r="J87" i="66"/>
  <c r="S86" i="66"/>
  <c r="R86" i="66"/>
  <c r="O86" i="66"/>
  <c r="T86" i="66" s="1"/>
  <c r="N86" i="66"/>
  <c r="L86" i="66"/>
  <c r="J86" i="66"/>
  <c r="S85" i="66"/>
  <c r="R85" i="66"/>
  <c r="O85" i="66"/>
  <c r="T85" i="66" s="1"/>
  <c r="N85" i="66"/>
  <c r="L85" i="66"/>
  <c r="J85" i="66"/>
  <c r="S84" i="66"/>
  <c r="R84" i="66"/>
  <c r="O84" i="66"/>
  <c r="T84" i="66" s="1"/>
  <c r="N84" i="66"/>
  <c r="L84" i="66"/>
  <c r="J84" i="66"/>
  <c r="S83" i="66"/>
  <c r="R83" i="66"/>
  <c r="O83" i="66"/>
  <c r="T83" i="66" s="1"/>
  <c r="N83" i="66"/>
  <c r="L83" i="66"/>
  <c r="J83" i="66"/>
  <c r="S82" i="66"/>
  <c r="R82" i="66"/>
  <c r="O82" i="66"/>
  <c r="T82" i="66" s="1"/>
  <c r="N82" i="66"/>
  <c r="L82" i="66"/>
  <c r="J82" i="66"/>
  <c r="S81" i="66"/>
  <c r="R81" i="66"/>
  <c r="O81" i="66"/>
  <c r="T81" i="66" s="1"/>
  <c r="N81" i="66"/>
  <c r="L81" i="66"/>
  <c r="J81" i="66"/>
  <c r="S80" i="66"/>
  <c r="R80" i="66"/>
  <c r="O80" i="66"/>
  <c r="P80" i="66" s="1"/>
  <c r="N80" i="66"/>
  <c r="L80" i="66"/>
  <c r="J80" i="66"/>
  <c r="S79" i="66"/>
  <c r="R79" i="66"/>
  <c r="O79" i="66"/>
  <c r="T79" i="66" s="1"/>
  <c r="N79" i="66"/>
  <c r="L79" i="66"/>
  <c r="J79" i="66"/>
  <c r="S78" i="66"/>
  <c r="R78" i="66"/>
  <c r="O78" i="66"/>
  <c r="T78" i="66" s="1"/>
  <c r="N78" i="66"/>
  <c r="L78" i="66"/>
  <c r="J78" i="66"/>
  <c r="S77" i="66"/>
  <c r="R77" i="66"/>
  <c r="O77" i="66"/>
  <c r="T77" i="66" s="1"/>
  <c r="N77" i="66"/>
  <c r="L77" i="66"/>
  <c r="J77" i="66"/>
  <c r="S76" i="66"/>
  <c r="R76" i="66"/>
  <c r="O76" i="66"/>
  <c r="T76" i="66" s="1"/>
  <c r="N76" i="66"/>
  <c r="L76" i="66"/>
  <c r="J76" i="66"/>
  <c r="S75" i="66"/>
  <c r="R75" i="66"/>
  <c r="O75" i="66"/>
  <c r="T75" i="66" s="1"/>
  <c r="N75" i="66"/>
  <c r="L75" i="66"/>
  <c r="J75" i="66"/>
  <c r="S74" i="66"/>
  <c r="R74" i="66"/>
  <c r="O74" i="66"/>
  <c r="P74" i="66" s="1"/>
  <c r="N74" i="66"/>
  <c r="L74" i="66"/>
  <c r="J74" i="66"/>
  <c r="S73" i="66"/>
  <c r="R73" i="66"/>
  <c r="O73" i="66"/>
  <c r="T73" i="66" s="1"/>
  <c r="N73" i="66"/>
  <c r="L73" i="66"/>
  <c r="J73" i="66"/>
  <c r="S70" i="66"/>
  <c r="R70" i="66"/>
  <c r="P70" i="66"/>
  <c r="O70" i="66"/>
  <c r="T70" i="66" s="1"/>
  <c r="N70" i="66"/>
  <c r="L70" i="66"/>
  <c r="J70" i="66"/>
  <c r="S69" i="66"/>
  <c r="R69" i="66"/>
  <c r="O69" i="66"/>
  <c r="T69" i="66" s="1"/>
  <c r="N69" i="66"/>
  <c r="L69" i="66"/>
  <c r="J69" i="66"/>
  <c r="S68" i="66"/>
  <c r="R68" i="66"/>
  <c r="P68" i="66"/>
  <c r="O68" i="66"/>
  <c r="T68" i="66" s="1"/>
  <c r="N68" i="66"/>
  <c r="L68" i="66"/>
  <c r="J68" i="66"/>
  <c r="S67" i="66"/>
  <c r="R67" i="66"/>
  <c r="O67" i="66"/>
  <c r="T67" i="66" s="1"/>
  <c r="N67" i="66"/>
  <c r="L67" i="66"/>
  <c r="J67" i="66"/>
  <c r="S66" i="66"/>
  <c r="R66" i="66"/>
  <c r="P66" i="66"/>
  <c r="O66" i="66"/>
  <c r="T66" i="66" s="1"/>
  <c r="N66" i="66"/>
  <c r="L66" i="66"/>
  <c r="J66" i="66"/>
  <c r="S65" i="66"/>
  <c r="R65" i="66"/>
  <c r="O65" i="66"/>
  <c r="T65" i="66" s="1"/>
  <c r="N65" i="66"/>
  <c r="L65" i="66"/>
  <c r="J65" i="66"/>
  <c r="S64" i="66"/>
  <c r="R64" i="66"/>
  <c r="P64" i="66"/>
  <c r="O64" i="66"/>
  <c r="T64" i="66" s="1"/>
  <c r="N64" i="66"/>
  <c r="L64" i="66"/>
  <c r="J64" i="66"/>
  <c r="S63" i="66"/>
  <c r="R63" i="66"/>
  <c r="O63" i="66"/>
  <c r="T63" i="66" s="1"/>
  <c r="N63" i="66"/>
  <c r="L63" i="66"/>
  <c r="J63" i="66"/>
  <c r="S62" i="66"/>
  <c r="R62" i="66"/>
  <c r="P62" i="66"/>
  <c r="O62" i="66"/>
  <c r="T62" i="66" s="1"/>
  <c r="N62" i="66"/>
  <c r="L62" i="66"/>
  <c r="J62" i="66"/>
  <c r="S61" i="66"/>
  <c r="R61" i="66"/>
  <c r="O61" i="66"/>
  <c r="T61" i="66" s="1"/>
  <c r="N61" i="66"/>
  <c r="L61" i="66"/>
  <c r="J61" i="66"/>
  <c r="S60" i="66"/>
  <c r="R60" i="66"/>
  <c r="P60" i="66"/>
  <c r="O60" i="66"/>
  <c r="T60" i="66" s="1"/>
  <c r="N60" i="66"/>
  <c r="L60" i="66"/>
  <c r="J60" i="66"/>
  <c r="S59" i="66"/>
  <c r="R59" i="66"/>
  <c r="O59" i="66"/>
  <c r="T59" i="66" s="1"/>
  <c r="N59" i="66"/>
  <c r="L59" i="66"/>
  <c r="J59" i="66"/>
  <c r="S58" i="66"/>
  <c r="R58" i="66"/>
  <c r="P58" i="66"/>
  <c r="O58" i="66"/>
  <c r="T58" i="66" s="1"/>
  <c r="N58" i="66"/>
  <c r="L58" i="66"/>
  <c r="J58" i="66"/>
  <c r="S57" i="66"/>
  <c r="R57" i="66"/>
  <c r="O57" i="66"/>
  <c r="T57" i="66" s="1"/>
  <c r="N57" i="66"/>
  <c r="L57" i="66"/>
  <c r="J57" i="66"/>
  <c r="S56" i="66"/>
  <c r="R56" i="66"/>
  <c r="P56" i="66"/>
  <c r="O56" i="66"/>
  <c r="T56" i="66" s="1"/>
  <c r="N56" i="66"/>
  <c r="L56" i="66"/>
  <c r="J56" i="66"/>
  <c r="S55" i="66"/>
  <c r="R55" i="66"/>
  <c r="O55" i="66"/>
  <c r="T55" i="66" s="1"/>
  <c r="N55" i="66"/>
  <c r="L55" i="66"/>
  <c r="J55" i="66"/>
  <c r="S54" i="66"/>
  <c r="R54" i="66"/>
  <c r="P54" i="66"/>
  <c r="O54" i="66"/>
  <c r="T54" i="66" s="1"/>
  <c r="N54" i="66"/>
  <c r="L54" i="66"/>
  <c r="J54" i="66"/>
  <c r="S53" i="66"/>
  <c r="R53" i="66"/>
  <c r="O53" i="66"/>
  <c r="T53" i="66" s="1"/>
  <c r="N53" i="66"/>
  <c r="L53" i="66"/>
  <c r="J53" i="66"/>
  <c r="S52" i="66"/>
  <c r="R52" i="66"/>
  <c r="P52" i="66"/>
  <c r="O52" i="66"/>
  <c r="T52" i="66" s="1"/>
  <c r="N52" i="66"/>
  <c r="L52" i="66"/>
  <c r="J52" i="66"/>
  <c r="S51" i="66"/>
  <c r="R51" i="66"/>
  <c r="O51" i="66"/>
  <c r="T51" i="66" s="1"/>
  <c r="N51" i="66"/>
  <c r="L51" i="66"/>
  <c r="J51" i="66"/>
  <c r="S26" i="66"/>
  <c r="R26" i="66"/>
  <c r="O26" i="66"/>
  <c r="T26" i="66" s="1"/>
  <c r="U26" i="66" s="1"/>
  <c r="N26" i="66"/>
  <c r="L26" i="66"/>
  <c r="J26" i="66"/>
  <c r="S25" i="66"/>
  <c r="R25" i="66"/>
  <c r="O25" i="66"/>
  <c r="T25" i="66" s="1"/>
  <c r="U25" i="66" s="1"/>
  <c r="N25" i="66"/>
  <c r="L25" i="66"/>
  <c r="J25" i="66"/>
  <c r="S24" i="66"/>
  <c r="R24" i="66"/>
  <c r="O24" i="66"/>
  <c r="P24" i="66" s="1"/>
  <c r="N24" i="66"/>
  <c r="L24" i="66"/>
  <c r="J24" i="66"/>
  <c r="T23" i="66"/>
  <c r="U23" i="66" s="1"/>
  <c r="S23" i="66"/>
  <c r="R23" i="66"/>
  <c r="O23" i="66"/>
  <c r="P23" i="66" s="1"/>
  <c r="N23" i="66"/>
  <c r="L23" i="66"/>
  <c r="J23" i="66"/>
  <c r="U22" i="66"/>
  <c r="T22" i="66"/>
  <c r="S22" i="66"/>
  <c r="R22" i="66"/>
  <c r="O22" i="66"/>
  <c r="P22" i="66" s="1"/>
  <c r="N22" i="66"/>
  <c r="L22" i="66"/>
  <c r="J22" i="66"/>
  <c r="T21" i="66"/>
  <c r="U21" i="66" s="1"/>
  <c r="S21" i="66"/>
  <c r="R21" i="66"/>
  <c r="P21" i="66"/>
  <c r="O21" i="66"/>
  <c r="N21" i="66"/>
  <c r="L21" i="66"/>
  <c r="J21" i="66"/>
  <c r="U20" i="66"/>
  <c r="T20" i="66"/>
  <c r="S20" i="66"/>
  <c r="R20" i="66"/>
  <c r="P20" i="66"/>
  <c r="O20" i="66"/>
  <c r="N20" i="66"/>
  <c r="L20" i="66"/>
  <c r="J20" i="66"/>
  <c r="S19" i="66"/>
  <c r="R19" i="66"/>
  <c r="O19" i="66"/>
  <c r="T19" i="66" s="1"/>
  <c r="U19" i="66" s="1"/>
  <c r="N19" i="66"/>
  <c r="L19" i="66"/>
  <c r="J19" i="66"/>
  <c r="T18" i="66"/>
  <c r="U18" i="66" s="1"/>
  <c r="S18" i="66"/>
  <c r="R18" i="66"/>
  <c r="P18" i="66"/>
  <c r="O18" i="66"/>
  <c r="N18" i="66"/>
  <c r="L18" i="66"/>
  <c r="J18" i="66"/>
  <c r="S17" i="66"/>
  <c r="R17" i="66"/>
  <c r="O17" i="66"/>
  <c r="T17" i="66" s="1"/>
  <c r="U17" i="66" s="1"/>
  <c r="N17" i="66"/>
  <c r="L17" i="66"/>
  <c r="J17" i="66"/>
  <c r="S16" i="66"/>
  <c r="R16" i="66"/>
  <c r="P16" i="66"/>
  <c r="O16" i="66"/>
  <c r="T16" i="66" s="1"/>
  <c r="U16" i="66" s="1"/>
  <c r="N16" i="66"/>
  <c r="L16" i="66"/>
  <c r="J16" i="66"/>
  <c r="S15" i="66"/>
  <c r="R15" i="66"/>
  <c r="O15" i="66"/>
  <c r="T15" i="66" s="1"/>
  <c r="U15" i="66" s="1"/>
  <c r="N15" i="66"/>
  <c r="L15" i="66"/>
  <c r="J15" i="66"/>
  <c r="S14" i="66"/>
  <c r="R14" i="66"/>
  <c r="O14" i="66"/>
  <c r="T14" i="66" s="1"/>
  <c r="U14" i="66" s="1"/>
  <c r="N14" i="66"/>
  <c r="L14" i="66"/>
  <c r="J14" i="66"/>
  <c r="T13" i="66"/>
  <c r="U13" i="66" s="1"/>
  <c r="S13" i="66"/>
  <c r="R13" i="66"/>
  <c r="O13" i="66"/>
  <c r="P13" i="66" s="1"/>
  <c r="N13" i="66"/>
  <c r="L13" i="66"/>
  <c r="J13" i="66"/>
  <c r="S12" i="66"/>
  <c r="R12" i="66"/>
  <c r="O12" i="66"/>
  <c r="T12" i="66" s="1"/>
  <c r="U12" i="66" s="1"/>
  <c r="N12" i="66"/>
  <c r="L12" i="66"/>
  <c r="J12" i="66"/>
  <c r="U11" i="66"/>
  <c r="T11" i="66"/>
  <c r="S11" i="66"/>
  <c r="R11" i="66"/>
  <c r="P11" i="66"/>
  <c r="O11" i="66"/>
  <c r="N11" i="66"/>
  <c r="L11" i="66"/>
  <c r="J11" i="66"/>
  <c r="S10" i="66"/>
  <c r="R10" i="66"/>
  <c r="P10" i="66"/>
  <c r="O10" i="66"/>
  <c r="T10" i="66" s="1"/>
  <c r="U10" i="66" s="1"/>
  <c r="N10" i="66"/>
  <c r="L10" i="66"/>
  <c r="J10" i="66"/>
  <c r="T9" i="66"/>
  <c r="U9" i="66" s="1"/>
  <c r="S9" i="66"/>
  <c r="R9" i="66"/>
  <c r="O9" i="66"/>
  <c r="P9" i="66" s="1"/>
  <c r="N9" i="66"/>
  <c r="L9" i="66"/>
  <c r="J9" i="66"/>
  <c r="T8" i="66"/>
  <c r="U8" i="66" s="1"/>
  <c r="S8" i="66"/>
  <c r="R8" i="66"/>
  <c r="P8" i="66"/>
  <c r="O8" i="66"/>
  <c r="N8" i="66"/>
  <c r="L8" i="66"/>
  <c r="J8" i="66"/>
  <c r="S7" i="66"/>
  <c r="R7" i="66"/>
  <c r="P7" i="66"/>
  <c r="O7" i="66"/>
  <c r="T7" i="66" s="1"/>
  <c r="U7" i="66" s="1"/>
  <c r="N7" i="66"/>
  <c r="L7" i="66"/>
  <c r="J7" i="66"/>
  <c r="R114" i="63"/>
  <c r="O114" i="63"/>
  <c r="S114" i="63" s="1"/>
  <c r="N114" i="63"/>
  <c r="L114" i="63"/>
  <c r="J114" i="63"/>
  <c r="F114" i="63"/>
  <c r="R113" i="63"/>
  <c r="O113" i="63"/>
  <c r="S113" i="63" s="1"/>
  <c r="N113" i="63"/>
  <c r="L113" i="63"/>
  <c r="J113" i="63"/>
  <c r="F113" i="63"/>
  <c r="R112" i="63"/>
  <c r="O112" i="63"/>
  <c r="S112" i="63" s="1"/>
  <c r="N112" i="63"/>
  <c r="L112" i="63"/>
  <c r="J112" i="63"/>
  <c r="F112" i="63"/>
  <c r="R111" i="63"/>
  <c r="O111" i="63"/>
  <c r="S111" i="63" s="1"/>
  <c r="N111" i="63"/>
  <c r="L111" i="63"/>
  <c r="J111" i="63"/>
  <c r="F111" i="63"/>
  <c r="R110" i="63"/>
  <c r="O110" i="63"/>
  <c r="S110" i="63" s="1"/>
  <c r="N110" i="63"/>
  <c r="L110" i="63"/>
  <c r="J110" i="63"/>
  <c r="F110" i="63"/>
  <c r="R109" i="63"/>
  <c r="O109" i="63"/>
  <c r="S109" i="63" s="1"/>
  <c r="N109" i="63"/>
  <c r="L109" i="63"/>
  <c r="J109" i="63"/>
  <c r="F109" i="63"/>
  <c r="R108" i="63"/>
  <c r="O108" i="63"/>
  <c r="S108" i="63" s="1"/>
  <c r="N108" i="63"/>
  <c r="L108" i="63"/>
  <c r="J108" i="63"/>
  <c r="F108" i="63"/>
  <c r="R107" i="63"/>
  <c r="O107" i="63"/>
  <c r="S107" i="63" s="1"/>
  <c r="N107" i="63"/>
  <c r="L107" i="63"/>
  <c r="J107" i="63"/>
  <c r="F107" i="63"/>
  <c r="R106" i="63"/>
  <c r="O106" i="63"/>
  <c r="S106" i="63" s="1"/>
  <c r="N106" i="63"/>
  <c r="L106" i="63"/>
  <c r="J106" i="63"/>
  <c r="F106" i="63"/>
  <c r="R105" i="63"/>
  <c r="O105" i="63"/>
  <c r="S105" i="63" s="1"/>
  <c r="N105" i="63"/>
  <c r="L105" i="63"/>
  <c r="J105" i="63"/>
  <c r="F105" i="63"/>
  <c r="R104" i="63"/>
  <c r="O104" i="63"/>
  <c r="S104" i="63" s="1"/>
  <c r="N104" i="63"/>
  <c r="L104" i="63"/>
  <c r="J104" i="63"/>
  <c r="F104" i="63"/>
  <c r="R103" i="63"/>
  <c r="O103" i="63"/>
  <c r="S103" i="63" s="1"/>
  <c r="N103" i="63"/>
  <c r="L103" i="63"/>
  <c r="J103" i="63"/>
  <c r="F103" i="63"/>
  <c r="R102" i="63"/>
  <c r="O102" i="63"/>
  <c r="S102" i="63" s="1"/>
  <c r="N102" i="63"/>
  <c r="L102" i="63"/>
  <c r="J102" i="63"/>
  <c r="F102" i="63"/>
  <c r="R101" i="63"/>
  <c r="O101" i="63"/>
  <c r="S101" i="63" s="1"/>
  <c r="N101" i="63"/>
  <c r="L101" i="63"/>
  <c r="J101" i="63"/>
  <c r="F101" i="63"/>
  <c r="R100" i="63"/>
  <c r="O100" i="63"/>
  <c r="S100" i="63" s="1"/>
  <c r="N100" i="63"/>
  <c r="L100" i="63"/>
  <c r="J100" i="63"/>
  <c r="F100" i="63"/>
  <c r="R99" i="63"/>
  <c r="O99" i="63"/>
  <c r="S99" i="63" s="1"/>
  <c r="N99" i="63"/>
  <c r="L99" i="63"/>
  <c r="J99" i="63"/>
  <c r="F99" i="63"/>
  <c r="R98" i="63"/>
  <c r="O98" i="63"/>
  <c r="S98" i="63" s="1"/>
  <c r="N98" i="63"/>
  <c r="L98" i="63"/>
  <c r="J98" i="63"/>
  <c r="F98" i="63"/>
  <c r="R97" i="63"/>
  <c r="O97" i="63"/>
  <c r="S97" i="63" s="1"/>
  <c r="N97" i="63"/>
  <c r="L97" i="63"/>
  <c r="J97" i="63"/>
  <c r="F97" i="63"/>
  <c r="R96" i="63"/>
  <c r="O96" i="63"/>
  <c r="S96" i="63" s="1"/>
  <c r="N96" i="63"/>
  <c r="L96" i="63"/>
  <c r="J96" i="63"/>
  <c r="F96" i="63"/>
  <c r="R95" i="63"/>
  <c r="O95" i="63"/>
  <c r="S95" i="63" s="1"/>
  <c r="N95" i="63"/>
  <c r="L95" i="63"/>
  <c r="J95" i="63"/>
  <c r="F95" i="63"/>
  <c r="S92" i="63"/>
  <c r="U92" i="63" s="1"/>
  <c r="R92" i="63"/>
  <c r="O92" i="63"/>
  <c r="P92" i="63" s="1"/>
  <c r="N92" i="63"/>
  <c r="L92" i="63"/>
  <c r="J92" i="63"/>
  <c r="F92" i="63"/>
  <c r="S91" i="63"/>
  <c r="U91" i="63" s="1"/>
  <c r="R91" i="63"/>
  <c r="P91" i="63"/>
  <c r="O91" i="63"/>
  <c r="N91" i="63"/>
  <c r="L91" i="63"/>
  <c r="J91" i="63"/>
  <c r="F91" i="63"/>
  <c r="S90" i="63"/>
  <c r="U90" i="63" s="1"/>
  <c r="R90" i="63"/>
  <c r="O90" i="63"/>
  <c r="P90" i="63" s="1"/>
  <c r="N90" i="63"/>
  <c r="L90" i="63"/>
  <c r="J90" i="63"/>
  <c r="F90" i="63"/>
  <c r="S89" i="63"/>
  <c r="U89" i="63" s="1"/>
  <c r="R89" i="63"/>
  <c r="P89" i="63"/>
  <c r="O89" i="63"/>
  <c r="N89" i="63"/>
  <c r="L89" i="63"/>
  <c r="J89" i="63"/>
  <c r="F89" i="63"/>
  <c r="S88" i="63"/>
  <c r="U88" i="63" s="1"/>
  <c r="R88" i="63"/>
  <c r="O88" i="63"/>
  <c r="P88" i="63" s="1"/>
  <c r="N88" i="63"/>
  <c r="L88" i="63"/>
  <c r="J88" i="63"/>
  <c r="F88" i="63"/>
  <c r="S87" i="63"/>
  <c r="U87" i="63" s="1"/>
  <c r="R87" i="63"/>
  <c r="P87" i="63"/>
  <c r="O87" i="63"/>
  <c r="N87" i="63"/>
  <c r="L87" i="63"/>
  <c r="J87" i="63"/>
  <c r="F87" i="63"/>
  <c r="S86" i="63"/>
  <c r="U86" i="63" s="1"/>
  <c r="R86" i="63"/>
  <c r="O86" i="63"/>
  <c r="P86" i="63" s="1"/>
  <c r="N86" i="63"/>
  <c r="L86" i="63"/>
  <c r="J86" i="63"/>
  <c r="F86" i="63"/>
  <c r="S85" i="63"/>
  <c r="U85" i="63" s="1"/>
  <c r="R85" i="63"/>
  <c r="P85" i="63"/>
  <c r="O85" i="63"/>
  <c r="N85" i="63"/>
  <c r="L85" i="63"/>
  <c r="J85" i="63"/>
  <c r="F85" i="63"/>
  <c r="S84" i="63"/>
  <c r="U84" i="63" s="1"/>
  <c r="R84" i="63"/>
  <c r="O84" i="63"/>
  <c r="P84" i="63" s="1"/>
  <c r="N84" i="63"/>
  <c r="L84" i="63"/>
  <c r="J84" i="63"/>
  <c r="F84" i="63"/>
  <c r="S83" i="63"/>
  <c r="U83" i="63" s="1"/>
  <c r="R83" i="63"/>
  <c r="P83" i="63"/>
  <c r="O83" i="63"/>
  <c r="N83" i="63"/>
  <c r="L83" i="63"/>
  <c r="J83" i="63"/>
  <c r="F83" i="63"/>
  <c r="S82" i="63"/>
  <c r="U82" i="63" s="1"/>
  <c r="R82" i="63"/>
  <c r="O82" i="63"/>
  <c r="P82" i="63" s="1"/>
  <c r="N82" i="63"/>
  <c r="L82" i="63"/>
  <c r="J82" i="63"/>
  <c r="F82" i="63"/>
  <c r="S81" i="63"/>
  <c r="U81" i="63" s="1"/>
  <c r="R81" i="63"/>
  <c r="P81" i="63"/>
  <c r="O81" i="63"/>
  <c r="N81" i="63"/>
  <c r="L81" i="63"/>
  <c r="J81" i="63"/>
  <c r="F81" i="63"/>
  <c r="S80" i="63"/>
  <c r="U80" i="63" s="1"/>
  <c r="R80" i="63"/>
  <c r="O80" i="63"/>
  <c r="P80" i="63" s="1"/>
  <c r="N80" i="63"/>
  <c r="L80" i="63"/>
  <c r="J80" i="63"/>
  <c r="F80" i="63"/>
  <c r="S79" i="63"/>
  <c r="U79" i="63" s="1"/>
  <c r="R79" i="63"/>
  <c r="P79" i="63"/>
  <c r="O79" i="63"/>
  <c r="N79" i="63"/>
  <c r="L79" i="63"/>
  <c r="J79" i="63"/>
  <c r="F79" i="63"/>
  <c r="S78" i="63"/>
  <c r="U78" i="63" s="1"/>
  <c r="R78" i="63"/>
  <c r="O78" i="63"/>
  <c r="P78" i="63" s="1"/>
  <c r="N78" i="63"/>
  <c r="L78" i="63"/>
  <c r="J78" i="63"/>
  <c r="F78" i="63"/>
  <c r="S77" i="63"/>
  <c r="U77" i="63" s="1"/>
  <c r="R77" i="63"/>
  <c r="P77" i="63"/>
  <c r="O77" i="63"/>
  <c r="N77" i="63"/>
  <c r="L77" i="63"/>
  <c r="J77" i="63"/>
  <c r="F77" i="63"/>
  <c r="S76" i="63"/>
  <c r="U76" i="63" s="1"/>
  <c r="R76" i="63"/>
  <c r="O76" i="63"/>
  <c r="P76" i="63" s="1"/>
  <c r="N76" i="63"/>
  <c r="L76" i="63"/>
  <c r="J76" i="63"/>
  <c r="F76" i="63"/>
  <c r="S75" i="63"/>
  <c r="U75" i="63" s="1"/>
  <c r="R75" i="63"/>
  <c r="P75" i="63"/>
  <c r="O75" i="63"/>
  <c r="N75" i="63"/>
  <c r="L75" i="63"/>
  <c r="J75" i="63"/>
  <c r="F75" i="63"/>
  <c r="S74" i="63"/>
  <c r="U74" i="63" s="1"/>
  <c r="R74" i="63"/>
  <c r="O74" i="63"/>
  <c r="P74" i="63" s="1"/>
  <c r="N74" i="63"/>
  <c r="L74" i="63"/>
  <c r="J74" i="63"/>
  <c r="F74" i="63"/>
  <c r="S73" i="63"/>
  <c r="U73" i="63" s="1"/>
  <c r="R73" i="63"/>
  <c r="P73" i="63"/>
  <c r="O73" i="63"/>
  <c r="N73" i="63"/>
  <c r="L73" i="63"/>
  <c r="J73" i="63"/>
  <c r="F73" i="63"/>
  <c r="R70" i="63"/>
  <c r="O70" i="63"/>
  <c r="S70" i="63" s="1"/>
  <c r="N70" i="63"/>
  <c r="L70" i="63"/>
  <c r="J70" i="63"/>
  <c r="F70" i="63"/>
  <c r="S69" i="63"/>
  <c r="U69" i="63" s="1"/>
  <c r="R69" i="63"/>
  <c r="P69" i="63"/>
  <c r="O69" i="63"/>
  <c r="N69" i="63"/>
  <c r="L69" i="63"/>
  <c r="J69" i="63"/>
  <c r="F69" i="63"/>
  <c r="R68" i="63"/>
  <c r="O68" i="63"/>
  <c r="S68" i="63" s="1"/>
  <c r="N68" i="63"/>
  <c r="L68" i="63"/>
  <c r="J68" i="63"/>
  <c r="F68" i="63"/>
  <c r="S67" i="63"/>
  <c r="U67" i="63" s="1"/>
  <c r="R67" i="63"/>
  <c r="P67" i="63"/>
  <c r="O67" i="63"/>
  <c r="N67" i="63"/>
  <c r="L67" i="63"/>
  <c r="J67" i="63"/>
  <c r="F67" i="63"/>
  <c r="R66" i="63"/>
  <c r="O66" i="63"/>
  <c r="S66" i="63" s="1"/>
  <c r="N66" i="63"/>
  <c r="L66" i="63"/>
  <c r="J66" i="63"/>
  <c r="F66" i="63"/>
  <c r="S65" i="63"/>
  <c r="U65" i="63" s="1"/>
  <c r="R65" i="63"/>
  <c r="P65" i="63"/>
  <c r="O65" i="63"/>
  <c r="N65" i="63"/>
  <c r="L65" i="63"/>
  <c r="J65" i="63"/>
  <c r="F65" i="63"/>
  <c r="R64" i="63"/>
  <c r="O64" i="63"/>
  <c r="S64" i="63" s="1"/>
  <c r="N64" i="63"/>
  <c r="L64" i="63"/>
  <c r="J64" i="63"/>
  <c r="F64" i="63"/>
  <c r="S63" i="63"/>
  <c r="U63" i="63" s="1"/>
  <c r="R63" i="63"/>
  <c r="P63" i="63"/>
  <c r="O63" i="63"/>
  <c r="N63" i="63"/>
  <c r="L63" i="63"/>
  <c r="J63" i="63"/>
  <c r="F63" i="63"/>
  <c r="R62" i="63"/>
  <c r="O62" i="63"/>
  <c r="S62" i="63" s="1"/>
  <c r="N62" i="63"/>
  <c r="L62" i="63"/>
  <c r="J62" i="63"/>
  <c r="F62" i="63"/>
  <c r="S61" i="63"/>
  <c r="U61" i="63" s="1"/>
  <c r="R61" i="63"/>
  <c r="P61" i="63"/>
  <c r="O61" i="63"/>
  <c r="N61" i="63"/>
  <c r="L61" i="63"/>
  <c r="J61" i="63"/>
  <c r="F61" i="63"/>
  <c r="R60" i="63"/>
  <c r="O60" i="63"/>
  <c r="S60" i="63" s="1"/>
  <c r="N60" i="63"/>
  <c r="L60" i="63"/>
  <c r="J60" i="63"/>
  <c r="F60" i="63"/>
  <c r="S59" i="63"/>
  <c r="U59" i="63" s="1"/>
  <c r="R59" i="63"/>
  <c r="P59" i="63"/>
  <c r="O59" i="63"/>
  <c r="N59" i="63"/>
  <c r="L59" i="63"/>
  <c r="J59" i="63"/>
  <c r="F59" i="63"/>
  <c r="R58" i="63"/>
  <c r="O58" i="63"/>
  <c r="S58" i="63" s="1"/>
  <c r="N58" i="63"/>
  <c r="L58" i="63"/>
  <c r="J58" i="63"/>
  <c r="F58" i="63"/>
  <c r="S57" i="63"/>
  <c r="U57" i="63" s="1"/>
  <c r="R57" i="63"/>
  <c r="P57" i="63"/>
  <c r="O57" i="63"/>
  <c r="N57" i="63"/>
  <c r="L57" i="63"/>
  <c r="J57" i="63"/>
  <c r="F57" i="63"/>
  <c r="R56" i="63"/>
  <c r="O56" i="63"/>
  <c r="S56" i="63" s="1"/>
  <c r="N56" i="63"/>
  <c r="L56" i="63"/>
  <c r="J56" i="63"/>
  <c r="F56" i="63"/>
  <c r="S55" i="63"/>
  <c r="U55" i="63" s="1"/>
  <c r="R55" i="63"/>
  <c r="P55" i="63"/>
  <c r="O55" i="63"/>
  <c r="N55" i="63"/>
  <c r="L55" i="63"/>
  <c r="J55" i="63"/>
  <c r="F55" i="63"/>
  <c r="R54" i="63"/>
  <c r="O54" i="63"/>
  <c r="S54" i="63" s="1"/>
  <c r="N54" i="63"/>
  <c r="L54" i="63"/>
  <c r="J54" i="63"/>
  <c r="F54" i="63"/>
  <c r="S53" i="63"/>
  <c r="U53" i="63" s="1"/>
  <c r="R53" i="63"/>
  <c r="P53" i="63"/>
  <c r="O53" i="63"/>
  <c r="N53" i="63"/>
  <c r="L53" i="63"/>
  <c r="J53" i="63"/>
  <c r="F53" i="63"/>
  <c r="R52" i="63"/>
  <c r="O52" i="63"/>
  <c r="S52" i="63" s="1"/>
  <c r="N52" i="63"/>
  <c r="L52" i="63"/>
  <c r="J52" i="63"/>
  <c r="F52" i="63"/>
  <c r="S51" i="63"/>
  <c r="U51" i="63" s="1"/>
  <c r="R51" i="63"/>
  <c r="P51" i="63"/>
  <c r="O51" i="63"/>
  <c r="N51" i="63"/>
  <c r="L51" i="63"/>
  <c r="J51" i="63"/>
  <c r="F51" i="63"/>
  <c r="R26" i="63"/>
  <c r="O26" i="63"/>
  <c r="S26" i="63" s="1"/>
  <c r="N26" i="63"/>
  <c r="L26" i="63"/>
  <c r="J26" i="63"/>
  <c r="F26" i="63"/>
  <c r="R25" i="63"/>
  <c r="O25" i="63"/>
  <c r="S25" i="63" s="1"/>
  <c r="N25" i="63"/>
  <c r="L25" i="63"/>
  <c r="J25" i="63"/>
  <c r="F25" i="63"/>
  <c r="R24" i="63"/>
  <c r="O24" i="63"/>
  <c r="S24" i="63" s="1"/>
  <c r="N24" i="63"/>
  <c r="L24" i="63"/>
  <c r="J24" i="63"/>
  <c r="F24" i="63"/>
  <c r="R23" i="63"/>
  <c r="O23" i="63"/>
  <c r="S23" i="63" s="1"/>
  <c r="N23" i="63"/>
  <c r="L23" i="63"/>
  <c r="J23" i="63"/>
  <c r="F23" i="63"/>
  <c r="R22" i="63"/>
  <c r="O22" i="63"/>
  <c r="S22" i="63" s="1"/>
  <c r="N22" i="63"/>
  <c r="L22" i="63"/>
  <c r="J22" i="63"/>
  <c r="F22" i="63"/>
  <c r="R21" i="63"/>
  <c r="O21" i="63"/>
  <c r="S21" i="63" s="1"/>
  <c r="N21" i="63"/>
  <c r="L21" i="63"/>
  <c r="J21" i="63"/>
  <c r="F21" i="63"/>
  <c r="R20" i="63"/>
  <c r="O20" i="63"/>
  <c r="S20" i="63" s="1"/>
  <c r="N20" i="63"/>
  <c r="L20" i="63"/>
  <c r="J20" i="63"/>
  <c r="F20" i="63"/>
  <c r="R19" i="63"/>
  <c r="O19" i="63"/>
  <c r="S19" i="63" s="1"/>
  <c r="N19" i="63"/>
  <c r="L19" i="63"/>
  <c r="J19" i="63"/>
  <c r="F19" i="63"/>
  <c r="R18" i="63"/>
  <c r="O18" i="63"/>
  <c r="S18" i="63" s="1"/>
  <c r="N18" i="63"/>
  <c r="L18" i="63"/>
  <c r="J18" i="63"/>
  <c r="F18" i="63"/>
  <c r="R17" i="63"/>
  <c r="O17" i="63"/>
  <c r="S17" i="63" s="1"/>
  <c r="N17" i="63"/>
  <c r="L17" i="63"/>
  <c r="J17" i="63"/>
  <c r="F17" i="63"/>
  <c r="R16" i="63"/>
  <c r="O16" i="63"/>
  <c r="S16" i="63" s="1"/>
  <c r="N16" i="63"/>
  <c r="L16" i="63"/>
  <c r="J16" i="63"/>
  <c r="F16" i="63"/>
  <c r="R15" i="63"/>
  <c r="O15" i="63"/>
  <c r="S15" i="63" s="1"/>
  <c r="N15" i="63"/>
  <c r="L15" i="63"/>
  <c r="J15" i="63"/>
  <c r="F15" i="63"/>
  <c r="R14" i="63"/>
  <c r="O14" i="63"/>
  <c r="S14" i="63" s="1"/>
  <c r="N14" i="63"/>
  <c r="L14" i="63"/>
  <c r="J14" i="63"/>
  <c r="F14" i="63"/>
  <c r="R13" i="63"/>
  <c r="O13" i="63"/>
  <c r="S13" i="63" s="1"/>
  <c r="N13" i="63"/>
  <c r="L13" i="63"/>
  <c r="J13" i="63"/>
  <c r="F13" i="63"/>
  <c r="R12" i="63"/>
  <c r="O12" i="63"/>
  <c r="S12" i="63" s="1"/>
  <c r="N12" i="63"/>
  <c r="L12" i="63"/>
  <c r="J12" i="63"/>
  <c r="F12" i="63"/>
  <c r="R11" i="63"/>
  <c r="O11" i="63"/>
  <c r="S11" i="63" s="1"/>
  <c r="N11" i="63"/>
  <c r="L11" i="63"/>
  <c r="J11" i="63"/>
  <c r="F11" i="63"/>
  <c r="R10" i="63"/>
  <c r="O10" i="63"/>
  <c r="S10" i="63" s="1"/>
  <c r="N10" i="63"/>
  <c r="L10" i="63"/>
  <c r="J10" i="63"/>
  <c r="F10" i="63"/>
  <c r="R9" i="63"/>
  <c r="O9" i="63"/>
  <c r="S9" i="63" s="1"/>
  <c r="N9" i="63"/>
  <c r="L9" i="63"/>
  <c r="J9" i="63"/>
  <c r="F9" i="63"/>
  <c r="R8" i="63"/>
  <c r="O8" i="63"/>
  <c r="S8" i="63" s="1"/>
  <c r="N8" i="63"/>
  <c r="L8" i="63"/>
  <c r="J8" i="63"/>
  <c r="F8" i="63"/>
  <c r="R7" i="63"/>
  <c r="O7" i="63"/>
  <c r="S7" i="63" s="1"/>
  <c r="N7" i="63"/>
  <c r="L7" i="63"/>
  <c r="J7" i="63"/>
  <c r="F7" i="63"/>
  <c r="B47" i="56"/>
  <c r="F45" i="56"/>
  <c r="D45" i="56"/>
  <c r="F44" i="56"/>
  <c r="D44" i="56"/>
  <c r="F43" i="56"/>
  <c r="D43" i="56"/>
  <c r="F42" i="56"/>
  <c r="D42" i="56"/>
  <c r="F41" i="56"/>
  <c r="D41" i="56"/>
  <c r="F40" i="56"/>
  <c r="D40" i="56"/>
  <c r="H39" i="56"/>
  <c r="G39" i="56"/>
  <c r="F39" i="56"/>
  <c r="D39" i="56"/>
  <c r="F38" i="56"/>
  <c r="D38" i="56"/>
  <c r="F37" i="56"/>
  <c r="D37" i="56"/>
  <c r="F36" i="56"/>
  <c r="D36" i="56"/>
  <c r="F35" i="56"/>
  <c r="D35" i="56"/>
  <c r="F34" i="56"/>
  <c r="D34" i="56"/>
  <c r="F33" i="56"/>
  <c r="D33" i="56"/>
  <c r="H32" i="56"/>
  <c r="G32" i="56"/>
  <c r="F32" i="56"/>
  <c r="D32" i="56"/>
  <c r="F31" i="56"/>
  <c r="D31" i="56"/>
  <c r="F30" i="56"/>
  <c r="D30" i="56"/>
  <c r="F29" i="56"/>
  <c r="D29" i="56"/>
  <c r="F28" i="56"/>
  <c r="D28" i="56"/>
  <c r="F27" i="56"/>
  <c r="D27" i="56"/>
  <c r="F26" i="56"/>
  <c r="D26" i="56"/>
  <c r="H25" i="56"/>
  <c r="G25" i="56"/>
  <c r="F25" i="56"/>
  <c r="D25" i="56"/>
  <c r="F24" i="56"/>
  <c r="D24" i="56"/>
  <c r="F23" i="56"/>
  <c r="D23" i="56"/>
  <c r="F22" i="56"/>
  <c r="D22" i="56"/>
  <c r="F21" i="56"/>
  <c r="D21" i="56"/>
  <c r="F20" i="56"/>
  <c r="D20" i="56"/>
  <c r="F19" i="56"/>
  <c r="D19" i="56"/>
  <c r="H18" i="56"/>
  <c r="G18" i="56"/>
  <c r="F18" i="56"/>
  <c r="D18" i="56"/>
  <c r="E17" i="56"/>
  <c r="F17" i="56" s="1"/>
  <c r="C17" i="56"/>
  <c r="D17" i="56" s="1"/>
  <c r="E16" i="56"/>
  <c r="F16" i="56" s="1"/>
  <c r="C16" i="56"/>
  <c r="D16" i="56" s="1"/>
  <c r="E15" i="56"/>
  <c r="F15" i="56" s="1"/>
  <c r="C15" i="56"/>
  <c r="D15" i="56" s="1"/>
  <c r="E14" i="56"/>
  <c r="F14" i="56" s="1"/>
  <c r="C14" i="56"/>
  <c r="D14" i="56" s="1"/>
  <c r="E13" i="56"/>
  <c r="F13" i="56" s="1"/>
  <c r="C13" i="56"/>
  <c r="D13" i="56" s="1"/>
  <c r="E12" i="56"/>
  <c r="C12" i="56"/>
  <c r="D12" i="56" s="1"/>
  <c r="E11" i="56"/>
  <c r="F11" i="56" s="1"/>
  <c r="C11" i="56"/>
  <c r="E10" i="56"/>
  <c r="F10" i="56" s="1"/>
  <c r="C10" i="56"/>
  <c r="G4" i="56" s="1"/>
  <c r="B9" i="41" s="1"/>
  <c r="F9" i="56"/>
  <c r="D9" i="56"/>
  <c r="F8" i="56"/>
  <c r="D8" i="56"/>
  <c r="F7" i="56"/>
  <c r="D7" i="56"/>
  <c r="F6" i="56"/>
  <c r="D6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F4" i="56"/>
  <c r="D4" i="56"/>
  <c r="G11" i="56" l="1"/>
  <c r="B20" i="41" s="1"/>
  <c r="K30" i="19"/>
  <c r="K22" i="19"/>
  <c r="K14" i="19"/>
  <c r="K14" i="20"/>
  <c r="K30" i="20"/>
  <c r="K22" i="20"/>
  <c r="K50" i="19"/>
  <c r="K42" i="19"/>
  <c r="K58" i="19"/>
  <c r="D11" i="56"/>
  <c r="H11" i="56"/>
  <c r="B21" i="41" s="1"/>
  <c r="U108" i="66"/>
  <c r="F108" i="66"/>
  <c r="U95" i="66"/>
  <c r="F95" i="66"/>
  <c r="U105" i="66"/>
  <c r="F105" i="66"/>
  <c r="U102" i="66"/>
  <c r="F102" i="66"/>
  <c r="U112" i="66"/>
  <c r="F112" i="66"/>
  <c r="U99" i="66"/>
  <c r="F99" i="66"/>
  <c r="U109" i="66"/>
  <c r="F109" i="66"/>
  <c r="U98" i="66"/>
  <c r="F98" i="66"/>
  <c r="U96" i="66"/>
  <c r="F96" i="66"/>
  <c r="U106" i="66"/>
  <c r="F106" i="66"/>
  <c r="U103" i="66"/>
  <c r="F103" i="66"/>
  <c r="U113" i="66"/>
  <c r="F113" i="66"/>
  <c r="U100" i="66"/>
  <c r="F100" i="66"/>
  <c r="U110" i="66"/>
  <c r="F110" i="66"/>
  <c r="U97" i="66"/>
  <c r="F97" i="66"/>
  <c r="U107" i="66"/>
  <c r="F107" i="66"/>
  <c r="U104" i="66"/>
  <c r="F104" i="66"/>
  <c r="U114" i="66"/>
  <c r="F114" i="66"/>
  <c r="U101" i="66"/>
  <c r="F101" i="66"/>
  <c r="U111" i="66"/>
  <c r="F111" i="66"/>
  <c r="P95" i="66"/>
  <c r="P97" i="66"/>
  <c r="P99" i="66"/>
  <c r="P101" i="66"/>
  <c r="P103" i="66"/>
  <c r="P105" i="66"/>
  <c r="P107" i="66"/>
  <c r="P109" i="66"/>
  <c r="P111" i="66"/>
  <c r="P113" i="66"/>
  <c r="P96" i="66"/>
  <c r="P98" i="66"/>
  <c r="P100" i="66"/>
  <c r="P102" i="66"/>
  <c r="P104" i="66"/>
  <c r="P106" i="66"/>
  <c r="P108" i="66"/>
  <c r="P110" i="66"/>
  <c r="P112" i="66"/>
  <c r="P114" i="66"/>
  <c r="U76" i="66"/>
  <c r="F76" i="66"/>
  <c r="U86" i="66"/>
  <c r="F86" i="66"/>
  <c r="U73" i="66"/>
  <c r="F73" i="66"/>
  <c r="U83" i="66"/>
  <c r="F83" i="66"/>
  <c r="U90" i="66"/>
  <c r="F90" i="66"/>
  <c r="U77" i="66"/>
  <c r="F77" i="66"/>
  <c r="U87" i="66"/>
  <c r="F87" i="66"/>
  <c r="U84" i="66"/>
  <c r="F84" i="66"/>
  <c r="U81" i="66"/>
  <c r="F81" i="66"/>
  <c r="U91" i="66"/>
  <c r="F91" i="66"/>
  <c r="U78" i="66"/>
  <c r="F78" i="66"/>
  <c r="U75" i="66"/>
  <c r="F75" i="66"/>
  <c r="U85" i="66"/>
  <c r="F85" i="66"/>
  <c r="U82" i="66"/>
  <c r="F82" i="66"/>
  <c r="U92" i="66"/>
  <c r="F92" i="66"/>
  <c r="U79" i="66"/>
  <c r="F79" i="66"/>
  <c r="U89" i="66"/>
  <c r="F89" i="66"/>
  <c r="P73" i="66"/>
  <c r="P75" i="66"/>
  <c r="P77" i="66"/>
  <c r="P79" i="66"/>
  <c r="P81" i="66"/>
  <c r="P83" i="66"/>
  <c r="P85" i="66"/>
  <c r="P87" i="66"/>
  <c r="P89" i="66"/>
  <c r="P91" i="66"/>
  <c r="P92" i="66"/>
  <c r="P76" i="66"/>
  <c r="P82" i="66"/>
  <c r="P86" i="66"/>
  <c r="P78" i="66"/>
  <c r="P84" i="66"/>
  <c r="P90" i="66"/>
  <c r="T74" i="66"/>
  <c r="T80" i="66"/>
  <c r="T88" i="66"/>
  <c r="U68" i="66"/>
  <c r="F68" i="66"/>
  <c r="U62" i="66"/>
  <c r="F62" i="66"/>
  <c r="U65" i="66"/>
  <c r="F65" i="66"/>
  <c r="U56" i="66"/>
  <c r="F56" i="66"/>
  <c r="U59" i="66"/>
  <c r="F59" i="66"/>
  <c r="U53" i="66"/>
  <c r="F53" i="66"/>
  <c r="U66" i="66"/>
  <c r="F66" i="66"/>
  <c r="U69" i="66"/>
  <c r="F69" i="66"/>
  <c r="U60" i="66"/>
  <c r="F60" i="66"/>
  <c r="U63" i="66"/>
  <c r="F63" i="66"/>
  <c r="U54" i="66"/>
  <c r="F54" i="66"/>
  <c r="U57" i="66"/>
  <c r="F57" i="66"/>
  <c r="U51" i="66"/>
  <c r="F51" i="66"/>
  <c r="U70" i="66"/>
  <c r="F70" i="66"/>
  <c r="U64" i="66"/>
  <c r="F64" i="66"/>
  <c r="U67" i="66"/>
  <c r="F67" i="66"/>
  <c r="U58" i="66"/>
  <c r="F58" i="66"/>
  <c r="U61" i="66"/>
  <c r="F61" i="66"/>
  <c r="U52" i="66"/>
  <c r="F52" i="66"/>
  <c r="U55" i="66"/>
  <c r="F55" i="66"/>
  <c r="P51" i="66"/>
  <c r="P53" i="66"/>
  <c r="P55" i="66"/>
  <c r="P57" i="66"/>
  <c r="P59" i="66"/>
  <c r="P61" i="66"/>
  <c r="P63" i="66"/>
  <c r="P65" i="66"/>
  <c r="P67" i="66"/>
  <c r="P69" i="66"/>
  <c r="T24" i="66"/>
  <c r="U24" i="66" s="1"/>
  <c r="P25" i="66"/>
  <c r="P14" i="66"/>
  <c r="P12" i="66"/>
  <c r="P19" i="66"/>
  <c r="P17" i="66"/>
  <c r="P26" i="66"/>
  <c r="P15" i="66"/>
  <c r="U101" i="63"/>
  <c r="T101" i="63"/>
  <c r="U111" i="63"/>
  <c r="T111" i="63"/>
  <c r="U98" i="63"/>
  <c r="T98" i="63"/>
  <c r="U108" i="63"/>
  <c r="T108" i="63"/>
  <c r="U95" i="63"/>
  <c r="T95" i="63"/>
  <c r="U105" i="63"/>
  <c r="T105" i="63"/>
  <c r="U102" i="63"/>
  <c r="T102" i="63"/>
  <c r="U112" i="63"/>
  <c r="T112" i="63"/>
  <c r="U99" i="63"/>
  <c r="T99" i="63"/>
  <c r="U109" i="63"/>
  <c r="T109" i="63"/>
  <c r="U96" i="63"/>
  <c r="T96" i="63"/>
  <c r="U106" i="63"/>
  <c r="T106" i="63"/>
  <c r="U103" i="63"/>
  <c r="T103" i="63"/>
  <c r="U113" i="63"/>
  <c r="T113" i="63"/>
  <c r="U100" i="63"/>
  <c r="T100" i="63"/>
  <c r="U110" i="63"/>
  <c r="T110" i="63"/>
  <c r="U97" i="63"/>
  <c r="T97" i="63"/>
  <c r="U107" i="63"/>
  <c r="T107" i="63"/>
  <c r="U104" i="63"/>
  <c r="T104" i="63"/>
  <c r="U114" i="63"/>
  <c r="T114" i="63"/>
  <c r="P95" i="63"/>
  <c r="P97" i="63"/>
  <c r="P99" i="63"/>
  <c r="P101" i="63"/>
  <c r="P103" i="63"/>
  <c r="P105" i="63"/>
  <c r="P107" i="63"/>
  <c r="P109" i="63"/>
  <c r="P111" i="63"/>
  <c r="P113" i="63"/>
  <c r="P96" i="63"/>
  <c r="P98" i="63"/>
  <c r="P100" i="63"/>
  <c r="P102" i="63"/>
  <c r="P104" i="63"/>
  <c r="P106" i="63"/>
  <c r="P108" i="63"/>
  <c r="P110" i="63"/>
  <c r="P112" i="63"/>
  <c r="P114" i="63"/>
  <c r="T73" i="63"/>
  <c r="T75" i="63"/>
  <c r="T77" i="63"/>
  <c r="T79" i="63"/>
  <c r="T81" i="63"/>
  <c r="T83" i="63"/>
  <c r="T85" i="63"/>
  <c r="T87" i="63"/>
  <c r="T89" i="63"/>
  <c r="T91" i="63"/>
  <c r="T74" i="63"/>
  <c r="T76" i="63"/>
  <c r="T78" i="63"/>
  <c r="T80" i="63"/>
  <c r="T82" i="63"/>
  <c r="T84" i="63"/>
  <c r="T86" i="63"/>
  <c r="T88" i="63"/>
  <c r="T90" i="63"/>
  <c r="T92" i="63"/>
  <c r="U56" i="63"/>
  <c r="T56" i="63"/>
  <c r="U62" i="63"/>
  <c r="T62" i="63"/>
  <c r="U68" i="63"/>
  <c r="T68" i="63"/>
  <c r="U54" i="63"/>
  <c r="T54" i="63"/>
  <c r="U60" i="63"/>
  <c r="T60" i="63"/>
  <c r="U66" i="63"/>
  <c r="T66" i="63"/>
  <c r="U52" i="63"/>
  <c r="T52" i="63"/>
  <c r="U58" i="63"/>
  <c r="T58" i="63"/>
  <c r="U64" i="63"/>
  <c r="T64" i="63"/>
  <c r="U70" i="63"/>
  <c r="T70" i="63"/>
  <c r="T51" i="63"/>
  <c r="T53" i="63"/>
  <c r="T55" i="63"/>
  <c r="T57" i="63"/>
  <c r="T59" i="63"/>
  <c r="T61" i="63"/>
  <c r="T63" i="63"/>
  <c r="T65" i="63"/>
  <c r="T67" i="63"/>
  <c r="T69" i="63"/>
  <c r="P52" i="63"/>
  <c r="P54" i="63"/>
  <c r="P56" i="63"/>
  <c r="P58" i="63"/>
  <c r="P60" i="63"/>
  <c r="P62" i="63"/>
  <c r="P64" i="63"/>
  <c r="P66" i="63"/>
  <c r="P68" i="63"/>
  <c r="P70" i="63"/>
  <c r="U13" i="63"/>
  <c r="T13" i="63"/>
  <c r="U23" i="63"/>
  <c r="T23" i="63"/>
  <c r="U10" i="63"/>
  <c r="T10" i="63"/>
  <c r="U20" i="63"/>
  <c r="T20" i="63"/>
  <c r="U7" i="63"/>
  <c r="T7" i="63"/>
  <c r="U17" i="63"/>
  <c r="T17" i="63"/>
  <c r="U14" i="63"/>
  <c r="T14" i="63"/>
  <c r="U24" i="63"/>
  <c r="T24" i="63"/>
  <c r="U11" i="63"/>
  <c r="T11" i="63"/>
  <c r="U21" i="63"/>
  <c r="T21" i="63"/>
  <c r="U8" i="63"/>
  <c r="T8" i="63"/>
  <c r="U18" i="63"/>
  <c r="T18" i="63"/>
  <c r="U15" i="63"/>
  <c r="T15" i="63"/>
  <c r="U25" i="63"/>
  <c r="T25" i="63"/>
  <c r="U12" i="63"/>
  <c r="T12" i="63"/>
  <c r="U22" i="63"/>
  <c r="T22" i="63"/>
  <c r="U9" i="63"/>
  <c r="T9" i="63"/>
  <c r="U19" i="63"/>
  <c r="T19" i="63"/>
  <c r="U16" i="63"/>
  <c r="T16" i="63"/>
  <c r="U26" i="63"/>
  <c r="T26" i="63"/>
  <c r="P7" i="63"/>
  <c r="P9" i="63"/>
  <c r="P11" i="63"/>
  <c r="P13" i="63"/>
  <c r="P15" i="63"/>
  <c r="P17" i="63"/>
  <c r="P19" i="63"/>
  <c r="P21" i="63"/>
  <c r="P23" i="63"/>
  <c r="P25" i="63"/>
  <c r="P8" i="63"/>
  <c r="P10" i="63"/>
  <c r="P12" i="63"/>
  <c r="P14" i="63"/>
  <c r="P16" i="63"/>
  <c r="P18" i="63"/>
  <c r="P20" i="63"/>
  <c r="P22" i="63"/>
  <c r="P24" i="63"/>
  <c r="P26" i="63"/>
  <c r="F12" i="56"/>
  <c r="B2" i="56"/>
  <c r="D2" i="56" s="1"/>
  <c r="F2" i="56"/>
  <c r="H2" i="56" s="1"/>
  <c r="D10" i="56"/>
  <c r="H4" i="56"/>
  <c r="B10" i="41" s="1"/>
  <c r="K30" i="62" l="1"/>
  <c r="K22" i="62"/>
  <c r="K14" i="62"/>
  <c r="K30" i="61"/>
  <c r="K22" i="61"/>
  <c r="K14" i="61"/>
  <c r="U88" i="66"/>
  <c r="F88" i="66"/>
  <c r="U80" i="66"/>
  <c r="F80" i="66"/>
  <c r="U74" i="66"/>
  <c r="F74" i="66"/>
  <c r="J62" i="25" l="1"/>
  <c r="B60" i="25"/>
  <c r="A60" i="25"/>
  <c r="B34" i="25"/>
  <c r="A34" i="25"/>
  <c r="J77" i="24"/>
  <c r="J76" i="24"/>
  <c r="J75" i="24"/>
  <c r="J73" i="24"/>
  <c r="J72" i="24"/>
  <c r="J71" i="24"/>
  <c r="J80" i="23"/>
  <c r="J79" i="23"/>
  <c r="J78" i="23"/>
  <c r="J77" i="23"/>
  <c r="J76" i="23"/>
  <c r="J75" i="23"/>
  <c r="J74" i="23"/>
  <c r="J73" i="23"/>
  <c r="J72" i="23"/>
  <c r="J71" i="23"/>
  <c r="J66" i="23"/>
  <c r="J65" i="23"/>
  <c r="J64" i="23"/>
  <c r="J63" i="23"/>
  <c r="J62" i="23"/>
  <c r="J61" i="23"/>
  <c r="J60" i="23"/>
  <c r="J75" i="22"/>
  <c r="J74" i="22"/>
  <c r="J73" i="22"/>
  <c r="J72" i="22"/>
  <c r="J71" i="22"/>
  <c r="J60" i="22"/>
  <c r="J73" i="15"/>
  <c r="J72" i="15"/>
  <c r="J71" i="15"/>
  <c r="J68" i="15"/>
  <c r="J67" i="15"/>
  <c r="J66" i="15"/>
  <c r="J65" i="15"/>
  <c r="J62" i="15"/>
  <c r="J61" i="15"/>
  <c r="J60" i="15"/>
  <c r="J42" i="15"/>
  <c r="J41" i="15"/>
  <c r="J40" i="15"/>
  <c r="J39" i="15"/>
  <c r="J36" i="15"/>
  <c r="I11" i="39" l="1"/>
  <c r="W11" i="5"/>
  <c r="I11" i="13" s="1"/>
  <c r="T11" i="5"/>
  <c r="I10" i="13" s="1"/>
  <c r="Q11" i="5"/>
  <c r="I9" i="13" s="1"/>
  <c r="N11" i="5"/>
  <c r="I8" i="13" s="1"/>
  <c r="H11" i="5"/>
  <c r="I6" i="13" s="1"/>
  <c r="G40" i="5"/>
  <c r="I40" i="5"/>
  <c r="M40" i="5"/>
  <c r="P40" i="5"/>
  <c r="S40" i="5"/>
  <c r="V40" i="5"/>
  <c r="I41" i="5"/>
  <c r="I42" i="5"/>
  <c r="I43" i="5"/>
  <c r="I44" i="5"/>
  <c r="I45" i="5"/>
  <c r="I46" i="5"/>
  <c r="J40" i="5" l="1"/>
  <c r="E36" i="13" l="1"/>
  <c r="E35" i="13"/>
  <c r="E34" i="13"/>
  <c r="E33" i="13"/>
  <c r="E32" i="13"/>
  <c r="E31" i="13"/>
  <c r="E30" i="13"/>
  <c r="E29" i="13"/>
  <c r="E28" i="13"/>
  <c r="K11" i="13"/>
  <c r="K10" i="13"/>
  <c r="K9" i="13"/>
  <c r="K8" i="13"/>
  <c r="K7" i="13"/>
  <c r="K6" i="13"/>
  <c r="E11" i="13" l="1"/>
  <c r="E10" i="13"/>
  <c r="E9" i="13"/>
  <c r="E8" i="13"/>
  <c r="E7" i="13"/>
  <c r="E6" i="13"/>
  <c r="T11" i="3"/>
  <c r="N11" i="3"/>
  <c r="K11" i="3"/>
  <c r="H11" i="3"/>
  <c r="U46" i="3"/>
  <c r="O46" i="3"/>
  <c r="U45" i="3"/>
  <c r="O45" i="3"/>
  <c r="U44" i="3"/>
  <c r="O44" i="3"/>
  <c r="U43" i="3"/>
  <c r="O43" i="3"/>
  <c r="U42" i="3"/>
  <c r="O42" i="3"/>
  <c r="U41" i="3"/>
  <c r="O41" i="3"/>
  <c r="U40" i="3"/>
  <c r="S40" i="3"/>
  <c r="O40" i="3"/>
  <c r="M40" i="3"/>
  <c r="J40" i="3"/>
  <c r="G40" i="3"/>
  <c r="P15" i="65"/>
  <c r="E10" i="39" l="1"/>
  <c r="B10" i="13"/>
  <c r="E8" i="39"/>
  <c r="B8" i="13"/>
  <c r="E7" i="39"/>
  <c r="B7" i="13"/>
  <c r="E6" i="39"/>
  <c r="B6" i="13"/>
  <c r="Q11" i="3"/>
  <c r="W11" i="3"/>
  <c r="P40" i="3"/>
  <c r="V40" i="3"/>
  <c r="M170" i="20"/>
  <c r="E11" i="39" l="1"/>
  <c r="B11" i="13"/>
  <c r="E9" i="39"/>
  <c r="B9" i="13"/>
  <c r="AJ98" i="66" l="1"/>
  <c r="J59" i="41" s="1"/>
  <c r="AI98" i="66"/>
  <c r="H59" i="41" s="1"/>
  <c r="AH98" i="66"/>
  <c r="F59" i="41" s="1"/>
  <c r="AG98" i="66"/>
  <c r="L54" i="41" s="1"/>
  <c r="AF98" i="66"/>
  <c r="J54" i="41" s="1"/>
  <c r="AE98" i="66"/>
  <c r="H54" i="41" s="1"/>
  <c r="AD98" i="66"/>
  <c r="F54" i="41" s="1"/>
  <c r="AJ97" i="66"/>
  <c r="AJ99" i="66" s="1"/>
  <c r="K59" i="41" s="1"/>
  <c r="AI97" i="66"/>
  <c r="AI99" i="66" s="1"/>
  <c r="I59" i="41" s="1"/>
  <c r="AH97" i="66"/>
  <c r="AH99" i="66" s="1"/>
  <c r="G59" i="41" s="1"/>
  <c r="AG97" i="66"/>
  <c r="AF97" i="66"/>
  <c r="AE97" i="66"/>
  <c r="AD97" i="66"/>
  <c r="AC97" i="66"/>
  <c r="AJ76" i="66"/>
  <c r="J48" i="41" s="1"/>
  <c r="AI76" i="66"/>
  <c r="H48" i="41" s="1"/>
  <c r="AH76" i="66"/>
  <c r="F48" i="41" s="1"/>
  <c r="AG76" i="66"/>
  <c r="L43" i="41" s="1"/>
  <c r="AF76" i="66"/>
  <c r="J43" i="41" s="1"/>
  <c r="AE76" i="66"/>
  <c r="H43" i="41" s="1"/>
  <c r="AD76" i="66"/>
  <c r="F43" i="41" s="1"/>
  <c r="AJ75" i="66"/>
  <c r="AJ77" i="66" s="1"/>
  <c r="K48" i="41" s="1"/>
  <c r="AI75" i="66"/>
  <c r="AI77" i="66" s="1"/>
  <c r="I48" i="41" s="1"/>
  <c r="AH75" i="66"/>
  <c r="AH77" i="66" s="1"/>
  <c r="G48" i="41" s="1"/>
  <c r="AG75" i="66"/>
  <c r="AG77" i="66" s="1"/>
  <c r="M43" i="41" s="1"/>
  <c r="AF75" i="66"/>
  <c r="AE75" i="66"/>
  <c r="AD75" i="66"/>
  <c r="AD77" i="66" s="1"/>
  <c r="G43" i="41" s="1"/>
  <c r="AC75" i="66"/>
  <c r="AJ54" i="66"/>
  <c r="J37" i="41" s="1"/>
  <c r="AI54" i="66"/>
  <c r="H37" i="41" s="1"/>
  <c r="AH54" i="66"/>
  <c r="F37" i="41" s="1"/>
  <c r="AG54" i="66"/>
  <c r="L32" i="41" s="1"/>
  <c r="AF54" i="66"/>
  <c r="J32" i="41" s="1"/>
  <c r="AE54" i="66"/>
  <c r="H32" i="41" s="1"/>
  <c r="AD54" i="66"/>
  <c r="F32" i="41" s="1"/>
  <c r="AJ53" i="66"/>
  <c r="AJ55" i="66" s="1"/>
  <c r="K37" i="41" s="1"/>
  <c r="AI53" i="66"/>
  <c r="AI55" i="66" s="1"/>
  <c r="I37" i="41" s="1"/>
  <c r="AH53" i="66"/>
  <c r="AH55" i="66" s="1"/>
  <c r="G37" i="41" s="1"/>
  <c r="AG53" i="66"/>
  <c r="AG55" i="66" s="1"/>
  <c r="M32" i="41" s="1"/>
  <c r="AF53" i="66"/>
  <c r="AF55" i="66" s="1"/>
  <c r="K32" i="41" s="1"/>
  <c r="AE53" i="66"/>
  <c r="AE55" i="66" s="1"/>
  <c r="AD53" i="66"/>
  <c r="AD55" i="66" s="1"/>
  <c r="AC53" i="66"/>
  <c r="S48" i="66"/>
  <c r="R48" i="66"/>
  <c r="O48" i="66"/>
  <c r="N48" i="66"/>
  <c r="L48" i="66"/>
  <c r="J48" i="66"/>
  <c r="S47" i="66"/>
  <c r="R47" i="66"/>
  <c r="O47" i="66"/>
  <c r="P47" i="66" s="1"/>
  <c r="N47" i="66"/>
  <c r="L47" i="66"/>
  <c r="J47" i="66"/>
  <c r="S46" i="66"/>
  <c r="R46" i="66"/>
  <c r="O46" i="66"/>
  <c r="N46" i="66"/>
  <c r="L46" i="66"/>
  <c r="J46" i="66"/>
  <c r="S45" i="66"/>
  <c r="R45" i="66"/>
  <c r="O45" i="66"/>
  <c r="P45" i="66" s="1"/>
  <c r="N45" i="66"/>
  <c r="L45" i="66"/>
  <c r="J45" i="66"/>
  <c r="S44" i="66"/>
  <c r="R44" i="66"/>
  <c r="O44" i="66"/>
  <c r="N44" i="66"/>
  <c r="L44" i="66"/>
  <c r="J44" i="66"/>
  <c r="S43" i="66"/>
  <c r="R43" i="66"/>
  <c r="O43" i="66"/>
  <c r="P43" i="66" s="1"/>
  <c r="N43" i="66"/>
  <c r="L43" i="66"/>
  <c r="J43" i="66"/>
  <c r="S42" i="66"/>
  <c r="R42" i="66"/>
  <c r="O42" i="66"/>
  <c r="N42" i="66"/>
  <c r="L42" i="66"/>
  <c r="J42" i="66"/>
  <c r="S41" i="66"/>
  <c r="R41" i="66"/>
  <c r="O41" i="66"/>
  <c r="P41" i="66" s="1"/>
  <c r="N41" i="66"/>
  <c r="L41" i="66"/>
  <c r="J41" i="66"/>
  <c r="S40" i="66"/>
  <c r="R40" i="66"/>
  <c r="O40" i="66"/>
  <c r="N40" i="66"/>
  <c r="L40" i="66"/>
  <c r="J40" i="66"/>
  <c r="S39" i="66"/>
  <c r="R39" i="66"/>
  <c r="O39" i="66"/>
  <c r="P39" i="66" s="1"/>
  <c r="N39" i="66"/>
  <c r="L39" i="66"/>
  <c r="J39" i="66"/>
  <c r="S38" i="66"/>
  <c r="R38" i="66"/>
  <c r="O38" i="66"/>
  <c r="N38" i="66"/>
  <c r="L38" i="66"/>
  <c r="J38" i="66"/>
  <c r="S37" i="66"/>
  <c r="R37" i="66"/>
  <c r="O37" i="66"/>
  <c r="P37" i="66" s="1"/>
  <c r="N37" i="66"/>
  <c r="L37" i="66"/>
  <c r="J37" i="66"/>
  <c r="S36" i="66"/>
  <c r="R36" i="66"/>
  <c r="O36" i="66"/>
  <c r="N36" i="66"/>
  <c r="L36" i="66"/>
  <c r="J36" i="66"/>
  <c r="S35" i="66"/>
  <c r="R35" i="66"/>
  <c r="O35" i="66"/>
  <c r="P35" i="66" s="1"/>
  <c r="N35" i="66"/>
  <c r="L35" i="66"/>
  <c r="J35" i="66"/>
  <c r="S34" i="66"/>
  <c r="R34" i="66"/>
  <c r="O34" i="66"/>
  <c r="N34" i="66"/>
  <c r="L34" i="66"/>
  <c r="J34" i="66"/>
  <c r="S33" i="66"/>
  <c r="R33" i="66"/>
  <c r="O33" i="66"/>
  <c r="P33" i="66" s="1"/>
  <c r="N33" i="66"/>
  <c r="L33" i="66"/>
  <c r="J33" i="66"/>
  <c r="AJ32" i="66"/>
  <c r="J26" i="41" s="1"/>
  <c r="AF32" i="66"/>
  <c r="J21" i="41" s="1"/>
  <c r="AE32" i="66"/>
  <c r="H21" i="41" s="1"/>
  <c r="AD32" i="66"/>
  <c r="F21" i="41" s="1"/>
  <c r="S32" i="66"/>
  <c r="R32" i="66"/>
  <c r="O32" i="66"/>
  <c r="P32" i="66" s="1"/>
  <c r="N32" i="66"/>
  <c r="L32" i="66"/>
  <c r="J32" i="66"/>
  <c r="AJ31" i="66"/>
  <c r="AI31" i="66"/>
  <c r="AI33" i="66" s="1"/>
  <c r="I26" i="41" s="1"/>
  <c r="AH31" i="66"/>
  <c r="AG31" i="66"/>
  <c r="AF31" i="66"/>
  <c r="AF33" i="66" s="1"/>
  <c r="K21" i="41" s="1"/>
  <c r="AE31" i="66"/>
  <c r="AD31" i="66"/>
  <c r="AC31" i="66"/>
  <c r="S31" i="66"/>
  <c r="R31" i="66"/>
  <c r="O31" i="66"/>
  <c r="P31" i="66" s="1"/>
  <c r="N31" i="66"/>
  <c r="L31" i="66"/>
  <c r="J31" i="66"/>
  <c r="S30" i="66"/>
  <c r="R30" i="66"/>
  <c r="O30" i="66"/>
  <c r="T30" i="66" s="1"/>
  <c r="U30" i="66" s="1"/>
  <c r="N30" i="66"/>
  <c r="L30" i="66"/>
  <c r="J30" i="66"/>
  <c r="F30" i="66"/>
  <c r="S29" i="66"/>
  <c r="R29" i="66"/>
  <c r="O29" i="66"/>
  <c r="P29" i="66" s="1"/>
  <c r="N29" i="66"/>
  <c r="L29" i="66"/>
  <c r="J29" i="66"/>
  <c r="AJ8" i="66"/>
  <c r="AI8" i="66"/>
  <c r="AH8" i="66"/>
  <c r="AG8" i="66"/>
  <c r="AF8" i="66"/>
  <c r="AE8" i="66"/>
  <c r="AD8" i="66"/>
  <c r="AJ7" i="66"/>
  <c r="AI7" i="66"/>
  <c r="AH7" i="66"/>
  <c r="AG7" i="66"/>
  <c r="AF7" i="66"/>
  <c r="AE7" i="66"/>
  <c r="AE9" i="66" s="1"/>
  <c r="AD7" i="66"/>
  <c r="AD9" i="66" s="1"/>
  <c r="AC7" i="66"/>
  <c r="AF112" i="66" l="1"/>
  <c r="I32" i="41"/>
  <c r="G32" i="41"/>
  <c r="T33" i="66"/>
  <c r="T47" i="66"/>
  <c r="F47" i="66" s="1"/>
  <c r="T37" i="66"/>
  <c r="F37" i="66" s="1"/>
  <c r="T41" i="66"/>
  <c r="F41" i="66" s="1"/>
  <c r="T43" i="66"/>
  <c r="F43" i="66" s="1"/>
  <c r="T35" i="66"/>
  <c r="F35" i="66" s="1"/>
  <c r="T45" i="66"/>
  <c r="F45" i="66" s="1"/>
  <c r="T39" i="66"/>
  <c r="F39" i="66" s="1"/>
  <c r="AI9" i="66"/>
  <c r="AG9" i="66"/>
  <c r="AJ9" i="66"/>
  <c r="AH9" i="66"/>
  <c r="AC112" i="66"/>
  <c r="AF114" i="66" s="1"/>
  <c r="K10" i="40" s="1"/>
  <c r="AH112" i="66"/>
  <c r="AH114" i="66" s="1"/>
  <c r="G15" i="40" s="1"/>
  <c r="AJ113" i="66"/>
  <c r="J15" i="40" s="1"/>
  <c r="AF9" i="66"/>
  <c r="T40" i="66"/>
  <c r="P40" i="66"/>
  <c r="AG33" i="66"/>
  <c r="M21" i="41" s="1"/>
  <c r="AG112" i="66"/>
  <c r="T42" i="66"/>
  <c r="P42" i="66"/>
  <c r="AD33" i="66"/>
  <c r="G21" i="41" s="1"/>
  <c r="AE33" i="66"/>
  <c r="I21" i="41" s="1"/>
  <c r="U47" i="66"/>
  <c r="AH33" i="66"/>
  <c r="G26" i="41" s="1"/>
  <c r="AD113" i="66"/>
  <c r="F10" i="40" s="1"/>
  <c r="AJ33" i="66"/>
  <c r="K26" i="41" s="1"/>
  <c r="U43" i="66"/>
  <c r="AD99" i="66"/>
  <c r="G54" i="41" s="1"/>
  <c r="AJ112" i="66"/>
  <c r="T38" i="66"/>
  <c r="P38" i="66"/>
  <c r="T48" i="66"/>
  <c r="P48" i="66"/>
  <c r="P30" i="66"/>
  <c r="T36" i="66"/>
  <c r="P36" i="66"/>
  <c r="T46" i="66"/>
  <c r="P46" i="66"/>
  <c r="AE99" i="66"/>
  <c r="I54" i="41" s="1"/>
  <c r="AI112" i="66"/>
  <c r="AE113" i="66"/>
  <c r="H10" i="40" s="1"/>
  <c r="T34" i="66"/>
  <c r="P34" i="66"/>
  <c r="T44" i="66"/>
  <c r="P44" i="66"/>
  <c r="AE77" i="66"/>
  <c r="I43" i="41" s="1"/>
  <c r="AF99" i="66"/>
  <c r="K54" i="41" s="1"/>
  <c r="AD112" i="66"/>
  <c r="AF113" i="66"/>
  <c r="AF77" i="66"/>
  <c r="K43" i="41" s="1"/>
  <c r="AG99" i="66"/>
  <c r="M54" i="41" s="1"/>
  <c r="AE112" i="66"/>
  <c r="T32" i="66"/>
  <c r="T29" i="66"/>
  <c r="T31" i="66"/>
  <c r="U41" i="66" l="1"/>
  <c r="U37" i="66"/>
  <c r="U35" i="66"/>
  <c r="AI114" i="66"/>
  <c r="I15" i="40" s="1"/>
  <c r="AD114" i="66"/>
  <c r="G10" i="40" s="1"/>
  <c r="AE114" i="66"/>
  <c r="I10" i="40" s="1"/>
  <c r="U33" i="66"/>
  <c r="F33" i="66"/>
  <c r="U39" i="66"/>
  <c r="U45" i="66"/>
  <c r="AJ114" i="66"/>
  <c r="K15" i="40" s="1"/>
  <c r="AG114" i="66"/>
  <c r="M10" i="40" s="1"/>
  <c r="U48" i="66"/>
  <c r="F48" i="66"/>
  <c r="U29" i="66"/>
  <c r="F29" i="66"/>
  <c r="AH32" i="66" s="1"/>
  <c r="U46" i="66"/>
  <c r="F46" i="66"/>
  <c r="U36" i="66"/>
  <c r="F36" i="66"/>
  <c r="F44" i="66"/>
  <c r="AI32" i="66" s="1"/>
  <c r="U44" i="66"/>
  <c r="U38" i="66"/>
  <c r="F38" i="66"/>
  <c r="F42" i="66"/>
  <c r="U42" i="66"/>
  <c r="U31" i="66"/>
  <c r="F31" i="66"/>
  <c r="U34" i="66"/>
  <c r="F34" i="66"/>
  <c r="U32" i="66"/>
  <c r="F32" i="66"/>
  <c r="F40" i="66"/>
  <c r="U40" i="66"/>
  <c r="AR8" i="52"/>
  <c r="AR9" i="52"/>
  <c r="AR10" i="52"/>
  <c r="AM7" i="52"/>
  <c r="AV10" i="52"/>
  <c r="AW10" i="52" s="1"/>
  <c r="AQ10" i="52"/>
  <c r="J10" i="52"/>
  <c r="I10" i="52"/>
  <c r="G10" i="52"/>
  <c r="AV9" i="52"/>
  <c r="AW8" i="52" s="1"/>
  <c r="AQ9" i="52"/>
  <c r="AR7" i="52" s="1"/>
  <c r="K9" i="52"/>
  <c r="J9" i="52"/>
  <c r="I9" i="52"/>
  <c r="G9" i="52"/>
  <c r="AV8" i="52"/>
  <c r="K8" i="52" s="1"/>
  <c r="AQ8" i="52"/>
  <c r="J8" i="52"/>
  <c r="I8" i="52"/>
  <c r="G8" i="52"/>
  <c r="AV7" i="52"/>
  <c r="AQ7" i="52"/>
  <c r="AL7" i="52"/>
  <c r="AN7" i="52" s="1"/>
  <c r="AG7" i="52"/>
  <c r="AB7" i="52"/>
  <c r="AC7" i="52" s="1"/>
  <c r="W7" i="52"/>
  <c r="X7" i="52" s="1"/>
  <c r="R7" i="52"/>
  <c r="T7" i="52" s="1"/>
  <c r="J7" i="52"/>
  <c r="I7" i="52"/>
  <c r="G7" i="52"/>
  <c r="H7" i="52" s="1"/>
  <c r="AW13" i="51"/>
  <c r="AW12" i="51"/>
  <c r="AW11" i="51"/>
  <c r="AH12" i="51"/>
  <c r="S8" i="51"/>
  <c r="AV13" i="51"/>
  <c r="AQ13" i="51"/>
  <c r="AR13" i="51" s="1"/>
  <c r="AL13" i="51"/>
  <c r="AM13" i="51" s="1"/>
  <c r="AG13" i="51"/>
  <c r="AB13" i="51"/>
  <c r="AC13" i="51" s="1"/>
  <c r="W13" i="51"/>
  <c r="X13" i="51" s="1"/>
  <c r="R13" i="51"/>
  <c r="K13" i="51" s="1"/>
  <c r="J13" i="51"/>
  <c r="I13" i="51"/>
  <c r="G13" i="51"/>
  <c r="AV12" i="51"/>
  <c r="AQ12" i="51"/>
  <c r="AR12" i="51" s="1"/>
  <c r="AL12" i="51"/>
  <c r="AG12" i="51"/>
  <c r="AB12" i="51"/>
  <c r="AC12" i="51" s="1"/>
  <c r="W12" i="51"/>
  <c r="X12" i="51" s="1"/>
  <c r="R12" i="51"/>
  <c r="S12" i="51" s="1"/>
  <c r="K12" i="51"/>
  <c r="J12" i="51"/>
  <c r="I12" i="51"/>
  <c r="G12" i="51"/>
  <c r="AV11" i="51"/>
  <c r="AQ11" i="51"/>
  <c r="AR11" i="51" s="1"/>
  <c r="AL11" i="51"/>
  <c r="AM11" i="51" s="1"/>
  <c r="AG11" i="51"/>
  <c r="AH11" i="51" s="1"/>
  <c r="AB11" i="51"/>
  <c r="AC11" i="51" s="1"/>
  <c r="W11" i="51"/>
  <c r="R11" i="51"/>
  <c r="S11" i="51" s="1"/>
  <c r="J11" i="51"/>
  <c r="I11" i="51"/>
  <c r="G11" i="51"/>
  <c r="AV10" i="51"/>
  <c r="AW10" i="51" s="1"/>
  <c r="AQ10" i="51"/>
  <c r="AR10" i="51" s="1"/>
  <c r="AL10" i="51"/>
  <c r="AG10" i="51"/>
  <c r="AH10" i="51" s="1"/>
  <c r="AB10" i="51"/>
  <c r="AC10" i="51" s="1"/>
  <c r="W10" i="51"/>
  <c r="R10" i="51"/>
  <c r="S10" i="51" s="1"/>
  <c r="J10" i="51"/>
  <c r="I10" i="51"/>
  <c r="G10" i="51"/>
  <c r="AV9" i="51"/>
  <c r="AW9" i="51" s="1"/>
  <c r="AQ9" i="51"/>
  <c r="AR9" i="51" s="1"/>
  <c r="AL9" i="51"/>
  <c r="AM9" i="51" s="1"/>
  <c r="AG9" i="51"/>
  <c r="AH9" i="51" s="1"/>
  <c r="AB9" i="51"/>
  <c r="AC9" i="51" s="1"/>
  <c r="W9" i="51"/>
  <c r="R9" i="51"/>
  <c r="S9" i="51" s="1"/>
  <c r="J9" i="51"/>
  <c r="I9" i="51"/>
  <c r="G9" i="51"/>
  <c r="AV8" i="51"/>
  <c r="AW8" i="51" s="1"/>
  <c r="AQ8" i="51"/>
  <c r="AL8" i="51"/>
  <c r="AG8" i="51"/>
  <c r="AH8" i="51" s="1"/>
  <c r="AB8" i="51"/>
  <c r="W8" i="51"/>
  <c r="R8" i="51"/>
  <c r="S7" i="51" s="1"/>
  <c r="J8" i="51"/>
  <c r="I8" i="51"/>
  <c r="G8" i="51"/>
  <c r="H7" i="51" s="1"/>
  <c r="AV7" i="51"/>
  <c r="AX7" i="51" s="1"/>
  <c r="AQ7" i="51"/>
  <c r="AS7" i="51" s="1"/>
  <c r="AL7" i="51"/>
  <c r="AM12" i="51" s="1"/>
  <c r="AG7" i="51"/>
  <c r="AH13" i="51" s="1"/>
  <c r="AB7" i="51"/>
  <c r="AC8" i="51" s="1"/>
  <c r="W7" i="51"/>
  <c r="R7" i="51"/>
  <c r="J7" i="51"/>
  <c r="I7" i="51"/>
  <c r="G7" i="51"/>
  <c r="P3" i="50"/>
  <c r="U2" i="50"/>
  <c r="U3" i="50" s="1"/>
  <c r="X12" i="49"/>
  <c r="AV16" i="49"/>
  <c r="AW16" i="49" s="1"/>
  <c r="AQ16" i="49"/>
  <c r="AL16" i="49"/>
  <c r="AM16" i="49" s="1"/>
  <c r="AG16" i="49"/>
  <c r="AB16" i="49"/>
  <c r="AC16" i="49" s="1"/>
  <c r="W16" i="49"/>
  <c r="R16" i="49"/>
  <c r="K16" i="49"/>
  <c r="J16" i="49"/>
  <c r="I16" i="49"/>
  <c r="G16" i="49"/>
  <c r="AV15" i="49"/>
  <c r="AW15" i="49" s="1"/>
  <c r="AQ15" i="49"/>
  <c r="AR15" i="49" s="1"/>
  <c r="AL15" i="49"/>
  <c r="AM15" i="49" s="1"/>
  <c r="AG15" i="49"/>
  <c r="AH15" i="49" s="1"/>
  <c r="AB15" i="49"/>
  <c r="AC15" i="49" s="1"/>
  <c r="W15" i="49"/>
  <c r="R15" i="49"/>
  <c r="S15" i="49" s="1"/>
  <c r="J15" i="49"/>
  <c r="I15" i="49"/>
  <c r="G15" i="49"/>
  <c r="AV14" i="49"/>
  <c r="AW14" i="49" s="1"/>
  <c r="AQ14" i="49"/>
  <c r="AR14" i="49" s="1"/>
  <c r="AL14" i="49"/>
  <c r="AG14" i="49"/>
  <c r="AB14" i="49"/>
  <c r="W14" i="49"/>
  <c r="R14" i="49"/>
  <c r="S14" i="49" s="1"/>
  <c r="J14" i="49"/>
  <c r="I14" i="49"/>
  <c r="G14" i="49"/>
  <c r="AV13" i="49"/>
  <c r="AW13" i="49" s="1"/>
  <c r="AQ13" i="49"/>
  <c r="AR13" i="49" s="1"/>
  <c r="AL13" i="49"/>
  <c r="AM13" i="49" s="1"/>
  <c r="AG13" i="49"/>
  <c r="AH13" i="49" s="1"/>
  <c r="AB13" i="49"/>
  <c r="AC13" i="49" s="1"/>
  <c r="W13" i="49"/>
  <c r="X13" i="49" s="1"/>
  <c r="R13" i="49"/>
  <c r="S13" i="49" s="1"/>
  <c r="J13" i="49"/>
  <c r="I13" i="49"/>
  <c r="G13" i="49"/>
  <c r="AV12" i="49"/>
  <c r="AW12" i="49" s="1"/>
  <c r="AQ12" i="49"/>
  <c r="AL12" i="49"/>
  <c r="AG12" i="49"/>
  <c r="AB12" i="49"/>
  <c r="AC12" i="49" s="1"/>
  <c r="W12" i="49"/>
  <c r="R12" i="49"/>
  <c r="S12" i="49" s="1"/>
  <c r="J12" i="49"/>
  <c r="I12" i="49"/>
  <c r="G12" i="49"/>
  <c r="AV11" i="49"/>
  <c r="AW11" i="49" s="1"/>
  <c r="AQ11" i="49"/>
  <c r="AL11" i="49"/>
  <c r="AM11" i="49" s="1"/>
  <c r="AG11" i="49"/>
  <c r="AH11" i="49" s="1"/>
  <c r="AB11" i="49"/>
  <c r="AC11" i="49" s="1"/>
  <c r="W11" i="49"/>
  <c r="X11" i="49" s="1"/>
  <c r="R11" i="49"/>
  <c r="S11" i="49" s="1"/>
  <c r="J11" i="49"/>
  <c r="I11" i="49"/>
  <c r="G11" i="49"/>
  <c r="AV10" i="49"/>
  <c r="AW10" i="49" s="1"/>
  <c r="AQ10" i="49"/>
  <c r="AR10" i="49" s="1"/>
  <c r="AL10" i="49"/>
  <c r="AG10" i="49"/>
  <c r="AH10" i="49" s="1"/>
  <c r="AB10" i="49"/>
  <c r="AC10" i="49" s="1"/>
  <c r="W10" i="49"/>
  <c r="R10" i="49"/>
  <c r="S10" i="49" s="1"/>
  <c r="J10" i="49"/>
  <c r="I10" i="49"/>
  <c r="G10" i="49"/>
  <c r="AV9" i="49"/>
  <c r="AW9" i="49" s="1"/>
  <c r="AQ9" i="49"/>
  <c r="AR9" i="49" s="1"/>
  <c r="AL9" i="49"/>
  <c r="AM9" i="49" s="1"/>
  <c r="AG9" i="49"/>
  <c r="AH9" i="49" s="1"/>
  <c r="AB9" i="49"/>
  <c r="AC9" i="49" s="1"/>
  <c r="W9" i="49"/>
  <c r="X9" i="49" s="1"/>
  <c r="R9" i="49"/>
  <c r="S9" i="49" s="1"/>
  <c r="J9" i="49"/>
  <c r="I9" i="49"/>
  <c r="G9" i="49"/>
  <c r="AV8" i="49"/>
  <c r="AQ8" i="49"/>
  <c r="AR8" i="49" s="1"/>
  <c r="AL8" i="49"/>
  <c r="AG8" i="49"/>
  <c r="AB8" i="49"/>
  <c r="W8" i="49"/>
  <c r="X8" i="49" s="1"/>
  <c r="R8" i="49"/>
  <c r="S8" i="49" s="1"/>
  <c r="J8" i="49"/>
  <c r="I8" i="49"/>
  <c r="G8" i="49"/>
  <c r="AV7" i="49"/>
  <c r="AX7" i="49" s="1"/>
  <c r="AQ7" i="49"/>
  <c r="AS7" i="49" s="1"/>
  <c r="AL7" i="49"/>
  <c r="AM10" i="49" s="1"/>
  <c r="AG7" i="49"/>
  <c r="AH12" i="49" s="1"/>
  <c r="AB7" i="49"/>
  <c r="W7" i="49"/>
  <c r="Y7" i="49" s="1"/>
  <c r="R7" i="49"/>
  <c r="T7" i="49" s="1"/>
  <c r="J7" i="49"/>
  <c r="I7" i="49"/>
  <c r="G7" i="49"/>
  <c r="AV13" i="48"/>
  <c r="AW13" i="48" s="1"/>
  <c r="AV12" i="48"/>
  <c r="AW12" i="48" s="1"/>
  <c r="AV11" i="48"/>
  <c r="AW11" i="48" s="1"/>
  <c r="AV10" i="48"/>
  <c r="AW10" i="48" s="1"/>
  <c r="AV9" i="48"/>
  <c r="K9" i="48" s="1"/>
  <c r="AV8" i="48"/>
  <c r="AW8" i="48" s="1"/>
  <c r="AV7" i="48"/>
  <c r="AX7" i="48" s="1"/>
  <c r="AH11" i="48"/>
  <c r="AH10" i="48"/>
  <c r="AH9" i="48"/>
  <c r="AH8" i="48"/>
  <c r="AH7" i="48"/>
  <c r="S11" i="48"/>
  <c r="S12" i="48"/>
  <c r="S13" i="48"/>
  <c r="AQ13" i="48"/>
  <c r="AL13" i="48"/>
  <c r="AG13" i="48"/>
  <c r="AB13" i="48"/>
  <c r="W13" i="48"/>
  <c r="R13" i="48"/>
  <c r="K13" i="48" s="1"/>
  <c r="J13" i="48"/>
  <c r="I13" i="48"/>
  <c r="G13" i="48"/>
  <c r="AQ12" i="48"/>
  <c r="AR12" i="48" s="1"/>
  <c r="AL12" i="48"/>
  <c r="AM12" i="48" s="1"/>
  <c r="AG12" i="48"/>
  <c r="AB12" i="48"/>
  <c r="AC12" i="48" s="1"/>
  <c r="W12" i="48"/>
  <c r="X12" i="48" s="1"/>
  <c r="R12" i="48"/>
  <c r="K12" i="48"/>
  <c r="J12" i="48"/>
  <c r="I12" i="48"/>
  <c r="G12" i="48"/>
  <c r="AQ11" i="48"/>
  <c r="AR11" i="48" s="1"/>
  <c r="AL11" i="48"/>
  <c r="AG11" i="48"/>
  <c r="AB11" i="48"/>
  <c r="AC11" i="48" s="1"/>
  <c r="W11" i="48"/>
  <c r="R11" i="48"/>
  <c r="K11" i="48" s="1"/>
  <c r="J11" i="48"/>
  <c r="I11" i="48"/>
  <c r="G11" i="48"/>
  <c r="AQ10" i="48"/>
  <c r="AR10" i="48" s="1"/>
  <c r="AL10" i="48"/>
  <c r="AM10" i="48" s="1"/>
  <c r="AG10" i="48"/>
  <c r="AB10" i="48"/>
  <c r="AC10" i="48" s="1"/>
  <c r="W10" i="48"/>
  <c r="X10" i="48" s="1"/>
  <c r="R10" i="48"/>
  <c r="S10" i="48" s="1"/>
  <c r="J10" i="48"/>
  <c r="I10" i="48"/>
  <c r="G10" i="48"/>
  <c r="AQ9" i="48"/>
  <c r="AR9" i="48" s="1"/>
  <c r="AL9" i="48"/>
  <c r="AM9" i="48" s="1"/>
  <c r="AG9" i="48"/>
  <c r="AB9" i="48"/>
  <c r="AC9" i="48" s="1"/>
  <c r="W9" i="48"/>
  <c r="R9" i="48"/>
  <c r="J9" i="48"/>
  <c r="I9" i="48"/>
  <c r="G9" i="48"/>
  <c r="AQ8" i="48"/>
  <c r="AR8" i="48" s="1"/>
  <c r="AL8" i="48"/>
  <c r="AG8" i="48"/>
  <c r="AB8" i="48"/>
  <c r="AC8" i="48" s="1"/>
  <c r="W8" i="48"/>
  <c r="X9" i="48" s="1"/>
  <c r="R8" i="48"/>
  <c r="S8" i="48" s="1"/>
  <c r="J8" i="48"/>
  <c r="I8" i="48"/>
  <c r="G8" i="48"/>
  <c r="AQ7" i="48"/>
  <c r="AR13" i="48" s="1"/>
  <c r="AL7" i="48"/>
  <c r="AG7" i="48"/>
  <c r="AI7" i="48" s="1"/>
  <c r="AB7" i="48"/>
  <c r="W7" i="48"/>
  <c r="R7" i="48"/>
  <c r="J7" i="48"/>
  <c r="I7" i="48"/>
  <c r="G7" i="48"/>
  <c r="AW8" i="47"/>
  <c r="AR11" i="47"/>
  <c r="AR7" i="47"/>
  <c r="AM10" i="47"/>
  <c r="X10" i="47"/>
  <c r="X7" i="47"/>
  <c r="AV12" i="47"/>
  <c r="AQ12" i="47"/>
  <c r="AR12" i="47" s="1"/>
  <c r="AL12" i="47"/>
  <c r="AM12" i="47" s="1"/>
  <c r="AG12" i="47"/>
  <c r="AH12" i="47" s="1"/>
  <c r="AB12" i="47"/>
  <c r="AC12" i="47" s="1"/>
  <c r="W12" i="47"/>
  <c r="R12" i="47"/>
  <c r="S12" i="47" s="1"/>
  <c r="J12" i="47"/>
  <c r="I12" i="47"/>
  <c r="G12" i="47"/>
  <c r="AV11" i="47"/>
  <c r="AW11" i="47" s="1"/>
  <c r="AQ11" i="47"/>
  <c r="AL11" i="47"/>
  <c r="AM11" i="47" s="1"/>
  <c r="AG11" i="47"/>
  <c r="AH11" i="47" s="1"/>
  <c r="AB11" i="47"/>
  <c r="AC11" i="47" s="1"/>
  <c r="W11" i="47"/>
  <c r="R11" i="47"/>
  <c r="S11" i="47" s="1"/>
  <c r="J11" i="47"/>
  <c r="I11" i="47"/>
  <c r="G11" i="47"/>
  <c r="AV10" i="47"/>
  <c r="AQ10" i="47"/>
  <c r="AR10" i="47" s="1"/>
  <c r="AL10" i="47"/>
  <c r="AM8" i="47" s="1"/>
  <c r="AG10" i="47"/>
  <c r="AH10" i="47" s="1"/>
  <c r="AB10" i="47"/>
  <c r="AC10" i="47" s="1"/>
  <c r="W10" i="47"/>
  <c r="R10" i="47"/>
  <c r="S10" i="47" s="1"/>
  <c r="J10" i="47"/>
  <c r="I10" i="47"/>
  <c r="G10" i="47"/>
  <c r="AG9" i="47"/>
  <c r="AB9" i="47"/>
  <c r="AC9" i="47" s="1"/>
  <c r="W9" i="47"/>
  <c r="X9" i="47" s="1"/>
  <c r="R9" i="47"/>
  <c r="S9" i="47" s="1"/>
  <c r="J9" i="47"/>
  <c r="I9" i="47"/>
  <c r="G9" i="47"/>
  <c r="AV8" i="47"/>
  <c r="AQ8" i="47"/>
  <c r="AR8" i="47" s="1"/>
  <c r="AL8" i="47"/>
  <c r="AG8" i="47"/>
  <c r="AI7" i="47" s="1"/>
  <c r="AB8" i="47"/>
  <c r="K8" i="47" s="1"/>
  <c r="W8" i="47"/>
  <c r="X12" i="47" s="1"/>
  <c r="R8" i="47"/>
  <c r="S8" i="47" s="1"/>
  <c r="J8" i="47"/>
  <c r="I8" i="47"/>
  <c r="G8" i="47"/>
  <c r="AV7" i="47"/>
  <c r="AW12" i="47" s="1"/>
  <c r="AQ7" i="47"/>
  <c r="AL7" i="47"/>
  <c r="AG7" i="47"/>
  <c r="AB7" i="47"/>
  <c r="W7" i="47"/>
  <c r="R7" i="47"/>
  <c r="J7" i="47"/>
  <c r="I7" i="47"/>
  <c r="G7" i="47"/>
  <c r="H7" i="47" s="1"/>
  <c r="AW7" i="46"/>
  <c r="AR7" i="46"/>
  <c r="AM7" i="46"/>
  <c r="AN7" i="46"/>
  <c r="AH7" i="46"/>
  <c r="AC7" i="46"/>
  <c r="X7" i="46"/>
  <c r="S7" i="46"/>
  <c r="M7" i="46"/>
  <c r="AX7" i="46"/>
  <c r="AV7" i="46"/>
  <c r="AQ7" i="46"/>
  <c r="AS7" i="46" s="1"/>
  <c r="AL7" i="46"/>
  <c r="AG7" i="46"/>
  <c r="AI7" i="46" s="1"/>
  <c r="AB7" i="46"/>
  <c r="W7" i="46"/>
  <c r="Y7" i="46" s="1"/>
  <c r="R7" i="46"/>
  <c r="K7" i="46" s="1"/>
  <c r="J7" i="46"/>
  <c r="I7" i="46"/>
  <c r="G7" i="46"/>
  <c r="H7" i="46" s="1"/>
  <c r="AR7" i="45"/>
  <c r="AM8" i="45"/>
  <c r="AC8" i="45"/>
  <c r="AC7" i="45"/>
  <c r="X7" i="45"/>
  <c r="AV9" i="45"/>
  <c r="AW9" i="45" s="1"/>
  <c r="AQ9" i="45"/>
  <c r="AR9" i="45" s="1"/>
  <c r="AL9" i="45"/>
  <c r="AM9" i="45" s="1"/>
  <c r="AG9" i="45"/>
  <c r="K9" i="45" s="1"/>
  <c r="AB9" i="45"/>
  <c r="AC9" i="45" s="1"/>
  <c r="W9" i="45"/>
  <c r="R9" i="45"/>
  <c r="J9" i="45"/>
  <c r="I9" i="45"/>
  <c r="G9" i="45"/>
  <c r="AV8" i="45"/>
  <c r="AQ8" i="45"/>
  <c r="AL8" i="45"/>
  <c r="AG8" i="45"/>
  <c r="AH8" i="45" s="1"/>
  <c r="AB8" i="45"/>
  <c r="W8" i="45"/>
  <c r="X9" i="45" s="1"/>
  <c r="R8" i="45"/>
  <c r="S8" i="45" s="1"/>
  <c r="K8" i="45"/>
  <c r="J8" i="45"/>
  <c r="I8" i="45"/>
  <c r="G8" i="45"/>
  <c r="AV7" i="45"/>
  <c r="AX7" i="45" s="1"/>
  <c r="AQ7" i="45"/>
  <c r="AL7" i="45"/>
  <c r="AG7" i="45"/>
  <c r="AB7" i="45"/>
  <c r="AD7" i="45" s="1"/>
  <c r="W7" i="45"/>
  <c r="R7" i="45"/>
  <c r="S7" i="45" s="1"/>
  <c r="J7" i="45"/>
  <c r="I7" i="45"/>
  <c r="G7" i="45"/>
  <c r="AV40" i="44"/>
  <c r="AQ40" i="44"/>
  <c r="AL40" i="44"/>
  <c r="AG40" i="44"/>
  <c r="AB40" i="44"/>
  <c r="W40" i="44"/>
  <c r="R40" i="44"/>
  <c r="J40" i="44"/>
  <c r="I40" i="44"/>
  <c r="G40" i="44"/>
  <c r="AV39" i="44"/>
  <c r="AQ39" i="44"/>
  <c r="AL39" i="44"/>
  <c r="AG39" i="44"/>
  <c r="AB39" i="44"/>
  <c r="W39" i="44"/>
  <c r="R39" i="44"/>
  <c r="J39" i="44"/>
  <c r="I39" i="44"/>
  <c r="G39" i="44"/>
  <c r="AV38" i="44"/>
  <c r="AQ38" i="44"/>
  <c r="AL38" i="44"/>
  <c r="AG38" i="44"/>
  <c r="AB38" i="44"/>
  <c r="W38" i="44"/>
  <c r="R38" i="44"/>
  <c r="J38" i="44"/>
  <c r="I38" i="44"/>
  <c r="G38" i="44"/>
  <c r="AV37" i="44"/>
  <c r="AQ37" i="44"/>
  <c r="AL37" i="44"/>
  <c r="AG37" i="44"/>
  <c r="AB37" i="44"/>
  <c r="W37" i="44"/>
  <c r="R37" i="44"/>
  <c r="J37" i="44"/>
  <c r="I37" i="44"/>
  <c r="G37" i="44"/>
  <c r="AV36" i="44"/>
  <c r="AQ36" i="44"/>
  <c r="AL36" i="44"/>
  <c r="AG36" i="44"/>
  <c r="AB36" i="44"/>
  <c r="W36" i="44"/>
  <c r="R36" i="44"/>
  <c r="J36" i="44"/>
  <c r="I36" i="44"/>
  <c r="G36" i="44"/>
  <c r="AV35" i="44"/>
  <c r="AQ35" i="44"/>
  <c r="AL35" i="44"/>
  <c r="AG35" i="44"/>
  <c r="AB35" i="44"/>
  <c r="W35" i="44"/>
  <c r="R35" i="44"/>
  <c r="K35" i="44" s="1"/>
  <c r="J35" i="44"/>
  <c r="I35" i="44"/>
  <c r="G35" i="44"/>
  <c r="AV34" i="44"/>
  <c r="AQ34" i="44"/>
  <c r="AL34" i="44"/>
  <c r="AG34" i="44"/>
  <c r="AB34" i="44"/>
  <c r="W34" i="44"/>
  <c r="R34" i="44"/>
  <c r="J34" i="44"/>
  <c r="I34" i="44"/>
  <c r="G34" i="44"/>
  <c r="AV33" i="44"/>
  <c r="AQ33" i="44"/>
  <c r="AL33" i="44"/>
  <c r="AG33" i="44"/>
  <c r="AB33" i="44"/>
  <c r="W33" i="44"/>
  <c r="R33" i="44"/>
  <c r="J33" i="44"/>
  <c r="I33" i="44"/>
  <c r="G33" i="44"/>
  <c r="AV32" i="44"/>
  <c r="AQ32" i="44"/>
  <c r="AL32" i="44"/>
  <c r="AG32" i="44"/>
  <c r="AB32" i="44"/>
  <c r="W32" i="44"/>
  <c r="R32" i="44"/>
  <c r="J32" i="44"/>
  <c r="I32" i="44"/>
  <c r="G32" i="44"/>
  <c r="AV31" i="44"/>
  <c r="AQ31" i="44"/>
  <c r="AL31" i="44"/>
  <c r="AG31" i="44"/>
  <c r="AB31" i="44"/>
  <c r="W31" i="44"/>
  <c r="R31" i="44"/>
  <c r="J31" i="44"/>
  <c r="I31" i="44"/>
  <c r="G31" i="44"/>
  <c r="AV30" i="44"/>
  <c r="AQ30" i="44"/>
  <c r="AL30" i="44"/>
  <c r="AG30" i="44"/>
  <c r="AB30" i="44"/>
  <c r="W30" i="44"/>
  <c r="R30" i="44"/>
  <c r="J30" i="44"/>
  <c r="I30" i="44"/>
  <c r="G30" i="44"/>
  <c r="AV29" i="44"/>
  <c r="AQ29" i="44"/>
  <c r="AL29" i="44"/>
  <c r="AG29" i="44"/>
  <c r="AB29" i="44"/>
  <c r="W29" i="44"/>
  <c r="R29" i="44"/>
  <c r="J29" i="44"/>
  <c r="I29" i="44"/>
  <c r="G29" i="44"/>
  <c r="AV28" i="44"/>
  <c r="AQ28" i="44"/>
  <c r="AL28" i="44"/>
  <c r="AG28" i="44"/>
  <c r="AB28" i="44"/>
  <c r="W28" i="44"/>
  <c r="X28" i="44" s="1"/>
  <c r="R28" i="44"/>
  <c r="J28" i="44"/>
  <c r="I28" i="44"/>
  <c r="G28" i="44"/>
  <c r="AV27" i="44"/>
  <c r="AQ27" i="44"/>
  <c r="AL27" i="44"/>
  <c r="AG27" i="44"/>
  <c r="AB27" i="44"/>
  <c r="W27" i="44"/>
  <c r="R27" i="44"/>
  <c r="J27" i="44"/>
  <c r="I27" i="44"/>
  <c r="G27" i="44"/>
  <c r="AV26" i="44"/>
  <c r="AQ26" i="44"/>
  <c r="AL26" i="44"/>
  <c r="AG26" i="44"/>
  <c r="AB26" i="44"/>
  <c r="W26" i="44"/>
  <c r="R26" i="44"/>
  <c r="J26" i="44"/>
  <c r="I26" i="44"/>
  <c r="G26" i="44"/>
  <c r="AV25" i="44"/>
  <c r="AQ25" i="44"/>
  <c r="AL25" i="44"/>
  <c r="AG25" i="44"/>
  <c r="AB25" i="44"/>
  <c r="W25" i="44"/>
  <c r="R25" i="44"/>
  <c r="J25" i="44"/>
  <c r="I25" i="44"/>
  <c r="G25" i="44"/>
  <c r="AV24" i="44"/>
  <c r="AQ24" i="44"/>
  <c r="AL24" i="44"/>
  <c r="AG24" i="44"/>
  <c r="AB24" i="44"/>
  <c r="W24" i="44"/>
  <c r="X24" i="44" s="1"/>
  <c r="R24" i="44"/>
  <c r="J24" i="44"/>
  <c r="I24" i="44"/>
  <c r="G24" i="44"/>
  <c r="AV23" i="44"/>
  <c r="AQ23" i="44"/>
  <c r="AL23" i="44"/>
  <c r="AG23" i="44"/>
  <c r="AB23" i="44"/>
  <c r="W23" i="44"/>
  <c r="R23" i="44"/>
  <c r="J23" i="44"/>
  <c r="I23" i="44"/>
  <c r="G23" i="44"/>
  <c r="AV22" i="44"/>
  <c r="AQ22" i="44"/>
  <c r="AL22" i="44"/>
  <c r="AG22" i="44"/>
  <c r="AB22" i="44"/>
  <c r="W22" i="44"/>
  <c r="X22" i="44" s="1"/>
  <c r="R22" i="44"/>
  <c r="K22" i="44" s="1"/>
  <c r="J22" i="44"/>
  <c r="I22" i="44"/>
  <c r="G22" i="44"/>
  <c r="AV21" i="44"/>
  <c r="AQ21" i="44"/>
  <c r="AL21" i="44"/>
  <c r="AG21" i="44"/>
  <c r="AB21" i="44"/>
  <c r="W21" i="44"/>
  <c r="R21" i="44"/>
  <c r="J21" i="44"/>
  <c r="I21" i="44"/>
  <c r="G21" i="44"/>
  <c r="AV20" i="44"/>
  <c r="AQ20" i="44"/>
  <c r="AL20" i="44"/>
  <c r="AG20" i="44"/>
  <c r="AB20" i="44"/>
  <c r="W20" i="44"/>
  <c r="R20" i="44"/>
  <c r="K20" i="44"/>
  <c r="J20" i="44"/>
  <c r="I20" i="44"/>
  <c r="G20" i="44"/>
  <c r="AG19" i="44"/>
  <c r="AB19" i="44"/>
  <c r="W19" i="44"/>
  <c r="R19" i="44"/>
  <c r="J19" i="44"/>
  <c r="I19" i="44"/>
  <c r="G19" i="44"/>
  <c r="AV18" i="44"/>
  <c r="AQ18" i="44"/>
  <c r="AL18" i="44"/>
  <c r="AG18" i="44"/>
  <c r="AB18" i="44"/>
  <c r="W18" i="44"/>
  <c r="R18" i="44"/>
  <c r="J18" i="44"/>
  <c r="I18" i="44"/>
  <c r="G18" i="44"/>
  <c r="AV17" i="44"/>
  <c r="AQ17" i="44"/>
  <c r="AL17" i="44"/>
  <c r="AG17" i="44"/>
  <c r="AB17" i="44"/>
  <c r="W17" i="44"/>
  <c r="R17" i="44"/>
  <c r="J17" i="44"/>
  <c r="I17" i="44"/>
  <c r="G17" i="44"/>
  <c r="AV16" i="44"/>
  <c r="AQ16" i="44"/>
  <c r="AL16" i="44"/>
  <c r="AG16" i="44"/>
  <c r="AB16" i="44"/>
  <c r="W16" i="44"/>
  <c r="R16" i="44"/>
  <c r="J16" i="44"/>
  <c r="I16" i="44"/>
  <c r="G16" i="44"/>
  <c r="AV15" i="44"/>
  <c r="AQ15" i="44"/>
  <c r="AL15" i="44"/>
  <c r="AG15" i="44"/>
  <c r="AB15" i="44"/>
  <c r="W15" i="44"/>
  <c r="R15" i="44"/>
  <c r="J15" i="44"/>
  <c r="I15" i="44"/>
  <c r="G15" i="44"/>
  <c r="AV14" i="44"/>
  <c r="AQ14" i="44"/>
  <c r="AL14" i="44"/>
  <c r="AG14" i="44"/>
  <c r="AB14" i="44"/>
  <c r="W14" i="44"/>
  <c r="R14" i="44"/>
  <c r="J14" i="44"/>
  <c r="I14" i="44"/>
  <c r="G14" i="44"/>
  <c r="AV13" i="44"/>
  <c r="AQ13" i="44"/>
  <c r="AL13" i="44"/>
  <c r="AG13" i="44"/>
  <c r="AB13" i="44"/>
  <c r="W13" i="44"/>
  <c r="R13" i="44"/>
  <c r="J13" i="44"/>
  <c r="I13" i="44"/>
  <c r="G13" i="44"/>
  <c r="AV12" i="44"/>
  <c r="AQ12" i="44"/>
  <c r="AL12" i="44"/>
  <c r="AG12" i="44"/>
  <c r="AB12" i="44"/>
  <c r="W12" i="44"/>
  <c r="R12" i="44"/>
  <c r="K12" i="44" s="1"/>
  <c r="J12" i="44"/>
  <c r="I12" i="44"/>
  <c r="G12" i="44"/>
  <c r="AV11" i="44"/>
  <c r="AQ11" i="44"/>
  <c r="AL11" i="44"/>
  <c r="AG11" i="44"/>
  <c r="AB11" i="44"/>
  <c r="W11" i="44"/>
  <c r="R11" i="44"/>
  <c r="J11" i="44"/>
  <c r="I11" i="44"/>
  <c r="G11" i="44"/>
  <c r="AV10" i="44"/>
  <c r="AQ10" i="44"/>
  <c r="AL10" i="44"/>
  <c r="AG10" i="44"/>
  <c r="AB10" i="44"/>
  <c r="W10" i="44"/>
  <c r="R10" i="44"/>
  <c r="K10" i="44"/>
  <c r="J10" i="44"/>
  <c r="I10" i="44"/>
  <c r="G10" i="44"/>
  <c r="AV9" i="44"/>
  <c r="AQ9" i="44"/>
  <c r="AL9" i="44"/>
  <c r="AG9" i="44"/>
  <c r="AB9" i="44"/>
  <c r="W9" i="44"/>
  <c r="R9" i="44"/>
  <c r="J9" i="44"/>
  <c r="I9" i="44"/>
  <c r="G9" i="44"/>
  <c r="AV8" i="44"/>
  <c r="AQ8" i="44"/>
  <c r="AL8" i="44"/>
  <c r="AG8" i="44"/>
  <c r="AB8" i="44"/>
  <c r="W8" i="44"/>
  <c r="R8" i="44"/>
  <c r="K8" i="44"/>
  <c r="J8" i="44"/>
  <c r="I8" i="44"/>
  <c r="G8" i="44"/>
  <c r="AV7" i="44"/>
  <c r="AQ7" i="44"/>
  <c r="AL7" i="44"/>
  <c r="AG7" i="44"/>
  <c r="AB7" i="44"/>
  <c r="W7" i="44"/>
  <c r="R7" i="44"/>
  <c r="J7" i="44"/>
  <c r="I7" i="44"/>
  <c r="G7" i="44"/>
  <c r="D8" i="6"/>
  <c r="AC13" i="6"/>
  <c r="S13" i="6"/>
  <c r="M13" i="6"/>
  <c r="AC12" i="6"/>
  <c r="S12" i="6"/>
  <c r="M12" i="6"/>
  <c r="F12" i="6" s="1"/>
  <c r="AC11" i="6"/>
  <c r="S11" i="6"/>
  <c r="F11" i="6" s="1"/>
  <c r="M11" i="6"/>
  <c r="AC10" i="6"/>
  <c r="S10" i="6"/>
  <c r="M10" i="6"/>
  <c r="F10" i="6"/>
  <c r="AC9" i="6"/>
  <c r="S9" i="6"/>
  <c r="M9" i="6"/>
  <c r="F9" i="6"/>
  <c r="AC8" i="6"/>
  <c r="S8" i="6"/>
  <c r="M8" i="6"/>
  <c r="F8" i="6" s="1"/>
  <c r="AC7" i="6"/>
  <c r="S7" i="6"/>
  <c r="F7" i="6" s="1"/>
  <c r="M7" i="6"/>
  <c r="B7" i="7"/>
  <c r="AC13" i="7"/>
  <c r="S13" i="7"/>
  <c r="M13" i="7"/>
  <c r="AC12" i="7"/>
  <c r="S12" i="7"/>
  <c r="M12" i="7"/>
  <c r="F12" i="7" s="1"/>
  <c r="AC11" i="7"/>
  <c r="S11" i="7"/>
  <c r="M11" i="7"/>
  <c r="F11" i="7" s="1"/>
  <c r="AC10" i="7"/>
  <c r="S10" i="7"/>
  <c r="M10" i="7"/>
  <c r="AC9" i="7"/>
  <c r="S9" i="7"/>
  <c r="M9" i="7"/>
  <c r="F9" i="7"/>
  <c r="L9" i="7" s="1"/>
  <c r="AC8" i="7"/>
  <c r="F8" i="7" s="1"/>
  <c r="S8" i="7"/>
  <c r="M8" i="7"/>
  <c r="AC7" i="7"/>
  <c r="S7" i="7"/>
  <c r="M7" i="7"/>
  <c r="AW7" i="52" l="1"/>
  <c r="AX7" i="52"/>
  <c r="AW9" i="52"/>
  <c r="K7" i="52"/>
  <c r="Y7" i="52"/>
  <c r="AD7" i="52"/>
  <c r="S7" i="52"/>
  <c r="K10" i="52"/>
  <c r="M10" i="52" s="1"/>
  <c r="AH7" i="52"/>
  <c r="X11" i="51"/>
  <c r="AM10" i="51"/>
  <c r="AR8" i="51"/>
  <c r="AM8" i="51"/>
  <c r="AI7" i="51"/>
  <c r="AD7" i="51"/>
  <c r="AN7" i="51"/>
  <c r="X8" i="51"/>
  <c r="S13" i="51"/>
  <c r="AH7" i="51"/>
  <c r="AM7" i="51"/>
  <c r="AR7" i="51"/>
  <c r="AW7" i="51"/>
  <c r="X7" i="51"/>
  <c r="AC7" i="51"/>
  <c r="X10" i="51"/>
  <c r="X9" i="51"/>
  <c r="Y7" i="51"/>
  <c r="K15" i="49"/>
  <c r="AI7" i="49"/>
  <c r="X10" i="49"/>
  <c r="AD7" i="49"/>
  <c r="AR16" i="49"/>
  <c r="AW8" i="49"/>
  <c r="AH16" i="49"/>
  <c r="AH14" i="49"/>
  <c r="X16" i="49"/>
  <c r="AC8" i="49"/>
  <c r="S7" i="49"/>
  <c r="X14" i="49"/>
  <c r="K7" i="49"/>
  <c r="K9" i="49"/>
  <c r="K11" i="49"/>
  <c r="K13" i="49"/>
  <c r="X15" i="49"/>
  <c r="AC14" i="49"/>
  <c r="K12" i="49"/>
  <c r="M12" i="49" s="1"/>
  <c r="AM14" i="49"/>
  <c r="K10" i="49"/>
  <c r="S16" i="49"/>
  <c r="AM12" i="49"/>
  <c r="K8" i="49"/>
  <c r="AH8" i="49"/>
  <c r="AR11" i="49"/>
  <c r="AM8" i="49"/>
  <c r="H7" i="49"/>
  <c r="AR12" i="49"/>
  <c r="AN7" i="48"/>
  <c r="S7" i="48"/>
  <c r="AC13" i="48"/>
  <c r="X7" i="48"/>
  <c r="X8" i="48"/>
  <c r="AM7" i="48"/>
  <c r="X11" i="48"/>
  <c r="AW9" i="48"/>
  <c r="H7" i="48"/>
  <c r="AM11" i="48"/>
  <c r="AS7" i="48"/>
  <c r="X13" i="48"/>
  <c r="AC7" i="48"/>
  <c r="AM13" i="48"/>
  <c r="S9" i="48"/>
  <c r="K7" i="48"/>
  <c r="AR7" i="48"/>
  <c r="AM8" i="48"/>
  <c r="Y7" i="48"/>
  <c r="AH12" i="48"/>
  <c r="AH13" i="48"/>
  <c r="AW7" i="48"/>
  <c r="AD7" i="48"/>
  <c r="X8" i="47"/>
  <c r="X11" i="47"/>
  <c r="AC7" i="47"/>
  <c r="AX7" i="47"/>
  <c r="AC8" i="47"/>
  <c r="AW7" i="47"/>
  <c r="AW10" i="47"/>
  <c r="AH7" i="47"/>
  <c r="T7" i="47"/>
  <c r="AH8" i="47"/>
  <c r="Y7" i="47"/>
  <c r="S7" i="47"/>
  <c r="AH9" i="47"/>
  <c r="AD7" i="47"/>
  <c r="K9" i="47"/>
  <c r="M9" i="47" s="1"/>
  <c r="AN7" i="47"/>
  <c r="AM7" i="47"/>
  <c r="AS7" i="47"/>
  <c r="S9" i="45"/>
  <c r="AW8" i="45"/>
  <c r="AR8" i="45"/>
  <c r="AW7" i="45"/>
  <c r="H7" i="45"/>
  <c r="X8" i="45"/>
  <c r="Y7" i="45"/>
  <c r="AI7" i="45"/>
  <c r="AH7" i="45"/>
  <c r="AN7" i="45"/>
  <c r="AH9" i="45"/>
  <c r="T7" i="45"/>
  <c r="AS7" i="45"/>
  <c r="AM7" i="45"/>
  <c r="X40" i="44"/>
  <c r="X38" i="44"/>
  <c r="X18" i="44"/>
  <c r="X30" i="44"/>
  <c r="AC19" i="44"/>
  <c r="AM9" i="44"/>
  <c r="AW7" i="44"/>
  <c r="S8" i="44"/>
  <c r="X20" i="44"/>
  <c r="X8" i="44"/>
  <c r="X10" i="44"/>
  <c r="K19" i="44"/>
  <c r="AR16" i="44"/>
  <c r="AH15" i="44"/>
  <c r="AR9" i="44"/>
  <c r="AW9" i="44"/>
  <c r="AR11" i="44"/>
  <c r="AR13" i="44"/>
  <c r="AR15" i="44"/>
  <c r="AR17" i="44"/>
  <c r="AW21" i="44"/>
  <c r="AW23" i="44"/>
  <c r="AW25" i="44"/>
  <c r="AW27" i="44"/>
  <c r="AW29" i="44"/>
  <c r="AW31" i="44"/>
  <c r="AW33" i="44"/>
  <c r="AR35" i="44"/>
  <c r="AR37" i="44"/>
  <c r="AW11" i="44"/>
  <c r="AW13" i="44"/>
  <c r="AW15" i="44"/>
  <c r="AR39" i="44"/>
  <c r="AW39" i="44"/>
  <c r="AM27" i="44"/>
  <c r="AM29" i="44"/>
  <c r="AC39" i="44"/>
  <c r="AM11" i="44"/>
  <c r="AR21" i="44"/>
  <c r="AR33" i="44"/>
  <c r="S24" i="44"/>
  <c r="AM24" i="44"/>
  <c r="S38" i="44"/>
  <c r="X12" i="44"/>
  <c r="AR12" i="44"/>
  <c r="AW20" i="44"/>
  <c r="AR40" i="44"/>
  <c r="AW40" i="44"/>
  <c r="AH11" i="44"/>
  <c r="AM23" i="44"/>
  <c r="AM33" i="44"/>
  <c r="AM15" i="44"/>
  <c r="AR27" i="44"/>
  <c r="AH39" i="44"/>
  <c r="X32" i="44"/>
  <c r="AR10" i="44"/>
  <c r="AC40" i="44"/>
  <c r="AM12" i="44"/>
  <c r="AW30" i="44"/>
  <c r="S30" i="44"/>
  <c r="AM31" i="44"/>
  <c r="AR23" i="44"/>
  <c r="AM35" i="44"/>
  <c r="AM20" i="44"/>
  <c r="S20" i="44"/>
  <c r="X34" i="44"/>
  <c r="X16" i="44"/>
  <c r="AH8" i="44"/>
  <c r="AH26" i="44"/>
  <c r="AM32" i="44"/>
  <c r="AW8" i="44"/>
  <c r="AR18" i="44"/>
  <c r="X7" i="44"/>
  <c r="S21" i="44"/>
  <c r="S23" i="44"/>
  <c r="K25" i="44"/>
  <c r="S27" i="44"/>
  <c r="S29" i="44"/>
  <c r="S31" i="44"/>
  <c r="S33" i="44"/>
  <c r="AM13" i="44"/>
  <c r="AR25" i="44"/>
  <c r="AM37" i="44"/>
  <c r="S28" i="44"/>
  <c r="S40" i="44"/>
  <c r="AM26" i="44"/>
  <c r="AM14" i="44"/>
  <c r="AR38" i="44"/>
  <c r="AC36" i="44"/>
  <c r="X9" i="44"/>
  <c r="S11" i="44"/>
  <c r="S13" i="44"/>
  <c r="S15" i="44"/>
  <c r="S17" i="44"/>
  <c r="X21" i="44"/>
  <c r="X23" i="44"/>
  <c r="X25" i="44"/>
  <c r="X27" i="44"/>
  <c r="X29" i="44"/>
  <c r="X31" i="44"/>
  <c r="X33" i="44"/>
  <c r="S35" i="44"/>
  <c r="S37" i="44"/>
  <c r="K39" i="44"/>
  <c r="AM25" i="44"/>
  <c r="AH37" i="44"/>
  <c r="AM17" i="44"/>
  <c r="AR29" i="44"/>
  <c r="AM40" i="44"/>
  <c r="AC22" i="44"/>
  <c r="X36" i="44"/>
  <c r="AH28" i="44"/>
  <c r="AR14" i="44"/>
  <c r="AR30" i="44"/>
  <c r="AM36" i="44"/>
  <c r="AW28" i="44"/>
  <c r="AI7" i="44"/>
  <c r="AC9" i="44"/>
  <c r="X11" i="44"/>
  <c r="X13" i="44"/>
  <c r="X15" i="44"/>
  <c r="X17" i="44"/>
  <c r="S19" i="44"/>
  <c r="AC21" i="44"/>
  <c r="AC23" i="44"/>
  <c r="AC25" i="44"/>
  <c r="AC33" i="44"/>
  <c r="X35" i="44"/>
  <c r="X37" i="44"/>
  <c r="S39" i="44"/>
  <c r="AM21" i="44"/>
  <c r="AH35" i="44"/>
  <c r="AH19" i="44"/>
  <c r="AR31" i="44"/>
  <c r="S18" i="44"/>
  <c r="AC20" i="44"/>
  <c r="AR20" i="44"/>
  <c r="AW26" i="44"/>
  <c r="AM10" i="44"/>
  <c r="AH9" i="44"/>
  <c r="AC13" i="44"/>
  <c r="AC15" i="44"/>
  <c r="AC17" i="44"/>
  <c r="X19" i="44"/>
  <c r="AH23" i="44"/>
  <c r="AH25" i="44"/>
  <c r="AH27" i="44"/>
  <c r="AH29" i="44"/>
  <c r="AH31" i="44"/>
  <c r="AC37" i="44"/>
  <c r="X39" i="44"/>
  <c r="AW10" i="44"/>
  <c r="AC24" i="44"/>
  <c r="AH10" i="44"/>
  <c r="AH30" i="44"/>
  <c r="AM16" i="44"/>
  <c r="AR36" i="44"/>
  <c r="K21" i="44"/>
  <c r="AM38" i="44"/>
  <c r="AW32" i="44"/>
  <c r="AC26" i="44"/>
  <c r="AH12" i="44"/>
  <c r="AH32" i="44"/>
  <c r="AM18" i="44"/>
  <c r="AM39" i="44"/>
  <c r="AR34" i="44"/>
  <c r="AW12" i="44"/>
  <c r="AW34" i="44"/>
  <c r="AC8" i="44"/>
  <c r="AC28" i="44"/>
  <c r="AH14" i="44"/>
  <c r="AH34" i="44"/>
  <c r="AR7" i="44"/>
  <c r="AR32" i="44"/>
  <c r="AW14" i="44"/>
  <c r="AW35" i="44"/>
  <c r="K29" i="44"/>
  <c r="S32" i="44"/>
  <c r="S12" i="44"/>
  <c r="K31" i="44"/>
  <c r="AC29" i="44"/>
  <c r="AM22" i="44"/>
  <c r="AR8" i="44"/>
  <c r="AW36" i="44"/>
  <c r="AW37" i="44"/>
  <c r="S14" i="44"/>
  <c r="AH33" i="44"/>
  <c r="AW38" i="44"/>
  <c r="AW17" i="44"/>
  <c r="X26" i="44"/>
  <c r="AC12" i="44"/>
  <c r="AC32" i="44"/>
  <c r="AH18" i="44"/>
  <c r="AH38" i="44"/>
  <c r="AW18" i="44"/>
  <c r="AC10" i="44"/>
  <c r="AC30" i="44"/>
  <c r="AH36" i="44"/>
  <c r="AR28" i="44"/>
  <c r="K37" i="44"/>
  <c r="AC14" i="44"/>
  <c r="AC34" i="44"/>
  <c r="AH20" i="44"/>
  <c r="AH40" i="44"/>
  <c r="AR26" i="44"/>
  <c r="S26" i="44"/>
  <c r="T7" i="44"/>
  <c r="S25" i="44"/>
  <c r="AC35" i="44"/>
  <c r="AH21" i="44"/>
  <c r="AM7" i="44"/>
  <c r="AW22" i="44"/>
  <c r="AR24" i="44"/>
  <c r="AC16" i="44"/>
  <c r="AH22" i="44"/>
  <c r="K14" i="44"/>
  <c r="AM30" i="44"/>
  <c r="AW24" i="44"/>
  <c r="AW16" i="44"/>
  <c r="S9" i="44"/>
  <c r="AC11" i="44"/>
  <c r="AC31" i="44"/>
  <c r="AH17" i="44"/>
  <c r="AM28" i="44"/>
  <c r="AR22" i="44"/>
  <c r="AH24" i="44"/>
  <c r="K18" i="44"/>
  <c r="S7" i="44"/>
  <c r="AC7" i="44"/>
  <c r="AC27" i="44"/>
  <c r="S10" i="44"/>
  <c r="AC18" i="44"/>
  <c r="K34" i="44"/>
  <c r="X14" i="44"/>
  <c r="S36" i="44"/>
  <c r="S16" i="44"/>
  <c r="S34" i="44"/>
  <c r="AH13" i="44"/>
  <c r="K33" i="44"/>
  <c r="AH16" i="44"/>
  <c r="AC38" i="44"/>
  <c r="AH7" i="44"/>
  <c r="AM34" i="44"/>
  <c r="K16" i="44"/>
  <c r="S22" i="44"/>
  <c r="K36" i="44"/>
  <c r="AM8" i="44"/>
  <c r="N12" i="6"/>
  <c r="N7" i="6"/>
  <c r="N10" i="6"/>
  <c r="N11" i="6"/>
  <c r="T12" i="6"/>
  <c r="AD7" i="6"/>
  <c r="AD12" i="6"/>
  <c r="N9" i="6"/>
  <c r="T7" i="6"/>
  <c r="F13" i="7"/>
  <c r="AI113" i="66"/>
  <c r="H15" i="40" s="1"/>
  <c r="H26" i="41"/>
  <c r="AH113" i="66"/>
  <c r="F15" i="40" s="1"/>
  <c r="F26" i="41"/>
  <c r="F10" i="7"/>
  <c r="AD10" i="7" s="1"/>
  <c r="F7" i="7"/>
  <c r="G7" i="7" s="1"/>
  <c r="N12" i="7"/>
  <c r="AD8" i="7"/>
  <c r="N8" i="7"/>
  <c r="N9" i="7"/>
  <c r="N7" i="7"/>
  <c r="N10" i="7"/>
  <c r="AG32" i="66"/>
  <c r="AS7" i="52"/>
  <c r="AI7" i="52"/>
  <c r="K11" i="51"/>
  <c r="T7" i="51"/>
  <c r="K10" i="51"/>
  <c r="M10" i="51" s="1"/>
  <c r="K9" i="51"/>
  <c r="K8" i="51"/>
  <c r="K7" i="51"/>
  <c r="M12" i="51" s="1"/>
  <c r="Z2" i="50"/>
  <c r="K14" i="49"/>
  <c r="AN7" i="49"/>
  <c r="AH7" i="49"/>
  <c r="M12" i="48"/>
  <c r="T7" i="48"/>
  <c r="K10" i="48"/>
  <c r="K8" i="48"/>
  <c r="K12" i="47"/>
  <c r="K11" i="47"/>
  <c r="K10" i="47"/>
  <c r="K7" i="47"/>
  <c r="L7" i="46"/>
  <c r="AD7" i="46"/>
  <c r="T7" i="46"/>
  <c r="K7" i="45"/>
  <c r="M7" i="45" s="1"/>
  <c r="H7" i="44"/>
  <c r="K38" i="44"/>
  <c r="K24" i="44"/>
  <c r="K28" i="44"/>
  <c r="K32" i="44"/>
  <c r="K7" i="44"/>
  <c r="K11" i="44"/>
  <c r="K15" i="44"/>
  <c r="Y7" i="44"/>
  <c r="K40" i="44"/>
  <c r="K23" i="44"/>
  <c r="AD7" i="44"/>
  <c r="K27" i="44"/>
  <c r="AN7" i="44"/>
  <c r="AS7" i="44"/>
  <c r="K9" i="44"/>
  <c r="K26" i="44"/>
  <c r="K30" i="44"/>
  <c r="AX7" i="44"/>
  <c r="K13" i="44"/>
  <c r="K17" i="44"/>
  <c r="D9" i="6"/>
  <c r="D10" i="6" s="1"/>
  <c r="D11" i="6" s="1"/>
  <c r="D12" i="6" s="1"/>
  <c r="D13" i="6" s="1"/>
  <c r="D14" i="6" s="1"/>
  <c r="D15" i="6" s="1"/>
  <c r="B7" i="6"/>
  <c r="AL8" i="6"/>
  <c r="AJ8" i="6"/>
  <c r="AH8" i="6"/>
  <c r="AF8" i="6"/>
  <c r="AB8" i="6"/>
  <c r="Z8" i="6"/>
  <c r="X8" i="6"/>
  <c r="V8" i="6"/>
  <c r="R8" i="6"/>
  <c r="P8" i="6"/>
  <c r="J8" i="6"/>
  <c r="L8" i="6"/>
  <c r="AL10" i="6"/>
  <c r="AJ10" i="6"/>
  <c r="AH10" i="6"/>
  <c r="AF10" i="6"/>
  <c r="AB10" i="6"/>
  <c r="Z10" i="6"/>
  <c r="X10" i="6"/>
  <c r="V10" i="6"/>
  <c r="R10" i="6"/>
  <c r="P10" i="6"/>
  <c r="AD10" i="6"/>
  <c r="N8" i="6"/>
  <c r="AL11" i="6"/>
  <c r="AJ11" i="6"/>
  <c r="AH11" i="6"/>
  <c r="AF11" i="6"/>
  <c r="AB11" i="6"/>
  <c r="Z11" i="6"/>
  <c r="X11" i="6"/>
  <c r="V11" i="6"/>
  <c r="R11" i="6"/>
  <c r="P11" i="6"/>
  <c r="T8" i="6"/>
  <c r="J11" i="6"/>
  <c r="AD8" i="6"/>
  <c r="L11" i="6"/>
  <c r="AL9" i="6"/>
  <c r="AJ9" i="6"/>
  <c r="AH9" i="6"/>
  <c r="AF9" i="6"/>
  <c r="AB9" i="6"/>
  <c r="Z9" i="6"/>
  <c r="X9" i="6"/>
  <c r="V9" i="6"/>
  <c r="R9" i="6"/>
  <c r="P9" i="6"/>
  <c r="J9" i="6"/>
  <c r="T11" i="6"/>
  <c r="L9" i="6"/>
  <c r="AD11" i="6"/>
  <c r="AL7" i="6"/>
  <c r="AJ7" i="6"/>
  <c r="AH7" i="6"/>
  <c r="AF7" i="6"/>
  <c r="AB7" i="6"/>
  <c r="Z7" i="6"/>
  <c r="X7" i="6"/>
  <c r="V7" i="6"/>
  <c r="R7" i="6"/>
  <c r="P7" i="6"/>
  <c r="AL12" i="6"/>
  <c r="AJ12" i="6"/>
  <c r="AH12" i="6"/>
  <c r="AF12" i="6"/>
  <c r="AB12" i="6"/>
  <c r="Z12" i="6"/>
  <c r="X12" i="6"/>
  <c r="V12" i="6"/>
  <c r="R12" i="6"/>
  <c r="P12" i="6"/>
  <c r="J7" i="6"/>
  <c r="T9" i="6"/>
  <c r="J12" i="6"/>
  <c r="L7" i="6"/>
  <c r="AD9" i="6"/>
  <c r="L12" i="6"/>
  <c r="J10" i="6"/>
  <c r="L10" i="6"/>
  <c r="F13" i="6"/>
  <c r="T10" i="6"/>
  <c r="AL11" i="7"/>
  <c r="AJ11" i="7"/>
  <c r="AH11" i="7"/>
  <c r="AF11" i="7"/>
  <c r="AB11" i="7"/>
  <c r="Z11" i="7"/>
  <c r="X11" i="7"/>
  <c r="V11" i="7"/>
  <c r="R11" i="7"/>
  <c r="P11" i="7"/>
  <c r="J11" i="7"/>
  <c r="L11" i="7"/>
  <c r="N11" i="7"/>
  <c r="J9" i="7"/>
  <c r="P7" i="7"/>
  <c r="AL12" i="7"/>
  <c r="AJ12" i="7"/>
  <c r="AH12" i="7"/>
  <c r="AF12" i="7"/>
  <c r="AB12" i="7"/>
  <c r="Z12" i="7"/>
  <c r="X12" i="7"/>
  <c r="V12" i="7"/>
  <c r="R12" i="7"/>
  <c r="P12" i="7"/>
  <c r="T9" i="7"/>
  <c r="L12" i="7"/>
  <c r="AJ10" i="7"/>
  <c r="AH10" i="7"/>
  <c r="AF10" i="7"/>
  <c r="AB10" i="7"/>
  <c r="Z10" i="7"/>
  <c r="X10" i="7"/>
  <c r="V10" i="7"/>
  <c r="R10" i="7"/>
  <c r="P10" i="7"/>
  <c r="T12" i="7"/>
  <c r="AL13" i="7"/>
  <c r="AJ13" i="7"/>
  <c r="AH13" i="7"/>
  <c r="AF13" i="7"/>
  <c r="AB13" i="7"/>
  <c r="Z13" i="7"/>
  <c r="X13" i="7"/>
  <c r="V13" i="7"/>
  <c r="R13" i="7"/>
  <c r="P13" i="7"/>
  <c r="T10" i="7"/>
  <c r="T13" i="7"/>
  <c r="AL9" i="7"/>
  <c r="AJ9" i="7"/>
  <c r="AH9" i="7"/>
  <c r="AF9" i="7"/>
  <c r="AB9" i="7"/>
  <c r="Z9" i="7"/>
  <c r="X9" i="7"/>
  <c r="V9" i="7"/>
  <c r="R9" i="7"/>
  <c r="P9" i="7"/>
  <c r="T11" i="7"/>
  <c r="AD11" i="7"/>
  <c r="J12" i="7"/>
  <c r="AD9" i="7"/>
  <c r="L10" i="7"/>
  <c r="AD12" i="7"/>
  <c r="AL8" i="7"/>
  <c r="AJ8" i="7"/>
  <c r="AH8" i="7"/>
  <c r="AF8" i="7"/>
  <c r="AB8" i="7"/>
  <c r="Z8" i="7"/>
  <c r="X8" i="7"/>
  <c r="V8" i="7"/>
  <c r="R8" i="7"/>
  <c r="P8" i="7"/>
  <c r="J8" i="7"/>
  <c r="J13" i="7"/>
  <c r="L8" i="7"/>
  <c r="L13" i="7"/>
  <c r="N13" i="7"/>
  <c r="T8" i="7"/>
  <c r="AD13" i="7"/>
  <c r="M7" i="52" l="1"/>
  <c r="L7" i="52"/>
  <c r="M9" i="52"/>
  <c r="M8" i="52"/>
  <c r="M8" i="51"/>
  <c r="M11" i="51"/>
  <c r="M7" i="51"/>
  <c r="M9" i="51"/>
  <c r="M13" i="51"/>
  <c r="M11" i="49"/>
  <c r="M7" i="49"/>
  <c r="M16" i="49"/>
  <c r="M13" i="49"/>
  <c r="M14" i="49"/>
  <c r="M9" i="49"/>
  <c r="M8" i="49"/>
  <c r="M10" i="49"/>
  <c r="M15" i="49"/>
  <c r="M10" i="47"/>
  <c r="M7" i="47"/>
  <c r="M11" i="47"/>
  <c r="M12" i="47"/>
  <c r="M8" i="47"/>
  <c r="M8" i="45"/>
  <c r="M9" i="45"/>
  <c r="M25" i="44"/>
  <c r="M32" i="44"/>
  <c r="M38" i="44"/>
  <c r="M33" i="44"/>
  <c r="M9" i="44"/>
  <c r="M34" i="44"/>
  <c r="M19" i="44"/>
  <c r="M28" i="44"/>
  <c r="M17" i="44"/>
  <c r="M13" i="44"/>
  <c r="M37" i="44"/>
  <c r="M21" i="44"/>
  <c r="M8" i="44"/>
  <c r="M15" i="44"/>
  <c r="M35" i="44"/>
  <c r="M30" i="44"/>
  <c r="M27" i="44"/>
  <c r="M23" i="44"/>
  <c r="M39" i="44"/>
  <c r="M11" i="44"/>
  <c r="M18" i="44"/>
  <c r="M16" i="44"/>
  <c r="M24" i="44"/>
  <c r="M31" i="44"/>
  <c r="M26" i="44"/>
  <c r="M29" i="44"/>
  <c r="M14" i="44"/>
  <c r="M40" i="44"/>
  <c r="M12" i="44"/>
  <c r="M20" i="44"/>
  <c r="M22" i="44"/>
  <c r="M7" i="44"/>
  <c r="M36" i="44"/>
  <c r="M10" i="44"/>
  <c r="G7" i="6"/>
  <c r="AD13" i="6"/>
  <c r="T13" i="6"/>
  <c r="B14" i="6"/>
  <c r="D16" i="6"/>
  <c r="D17" i="6" s="1"/>
  <c r="D18" i="6" s="1"/>
  <c r="D19" i="6" s="1"/>
  <c r="D20" i="6" s="1"/>
  <c r="J10" i="7"/>
  <c r="AL7" i="7"/>
  <c r="R7" i="7"/>
  <c r="Z7" i="7"/>
  <c r="AL10" i="7"/>
  <c r="V7" i="7"/>
  <c r="T7" i="7"/>
  <c r="AD7" i="7"/>
  <c r="J7" i="7"/>
  <c r="X7" i="7"/>
  <c r="AB7" i="7"/>
  <c r="AF7" i="7"/>
  <c r="AJ7" i="7"/>
  <c r="L7" i="7"/>
  <c r="AG113" i="66"/>
  <c r="L10" i="40" s="1"/>
  <c r="L21" i="41"/>
  <c r="AH7" i="7"/>
  <c r="L7" i="51"/>
  <c r="Z3" i="50"/>
  <c r="AE2" i="50"/>
  <c r="L7" i="49"/>
  <c r="M10" i="48"/>
  <c r="M8" i="48"/>
  <c r="M13" i="48"/>
  <c r="M11" i="48"/>
  <c r="M7" i="48"/>
  <c r="L7" i="48"/>
  <c r="M9" i="48"/>
  <c r="L7" i="47"/>
  <c r="L7" i="45"/>
  <c r="L7" i="44"/>
  <c r="AL13" i="6"/>
  <c r="AJ13" i="6"/>
  <c r="AH13" i="6"/>
  <c r="AF13" i="6"/>
  <c r="AB13" i="6"/>
  <c r="Z13" i="6"/>
  <c r="X13" i="6"/>
  <c r="V13" i="6"/>
  <c r="R13" i="6"/>
  <c r="P13" i="6"/>
  <c r="J13" i="6"/>
  <c r="L13" i="6"/>
  <c r="N13" i="6"/>
  <c r="AE3" i="50" l="1"/>
  <c r="AJ2" i="50"/>
  <c r="AJ3" i="50" l="1"/>
  <c r="AO2" i="50"/>
  <c r="AO3" i="50" l="1"/>
  <c r="AT2" i="50"/>
  <c r="AT3" i="50" s="1"/>
  <c r="M97" i="62" l="1"/>
  <c r="M96" i="62"/>
  <c r="M95" i="62"/>
  <c r="M94" i="62"/>
  <c r="M93" i="62"/>
  <c r="M134" i="20"/>
  <c r="U6" i="5" l="1"/>
  <c r="U7" i="5"/>
  <c r="U8" i="5"/>
  <c r="U9" i="5"/>
  <c r="U10" i="5"/>
  <c r="U11" i="5"/>
  <c r="U5" i="5"/>
  <c r="G11" i="65" l="1"/>
  <c r="B36" i="13"/>
  <c r="D36" i="13" s="1"/>
  <c r="B35" i="13"/>
  <c r="D35" i="13" s="1"/>
  <c r="B34" i="13"/>
  <c r="D34" i="13" s="1"/>
  <c r="B33" i="13"/>
  <c r="D33" i="13" s="1"/>
  <c r="B32" i="13"/>
  <c r="D32" i="13" s="1"/>
  <c r="B31" i="13"/>
  <c r="D31" i="13" s="1"/>
  <c r="B30" i="13"/>
  <c r="D30" i="13" s="1"/>
  <c r="B29" i="13"/>
  <c r="D29" i="13" s="1"/>
  <c r="B28" i="13"/>
  <c r="D28" i="13" s="1"/>
  <c r="H23" i="13"/>
  <c r="H22" i="13"/>
  <c r="H21" i="13"/>
  <c r="H20" i="13"/>
  <c r="H19" i="13"/>
  <c r="H18" i="13"/>
  <c r="H17" i="13"/>
  <c r="H16" i="13"/>
  <c r="H15" i="13"/>
  <c r="B23" i="13"/>
  <c r="B22" i="13"/>
  <c r="B21" i="13"/>
  <c r="B20" i="13"/>
  <c r="B18" i="13"/>
  <c r="B17" i="13"/>
  <c r="D24" i="13"/>
  <c r="J24" i="13"/>
  <c r="M141" i="62" l="1"/>
  <c r="M140" i="62"/>
  <c r="M139" i="62"/>
  <c r="M138" i="62"/>
  <c r="M137" i="62"/>
  <c r="M142" i="62" s="1"/>
  <c r="M133" i="62"/>
  <c r="M132" i="62"/>
  <c r="M131" i="62"/>
  <c r="M130" i="62"/>
  <c r="M129" i="62"/>
  <c r="M134" i="62" s="1"/>
  <c r="M125" i="62"/>
  <c r="M124" i="62"/>
  <c r="M123" i="62"/>
  <c r="M122" i="62"/>
  <c r="M121" i="62"/>
  <c r="M179" i="20"/>
  <c r="M178" i="20"/>
  <c r="M177" i="20"/>
  <c r="M182" i="20" s="1"/>
  <c r="M169" i="20"/>
  <c r="M174" i="20" s="1"/>
  <c r="M166" i="20"/>
  <c r="M165" i="20"/>
  <c r="M164" i="20"/>
  <c r="M163" i="20"/>
  <c r="M162" i="20"/>
  <c r="M161" i="20"/>
  <c r="M157" i="20"/>
  <c r="M156" i="20"/>
  <c r="M155" i="20"/>
  <c r="M158" i="20" s="1"/>
  <c r="M154" i="20"/>
  <c r="M153" i="20"/>
  <c r="M141" i="19"/>
  <c r="M140" i="19"/>
  <c r="M139" i="19"/>
  <c r="M138" i="19"/>
  <c r="M137" i="19"/>
  <c r="M133" i="19"/>
  <c r="M132" i="19"/>
  <c r="M131" i="19"/>
  <c r="M130" i="19"/>
  <c r="M129" i="19"/>
  <c r="M125" i="19"/>
  <c r="M124" i="19"/>
  <c r="M123" i="19"/>
  <c r="M122" i="19"/>
  <c r="M121" i="19"/>
  <c r="B8" i="25"/>
  <c r="A8" i="25"/>
  <c r="M134" i="19" l="1"/>
  <c r="M142" i="19"/>
  <c r="K142" i="19" s="1"/>
  <c r="M126" i="62"/>
  <c r="M126" i="19"/>
  <c r="K126" i="19" s="1"/>
  <c r="B10" i="40" l="1"/>
  <c r="B9" i="40"/>
  <c r="M113" i="62" l="1"/>
  <c r="M112" i="62"/>
  <c r="M111" i="62"/>
  <c r="M110" i="62"/>
  <c r="M109" i="62"/>
  <c r="M114" i="62" s="1"/>
  <c r="M105" i="62"/>
  <c r="M104" i="62"/>
  <c r="M103" i="62"/>
  <c r="M102" i="62"/>
  <c r="M101" i="62"/>
  <c r="M106" i="62" s="1"/>
  <c r="M98" i="62"/>
  <c r="M85" i="62"/>
  <c r="M84" i="62"/>
  <c r="M83" i="62"/>
  <c r="M82" i="62"/>
  <c r="M81" i="62"/>
  <c r="M77" i="62"/>
  <c r="M76" i="62"/>
  <c r="M75" i="62"/>
  <c r="M74" i="62"/>
  <c r="M73" i="62"/>
  <c r="M78" i="62" s="1"/>
  <c r="M69" i="62"/>
  <c r="M68" i="62"/>
  <c r="M67" i="62"/>
  <c r="M66" i="62"/>
  <c r="M65" i="62"/>
  <c r="M143" i="20"/>
  <c r="M142" i="20"/>
  <c r="M146" i="20" s="1"/>
  <c r="M141" i="20"/>
  <c r="M133" i="20"/>
  <c r="M138" i="20" s="1"/>
  <c r="M129" i="20"/>
  <c r="M128" i="20"/>
  <c r="M127" i="20"/>
  <c r="M126" i="20"/>
  <c r="M125" i="20"/>
  <c r="M130" i="20" s="1"/>
  <c r="M121" i="20"/>
  <c r="M120" i="20"/>
  <c r="M119" i="20"/>
  <c r="M122" i="20" s="1"/>
  <c r="M118" i="20"/>
  <c r="M117" i="20"/>
  <c r="M107" i="20"/>
  <c r="M106" i="20"/>
  <c r="M105" i="20"/>
  <c r="M110" i="20" s="1"/>
  <c r="M97" i="20"/>
  <c r="M102" i="20" s="1"/>
  <c r="M93" i="20"/>
  <c r="M92" i="20"/>
  <c r="M91" i="20"/>
  <c r="M90" i="20"/>
  <c r="M89" i="20"/>
  <c r="M94" i="20" s="1"/>
  <c r="M85" i="20"/>
  <c r="M84" i="20"/>
  <c r="M83" i="20"/>
  <c r="M86" i="20" s="1"/>
  <c r="M82" i="20"/>
  <c r="M81" i="20"/>
  <c r="M70" i="62" l="1"/>
  <c r="M86" i="62"/>
  <c r="L29" i="63" l="1"/>
  <c r="M71" i="20" l="1"/>
  <c r="M70" i="20"/>
  <c r="M69" i="20"/>
  <c r="M74" i="20" s="1"/>
  <c r="M61" i="20"/>
  <c r="M66" i="20" s="1"/>
  <c r="M57" i="20"/>
  <c r="M56" i="20"/>
  <c r="M55" i="20"/>
  <c r="M54" i="20"/>
  <c r="M53" i="20"/>
  <c r="M58" i="20" s="1"/>
  <c r="M49" i="20"/>
  <c r="M48" i="20"/>
  <c r="M47" i="20"/>
  <c r="M50" i="20" s="1"/>
  <c r="M46" i="20"/>
  <c r="M45" i="20"/>
  <c r="M57" i="62"/>
  <c r="M56" i="62"/>
  <c r="M55" i="62"/>
  <c r="M54" i="62"/>
  <c r="M53" i="62"/>
  <c r="M49" i="62"/>
  <c r="M48" i="62"/>
  <c r="M47" i="62"/>
  <c r="M46" i="62"/>
  <c r="M45" i="62"/>
  <c r="M50" i="62" s="1"/>
  <c r="M41" i="62"/>
  <c r="M40" i="62"/>
  <c r="M39" i="62"/>
  <c r="M38" i="62"/>
  <c r="M37" i="62"/>
  <c r="M42" i="62" l="1"/>
  <c r="M58" i="62"/>
  <c r="O29" i="63" l="1"/>
  <c r="S29" i="63" s="1"/>
  <c r="U29" i="63" l="1"/>
  <c r="F29" i="63"/>
  <c r="K166" i="20" l="1"/>
  <c r="K158" i="20"/>
  <c r="K182" i="20"/>
  <c r="K174" i="20"/>
  <c r="K142" i="62"/>
  <c r="K134" i="62"/>
  <c r="K126" i="62"/>
  <c r="K114" i="62"/>
  <c r="K106" i="62"/>
  <c r="K98" i="62"/>
  <c r="K130" i="20"/>
  <c r="K146" i="20"/>
  <c r="K138" i="20"/>
  <c r="K122" i="20"/>
  <c r="AE97" i="63" l="1"/>
  <c r="AF97" i="63"/>
  <c r="AG97" i="63"/>
  <c r="AH97" i="63"/>
  <c r="AI97" i="63"/>
  <c r="AJ97" i="63"/>
  <c r="AE98" i="63"/>
  <c r="AF98" i="63"/>
  <c r="AG98" i="63"/>
  <c r="AH98" i="63"/>
  <c r="AI98" i="63"/>
  <c r="AJ98" i="63"/>
  <c r="AD98" i="63"/>
  <c r="AD97" i="63"/>
  <c r="AC97" i="63"/>
  <c r="AE76" i="63"/>
  <c r="AF76" i="63"/>
  <c r="AG76" i="63"/>
  <c r="AH76" i="63"/>
  <c r="AI76" i="63"/>
  <c r="AJ76" i="63"/>
  <c r="AD76" i="63"/>
  <c r="AE75" i="63"/>
  <c r="AF75" i="63"/>
  <c r="AG75" i="63"/>
  <c r="AH75" i="63"/>
  <c r="AI75" i="63"/>
  <c r="AJ75" i="63"/>
  <c r="AD75" i="63"/>
  <c r="AC75" i="63"/>
  <c r="AD54" i="63"/>
  <c r="F31" i="41" s="1"/>
  <c r="AD53" i="63"/>
  <c r="AD55" i="63" s="1"/>
  <c r="AE53" i="63"/>
  <c r="AF53" i="63"/>
  <c r="AG53" i="63"/>
  <c r="AH53" i="63"/>
  <c r="AI53" i="63"/>
  <c r="AJ53" i="63"/>
  <c r="AE54" i="63"/>
  <c r="AF54" i="63"/>
  <c r="AG54" i="63"/>
  <c r="AH54" i="63"/>
  <c r="AI54" i="63"/>
  <c r="AJ54" i="63"/>
  <c r="AC53" i="63"/>
  <c r="AE31" i="63"/>
  <c r="AF31" i="63"/>
  <c r="AG31" i="63"/>
  <c r="AH31" i="63"/>
  <c r="AI31" i="63"/>
  <c r="AJ31" i="63"/>
  <c r="AE32" i="63"/>
  <c r="H20" i="41" s="1"/>
  <c r="AF32" i="63"/>
  <c r="J20" i="41" s="1"/>
  <c r="AG32" i="63"/>
  <c r="L20" i="41" s="1"/>
  <c r="AH32" i="63"/>
  <c r="F25" i="41" s="1"/>
  <c r="AI32" i="63"/>
  <c r="H25" i="41" s="1"/>
  <c r="AJ32" i="63"/>
  <c r="J25" i="41" s="1"/>
  <c r="AD31" i="63"/>
  <c r="AE8" i="63"/>
  <c r="AF8" i="63"/>
  <c r="AG8" i="63"/>
  <c r="AH8" i="63"/>
  <c r="AI8" i="63"/>
  <c r="AJ8" i="63"/>
  <c r="AD8" i="63"/>
  <c r="AE7" i="63"/>
  <c r="AF7" i="63"/>
  <c r="AG7" i="63"/>
  <c r="AH7" i="63"/>
  <c r="AI7" i="63"/>
  <c r="AJ7" i="63"/>
  <c r="AD7" i="63"/>
  <c r="R48" i="63"/>
  <c r="O48" i="63"/>
  <c r="S48" i="63" s="1"/>
  <c r="U48" i="63" s="1"/>
  <c r="N48" i="63"/>
  <c r="L48" i="63"/>
  <c r="J48" i="63"/>
  <c r="F48" i="63"/>
  <c r="R47" i="63"/>
  <c r="O47" i="63"/>
  <c r="P47" i="63" s="1"/>
  <c r="N47" i="63"/>
  <c r="L47" i="63"/>
  <c r="J47" i="63"/>
  <c r="F47" i="63"/>
  <c r="R46" i="63"/>
  <c r="O46" i="63"/>
  <c r="S46" i="63" s="1"/>
  <c r="U46" i="63" s="1"/>
  <c r="N46" i="63"/>
  <c r="L46" i="63"/>
  <c r="J46" i="63"/>
  <c r="F46" i="63"/>
  <c r="R45" i="63"/>
  <c r="O45" i="63"/>
  <c r="S45" i="63" s="1"/>
  <c r="N45" i="63"/>
  <c r="L45" i="63"/>
  <c r="J45" i="63"/>
  <c r="F45" i="63"/>
  <c r="R44" i="63"/>
  <c r="O44" i="63"/>
  <c r="P44" i="63" s="1"/>
  <c r="N44" i="63"/>
  <c r="L44" i="63"/>
  <c r="J44" i="63"/>
  <c r="F44" i="63"/>
  <c r="R43" i="63"/>
  <c r="O43" i="63"/>
  <c r="S43" i="63" s="1"/>
  <c r="N43" i="63"/>
  <c r="L43" i="63"/>
  <c r="J43" i="63"/>
  <c r="F43" i="63"/>
  <c r="R42" i="63"/>
  <c r="O42" i="63"/>
  <c r="S42" i="63" s="1"/>
  <c r="U42" i="63" s="1"/>
  <c r="N42" i="63"/>
  <c r="L42" i="63"/>
  <c r="J42" i="63"/>
  <c r="F42" i="63"/>
  <c r="R41" i="63"/>
  <c r="O41" i="63"/>
  <c r="S41" i="63" s="1"/>
  <c r="N41" i="63"/>
  <c r="L41" i="63"/>
  <c r="J41" i="63"/>
  <c r="F41" i="63"/>
  <c r="R40" i="63"/>
  <c r="O40" i="63"/>
  <c r="P40" i="63" s="1"/>
  <c r="N40" i="63"/>
  <c r="L40" i="63"/>
  <c r="J40" i="63"/>
  <c r="F40" i="63"/>
  <c r="R39" i="63"/>
  <c r="O39" i="63"/>
  <c r="P39" i="63" s="1"/>
  <c r="N39" i="63"/>
  <c r="L39" i="63"/>
  <c r="J39" i="63"/>
  <c r="F39" i="63"/>
  <c r="R38" i="63"/>
  <c r="O38" i="63"/>
  <c r="S38" i="63" s="1"/>
  <c r="U38" i="63" s="1"/>
  <c r="N38" i="63"/>
  <c r="L38" i="63"/>
  <c r="J38" i="63"/>
  <c r="F38" i="63"/>
  <c r="R37" i="63"/>
  <c r="O37" i="63"/>
  <c r="S37" i="63" s="1"/>
  <c r="N37" i="63"/>
  <c r="L37" i="63"/>
  <c r="J37" i="63"/>
  <c r="F37" i="63"/>
  <c r="R36" i="63"/>
  <c r="O36" i="63"/>
  <c r="P36" i="63" s="1"/>
  <c r="N36" i="63"/>
  <c r="L36" i="63"/>
  <c r="J36" i="63"/>
  <c r="F36" i="63"/>
  <c r="R35" i="63"/>
  <c r="O35" i="63"/>
  <c r="P35" i="63" s="1"/>
  <c r="N35" i="63"/>
  <c r="L35" i="63"/>
  <c r="J35" i="63"/>
  <c r="F35" i="63"/>
  <c r="R34" i="63"/>
  <c r="O34" i="63"/>
  <c r="S34" i="63" s="1"/>
  <c r="U34" i="63" s="1"/>
  <c r="N34" i="63"/>
  <c r="L34" i="63"/>
  <c r="J34" i="63"/>
  <c r="F34" i="63"/>
  <c r="R33" i="63"/>
  <c r="O33" i="63"/>
  <c r="P33" i="63" s="1"/>
  <c r="N33" i="63"/>
  <c r="L33" i="63"/>
  <c r="J33" i="63"/>
  <c r="F33" i="63"/>
  <c r="R32" i="63"/>
  <c r="O32" i="63"/>
  <c r="P32" i="63" s="1"/>
  <c r="N32" i="63"/>
  <c r="L32" i="63"/>
  <c r="J32" i="63"/>
  <c r="F32" i="63"/>
  <c r="AC31" i="63"/>
  <c r="R31" i="63"/>
  <c r="O31" i="63"/>
  <c r="S31" i="63" s="1"/>
  <c r="N31" i="63"/>
  <c r="L31" i="63"/>
  <c r="J31" i="63"/>
  <c r="F31" i="63"/>
  <c r="R30" i="63"/>
  <c r="O30" i="63"/>
  <c r="P30" i="63" s="1"/>
  <c r="N30" i="63"/>
  <c r="L30" i="63"/>
  <c r="J30" i="63"/>
  <c r="F30" i="63"/>
  <c r="R29" i="63"/>
  <c r="N29" i="63"/>
  <c r="J29" i="63"/>
  <c r="AC7" i="63"/>
  <c r="I6" i="39"/>
  <c r="I12" i="5"/>
  <c r="M12" i="5"/>
  <c r="I8" i="39" s="1"/>
  <c r="P12" i="5"/>
  <c r="I9" i="39" s="1"/>
  <c r="S12" i="5"/>
  <c r="I10" i="39" s="1"/>
  <c r="V12" i="5"/>
  <c r="I13" i="5"/>
  <c r="I14" i="5"/>
  <c r="I15" i="5"/>
  <c r="I16" i="5"/>
  <c r="I17" i="5"/>
  <c r="I18" i="5"/>
  <c r="G19" i="5"/>
  <c r="I19" i="5"/>
  <c r="M19" i="5"/>
  <c r="P19" i="5"/>
  <c r="S19" i="5"/>
  <c r="V19" i="5"/>
  <c r="I20" i="5"/>
  <c r="I21" i="5"/>
  <c r="I22" i="5"/>
  <c r="I23" i="5"/>
  <c r="I24" i="5"/>
  <c r="I25" i="5"/>
  <c r="G26" i="5"/>
  <c r="I26" i="5"/>
  <c r="M26" i="5"/>
  <c r="P26" i="5"/>
  <c r="S26" i="5"/>
  <c r="V26" i="5"/>
  <c r="I27" i="5"/>
  <c r="I28" i="5"/>
  <c r="I29" i="5"/>
  <c r="I30" i="5"/>
  <c r="I31" i="5"/>
  <c r="I32" i="5"/>
  <c r="G33" i="5"/>
  <c r="I33" i="5"/>
  <c r="M33" i="5"/>
  <c r="P33" i="5"/>
  <c r="S33" i="5"/>
  <c r="V33" i="5"/>
  <c r="I34" i="5"/>
  <c r="I35" i="5"/>
  <c r="I36" i="5"/>
  <c r="I37" i="5"/>
  <c r="I38" i="5"/>
  <c r="I39" i="5"/>
  <c r="G5" i="5"/>
  <c r="I5" i="5"/>
  <c r="M5" i="5"/>
  <c r="P5" i="5"/>
  <c r="S5" i="5"/>
  <c r="V5" i="5"/>
  <c r="I6" i="5"/>
  <c r="I7" i="5"/>
  <c r="I8" i="5"/>
  <c r="I9" i="5"/>
  <c r="I10" i="5"/>
  <c r="I11" i="5"/>
  <c r="B12" i="5"/>
  <c r="B19" i="5" s="1"/>
  <c r="B26" i="5" s="1"/>
  <c r="B33" i="5" s="1"/>
  <c r="B40" i="5" s="1"/>
  <c r="G12" i="3"/>
  <c r="B6" i="39" s="1"/>
  <c r="J12" i="3"/>
  <c r="B7" i="39" s="1"/>
  <c r="M12" i="3"/>
  <c r="B8" i="39" s="1"/>
  <c r="O12" i="3"/>
  <c r="S12" i="3"/>
  <c r="B10" i="39" s="1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G19" i="3"/>
  <c r="J19" i="3"/>
  <c r="M19" i="3"/>
  <c r="O19" i="3"/>
  <c r="S19" i="3"/>
  <c r="U19" i="3"/>
  <c r="O20" i="3"/>
  <c r="U20" i="3"/>
  <c r="O21" i="3"/>
  <c r="U21" i="3"/>
  <c r="O22" i="3"/>
  <c r="U22" i="3"/>
  <c r="O23" i="3"/>
  <c r="U23" i="3"/>
  <c r="O24" i="3"/>
  <c r="U24" i="3"/>
  <c r="O25" i="3"/>
  <c r="U25" i="3"/>
  <c r="G26" i="3"/>
  <c r="J26" i="3"/>
  <c r="M26" i="3"/>
  <c r="O26" i="3"/>
  <c r="S26" i="3"/>
  <c r="U26" i="3"/>
  <c r="O27" i="3"/>
  <c r="U27" i="3"/>
  <c r="O28" i="3"/>
  <c r="U28" i="3"/>
  <c r="O29" i="3"/>
  <c r="U29" i="3"/>
  <c r="O30" i="3"/>
  <c r="U30" i="3"/>
  <c r="O31" i="3"/>
  <c r="U31" i="3"/>
  <c r="O32" i="3"/>
  <c r="U32" i="3"/>
  <c r="G33" i="3"/>
  <c r="J33" i="3"/>
  <c r="M33" i="3"/>
  <c r="O33" i="3"/>
  <c r="S33" i="3"/>
  <c r="U33" i="3"/>
  <c r="O34" i="3"/>
  <c r="U34" i="3"/>
  <c r="O35" i="3"/>
  <c r="U35" i="3"/>
  <c r="O36" i="3"/>
  <c r="U36" i="3"/>
  <c r="O37" i="3"/>
  <c r="U37" i="3"/>
  <c r="O38" i="3"/>
  <c r="U38" i="3"/>
  <c r="O39" i="3"/>
  <c r="U39" i="3"/>
  <c r="G5" i="3"/>
  <c r="J5" i="3"/>
  <c r="M5" i="3"/>
  <c r="O5" i="3"/>
  <c r="S5" i="3"/>
  <c r="U5" i="3"/>
  <c r="O6" i="3"/>
  <c r="U6" i="3"/>
  <c r="O7" i="3"/>
  <c r="U7" i="3"/>
  <c r="O8" i="3"/>
  <c r="U8" i="3"/>
  <c r="O9" i="3"/>
  <c r="U9" i="3"/>
  <c r="O10" i="3"/>
  <c r="U10" i="3"/>
  <c r="O11" i="3"/>
  <c r="U11" i="3"/>
  <c r="C15" i="39" l="1"/>
  <c r="E15" i="39" s="1"/>
  <c r="B16" i="41"/>
  <c r="P12" i="3"/>
  <c r="B9" i="39" s="1"/>
  <c r="J12" i="5"/>
  <c r="I7" i="39" s="1"/>
  <c r="K11" i="5"/>
  <c r="I7" i="13" s="1"/>
  <c r="AD32" i="63"/>
  <c r="F20" i="41" s="1"/>
  <c r="AJ113" i="63"/>
  <c r="J14" i="40" s="1"/>
  <c r="AI113" i="63"/>
  <c r="H14" i="40" s="1"/>
  <c r="AH113" i="63"/>
  <c r="F14" i="40" s="1"/>
  <c r="AG113" i="63"/>
  <c r="L9" i="40" s="1"/>
  <c r="AD9" i="63"/>
  <c r="AC112" i="63"/>
  <c r="AF113" i="63"/>
  <c r="J9" i="40" s="1"/>
  <c r="AE113" i="63"/>
  <c r="H9" i="40" s="1"/>
  <c r="AJ112" i="63"/>
  <c r="AJ114" i="63" s="1"/>
  <c r="K14" i="40" s="1"/>
  <c r="AI112" i="63"/>
  <c r="AI114" i="63" s="1"/>
  <c r="I14" i="40" s="1"/>
  <c r="AH112" i="63"/>
  <c r="AH114" i="63" s="1"/>
  <c r="G14" i="40" s="1"/>
  <c r="AG112" i="63"/>
  <c r="AG114" i="63" s="1"/>
  <c r="M9" i="40" s="1"/>
  <c r="AF112" i="63"/>
  <c r="AF114" i="63" s="1"/>
  <c r="K9" i="40" s="1"/>
  <c r="AE112" i="63"/>
  <c r="AE114" i="63" s="1"/>
  <c r="I9" i="40" s="1"/>
  <c r="J19" i="5"/>
  <c r="V12" i="3"/>
  <c r="B11" i="39" s="1"/>
  <c r="D10" i="13"/>
  <c r="D8" i="13"/>
  <c r="AD99" i="63"/>
  <c r="AD112" i="63"/>
  <c r="AG99" i="63"/>
  <c r="AH99" i="63"/>
  <c r="C9" i="41"/>
  <c r="K50" i="62"/>
  <c r="K58" i="62"/>
  <c r="K42" i="62"/>
  <c r="K110" i="20"/>
  <c r="K102" i="20"/>
  <c r="K86" i="20"/>
  <c r="K94" i="20"/>
  <c r="K70" i="62"/>
  <c r="K78" i="62"/>
  <c r="K86" i="62"/>
  <c r="AF55" i="63"/>
  <c r="J26" i="5"/>
  <c r="J5" i="5"/>
  <c r="J33" i="5"/>
  <c r="AD77" i="63"/>
  <c r="AE99" i="63"/>
  <c r="AF99" i="63"/>
  <c r="S40" i="63"/>
  <c r="U40" i="63" s="1"/>
  <c r="AG77" i="63"/>
  <c r="AF77" i="63"/>
  <c r="AH33" i="63"/>
  <c r="AE77" i="63"/>
  <c r="AE55" i="63"/>
  <c r="AH55" i="63"/>
  <c r="AI99" i="63"/>
  <c r="AH77" i="63"/>
  <c r="AG55" i="63"/>
  <c r="AJ99" i="63"/>
  <c r="S30" i="63"/>
  <c r="U30" i="63" s="1"/>
  <c r="S33" i="63"/>
  <c r="T33" i="63" s="1"/>
  <c r="AJ77" i="63"/>
  <c r="P48" i="63"/>
  <c r="S36" i="63"/>
  <c r="U36" i="63" s="1"/>
  <c r="S44" i="63"/>
  <c r="U44" i="63" s="1"/>
  <c r="AI77" i="63"/>
  <c r="AF33" i="63"/>
  <c r="P42" i="63"/>
  <c r="AD33" i="63"/>
  <c r="G20" i="41" s="1"/>
  <c r="P34" i="63"/>
  <c r="P46" i="63"/>
  <c r="P38" i="63"/>
  <c r="AG33" i="63"/>
  <c r="AJ55" i="63"/>
  <c r="P41" i="63"/>
  <c r="AE33" i="63"/>
  <c r="AI55" i="63"/>
  <c r="AJ33" i="63"/>
  <c r="U41" i="63"/>
  <c r="T41" i="63"/>
  <c r="T43" i="63"/>
  <c r="U43" i="63"/>
  <c r="T29" i="63"/>
  <c r="U45" i="63"/>
  <c r="T45" i="63"/>
  <c r="U31" i="63"/>
  <c r="T31" i="63"/>
  <c r="U37" i="63"/>
  <c r="T37" i="63"/>
  <c r="S32" i="63"/>
  <c r="P37" i="63"/>
  <c r="P43" i="63"/>
  <c r="P29" i="63"/>
  <c r="S35" i="63"/>
  <c r="S39" i="63"/>
  <c r="S47" i="63"/>
  <c r="P45" i="63"/>
  <c r="AI33" i="63"/>
  <c r="T34" i="63"/>
  <c r="T38" i="63"/>
  <c r="T42" i="63"/>
  <c r="T46" i="63"/>
  <c r="T48" i="63"/>
  <c r="P31" i="63"/>
  <c r="AI9" i="63"/>
  <c r="AJ9" i="63"/>
  <c r="AG9" i="63"/>
  <c r="AH9" i="63"/>
  <c r="AE9" i="63"/>
  <c r="AF9" i="63"/>
  <c r="V26" i="3"/>
  <c r="P5" i="3"/>
  <c r="P26" i="3"/>
  <c r="V5" i="3"/>
  <c r="V33" i="3"/>
  <c r="P33" i="3"/>
  <c r="P19" i="3"/>
  <c r="V19" i="3"/>
  <c r="J10" i="40" l="1"/>
  <c r="AD113" i="63"/>
  <c r="F9" i="40" s="1"/>
  <c r="AD114" i="63"/>
  <c r="G9" i="40" s="1"/>
  <c r="I18" i="13"/>
  <c r="K18" i="13" s="1"/>
  <c r="D7" i="13"/>
  <c r="I15" i="13"/>
  <c r="I16" i="13"/>
  <c r="K16" i="13" s="1"/>
  <c r="I17" i="13"/>
  <c r="K17" i="13" s="1"/>
  <c r="I19" i="13"/>
  <c r="K19" i="13" s="1"/>
  <c r="I20" i="13"/>
  <c r="K20" i="13" s="1"/>
  <c r="I21" i="13"/>
  <c r="K21" i="13" s="1"/>
  <c r="I23" i="13"/>
  <c r="K23" i="13" s="1"/>
  <c r="I22" i="13"/>
  <c r="K22" i="13" s="1"/>
  <c r="D9" i="13"/>
  <c r="D11" i="13"/>
  <c r="B5" i="40"/>
  <c r="D6" i="13"/>
  <c r="C21" i="13"/>
  <c r="E21" i="13" s="1"/>
  <c r="C22" i="13"/>
  <c r="E22" i="13" s="1"/>
  <c r="C18" i="13"/>
  <c r="E18" i="13" s="1"/>
  <c r="C23" i="13"/>
  <c r="E23" i="13" s="1"/>
  <c r="C20" i="13"/>
  <c r="E20" i="13" s="1"/>
  <c r="C17" i="13"/>
  <c r="E17" i="13" s="1"/>
  <c r="K50" i="20"/>
  <c r="K74" i="20"/>
  <c r="K58" i="20"/>
  <c r="K66" i="20"/>
  <c r="C10" i="41"/>
  <c r="T40" i="63"/>
  <c r="T36" i="63"/>
  <c r="U33" i="63"/>
  <c r="T30" i="63"/>
  <c r="T44" i="63"/>
  <c r="T35" i="63"/>
  <c r="U35" i="63"/>
  <c r="U47" i="63"/>
  <c r="T47" i="63"/>
  <c r="U39" i="63"/>
  <c r="T39" i="63"/>
  <c r="T32" i="63"/>
  <c r="U32" i="63"/>
  <c r="K15" i="13" l="1"/>
  <c r="I24" i="13"/>
  <c r="B15" i="13" l="1"/>
  <c r="C15" i="13" s="1"/>
  <c r="B16" i="13"/>
  <c r="C16" i="13" s="1"/>
  <c r="E16" i="13" s="1"/>
  <c r="B19" i="13"/>
  <c r="C19" i="13" s="1"/>
  <c r="E19" i="13" s="1"/>
  <c r="E15" i="13" l="1"/>
  <c r="C24" i="13"/>
  <c r="C31" i="41" l="1"/>
  <c r="P45" i="65" l="1"/>
  <c r="P44" i="65"/>
  <c r="P43" i="65"/>
  <c r="P42" i="65"/>
  <c r="P41" i="65"/>
  <c r="P40" i="65"/>
  <c r="P39" i="65"/>
  <c r="P38" i="65"/>
  <c r="P37" i="65"/>
  <c r="P35" i="65"/>
  <c r="P34" i="65"/>
  <c r="P33" i="65"/>
  <c r="P32" i="65"/>
  <c r="P31" i="65"/>
  <c r="P30" i="65"/>
  <c r="P29" i="65"/>
  <c r="P28" i="65"/>
  <c r="P27" i="65"/>
  <c r="P25" i="65"/>
  <c r="P24" i="65"/>
  <c r="P23" i="65"/>
  <c r="P22" i="65"/>
  <c r="P21" i="65"/>
  <c r="P20" i="65"/>
  <c r="P19" i="65"/>
  <c r="P18" i="65"/>
  <c r="P17" i="65"/>
  <c r="P14" i="65"/>
  <c r="P13" i="65"/>
  <c r="P12" i="65"/>
  <c r="O11" i="65"/>
  <c r="N11" i="65"/>
  <c r="M11" i="65"/>
  <c r="L11" i="65"/>
  <c r="K11" i="65"/>
  <c r="J11" i="65"/>
  <c r="I11" i="65"/>
  <c r="P11" i="65"/>
  <c r="F11" i="65"/>
  <c r="E11" i="65"/>
  <c r="D11" i="65"/>
  <c r="P10" i="65"/>
  <c r="P9" i="65"/>
  <c r="O7" i="65"/>
  <c r="N7" i="65"/>
  <c r="M7" i="65"/>
  <c r="L7" i="65"/>
  <c r="K7" i="65"/>
  <c r="J7" i="65"/>
  <c r="I7" i="65"/>
  <c r="P7" i="65"/>
  <c r="P6" i="65"/>
  <c r="O5" i="65"/>
  <c r="N5" i="65"/>
  <c r="M5" i="65"/>
  <c r="P5" i="65" s="1"/>
  <c r="L5" i="65"/>
  <c r="K5" i="65"/>
  <c r="J5" i="65"/>
  <c r="I5" i="65"/>
  <c r="P4" i="65"/>
  <c r="P3" i="65"/>
  <c r="P2" i="65"/>
  <c r="D28" i="39" l="1"/>
  <c r="E34" i="39" l="1"/>
  <c r="D6" i="5" l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6" i="3" l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B12" i="3"/>
  <c r="B19" i="3" s="1"/>
  <c r="B26" i="3" s="1"/>
  <c r="B33" i="3" s="1"/>
  <c r="B40" i="3" s="1"/>
  <c r="C10" i="40" l="1"/>
  <c r="C9" i="40"/>
  <c r="C53" i="41" l="1"/>
  <c r="D30" i="39" l="1"/>
  <c r="E28" i="39" l="1"/>
  <c r="C21" i="39" l="1"/>
  <c r="C22" i="39"/>
  <c r="C17" i="39"/>
  <c r="C20" i="39"/>
  <c r="C23" i="39"/>
  <c r="C19" i="39"/>
  <c r="C18" i="39"/>
  <c r="C16" i="39"/>
  <c r="C54" i="41" l="1"/>
  <c r="G58" i="41" l="1"/>
  <c r="I58" i="41"/>
  <c r="L53" i="41"/>
  <c r="F53" i="41"/>
  <c r="J58" i="41"/>
  <c r="H58" i="41"/>
  <c r="F58" i="41"/>
  <c r="J53" i="41"/>
  <c r="H53" i="41"/>
  <c r="G53" i="41"/>
  <c r="M53" i="41"/>
  <c r="K53" i="41"/>
  <c r="I53" i="41"/>
  <c r="K58" i="41"/>
  <c r="F42" i="41" l="1"/>
  <c r="I42" i="41"/>
  <c r="K42" i="41"/>
  <c r="M42" i="41"/>
  <c r="H42" i="41"/>
  <c r="J42" i="41"/>
  <c r="L42" i="41"/>
  <c r="F47" i="41"/>
  <c r="H47" i="41"/>
  <c r="J47" i="41"/>
  <c r="G42" i="41"/>
  <c r="I47" i="41" l="1"/>
  <c r="G47" i="41"/>
  <c r="K47" i="41"/>
  <c r="I31" i="41" l="1"/>
  <c r="K31" i="41"/>
  <c r="M31" i="41"/>
  <c r="G36" i="41"/>
  <c r="I36" i="41"/>
  <c r="H31" i="41"/>
  <c r="J31" i="41"/>
  <c r="L31" i="41"/>
  <c r="F36" i="41"/>
  <c r="H36" i="41"/>
  <c r="J36" i="41"/>
  <c r="G31" i="41"/>
  <c r="K36" i="41" l="1"/>
  <c r="C42" i="41" l="1"/>
  <c r="C32" i="41" l="1"/>
  <c r="C21" i="41"/>
  <c r="C20" i="41"/>
  <c r="C43" i="41"/>
  <c r="I25" i="41"/>
  <c r="G25" i="41"/>
  <c r="I20" i="41"/>
  <c r="M20" i="41"/>
  <c r="K20" i="41"/>
  <c r="K25" i="41"/>
  <c r="K22" i="57"/>
  <c r="E29" i="39" l="1"/>
  <c r="D8" i="39" l="1"/>
  <c r="M10" i="58" l="1"/>
  <c r="M11" i="58"/>
  <c r="M12" i="58"/>
  <c r="M13" i="58"/>
  <c r="M9" i="58"/>
  <c r="M29" i="60" l="1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M26" i="60" l="1"/>
  <c r="M27" i="60"/>
  <c r="M28" i="60"/>
  <c r="M21" i="58"/>
  <c r="M20" i="58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K22" i="60" l="1"/>
  <c r="K22" i="59"/>
  <c r="K38" i="60"/>
  <c r="K30" i="59"/>
  <c r="K14" i="60"/>
  <c r="K30" i="60"/>
  <c r="K14" i="59"/>
  <c r="J24" i="39" l="1"/>
  <c r="D24" i="39"/>
  <c r="I15" i="39" l="1"/>
  <c r="D34" i="39" l="1"/>
  <c r="D33" i="39" l="1"/>
  <c r="D31" i="39"/>
  <c r="D32" i="39"/>
  <c r="D36" i="39"/>
  <c r="D35" i="39"/>
  <c r="E36" i="39"/>
  <c r="E31" i="39" l="1"/>
  <c r="D29" i="39"/>
  <c r="E30" i="39" l="1"/>
  <c r="E32" i="39"/>
  <c r="E33" i="39"/>
  <c r="E35" i="39"/>
  <c r="Q19" i="1" l="1"/>
  <c r="L20" i="21" l="1"/>
  <c r="L19" i="21" l="1"/>
  <c r="L18" i="21"/>
  <c r="L17" i="21"/>
  <c r="L16" i="21"/>
  <c r="L10" i="21"/>
  <c r="L11" i="21"/>
  <c r="L12" i="21"/>
  <c r="L13" i="21"/>
  <c r="L9" i="21"/>
  <c r="D6" i="39" l="1"/>
  <c r="D10" i="39"/>
  <c r="E16" i="39"/>
  <c r="E22" i="39"/>
  <c r="E18" i="39"/>
  <c r="E21" i="39"/>
  <c r="E20" i="39"/>
  <c r="E17" i="39"/>
  <c r="E23" i="39"/>
  <c r="E19" i="39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D9" i="39" l="1"/>
  <c r="I24" i="39"/>
  <c r="K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</calcChain>
</file>

<file path=xl/comments1.xml><?xml version="1.0" encoding="utf-8"?>
<comments xmlns="http://schemas.openxmlformats.org/spreadsheetml/2006/main">
  <authors>
    <author>陳佳萱</author>
  </authors>
  <commentList>
    <comment ref="C9" authorId="0" shapeId="0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<sst xmlns="http://schemas.openxmlformats.org/spreadsheetml/2006/main" count="5420" uniqueCount="696">
  <si>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</si>
  <si>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</si>
  <si>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</si>
  <si>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</si>
  <si>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</si>
  <si>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</si>
  <si>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</si>
  <si>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</si>
  <si>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</si>
  <si>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</si>
  <si>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</si>
  <si>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</si>
  <si>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</si>
  <si>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</si>
  <si>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</si>
  <si>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</si>
  <si>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</si>
  <si>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</si>
  <si>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</si>
  <si>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</si>
  <si>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</si>
  <si>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</si>
  <si>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</si>
  <si>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</si>
  <si>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</si>
  <si>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</si>
  <si>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</si>
  <si>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</si>
  <si>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</si>
  <si>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</si>
  <si>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</si>
  <si>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</si>
  <si>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</si>
  <si>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</si>
  <si>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</si>
  <si>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</si>
  <si>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</si>
  <si>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</si>
  <si>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</si>
  <si>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</si>
  <si>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</si>
  <si>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</si>
  <si>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</si>
  <si>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</si>
  <si>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</si>
  <si>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</si>
  <si>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</si>
  <si>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</si>
  <si>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</si>
  <si>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</si>
  <si>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</si>
  <si>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</si>
  <si>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</si>
  <si>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</si>
  <si>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</si>
  <si>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</si>
  <si>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</si>
  <si>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</si>
  <si>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</si>
  <si>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</si>
  <si>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</si>
  <si>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</si>
  <si>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</si>
  <si>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</si>
  <si>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</si>
  <si>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</si>
  <si>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</si>
  <si>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</si>
  <si>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</si>
  <si>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</si>
  <si>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</si>
  <si>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</si>
  <si>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</si>
  <si>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</si>
  <si>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</si>
  <si>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</si>
  <si>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</si>
  <si>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</si>
  <si>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</si>
  <si>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</si>
  <si>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</si>
  <si>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</si>
  <si>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</si>
  <si>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</si>
  <si>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</si>
  <si>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</si>
  <si>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</si>
  <si>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</si>
  <si>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</si>
  <si>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</si>
  <si>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</si>
  <si>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</si>
  <si>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</si>
  <si>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</si>
  <si>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</si>
  <si>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</si>
  <si>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</si>
  <si>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</si>
  <si>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</si>
  <si>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</si>
  <si>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</si>
  <si>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</si>
  <si>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</si>
  <si>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</si>
  <si>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</si>
  <si>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</si>
  <si>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</si>
  <si>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</si>
  <si>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</si>
  <si>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</si>
  <si>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</si>
  <si>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</si>
  <si>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</si>
  <si>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</si>
  <si>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</si>
  <si>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</si>
  <si>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</si>
  <si>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</si>
  <si>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</si>
  <si>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</si>
  <si>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</si>
  <si>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</si>
  <si>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</si>
  <si>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</si>
  <si>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</si>
  <si>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</si>
  <si>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</si>
  <si>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</si>
  <si>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</si>
  <si>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</si>
  <si>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</si>
  <si>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</si>
  <si>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</si>
  <si>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</si>
  <si>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</si>
  <si>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營業額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</si>
  <si>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</si>
  <si>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</si>
  <si>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</si>
  <si>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</si>
  <si>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</si>
  <si>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</si>
  <si>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</si>
  <si>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</si>
  <si>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</si>
  <si>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</si>
  <si>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</si>
  <si>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</si>
  <si>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</si>
  <si>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</si>
  <si>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</si>
  <si>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</si>
  <si>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合計</t>
    <phoneticPr fontId="13" type="noConversion"/>
  </si>
  <si>
    <t>訂單量</t>
    <phoneticPr fontId="13" type="noConversion"/>
  </si>
  <si>
    <t>訂單數</t>
    <phoneticPr fontId="13" type="noConversion"/>
  </si>
  <si>
    <t>18℃-壽司手卷</t>
  </si>
  <si>
    <t>4℃-壽司手卷</t>
  </si>
  <si>
    <t>商品名稱</t>
    <phoneticPr fontId="13" type="noConversion"/>
  </si>
  <si>
    <t>計畫</t>
    <phoneticPr fontId="13" type="noConversion"/>
  </si>
  <si>
    <t>人數</t>
    <phoneticPr fontId="13" type="noConversion"/>
  </si>
  <si>
    <t>實際</t>
    <phoneticPr fontId="13" type="noConversion"/>
  </si>
  <si>
    <t>人時性</t>
    <phoneticPr fontId="13" type="noConversion"/>
  </si>
  <si>
    <t>品群</t>
    <phoneticPr fontId="13" type="noConversion"/>
  </si>
  <si>
    <t>平均人時性</t>
    <phoneticPr fontId="13" type="noConversion"/>
  </si>
  <si>
    <t>日報</t>
    <phoneticPr fontId="13" type="noConversion"/>
  </si>
  <si>
    <t>排名</t>
    <phoneticPr fontId="13" type="noConversion"/>
  </si>
  <si>
    <t>製程不穩</t>
    <phoneticPr fontId="10"/>
  </si>
  <si>
    <t>研發設定</t>
    <phoneticPr fontId="10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</si>
  <si>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</si>
  <si>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</si>
  <si>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</si>
  <si>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</si>
  <si>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</si>
  <si>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</si>
  <si>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</si>
  <si>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</si>
  <si>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</si>
  <si>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</si>
  <si>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</si>
  <si>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</si>
  <si>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</si>
  <si>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</si>
  <si>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</si>
  <si>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</si>
  <si>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</si>
  <si>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</si>
  <si>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</si>
  <si>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</si>
  <si>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</si>
  <si>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</si>
  <si>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</si>
  <si>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</si>
  <si>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</si>
  <si>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</si>
  <si>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</si>
  <si>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</si>
  <si>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</si>
  <si>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</si>
  <si>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</si>
  <si>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</si>
  <si>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</si>
  <si>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</si>
  <si>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</si>
  <si>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</si>
  <si>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t>▼1</t>
    <phoneticPr fontId="10"/>
  </si>
  <si>
    <t>▼3</t>
    <phoneticPr fontId="10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</si>
  <si>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</si>
  <si>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</si>
  <si>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</si>
  <si>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0"/>
  </si>
  <si>
    <t>▼4</t>
    <phoneticPr fontId="10"/>
  </si>
  <si>
    <t>▼5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</si>
  <si>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</si>
  <si>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</si>
  <si>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</si>
  <si>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</si>
  <si>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</si>
  <si>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</si>
  <si>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</si>
  <si>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</si>
  <si>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</si>
  <si>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</si>
  <si>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</si>
  <si>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</si>
  <si>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</si>
  <si>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</si>
  <si>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</si>
  <si>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</si>
  <si>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</si>
  <si>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</si>
  <si>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</si>
  <si>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</si>
  <si>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</si>
  <si>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</si>
  <si>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</si>
  <si>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</si>
  <si>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</si>
  <si>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</si>
  <si>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</si>
  <si>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</si>
  <si>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</si>
  <si>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比例</t>
    <phoneticPr fontId="10"/>
  </si>
  <si>
    <t>報廢</t>
    <phoneticPr fontId="10"/>
  </si>
  <si>
    <t>超用</t>
    <phoneticPr fontId="10"/>
  </si>
  <si>
    <t>總件數</t>
    <phoneticPr fontId="13" type="noConversion"/>
  </si>
  <si>
    <t>分析原因</t>
    <phoneticPr fontId="13" type="noConversion"/>
  </si>
  <si>
    <t>次數</t>
    <phoneticPr fontId="13" type="noConversion"/>
  </si>
  <si>
    <t>分析原因（件）</t>
    <phoneticPr fontId="13" type="noConversion"/>
  </si>
  <si>
    <t>報廢金額</t>
    <phoneticPr fontId="13" type="noConversion"/>
  </si>
  <si>
    <t>其他原因</t>
    <phoneticPr fontId="13" type="noConversion"/>
  </si>
  <si>
    <t>補單占比</t>
    <phoneticPr fontId="13" type="noConversion"/>
  </si>
  <si>
    <t>展開量高於１０5％</t>
    <phoneticPr fontId="10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</si>
  <si>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</si>
  <si>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3" type="noConversion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</si>
  <si>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</si>
  <si>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</si>
  <si>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</si>
  <si>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</si>
  <si>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</si>
  <si>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</si>
  <si>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</si>
  <si>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</si>
  <si>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</si>
  <si>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</si>
  <si>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</si>
  <si>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</si>
  <si>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</si>
  <si>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</si>
  <si>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</si>
  <si>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</si>
  <si>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</si>
  <si>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</si>
  <si>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</si>
  <si>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</si>
  <si>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</si>
  <si>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</si>
  <si>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</si>
  <si>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</si>
  <si>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</si>
  <si>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</si>
  <si>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</si>
  <si>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</si>
  <si>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</si>
  <si>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</si>
  <si>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</si>
  <si>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</si>
  <si>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</si>
  <si>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</si>
  <si>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</si>
  <si>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</si>
  <si>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</si>
  <si>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</si>
  <si>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</si>
  <si>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</si>
  <si>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</si>
  <si>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</si>
  <si>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</si>
  <si>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</si>
  <si>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</si>
  <si>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</si>
  <si>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</si>
  <si>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</si>
  <si>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</si>
  <si>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</si>
  <si>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</si>
  <si>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</si>
  <si>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</si>
  <si>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</si>
  <si>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</si>
  <si>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</si>
  <si>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</si>
  <si>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</si>
  <si>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</si>
  <si>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</si>
  <si>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</si>
  <si>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</si>
  <si>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</si>
  <si>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</si>
  <si>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</si>
  <si>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</si>
  <si>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</si>
  <si>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</si>
  <si>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</si>
  <si>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</si>
  <si>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</si>
  <si>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</si>
  <si>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</si>
  <si>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</si>
  <si>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</si>
  <si>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</si>
  <si>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</si>
  <si>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</si>
  <si>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前週比</t>
    <phoneticPr fontId="13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</si>
  <si>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</si>
  <si>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</si>
  <si>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烤銀鮭魚肚</t>
  </si>
  <si>
    <t>(V)川燙小青花菜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</si>
  <si>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</si>
  <si>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0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</si>
  <si>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</si>
  <si>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</si>
  <si>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</si>
  <si>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</si>
  <si>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</si>
  <si>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</si>
  <si>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</si>
  <si>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</si>
  <si>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麻油雞飯糰</t>
  </si>
  <si>
    <t>微波主食</t>
    <phoneticPr fontId="13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</si>
  <si>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</si>
  <si>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</si>
  <si>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</si>
  <si>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</si>
  <si>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</si>
  <si>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</si>
  <si>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</si>
  <si>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3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</si>
  <si>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3" type="noConversion"/>
  </si>
  <si>
    <t>炒油蔥醬</t>
  </si>
  <si>
    <t>雞肉飯飯糰</t>
  </si>
  <si>
    <t>大溪廠</t>
    <phoneticPr fontId="13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</si>
  <si>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</si>
  <si>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生產管理報表</t>
    <phoneticPr fontId="13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</si>
  <si>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</si>
  <si>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3" type="noConversion"/>
  </si>
  <si>
    <t>實績 (週平均)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</si>
  <si>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3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</si>
  <si>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</si>
  <si>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3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</si>
  <si>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</si>
  <si>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t>18℃-壽司手卷</t>
    <phoneticPr fontId="13" type="noConversion"/>
  </si>
  <si>
    <t>4℃-壽司手卷</t>
    <phoneticPr fontId="13" type="noConversion"/>
  </si>
  <si>
    <t>季節調理麵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</si>
  <si>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</si>
  <si>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</si>
  <si>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</si>
  <si>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0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</si>
  <si>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</si>
  <si>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</si>
  <si>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</si>
  <si>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</si>
  <si>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</si>
  <si>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3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</si>
  <si>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</si>
  <si>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</si>
  <si>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</si>
  <si>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</si>
  <si>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</si>
  <si>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</si>
  <si>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</si>
  <si>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</si>
  <si>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</si>
  <si>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</si>
  <si>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</si>
  <si>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</si>
  <si>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</si>
  <si>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</si>
  <si>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</si>
  <si>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</si>
  <si>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</si>
  <si>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</si>
  <si>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</si>
  <si>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</si>
  <si>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</si>
  <si>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材料費</t>
    <phoneticPr fontId="13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</si>
  <si>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0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</si>
  <si>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</si>
  <si>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</si>
  <si>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r>
      <t>教育訓練-</t>
    </r>
    <r>
      <rPr>
        <sz val="10"/>
        <color theme="1"/>
        <rFont val="Meiryo UI"/>
        <family val="2"/>
      </rPr>
      <t>實施率(%)</t>
    </r>
    <phoneticPr fontId="10"/>
  </si>
  <si>
    <t>※單位：千元</t>
    <phoneticPr fontId="10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</si>
  <si>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</si>
  <si>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</si>
  <si>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</si>
  <si>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</si>
  <si>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</si>
  <si>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</si>
  <si>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</si>
  <si>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</si>
  <si>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調理端</t>
  </si>
  <si>
    <t>報廢</t>
    <phoneticPr fontId="13" type="noConversion"/>
  </si>
  <si>
    <t>超用</t>
    <phoneticPr fontId="13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</si>
  <si>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</si>
  <si>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川燙毛豆玉米</t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</si>
  <si>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3" type="noConversion"/>
  </si>
  <si>
    <t>製程不穩</t>
    <phoneticPr fontId="80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</si>
  <si>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</si>
  <si>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教育訓練-實施率(進度/計畫)</t>
    <phoneticPr fontId="13" type="noConversion"/>
  </si>
  <si>
    <t>4℃-飯糰</t>
    <phoneticPr fontId="13" type="noConversion"/>
  </si>
  <si>
    <t>熱食義麵</t>
    <phoneticPr fontId="13" type="noConversion"/>
  </si>
  <si>
    <t>人數配置相同與人時生產性維持穩定</t>
  </si>
  <si>
    <t>取樣不穩</t>
  </si>
  <si>
    <t>取樣不穩</t>
    <phoneticPr fontId="10"/>
  </si>
  <si>
    <t>（８）報廢原因別前幾名品項</t>
    <phoneticPr fontId="13" type="noConversion"/>
  </si>
  <si>
    <t>（８）超用原因別前幾名品項</t>
    <phoneticPr fontId="13" type="noConversion"/>
  </si>
  <si>
    <t>烤照燒雞腿丁</t>
  </si>
  <si>
    <t>海陸雙拼肉肉餐盒</t>
  </si>
  <si>
    <t>二配三杯醬爆菇菇飯糰</t>
  </si>
  <si>
    <t>蔬活腿排補力餐盒</t>
  </si>
  <si>
    <t>二配兩粒飯糰(鮪魚.焦糖鮭魚)</t>
  </si>
  <si>
    <t>香腸腿排雙拼便當</t>
  </si>
  <si>
    <t>炒蔥花碎蛋</t>
  </si>
  <si>
    <t>一配兩粒飯糰(鮪魚.焦糖鮭魚)</t>
  </si>
  <si>
    <t>二配大飯糰韓式蒜烤豬五花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</si>
  <si>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</si>
  <si>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月別</t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</si>
  <si>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3" type="noConversion"/>
  </si>
  <si>
    <t>後續對策</t>
    <phoneticPr fontId="13" type="noConversion"/>
  </si>
  <si>
    <t>展開量高於需求量</t>
  </si>
  <si>
    <t>週前二十</t>
    <phoneticPr fontId="13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</si>
  <si>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</si>
  <si>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</si>
  <si>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</si>
  <si>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</si>
  <si>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</si>
  <si>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展開量高於需求量</t>
    <phoneticPr fontId="10"/>
  </si>
  <si>
    <t>展開量高於需求量</t>
    <phoneticPr fontId="13" type="noConversion"/>
  </si>
  <si>
    <t>調理展開量下修，並已採用多次補單方式執行</t>
  </si>
  <si>
    <t>增加線上抽秤頻率，調理展開量下修，並已採用多次補單方式執行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</si>
  <si>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</si>
  <si>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一配鮭魚奶油醬油飯糰</t>
  </si>
  <si>
    <t>壹號醬炙烤牛飯糰</t>
  </si>
  <si>
    <t>切-烤牛五花(112年)</t>
  </si>
  <si>
    <t>烤箱製程蛋片規格厚薄差異
準備室分切剔除，確保賣相準定</t>
    <phoneticPr fontId="13" type="noConversion"/>
  </si>
  <si>
    <t>切烤雞胸肉(111年)</t>
  </si>
  <si>
    <t>蒜炒紅K油菜(A7)</t>
  </si>
  <si>
    <t>健身G肉餐盒(113年)</t>
  </si>
  <si>
    <t>炙燒韓式牛五花</t>
  </si>
  <si>
    <t>經典肉鬆飯糰(114年)</t>
  </si>
  <si>
    <t>原物料規格過小，無法使用</t>
  </si>
  <si>
    <t>烤箱製程蛋片規格厚薄差異</t>
  </si>
  <si>
    <t>準備室分切剔除，確保賣相準定</t>
  </si>
  <si>
    <t>烤盤產生炭渣，豆腐沾黏焦化物</t>
  </si>
  <si>
    <t>拌鹽烤豬肉片(114年)</t>
  </si>
  <si>
    <t>鹽蔥燒肉飯糰</t>
  </si>
  <si>
    <t>二配鐵板豆腐燴蛋蓋飯</t>
  </si>
  <si>
    <t>二配濃起司燻腸紅醬焗烤飯</t>
  </si>
  <si>
    <t>焗飯-義式蕃茄紅醬</t>
  </si>
  <si>
    <t>煮鐵板豆腐</t>
  </si>
  <si>
    <t>拌蒜香五花肉</t>
  </si>
  <si>
    <t>生產前確認標準定量的機台設定，生產中抽查確認設定及實際出料重量</t>
  </si>
  <si>
    <t>青花菜原物料規格偏大造成超用</t>
  </si>
  <si>
    <t>注餡機機台工差設定確認</t>
  </si>
  <si>
    <t>原物料肉片的大小塊差異</t>
  </si>
  <si>
    <t>回饋研發，後續開發列入考量，調整分切方式，穩定分切厚薄減少規格異常</t>
  </si>
  <si>
    <t>抓量較不穩定造成超用</t>
  </si>
  <si>
    <t>烤墨西哥雞丁</t>
  </si>
  <si>
    <t>二配溏心蛋五目飯糰</t>
  </si>
  <si>
    <t>1月</t>
    <phoneticPr fontId="13" type="noConversion"/>
  </si>
  <si>
    <r>
      <t>（１）收支</t>
    </r>
    <r>
      <rPr>
        <b/>
        <sz val="12"/>
        <color theme="1"/>
        <rFont val="微軟正黑體"/>
        <family val="2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</si>
  <si>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</si>
  <si>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</si>
  <si>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</si>
  <si>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</si>
  <si>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</si>
  <si>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</si>
  <si>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</si>
  <si>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</si>
  <si>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</si>
  <si>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</si>
  <si>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</si>
  <si>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3" type="noConversion"/>
  </si>
  <si>
    <t>業績金額(千元)</t>
    <phoneticPr fontId="13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</si>
  <si>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3" type="noConversion"/>
  </si>
  <si>
    <t>材料費(千元)</t>
    <phoneticPr fontId="13" type="noConversion"/>
  </si>
  <si>
    <t>勞務成本(千元)</t>
    <phoneticPr fontId="13" type="noConversion"/>
  </si>
  <si>
    <t xml:space="preserve">人時性(個/月均) </t>
    <phoneticPr fontId="13" type="noConversion"/>
  </si>
  <si>
    <t xml:space="preserve">人時達成率(%/月均) </t>
    <phoneticPr fontId="13" type="noConversion"/>
  </si>
  <si>
    <t>半成品-報廢(%)</t>
    <phoneticPr fontId="13" type="noConversion"/>
  </si>
  <si>
    <t>半成品-超用(%)</t>
    <phoneticPr fontId="13" type="noConversion"/>
  </si>
  <si>
    <t>二配大飯糰乾燒風味鮮蝦</t>
  </si>
  <si>
    <t>香檸奶油魚排蔬滿盒</t>
  </si>
  <si>
    <t>（１）收支狀況</t>
    <phoneticPr fontId="13" type="noConversion"/>
  </si>
  <si>
    <t>材料費率(%)</t>
    <phoneticPr fontId="13" type="noConversion"/>
  </si>
  <si>
    <t>勞務費率(%)</t>
    <phoneticPr fontId="13" type="noConversion"/>
  </si>
  <si>
    <t>人時性KPI</t>
    <phoneticPr fontId="13" type="noConversion"/>
  </si>
  <si>
    <t>固定產線-導入率(%)</t>
  </si>
  <si>
    <t>教育訓練-實施率(%)</t>
  </si>
  <si>
    <t>（３）業績構成比</t>
    <phoneticPr fontId="13" type="noConversion"/>
  </si>
  <si>
    <t>18℃-飯糰(061,063)</t>
  </si>
  <si>
    <t>（４）訂單數量構成比</t>
    <phoneticPr fontId="13" type="noConversion"/>
  </si>
  <si>
    <t>（５）品群別人時生產性</t>
    <phoneticPr fontId="13" type="noConversion"/>
  </si>
  <si>
    <t>二配贅沢鮭魚肚飯糰</t>
  </si>
  <si>
    <t>二配鹽水G絲飯糰</t>
  </si>
  <si>
    <t>一配經典人氣雙手卷</t>
  </si>
  <si>
    <t>一配鮭鮪海饌雙手卷</t>
  </si>
  <si>
    <t>贅沢鮭魚肚飯糰</t>
  </si>
  <si>
    <t>設定放料量範圍，後續開發列入考量調整，針對人員手法教育訓練，並增加線上抽秤頻率。</t>
  </si>
  <si>
    <t>針對人員抓量手法教育訓練，並增加線上抽秤頻率。</t>
  </si>
  <si>
    <t>定期更換烤盤，制定烤盤更換時程，降低豆腐沾黏焦化物而造成報廢</t>
  </si>
  <si>
    <t>抓量較不穩定，生產餘料報廢</t>
  </si>
  <si>
    <t>烤盤產生炭渣，豆腐沾黏焦化物
定期更換烤盤，制定烤盤更換時程，降低豆腐沾黏焦化物而造成報廢</t>
    <phoneticPr fontId="13" type="noConversion"/>
  </si>
  <si>
    <t>青花菜原物料規格偏大造成超用
設定放料量範圍，後續開發列入考量調整，針對人員手法教育訓練，並增加線上抽秤頻率。</t>
    <phoneticPr fontId="13" type="noConversion"/>
  </si>
  <si>
    <t>一配鹽蔥生鮭飯糰</t>
  </si>
  <si>
    <t>一配柚檸海灣貝飯糰</t>
  </si>
  <si>
    <t>山葵生鮪魚泥脆卷</t>
  </si>
  <si>
    <t>大滿足香辣涼麵</t>
  </si>
  <si>
    <t>大滿足麻醬涼麵</t>
  </si>
  <si>
    <t>和風涓絲冷麵</t>
  </si>
  <si>
    <t>煮中華冷麵(110年)</t>
  </si>
  <si>
    <t>冷凍紅鮭碎肉20</t>
  </si>
  <si>
    <t>熟成紅鮭飯糰(114年)</t>
  </si>
  <si>
    <t>原物料肉片的大小塊差異
回饋研發，後續開發列入考量，調整分切方式，穩定分切厚薄減少規格異常</t>
    <phoneticPr fontId="13" type="noConversion"/>
  </si>
  <si>
    <t>一配山葵章魚飯糰</t>
  </si>
  <si>
    <t>醬油生鮭脆卷</t>
  </si>
  <si>
    <t>台式麻醬涼麵</t>
  </si>
  <si>
    <t>原物料規格</t>
    <phoneticPr fontId="13" type="noConversion"/>
  </si>
  <si>
    <t>操作方式冰杓定量，因冰杓規格限制導致超用</t>
  </si>
  <si>
    <t>回饋研發，後續開發列入考量，針對人員手法教育訓練，並增加線上抽秤頻率。</t>
  </si>
  <si>
    <t>設定雙圈秤重，抓量較不穩定造成超用
針對人員抓量手法教育訓練，並增加線上抽秤頻率。</t>
    <phoneticPr fontId="13" type="noConversion"/>
  </si>
  <si>
    <t>鰹魚烏龍冷麵</t>
  </si>
  <si>
    <t>煮烏龍冷麵(113年)</t>
  </si>
  <si>
    <t>歐姆蛋-黑咖哩醬</t>
  </si>
  <si>
    <t>操作方式冰杓定量，生產餘料報廢</t>
  </si>
  <si>
    <r>
      <rPr>
        <sz val="12"/>
        <color theme="1"/>
        <rFont val="Microsoft JhengHei"/>
        <family val="2"/>
      </rPr>
      <t>確認分切工程</t>
    </r>
    <r>
      <rPr>
        <sz val="12"/>
        <color theme="1"/>
        <rFont val="Meiryo UI"/>
        <family val="2"/>
      </rPr>
      <t>穩定分切長度減少規格異常，再針對抓量手法教育訓練，並增加線上抽秤頻率。</t>
    </r>
    <phoneticPr fontId="13" type="noConversion"/>
  </si>
  <si>
    <t>抓量較不穩定造成超用
確認分切工程穩定分切長度減少規格異常，再針對抓量手法教育訓練，並增加線上抽秤頻率。</t>
    <phoneticPr fontId="13" type="noConversion"/>
  </si>
  <si>
    <t>排序</t>
    <phoneticPr fontId="13" type="noConversion"/>
  </si>
  <si>
    <t>半成品名稱</t>
    <phoneticPr fontId="13" type="noConversion"/>
  </si>
  <si>
    <t>報廢金額
(元)</t>
    <phoneticPr fontId="13" type="noConversion"/>
  </si>
  <si>
    <t>半成品單價
(元/kg)</t>
    <phoneticPr fontId="13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</si>
  <si>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3" type="noConversion"/>
  </si>
  <si>
    <t>生管展開</t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</si>
  <si>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</si>
  <si>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3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</si>
  <si>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</si>
  <si>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</si>
  <si>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r>
      <t>kg/</t>
    </r>
    <r>
      <rPr>
        <sz val="12"/>
        <color theme="1"/>
        <rFont val="Meiryo UI"/>
        <family val="2"/>
      </rPr>
      <t>個</t>
    </r>
    <phoneticPr fontId="13" type="noConversion"/>
  </si>
  <si>
    <t>%</t>
  </si>
  <si>
    <t>元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</si>
  <si>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</si>
  <si>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</si>
  <si>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t>B6</t>
    <phoneticPr fontId="13" type="noConversion"/>
  </si>
  <si>
    <t>0526-0601</t>
    <phoneticPr fontId="13" type="noConversion"/>
  </si>
  <si>
    <t>屏榮大溪廠半成品管理日別總表</t>
    <phoneticPr fontId="13" type="noConversion"/>
  </si>
  <si>
    <r>
      <rPr>
        <b/>
        <sz val="16"/>
        <color theme="1"/>
        <rFont val="微軟正黑體"/>
        <family val="2"/>
        <charset val="136"/>
      </rPr>
      <t>日期</t>
    </r>
    <phoneticPr fontId="80" type="noConversion"/>
  </si>
  <si>
    <r>
      <rPr>
        <b/>
        <sz val="16"/>
        <color theme="1"/>
        <rFont val="微軟正黑體"/>
        <family val="2"/>
        <charset val="136"/>
      </rPr>
      <t>營業額</t>
    </r>
    <phoneticPr fontId="13" type="noConversion"/>
  </si>
  <si>
    <r>
      <rPr>
        <b/>
        <sz val="16"/>
        <color theme="1"/>
        <rFont val="微軟正黑體"/>
        <family val="2"/>
        <charset val="136"/>
      </rPr>
      <t>報廢額</t>
    </r>
    <phoneticPr fontId="80" type="noConversion"/>
  </si>
  <si>
    <r>
      <rPr>
        <b/>
        <sz val="16"/>
        <color theme="1"/>
        <rFont val="微軟正黑體"/>
        <family val="2"/>
        <charset val="136"/>
      </rPr>
      <t xml:space="preserve">報廢率
</t>
    </r>
    <r>
      <rPr>
        <b/>
        <sz val="16"/>
        <color theme="1"/>
        <rFont val="Noto Sans CJK SC"/>
        <family val="2"/>
      </rPr>
      <t xml:space="preserve">KPI </t>
    </r>
    <r>
      <rPr>
        <b/>
        <sz val="16"/>
        <color rgb="FFFF0000"/>
        <rFont val="Noto Sans CJK SC"/>
        <family val="2"/>
      </rPr>
      <t>0.25%</t>
    </r>
    <phoneticPr fontId="13" type="noConversion"/>
  </si>
  <si>
    <r>
      <rPr>
        <b/>
        <sz val="16"/>
        <color theme="1"/>
        <rFont val="微軟正黑體"/>
        <family val="2"/>
        <charset val="136"/>
      </rPr>
      <t>超用額</t>
    </r>
    <phoneticPr fontId="80" type="noConversion"/>
  </si>
  <si>
    <r>
      <rPr>
        <b/>
        <sz val="16"/>
        <color theme="1"/>
        <rFont val="微軟正黑體"/>
        <family val="2"/>
        <charset val="136"/>
      </rPr>
      <t>超用率</t>
    </r>
    <phoneticPr fontId="13" type="noConversion"/>
  </si>
  <si>
    <r>
      <rPr>
        <b/>
        <sz val="16"/>
        <color rgb="FF000000"/>
        <rFont val="微軟正黑體"/>
        <family val="2"/>
        <charset val="136"/>
      </rPr>
      <t>廢棄週合計</t>
    </r>
    <phoneticPr fontId="13" type="noConversion"/>
  </si>
  <si>
    <r>
      <rPr>
        <b/>
        <sz val="16"/>
        <color rgb="FF000000"/>
        <rFont val="微軟正黑體"/>
        <family val="2"/>
        <charset val="136"/>
      </rPr>
      <t>超用週合計</t>
    </r>
    <phoneticPr fontId="13" type="noConversion"/>
  </si>
  <si>
    <r>
      <rPr>
        <sz val="14"/>
        <rFont val="微軟正黑體"/>
        <family val="2"/>
        <charset val="136"/>
      </rPr>
      <t>營業額合計</t>
    </r>
    <phoneticPr fontId="80" type="noConversion"/>
  </si>
  <si>
    <t>二配香烤魚排青醬燉飯</t>
  </si>
  <si>
    <t>0526-0601 總合計↑</t>
    <phoneticPr fontId="13" type="noConversion"/>
  </si>
  <si>
    <r>
      <rPr>
        <sz val="12"/>
        <color theme="1"/>
        <rFont val="Meiryo UI"/>
        <family val="2"/>
      </rPr>
      <t>超用金額
(元)</t>
    </r>
    <phoneticPr fontId="13" type="noConversion"/>
  </si>
  <si>
    <t>煮白細麵生(方#12)</t>
  </si>
  <si>
    <t>反映研發，後續開發列入考量，目前報廢量以穩定控制</t>
    <phoneticPr fontId="13" type="noConversion"/>
  </si>
  <si>
    <t>菜梗、葉差異，影響人員放料手感</t>
  </si>
  <si>
    <t>增加線上抽秤頻率，調理展開量下修，並已採用多次補單方式執行</t>
    <phoneticPr fontId="13" type="noConversion"/>
  </si>
  <si>
    <t>煮麵單藍批量設定，餘料報廢</t>
    <phoneticPr fontId="13" type="noConversion"/>
  </si>
  <si>
    <t>針對人員抓量手法教育訓練，並增加線上抽秤頻率。</t>
    <phoneticPr fontId="13" type="noConversion"/>
  </si>
  <si>
    <t>回饋研發，後續開發列入考量，針對人員抓量手法教育訓練，並增加線上抽秤頻率</t>
    <phoneticPr fontId="13" type="noConversion"/>
  </si>
  <si>
    <t>原物料規格過小，無法使用
反映研發，後續開發列入考量，目前報廢量以穩定控制</t>
    <phoneticPr fontId="10"/>
  </si>
  <si>
    <t>操作方式冰杓定量，生產餘料報廢
調理展開量下修，並已採用多次補單方式執行</t>
    <phoneticPr fontId="13" type="noConversion"/>
  </si>
  <si>
    <t>菜梗、葉差異，影響人員放料手感
增加線上抽秤頻率，調理展開量下修，並已採用多次補單方式執行</t>
    <phoneticPr fontId="13" type="noConversion"/>
  </si>
  <si>
    <t>一配黑胡椒洋蔥豬飯糰</t>
  </si>
  <si>
    <t>鮪魚昆布細卷</t>
  </si>
  <si>
    <t>肉鬆火腿細卷</t>
  </si>
  <si>
    <t>懷舊滷雙拼便當</t>
  </si>
  <si>
    <t>烤燉飯魚排</t>
  </si>
  <si>
    <t>蒸黑滷D4棒</t>
  </si>
  <si>
    <t>燉飯青醬(115年)</t>
  </si>
  <si>
    <r>
      <rPr>
        <sz val="11"/>
        <color theme="1"/>
        <rFont val="Microsoft JhengHei"/>
        <family val="2"/>
      </rPr>
      <t>新品</t>
    </r>
    <r>
      <rPr>
        <sz val="11"/>
        <color theme="1"/>
        <rFont val="Calibri"/>
        <family val="2"/>
      </rPr>
      <t>.</t>
    </r>
    <r>
      <rPr>
        <sz val="11"/>
        <color theme="1"/>
        <rFont val="Microsoft JhengHei"/>
        <family val="2"/>
      </rPr>
      <t>達成率提升中</t>
    </r>
    <phoneticPr fontId="13" type="noConversion"/>
  </si>
  <si>
    <r>
      <rPr>
        <sz val="11"/>
        <color theme="1"/>
        <rFont val="Microsoft JhengHei"/>
        <family val="2"/>
      </rPr>
      <t>轉移便二生產,配置人數減</t>
    </r>
    <r>
      <rPr>
        <sz val="11"/>
        <color theme="1"/>
        <rFont val="Calibri"/>
        <family val="2"/>
      </rPr>
      <t>1</t>
    </r>
    <phoneticPr fontId="13" type="noConversion"/>
  </si>
  <si>
    <r>
      <t>魚肉烤箱製程，</t>
    </r>
    <r>
      <rPr>
        <sz val="12"/>
        <color theme="1"/>
        <rFont val="Microsoft JhengHei"/>
        <family val="2"/>
        <charset val="136"/>
      </rPr>
      <t>質地較軟</t>
    </r>
    <r>
      <rPr>
        <sz val="12"/>
        <color theme="1"/>
        <rFont val="Meiryo UI"/>
        <family val="2"/>
      </rPr>
      <t>拿取後破損造成報廢</t>
    </r>
    <phoneticPr fontId="13" type="noConversion"/>
  </si>
  <si>
    <t>原物料肉片的大小塊差異超用剩餘料報廢</t>
    <phoneticPr fontId="13" type="noConversion"/>
  </si>
  <si>
    <t>加強分切規格控管與線上抓量教育訓練，降低規格落差及剩料</t>
    <phoneticPr fontId="13" type="noConversion"/>
  </si>
  <si>
    <t>蒸箱製程後物料骨肉分離無法使用</t>
    <phoneticPr fontId="13" type="noConversion"/>
  </si>
  <si>
    <t>已調整蒸箱製程後段操作方式及入籃量下修，調整後報廢數量已降低。</t>
    <phoneticPr fontId="13" type="noConversion"/>
  </si>
  <si>
    <r>
      <t>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前確認標準定量的機台設定，生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中抽</t>
    </r>
    <r>
      <rPr>
        <sz val="12"/>
        <color theme="1"/>
        <rFont val="細明體"/>
        <family val="3"/>
        <charset val="136"/>
      </rPr>
      <t>查</t>
    </r>
    <r>
      <rPr>
        <sz val="12"/>
        <color theme="1"/>
        <rFont val="Meiryo UI"/>
        <family val="2"/>
      </rPr>
      <t>確認設定及實際出料重量，餘料報廢。</t>
    </r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</si>
  <si>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</t>
    </r>
    <phoneticPr fontId="13" type="noConversion"/>
  </si>
  <si>
    <t>設定雙圈秤重，抓量較不穩定造成超用</t>
    <phoneticPr fontId="13" type="noConversion"/>
  </si>
  <si>
    <r>
      <t>人員抓量放料手法不穩定，原物料單價高</t>
    </r>
    <r>
      <rPr>
        <sz val="12"/>
        <color theme="1"/>
        <rFont val="Microsoft JhengHei"/>
        <family val="2"/>
      </rPr>
      <t>總計超用金額高</t>
    </r>
    <phoneticPr fontId="13" type="noConversion"/>
  </si>
  <si>
    <t>原物料肉片的大小塊差異超用剩餘料報廢
加強分切規格控管與線上抓量教育訓練，降低規格落差及剩料</t>
    <phoneticPr fontId="13" type="noConversion"/>
  </si>
  <si>
    <t>煮麵單藍批量設定，餘料報廢
反映研發，後續開發列入考量，目前報廢量以穩定控制</t>
    <phoneticPr fontId="10"/>
  </si>
  <si>
    <t>一配椒鹽檸檬鯖魚飯糰</t>
  </si>
  <si>
    <t>韓式辣炒豬肉飯卷</t>
  </si>
  <si>
    <t>日式胡麻雞絲冷麵</t>
  </si>
  <si>
    <t>蒸玉米塊</t>
  </si>
  <si>
    <t>焙炒芝麻肉鬆(飯糰)</t>
  </si>
  <si>
    <t>蒸-解凍手撕雞</t>
  </si>
  <si>
    <t>煮2025屯京冷麵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</si>
  <si>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性前幾名品項(0526-0601)</t>
    </r>
    <phoneticPr fontId="13" type="noConversion"/>
  </si>
  <si>
    <t>（８）報廢原因別前幾名品項(0526-0601)</t>
    <phoneticPr fontId="13" type="noConversion"/>
  </si>
  <si>
    <r>
      <rPr>
        <sz val="11"/>
        <color theme="1"/>
        <rFont val="細明體"/>
        <family val="2"/>
        <charset val="136"/>
      </rPr>
      <t>新品一週</t>
    </r>
    <r>
      <rPr>
        <sz val="11"/>
        <color theme="1"/>
        <rFont val="Calibri"/>
        <family val="2"/>
      </rPr>
      <t>,</t>
    </r>
    <r>
      <rPr>
        <sz val="11"/>
        <color theme="1"/>
        <rFont val="細明體"/>
        <family val="2"/>
        <charset val="136"/>
      </rPr>
      <t>達成率穩定提升中</t>
    </r>
    <phoneticPr fontId="13" type="noConversion"/>
  </si>
  <si>
    <r>
      <t>青花菜原物料規格偏大造成超用</t>
    </r>
    <r>
      <rPr>
        <sz val="12"/>
        <color theme="1"/>
        <rFont val="Microsoft JhengHei"/>
        <family val="2"/>
      </rPr>
      <t>剩餘料報廢</t>
    </r>
    <phoneticPr fontId="13" type="noConversion"/>
  </si>
  <si>
    <r>
      <t>已加強操作教育訓練，</t>
    </r>
    <r>
      <rPr>
        <sz val="12"/>
        <color theme="1"/>
        <rFont val="Microsoft JhengHei"/>
        <family val="2"/>
      </rPr>
      <t>對比</t>
    </r>
    <r>
      <rPr>
        <sz val="12"/>
        <color theme="1"/>
        <rFont val="Meiryo UI"/>
        <family val="2"/>
      </rPr>
      <t>前周</t>
    </r>
    <r>
      <rPr>
        <sz val="12"/>
        <color theme="1"/>
        <rFont val="Microsoft JhengHei"/>
        <family val="2"/>
      </rPr>
      <t>破損率已下降。</t>
    </r>
    <phoneticPr fontId="13" type="noConversion"/>
  </si>
  <si>
    <t>原物料規格大小顆，影響產出數量</t>
    <phoneticPr fontId="13" type="noConversion"/>
  </si>
  <si>
    <t>反映研發，後續開發列入考量</t>
    <phoneticPr fontId="13" type="noConversion"/>
  </si>
  <si>
    <t>針對抓量手法教育訓練，並增加線上抽秤頻率。</t>
  </si>
  <si>
    <t>抓量較不穩定造成超用</t>
    <phoneticPr fontId="13" type="noConversion"/>
  </si>
  <si>
    <r>
      <t>肉片</t>
    </r>
    <r>
      <rPr>
        <sz val="12"/>
        <color theme="1"/>
        <rFont val="Microsoft JhengHei"/>
        <family val="2"/>
      </rPr>
      <t>長短規格</t>
    </r>
    <r>
      <rPr>
        <sz val="12"/>
        <color theme="1"/>
        <rFont val="Meiryo UI"/>
        <family val="2"/>
      </rPr>
      <t>影響</t>
    </r>
    <phoneticPr fontId="13" type="noConversion"/>
  </si>
  <si>
    <r>
      <t>針對人員分切方式</t>
    </r>
    <r>
      <rPr>
        <sz val="12"/>
        <color theme="1"/>
        <rFont val="Microsoft JhengHei"/>
        <family val="2"/>
      </rPr>
      <t>進行教育訓練</t>
    </r>
    <r>
      <rPr>
        <sz val="12"/>
        <color theme="1"/>
        <rFont val="Meiryo UI"/>
        <family val="2"/>
      </rPr>
      <t>，穩定分切長度減少規格異常。</t>
    </r>
    <phoneticPr fontId="13" type="noConversion"/>
  </si>
  <si>
    <t>月</t>
    <phoneticPr fontId="13" type="noConversion"/>
  </si>
  <si>
    <t>青花菜原物料規格偏大造成超用剩餘料報廢
反映研發，後續開發列入考量，目前報廢量以穩定控制</t>
    <phoneticPr fontId="10"/>
  </si>
  <si>
    <t>魚肉烤箱製程，質地較軟拿取後破損造成報廢
已加強操作教育訓練，對比前周破損率已下降。</t>
    <phoneticPr fontId="13" type="noConversion"/>
  </si>
  <si>
    <t>注餡機機台工差設定確認
生產前確認標準定量的機台設定，生產中抽查確認設定及實際出料重量</t>
    <phoneticPr fontId="13" type="noConversion"/>
  </si>
  <si>
    <t>抓量較不穩定造成超用
針對人員抓量手法教育訓練，並增加線上抽秤頻率。</t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</si>
  <si>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週更新(0526-0601)</t>
    </r>
    <phoneticPr fontId="13" type="noConversion"/>
  </si>
  <si>
    <t>海陸雙拼壽司</t>
  </si>
  <si>
    <t/>
  </si>
  <si>
    <t>嘉義崇文白醋涼麵</t>
  </si>
  <si>
    <t>蒸蛋湯</t>
  </si>
  <si>
    <t>馬鈴薯玉米濃湯</t>
  </si>
  <si>
    <t>三合一味噌湯</t>
  </si>
  <si>
    <t>麻油雞飯糰</t>
    <phoneticPr fontId="13" type="noConversion"/>
  </si>
  <si>
    <t>調味扇貝柱-F</t>
  </si>
  <si>
    <t>煮白細麵生(方#5/膠片)</t>
  </si>
  <si>
    <t>消毒細切紅蘿蔔絲</t>
  </si>
  <si>
    <t>肉片長短規格影響
針對人員分切方式進行教育訓練，穩定分切長度減少規格異常。</t>
    <phoneticPr fontId="13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</si>
  <si>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的大小塊差異超用剩餘料報廢</t>
    </r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</si>
  <si>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的大小塊差異超用剩餘料報廢</t>
    </r>
    <phoneticPr fontId="13" type="noConversion"/>
  </si>
  <si>
    <r>
      <rPr>
        <sz val="12"/>
        <color theme="1"/>
        <rFont val="Microsoft JhengHei"/>
        <family val="2"/>
      </rPr>
      <t>高風險原物料拆袋</t>
    </r>
    <r>
      <rPr>
        <sz val="12"/>
        <color theme="1"/>
        <rFont val="Meiryo UI"/>
        <family val="2"/>
      </rPr>
      <t>餘料報廢</t>
    </r>
    <phoneticPr fontId="13" type="noConversion"/>
  </si>
  <si>
    <t>抓量較不穩定，生產餘料報廢
增加線上抽秤頻率，調理展開量下修，並已採用多次補單方式執行</t>
    <phoneticPr fontId="13" type="noConversion"/>
  </si>
  <si>
    <t>注餡機機台工差設定確認
生產前確認標準定量的機台設定，生產中抽查確認設定及實際出料重量，餘料報廢。</t>
    <phoneticPr fontId="13" type="noConversion"/>
  </si>
  <si>
    <t>原物料肉片的大小塊差異超用剩餘料報廢
反映研發，後續開發列入考量，目前報廢量以穩定控制</t>
    <phoneticPr fontId="13" type="noConversion"/>
  </si>
  <si>
    <t>原物料肉片的大小塊差異
回饋研發，後續開發列入考量，針對人員抓量手法教育訓練，並增加線上抽秤頻率</t>
    <phoneticPr fontId="13" type="noConversion"/>
  </si>
  <si>
    <t>原物料肉塊的大小塊差異
回饋研發，後續開發列入考量，調整分切方式，穩定分切厚薄減少規格異常</t>
    <phoneticPr fontId="13" type="noConversion"/>
  </si>
  <si>
    <t>W1</t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</si>
  <si>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性前幾名品項(0602-0608)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</si>
  <si>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性前幾名品項(0609-0615)</t>
    </r>
    <phoneticPr fontId="13" type="noConversion"/>
  </si>
  <si>
    <r>
      <t>6</t>
    </r>
    <r>
      <rPr>
        <b/>
        <sz val="18"/>
        <color theme="1"/>
        <rFont val="微軟正黑體"/>
        <family val="2"/>
        <charset val="136"/>
      </rPr>
      <t>月總報廢合計</t>
    </r>
    <phoneticPr fontId="13" type="noConversion"/>
  </si>
  <si>
    <r>
      <t>6</t>
    </r>
    <r>
      <rPr>
        <b/>
        <sz val="18"/>
        <color theme="1"/>
        <rFont val="微軟正黑體"/>
        <family val="2"/>
        <charset val="136"/>
      </rPr>
      <t>月總報廢率</t>
    </r>
    <phoneticPr fontId="13" type="noConversion"/>
  </si>
  <si>
    <r>
      <t>6</t>
    </r>
    <r>
      <rPr>
        <b/>
        <sz val="18"/>
        <color theme="1"/>
        <rFont val="微軟正黑體"/>
        <family val="2"/>
        <charset val="136"/>
      </rPr>
      <t>月總超用合計</t>
    </r>
    <phoneticPr fontId="13" type="noConversion"/>
  </si>
  <si>
    <t>6月總超用率</t>
    <phoneticPr fontId="13" type="noConversion"/>
  </si>
  <si>
    <t>0602-0608</t>
    <phoneticPr fontId="13" type="noConversion"/>
  </si>
  <si>
    <t>0609-0615</t>
    <phoneticPr fontId="13" type="noConversion"/>
  </si>
  <si>
    <t>0616-0622</t>
    <phoneticPr fontId="13" type="noConversion"/>
  </si>
  <si>
    <t>0623-0629</t>
    <phoneticPr fontId="13" type="noConversion"/>
  </si>
  <si>
    <t>0602-0608 總合計↑</t>
    <phoneticPr fontId="13" type="noConversion"/>
  </si>
  <si>
    <t>0609-0615 總合計↑</t>
    <phoneticPr fontId="13" type="noConversion"/>
  </si>
  <si>
    <t>0616-0622 總合計↑</t>
    <phoneticPr fontId="13" type="noConversion"/>
  </si>
  <si>
    <t>0623-0629 總合計↑</t>
    <phoneticPr fontId="13" type="noConversion"/>
  </si>
  <si>
    <t>厚香料優格咖哩烤雞飯卷</t>
  </si>
  <si>
    <t>招牌雞絲胡麻涼麵</t>
  </si>
  <si>
    <t>（８）報廢原因別前幾名品項(0602-0608)</t>
    <phoneticPr fontId="13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</si>
  <si>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</si>
  <si>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（８）報廢原因別前幾名品項(0609-0615)</t>
    <phoneticPr fontId="13" type="noConversion"/>
  </si>
  <si>
    <t>（８）報廢原因別前幾名品項(0623-0629)</t>
    <phoneticPr fontId="13" type="noConversion"/>
  </si>
  <si>
    <t>（８）報廢原因別前幾名品項(0616-0622)</t>
    <phoneticPr fontId="13" type="noConversion"/>
  </si>
  <si>
    <t>（８）超用原因別前幾名品項(0602-0608)</t>
    <phoneticPr fontId="13" type="noConversion"/>
  </si>
  <si>
    <t>（８）超用原因別前幾名品項(0609-0615)</t>
    <phoneticPr fontId="13" type="noConversion"/>
  </si>
  <si>
    <t>（８）超用原因別前幾名品項(0616-0622)</t>
    <phoneticPr fontId="13" type="noConversion"/>
  </si>
  <si>
    <t>6月平均人時性</t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</si>
  <si>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週更新(0602-0608)</t>
    </r>
    <phoneticPr fontId="13" type="noConversion"/>
  </si>
  <si>
    <t>煮傳統冷麵</t>
  </si>
  <si>
    <t>112年拌鮪魚沙拉</t>
  </si>
  <si>
    <t>(V)消毒小黃瓜絲</t>
  </si>
  <si>
    <t>炒醬香豆瓣肉燥</t>
  </si>
  <si>
    <t>玉米濃湯(115年版)</t>
  </si>
  <si>
    <t>鮪魚飯糰</t>
  </si>
  <si>
    <t>對切屯京溫泉蛋</t>
  </si>
  <si>
    <t>義式烤馬鈴薯</t>
  </si>
  <si>
    <t>7切-烤蜜汁腿排</t>
  </si>
  <si>
    <t>6切-烤醃漬咖哩腿排</t>
  </si>
  <si>
    <t>5切法式炸雞排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</si>
</sst>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.00_ "/>
  </numFmts>
  <fonts count="132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2"/>
      <name val="Meiryo UI"/>
      <family val="2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sz val="10"/>
      <color rgb="FF000000"/>
      <name val="Microsoft JhengHei UI"/>
      <family val="2"/>
      <charset val="136"/>
    </font>
    <font>
      <sz val="12"/>
      <name val="細明體"/>
      <family val="3"/>
      <charset val="136"/>
    </font>
    <font>
      <b/>
      <sz val="20"/>
      <color theme="0"/>
      <name val="微軟正黑體"/>
      <family val="2"/>
      <charset val="136"/>
    </font>
    <font>
      <b/>
      <sz val="20"/>
      <color theme="0"/>
      <name val="Noto Sans CJK SC"/>
    </font>
    <font>
      <sz val="14"/>
      <color theme="1"/>
      <name val="Arial"/>
      <family val="2"/>
      <charset val="136"/>
      <scheme val="minor"/>
    </font>
    <font>
      <b/>
      <sz val="18"/>
      <color theme="1"/>
      <name val="Noto Sans CJK SC"/>
      <family val="2"/>
    </font>
    <font>
      <b/>
      <sz val="18"/>
      <color theme="1"/>
      <name val="微軟正黑體"/>
      <family val="2"/>
      <charset val="136"/>
    </font>
    <font>
      <b/>
      <sz val="16"/>
      <color theme="1"/>
      <name val="Noto Sans CJK SC"/>
      <family val="2"/>
    </font>
    <font>
      <b/>
      <sz val="16"/>
      <color theme="1"/>
      <name val="微軟正黑體"/>
      <family val="2"/>
      <charset val="136"/>
    </font>
    <font>
      <b/>
      <sz val="16"/>
      <color rgb="FFFF0000"/>
      <name val="Noto Sans CJK SC"/>
      <family val="2"/>
    </font>
    <font>
      <b/>
      <sz val="16"/>
      <color rgb="FF000000"/>
      <name val="Noto Sans CJK SC"/>
      <family val="2"/>
    </font>
    <font>
      <b/>
      <sz val="16"/>
      <color rgb="FF00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theme="1"/>
      <name val="Microsoft JhengHei"/>
      <family val="2"/>
    </font>
    <font>
      <sz val="14"/>
      <name val="Noto Sans CJK SC"/>
      <family val="2"/>
    </font>
    <font>
      <sz val="14"/>
      <color theme="1"/>
      <name val="Noto Sans CJK SC"/>
      <family val="2"/>
    </font>
    <font>
      <sz val="14"/>
      <name val="Noto Sans CJK SC"/>
    </font>
    <font>
      <sz val="12"/>
      <color rgb="FF000000"/>
      <name val="Microsoft JhengHei UI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Calibri"/>
      <family val="2"/>
    </font>
    <font>
      <sz val="12"/>
      <color theme="1"/>
      <name val="Microsoft JhengHei"/>
      <family val="2"/>
      <charset val="136"/>
    </font>
    <font>
      <sz val="11"/>
      <color theme="1"/>
      <name val="Meiryo UI"/>
      <family val="2"/>
      <charset val="136"/>
    </font>
    <font>
      <sz val="12"/>
      <color rgb="FF000000"/>
      <name val="Microsoft JhengHei"/>
      <family val="2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</borders>
  <cellStyleXfs count="36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16">
    <xf numFmtId="0" fontId="0" fillId="0" borderId="0" xfId="0"/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/>
    <xf numFmtId="0" fontId="14" fillId="0" borderId="0" xfId="0" applyFont="1"/>
    <xf numFmtId="0" fontId="18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4" fillId="0" borderId="0" xfId="0" applyNumberFormat="1" applyFont="1"/>
    <xf numFmtId="176" fontId="17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0" xfId="0" applyNumberFormat="1" applyFont="1" applyAlignment="1">
      <alignment horizontal="center"/>
    </xf>
    <xf numFmtId="0" fontId="31" fillId="0" borderId="0" xfId="0" applyFont="1"/>
    <xf numFmtId="177" fontId="26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8" fillId="0" borderId="0" xfId="0" applyFont="1" applyAlignment="1">
      <alignment shrinkToFit="1"/>
    </xf>
    <xf numFmtId="0" fontId="43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26" fillId="0" borderId="0" xfId="0" applyFont="1" applyAlignment="1">
      <alignment horizontal="center" shrinkToFit="1"/>
    </xf>
    <xf numFmtId="0" fontId="28" fillId="0" borderId="0" xfId="0" applyFont="1" applyAlignment="1">
      <alignment horizontal="center" shrinkToFit="1"/>
    </xf>
    <xf numFmtId="0" fontId="26" fillId="0" borderId="0" xfId="0" applyFont="1" applyAlignment="1">
      <alignment horizontal="center" vertical="center" shrinkToFit="1"/>
    </xf>
    <xf numFmtId="0" fontId="43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28" fillId="4" borderId="0" xfId="0" applyFont="1" applyFill="1" applyAlignment="1">
      <alignment shrinkToFit="1"/>
    </xf>
    <xf numFmtId="0" fontId="46" fillId="0" borderId="0" xfId="0" applyFont="1"/>
    <xf numFmtId="0" fontId="48" fillId="0" borderId="0" xfId="0" applyFont="1"/>
    <xf numFmtId="10" fontId="43" fillId="0" borderId="0" xfId="0" applyNumberFormat="1" applyFont="1" applyAlignment="1">
      <alignment shrinkToFit="1"/>
    </xf>
    <xf numFmtId="0" fontId="44" fillId="0" borderId="0" xfId="0" applyFont="1"/>
    <xf numFmtId="0" fontId="49" fillId="0" borderId="22" xfId="0" applyFont="1" applyBorder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3" fillId="0" borderId="22" xfId="0" applyFont="1" applyBorder="1" applyAlignment="1">
      <alignment horizontal="center" shrinkToFit="1"/>
    </xf>
    <xf numFmtId="3" fontId="28" fillId="0" borderId="22" xfId="0" applyNumberFormat="1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4" fontId="28" fillId="0" borderId="22" xfId="0" applyNumberFormat="1" applyFont="1" applyBorder="1" applyAlignment="1">
      <alignment horizontal="right" shrinkToFit="1"/>
    </xf>
    <xf numFmtId="0" fontId="43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7" fillId="0" borderId="0" xfId="0" applyFont="1" applyAlignment="1">
      <alignment horizontal="right" shrinkToFit="1"/>
    </xf>
    <xf numFmtId="0" fontId="11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6" fillId="4" borderId="0" xfId="0" applyFont="1" applyFill="1" applyAlignment="1">
      <alignment horizontal="center" vertical="center" shrinkToFit="1"/>
    </xf>
    <xf numFmtId="0" fontId="26" fillId="4" borderId="0" xfId="0" applyFont="1" applyFill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184" fontId="58" fillId="0" borderId="0" xfId="11" applyNumberFormat="1" applyFont="1" applyAlignment="1">
      <alignment shrinkToFit="1"/>
    </xf>
    <xf numFmtId="0" fontId="43" fillId="0" borderId="6" xfId="11" applyFont="1" applyBorder="1" applyAlignment="1">
      <alignment horizontal="center" shrinkToFit="1"/>
    </xf>
    <xf numFmtId="3" fontId="36" fillId="0" borderId="6" xfId="11" applyNumberFormat="1" applyFont="1" applyBorder="1" applyAlignment="1">
      <alignment shrinkToFit="1"/>
    </xf>
    <xf numFmtId="10" fontId="36" fillId="0" borderId="6" xfId="11" applyNumberFormat="1" applyFont="1" applyBorder="1" applyAlignment="1">
      <alignment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43" fillId="0" borderId="1" xfId="11" applyFont="1" applyBorder="1" applyAlignment="1">
      <alignment horizontal="center" shrinkToFit="1"/>
    </xf>
    <xf numFmtId="3" fontId="36" fillId="0" borderId="1" xfId="11" applyNumberFormat="1" applyFont="1" applyBorder="1" applyAlignment="1">
      <alignment shrinkToFit="1"/>
    </xf>
    <xf numFmtId="0" fontId="31" fillId="0" borderId="0" xfId="11" applyFont="1"/>
    <xf numFmtId="0" fontId="31" fillId="0" borderId="0" xfId="11" applyFont="1" applyAlignment="1">
      <alignment vertical="center"/>
    </xf>
    <xf numFmtId="0" fontId="31" fillId="0" borderId="0" xfId="11" applyFont="1" applyAlignment="1">
      <alignment horizontal="center" vertical="center"/>
    </xf>
    <xf numFmtId="0" fontId="7" fillId="0" borderId="0" xfId="5"/>
    <xf numFmtId="0" fontId="64" fillId="9" borderId="30" xfId="5" applyFont="1" applyFill="1" applyBorder="1"/>
    <xf numFmtId="0" fontId="64" fillId="0" borderId="0" xfId="5" applyFont="1"/>
    <xf numFmtId="0" fontId="64" fillId="0" borderId="22" xfId="5" applyFont="1" applyBorder="1"/>
    <xf numFmtId="0" fontId="64" fillId="9" borderId="22" xfId="5" applyFont="1" applyFill="1" applyBorder="1"/>
    <xf numFmtId="185" fontId="26" fillId="0" borderId="0" xfId="0" applyNumberFormat="1" applyFont="1"/>
    <xf numFmtId="0" fontId="28" fillId="0" borderId="22" xfId="11" applyFont="1" applyBorder="1" applyAlignment="1">
      <alignment horizontal="center" vertical="center" shrinkToFit="1"/>
    </xf>
    <xf numFmtId="0" fontId="36" fillId="5" borderId="23" xfId="5" applyFont="1" applyFill="1" applyBorder="1" applyAlignment="1">
      <alignment horizontal="center" vertical="center"/>
    </xf>
    <xf numFmtId="0" fontId="65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vertical="center" shrinkToFit="1"/>
    </xf>
    <xf numFmtId="0" fontId="31" fillId="5" borderId="23" xfId="11" applyFont="1" applyFill="1" applyBorder="1" applyAlignment="1">
      <alignment horizontal="center" vertical="center"/>
    </xf>
    <xf numFmtId="186" fontId="26" fillId="0" borderId="0" xfId="0" applyNumberFormat="1" applyFont="1"/>
    <xf numFmtId="0" fontId="14" fillId="9" borderId="0" xfId="11" applyFont="1" applyFill="1" applyAlignment="1">
      <alignment vertical="center"/>
    </xf>
    <xf numFmtId="188" fontId="26" fillId="0" borderId="0" xfId="0" applyNumberFormat="1" applyFont="1"/>
    <xf numFmtId="189" fontId="26" fillId="0" borderId="0" xfId="0" applyNumberFormat="1" applyFont="1"/>
    <xf numFmtId="0" fontId="26" fillId="9" borderId="0" xfId="0" applyFont="1" applyFill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186" fontId="14" fillId="0" borderId="0" xfId="0" applyNumberFormat="1" applyFont="1"/>
    <xf numFmtId="186" fontId="27" fillId="0" borderId="0" xfId="0" applyNumberFormat="1" applyFont="1" applyAlignment="1">
      <alignment horizontal="center" vertical="center"/>
    </xf>
    <xf numFmtId="0" fontId="57" fillId="0" borderId="22" xfId="0" applyFont="1" applyBorder="1" applyAlignment="1">
      <alignment horizontal="center" vertical="center" shrinkToFit="1"/>
    </xf>
    <xf numFmtId="179" fontId="14" fillId="0" borderId="22" xfId="0" applyNumberFormat="1" applyFont="1" applyBorder="1" applyAlignment="1">
      <alignment horizontal="center"/>
    </xf>
    <xf numFmtId="189" fontId="14" fillId="9" borderId="22" xfId="0" applyNumberFormat="1" applyFont="1" applyFill="1" applyBorder="1" applyAlignment="1">
      <alignment vertical="center" shrinkToFit="1"/>
    </xf>
    <xf numFmtId="10" fontId="14" fillId="0" borderId="22" xfId="0" applyNumberFormat="1" applyFont="1" applyBorder="1" applyAlignment="1">
      <alignment vertical="center"/>
    </xf>
    <xf numFmtId="10" fontId="27" fillId="0" borderId="23" xfId="0" applyNumberFormat="1" applyFont="1" applyBorder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vertical="center" shrinkToFit="1"/>
    </xf>
    <xf numFmtId="0" fontId="14" fillId="0" borderId="22" xfId="0" applyFont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left" vertical="center" shrinkToFit="1"/>
    </xf>
    <xf numFmtId="1" fontId="14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" fontId="14" fillId="9" borderId="22" xfId="0" applyNumberFormat="1" applyFont="1" applyFill="1" applyBorder="1" applyAlignment="1">
      <alignment horizontal="center" vertical="center" shrinkToFit="1"/>
    </xf>
    <xf numFmtId="183" fontId="14" fillId="9" borderId="22" xfId="0" applyNumberFormat="1" applyFont="1" applyFill="1" applyBorder="1" applyAlignment="1">
      <alignment horizontal="center" vertical="center" shrinkToFit="1"/>
    </xf>
    <xf numFmtId="1" fontId="14" fillId="0" borderId="22" xfId="0" applyNumberFormat="1" applyFont="1" applyBorder="1" applyAlignment="1">
      <alignment horizontal="center" vertical="center" shrinkToFit="1"/>
    </xf>
    <xf numFmtId="0" fontId="14" fillId="0" borderId="0" xfId="0" applyFont="1" applyAlignment="1">
      <alignment shrinkToFit="1"/>
    </xf>
    <xf numFmtId="0" fontId="14" fillId="4" borderId="0" xfId="0" applyFont="1" applyFill="1" applyAlignment="1">
      <alignment shrinkToFit="1"/>
    </xf>
    <xf numFmtId="0" fontId="57" fillId="5" borderId="22" xfId="0" applyFont="1" applyFill="1" applyBorder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57" fillId="5" borderId="22" xfId="0" applyFont="1" applyFill="1" applyBorder="1" applyAlignment="1">
      <alignment horizontal="center" shrinkToFit="1"/>
    </xf>
    <xf numFmtId="0" fontId="57" fillId="0" borderId="22" xfId="0" applyFont="1" applyBorder="1" applyAlignment="1">
      <alignment horizontal="center" shrinkToFit="1"/>
    </xf>
    <xf numFmtId="0" fontId="15" fillId="4" borderId="22" xfId="0" applyFont="1" applyFill="1" applyBorder="1" applyAlignment="1">
      <alignment horizontal="center" shrinkToFit="1"/>
    </xf>
    <xf numFmtId="0" fontId="57" fillId="4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4" fillId="0" borderId="0" xfId="0" applyFont="1" applyAlignment="1">
      <alignment horizontal="center" shrinkToFit="1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1" fontId="57" fillId="0" borderId="22" xfId="0" applyNumberFormat="1" applyFont="1" applyBorder="1" applyAlignment="1">
      <alignment shrinkToFit="1"/>
    </xf>
    <xf numFmtId="183" fontId="57" fillId="0" borderId="22" xfId="0" applyNumberFormat="1" applyFont="1" applyBorder="1" applyAlignment="1">
      <alignment shrinkToFit="1"/>
    </xf>
    <xf numFmtId="0" fontId="57" fillId="0" borderId="22" xfId="0" applyFont="1" applyBorder="1" applyAlignment="1">
      <alignment horizontal="right" shrinkToFit="1"/>
    </xf>
    <xf numFmtId="1" fontId="72" fillId="0" borderId="22" xfId="0" applyNumberFormat="1" applyFont="1" applyBorder="1" applyAlignment="1">
      <alignment shrinkToFit="1"/>
    </xf>
    <xf numFmtId="183" fontId="72" fillId="0" borderId="22" xfId="0" applyNumberFormat="1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5" fillId="5" borderId="22" xfId="0" applyFont="1" applyFill="1" applyBorder="1" applyAlignment="1">
      <alignment horizontal="center" shrinkToFit="1"/>
    </xf>
    <xf numFmtId="183" fontId="28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8" fillId="0" borderId="67" xfId="0" applyFont="1" applyBorder="1" applyAlignment="1">
      <alignment horizontal="left" vertical="center"/>
    </xf>
    <xf numFmtId="10" fontId="28" fillId="3" borderId="50" xfId="0" applyNumberFormat="1" applyFont="1" applyFill="1" applyBorder="1" applyAlignment="1">
      <alignment horizontal="center" vertical="center" shrinkToFit="1"/>
    </xf>
    <xf numFmtId="190" fontId="26" fillId="0" borderId="0" xfId="0" applyNumberFormat="1" applyFont="1"/>
    <xf numFmtId="177" fontId="27" fillId="0" borderId="23" xfId="0" applyNumberFormat="1" applyFont="1" applyBorder="1" applyAlignment="1">
      <alignment horizontal="center" vertical="center"/>
    </xf>
    <xf numFmtId="184" fontId="28" fillId="0" borderId="22" xfId="0" applyNumberFormat="1" applyFont="1" applyBorder="1" applyAlignment="1">
      <alignment shrinkToFit="1"/>
    </xf>
    <xf numFmtId="0" fontId="74" fillId="0" borderId="22" xfId="0" applyFont="1" applyBorder="1" applyAlignment="1">
      <alignment shrinkToFit="1"/>
    </xf>
    <xf numFmtId="191" fontId="28" fillId="0" borderId="22" xfId="0" applyNumberFormat="1" applyFont="1" applyBorder="1" applyAlignment="1">
      <alignment horizontal="right" shrinkToFit="1"/>
    </xf>
    <xf numFmtId="185" fontId="28" fillId="0" borderId="22" xfId="0" applyNumberFormat="1" applyFont="1" applyBorder="1" applyAlignment="1">
      <alignment shrinkToFit="1"/>
    </xf>
    <xf numFmtId="186" fontId="28" fillId="0" borderId="22" xfId="0" applyNumberFormat="1" applyFont="1" applyBorder="1" applyAlignment="1">
      <alignment shrinkToFit="1"/>
    </xf>
    <xf numFmtId="192" fontId="28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0" fontId="67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28" fillId="0" borderId="0" xfId="11" applyFont="1" applyAlignment="1">
      <alignment shrinkToFit="1"/>
    </xf>
    <xf numFmtId="184" fontId="43" fillId="0" borderId="0" xfId="11" applyNumberFormat="1" applyFont="1" applyAlignment="1">
      <alignment shrinkToFit="1"/>
    </xf>
    <xf numFmtId="0" fontId="58" fillId="0" borderId="6" xfId="11" applyFont="1" applyBorder="1" applyAlignment="1">
      <alignment horizontal="center" shrinkToFit="1"/>
    </xf>
    <xf numFmtId="0" fontId="58" fillId="0" borderId="1" xfId="11" applyFont="1" applyBorder="1" applyAlignment="1">
      <alignment horizontal="center" shrinkToFit="1"/>
    </xf>
    <xf numFmtId="0" fontId="4" fillId="0" borderId="0" xfId="15">
      <alignment vertical="center"/>
    </xf>
    <xf numFmtId="186" fontId="36" fillId="0" borderId="6" xfId="11" applyNumberFormat="1" applyFont="1" applyBorder="1" applyAlignment="1">
      <alignment shrinkToFit="1"/>
    </xf>
    <xf numFmtId="10" fontId="14" fillId="0" borderId="22" xfId="0" applyNumberFormat="1" applyFont="1" applyBorder="1"/>
    <xf numFmtId="0" fontId="24" fillId="0" borderId="0" xfId="11"/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vertical="center" shrinkToFit="1"/>
    </xf>
    <xf numFmtId="0" fontId="28" fillId="0" borderId="4" xfId="11" applyFont="1" applyBorder="1" applyAlignment="1">
      <alignment vertical="center"/>
    </xf>
    <xf numFmtId="0" fontId="28" fillId="0" borderId="2" xfId="11" applyFont="1" applyBorder="1" applyAlignment="1">
      <alignment vertical="center"/>
    </xf>
    <xf numFmtId="0" fontId="28" fillId="0" borderId="3" xfId="11" applyFont="1" applyBorder="1" applyAlignment="1">
      <alignment vertical="center"/>
    </xf>
    <xf numFmtId="0" fontId="28" fillId="0" borderId="25" xfId="11" applyFont="1" applyBorder="1" applyAlignment="1">
      <alignment horizontal="left" vertical="center"/>
    </xf>
    <xf numFmtId="0" fontId="28" fillId="0" borderId="28" xfId="11" applyFont="1" applyBorder="1" applyAlignment="1">
      <alignment horizontal="left" vertical="center"/>
    </xf>
    <xf numFmtId="10" fontId="28" fillId="0" borderId="22" xfId="11" applyNumberFormat="1" applyFont="1" applyBorder="1" applyAlignment="1">
      <alignment vertical="center" shrinkToFit="1"/>
    </xf>
    <xf numFmtId="0" fontId="64" fillId="0" borderId="22" xfId="11" applyFont="1" applyBorder="1" applyAlignment="1">
      <alignment horizontal="left" vertical="center" shrinkToFit="1"/>
    </xf>
    <xf numFmtId="0" fontId="28" fillId="0" borderId="54" xfId="11" applyFont="1" applyBorder="1" applyAlignment="1">
      <alignment vertical="center"/>
    </xf>
    <xf numFmtId="0" fontId="28" fillId="0" borderId="47" xfId="11" applyFont="1" applyBorder="1" applyAlignment="1">
      <alignment vertical="center"/>
    </xf>
    <xf numFmtId="0" fontId="28" fillId="0" borderId="48" xfId="11" applyFont="1" applyBorder="1" applyAlignment="1">
      <alignment vertical="center"/>
    </xf>
    <xf numFmtId="0" fontId="28" fillId="0" borderId="64" xfId="11" applyFont="1" applyBorder="1" applyAlignment="1">
      <alignment vertical="center" shrinkToFit="1"/>
    </xf>
    <xf numFmtId="10" fontId="28" fillId="0" borderId="64" xfId="11" applyNumberFormat="1" applyFont="1" applyBorder="1" applyAlignment="1">
      <alignment vertical="center" shrinkToFit="1"/>
    </xf>
    <xf numFmtId="0" fontId="28" fillId="2" borderId="49" xfId="11" applyFont="1" applyFill="1" applyBorder="1" applyAlignment="1">
      <alignment horizontal="center" vertical="center" shrinkToFit="1"/>
    </xf>
    <xf numFmtId="0" fontId="28" fillId="3" borderId="51" xfId="11" applyFont="1" applyFill="1" applyBorder="1" applyAlignment="1">
      <alignment vertical="center" shrinkToFit="1"/>
    </xf>
    <xf numFmtId="0" fontId="76" fillId="0" borderId="0" xfId="11" applyFont="1" applyAlignment="1">
      <alignment horizontal="left" vertical="center" shrinkToFit="1"/>
    </xf>
    <xf numFmtId="0" fontId="28" fillId="2" borderId="56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60" xfId="11" applyFont="1" applyFill="1" applyBorder="1" applyAlignment="1">
      <alignment horizontal="center" vertical="center" shrinkToFit="1"/>
    </xf>
    <xf numFmtId="0" fontId="64" fillId="2" borderId="60" xfId="11" applyFont="1" applyFill="1" applyBorder="1" applyAlignment="1">
      <alignment horizontal="left" vertical="center" shrinkToFit="1"/>
    </xf>
    <xf numFmtId="0" fontId="28" fillId="0" borderId="42" xfId="11" applyFont="1" applyBorder="1" applyAlignment="1">
      <alignment vertical="center" shrinkToFit="1"/>
    </xf>
    <xf numFmtId="0" fontId="28" fillId="0" borderId="1" xfId="11" applyFont="1" applyBorder="1" applyAlignment="1">
      <alignment vertical="center" shrinkToFit="1"/>
    </xf>
    <xf numFmtId="10" fontId="28" fillId="0" borderId="1" xfId="11" applyNumberFormat="1" applyFont="1" applyBorder="1" applyAlignment="1">
      <alignment vertical="center" shrinkToFit="1"/>
    </xf>
    <xf numFmtId="0" fontId="28" fillId="3" borderId="1" xfId="11" applyFont="1" applyFill="1" applyBorder="1" applyAlignment="1">
      <alignment vertical="center" shrinkToFit="1"/>
    </xf>
    <xf numFmtId="0" fontId="64" fillId="0" borderId="1" xfId="11" applyFont="1" applyBorder="1" applyAlignment="1">
      <alignment horizontal="left" vertical="center" shrinkToFit="1"/>
    </xf>
    <xf numFmtId="0" fontId="68" fillId="0" borderId="0" xfId="0" applyFont="1" applyAlignment="1">
      <alignment horizontal="left" vertical="center" indent="1"/>
    </xf>
    <xf numFmtId="0" fontId="28" fillId="0" borderId="41" xfId="11" applyFont="1" applyBorder="1" applyAlignment="1">
      <alignment vertical="center" shrinkToFit="1"/>
    </xf>
    <xf numFmtId="0" fontId="28" fillId="0" borderId="65" xfId="11" applyFont="1" applyBorder="1" applyAlignment="1">
      <alignment vertical="center" shrinkToFit="1"/>
    </xf>
    <xf numFmtId="10" fontId="28" fillId="0" borderId="65" xfId="11" applyNumberFormat="1" applyFont="1" applyBorder="1" applyAlignment="1">
      <alignment vertical="center" shrinkToFit="1"/>
    </xf>
    <xf numFmtId="0" fontId="28" fillId="3" borderId="65" xfId="11" applyFont="1" applyFill="1" applyBorder="1" applyAlignment="1">
      <alignment vertical="center" shrinkToFit="1"/>
    </xf>
    <xf numFmtId="0" fontId="64" fillId="0" borderId="55" xfId="11" applyFont="1" applyBorder="1" applyAlignment="1">
      <alignment horizontal="left" vertical="center" shrinkToFit="1"/>
    </xf>
    <xf numFmtId="0" fontId="76" fillId="0" borderId="0" xfId="11" applyFont="1" applyAlignment="1">
      <alignment vertical="center" shrinkToFit="1"/>
    </xf>
    <xf numFmtId="0" fontId="28" fillId="0" borderId="62" xfId="11" applyFont="1" applyBorder="1" applyAlignment="1">
      <alignment vertical="center"/>
    </xf>
    <xf numFmtId="0" fontId="28" fillId="0" borderId="3" xfId="11" applyFont="1" applyBorder="1" applyAlignment="1">
      <alignment vertical="center" shrinkToFit="1"/>
    </xf>
    <xf numFmtId="0" fontId="64" fillId="0" borderId="1" xfId="11" applyFont="1" applyBorder="1" applyAlignment="1">
      <alignment vertical="center" shrinkToFit="1"/>
    </xf>
    <xf numFmtId="0" fontId="28" fillId="0" borderId="63" xfId="11" applyFont="1" applyBorder="1" applyAlignment="1">
      <alignment vertical="center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vertical="center" shrinkToFit="1"/>
    </xf>
    <xf numFmtId="0" fontId="28" fillId="2" borderId="44" xfId="11" applyFont="1" applyFill="1" applyBorder="1" applyAlignment="1">
      <alignment horizont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11" fillId="2" borderId="1" xfId="11" applyFont="1" applyFill="1" applyBorder="1" applyAlignment="1">
      <alignment horizontal="center" vertical="center" shrinkToFit="1"/>
    </xf>
    <xf numFmtId="0" fontId="7" fillId="2" borderId="1" xfId="11" applyFont="1" applyFill="1" applyBorder="1" applyAlignment="1">
      <alignment horizontal="center" vertical="center" shrinkToFit="1"/>
    </xf>
    <xf numFmtId="0" fontId="24" fillId="0" borderId="0" xfId="11" applyAlignment="1">
      <alignment horizontal="center" vertical="center" shrinkToFit="1"/>
    </xf>
    <xf numFmtId="0" fontId="7" fillId="0" borderId="22" xfId="11" applyFont="1" applyBorder="1" applyAlignment="1">
      <alignment vertical="center" shrinkToFit="1"/>
    </xf>
    <xf numFmtId="0" fontId="28" fillId="0" borderId="4" xfId="11" applyFont="1" applyBorder="1"/>
    <xf numFmtId="0" fontId="28" fillId="0" borderId="2" xfId="11" applyFont="1" applyBorder="1"/>
    <xf numFmtId="0" fontId="28" fillId="0" borderId="3" xfId="11" applyFont="1" applyBorder="1"/>
    <xf numFmtId="0" fontId="28" fillId="0" borderId="27" xfId="11" applyFont="1" applyBorder="1" applyAlignment="1">
      <alignment horizontal="left"/>
    </xf>
    <xf numFmtId="0" fontId="28" fillId="0" borderId="28" xfId="11" applyFont="1" applyBorder="1" applyAlignment="1">
      <alignment horizontal="left"/>
    </xf>
    <xf numFmtId="0" fontId="28" fillId="0" borderId="25" xfId="11" applyFont="1" applyBorder="1" applyAlignment="1">
      <alignment horizontal="left"/>
    </xf>
    <xf numFmtId="0" fontId="7" fillId="0" borderId="3" xfId="11" applyFont="1" applyBorder="1" applyAlignment="1">
      <alignment shrinkToFit="1"/>
    </xf>
    <xf numFmtId="10" fontId="7" fillId="0" borderId="1" xfId="11" applyNumberFormat="1" applyFont="1" applyBorder="1" applyAlignment="1">
      <alignment shrinkToFit="1"/>
    </xf>
    <xf numFmtId="0" fontId="7" fillId="0" borderId="1" xfId="11" applyFont="1" applyBorder="1" applyAlignment="1">
      <alignment shrinkToFit="1"/>
    </xf>
    <xf numFmtId="0" fontId="24" fillId="0" borderId="0" xfId="11" applyAlignment="1">
      <alignment shrinkToFit="1"/>
    </xf>
    <xf numFmtId="0" fontId="28" fillId="0" borderId="54" xfId="11" applyFont="1" applyBorder="1"/>
    <xf numFmtId="0" fontId="28" fillId="0" borderId="47" xfId="11" applyFont="1" applyBorder="1"/>
    <xf numFmtId="0" fontId="28" fillId="0" borderId="48" xfId="11" applyFont="1" applyBorder="1"/>
    <xf numFmtId="0" fontId="7" fillId="0" borderId="8" xfId="11" applyFont="1" applyBorder="1" applyAlignment="1">
      <alignment shrinkToFit="1"/>
    </xf>
    <xf numFmtId="0" fontId="7" fillId="0" borderId="5" xfId="11" applyFont="1" applyBorder="1" applyAlignment="1">
      <alignment shrinkToFit="1"/>
    </xf>
    <xf numFmtId="0" fontId="11" fillId="2" borderId="66" xfId="11" applyFont="1" applyFill="1" applyBorder="1" applyAlignment="1">
      <alignment horizontal="center" shrinkToFit="1"/>
    </xf>
    <xf numFmtId="0" fontId="11" fillId="2" borderId="16" xfId="11" applyFont="1" applyFill="1" applyBorder="1" applyAlignment="1">
      <alignment horizontal="center" shrinkToFit="1"/>
    </xf>
    <xf numFmtId="0" fontId="24" fillId="0" borderId="0" xfId="11" applyAlignment="1">
      <alignment wrapText="1" shrinkToFit="1"/>
    </xf>
    <xf numFmtId="0" fontId="24" fillId="0" borderId="0" xfId="11" applyAlignment="1">
      <alignment vertical="center" shrinkToFit="1"/>
    </xf>
    <xf numFmtId="0" fontId="7" fillId="0" borderId="4" xfId="11" applyFont="1" applyBorder="1" applyAlignment="1">
      <alignment shrinkToFit="1"/>
    </xf>
    <xf numFmtId="0" fontId="9" fillId="0" borderId="3" xfId="11" applyFont="1" applyBorder="1" applyAlignment="1">
      <alignment shrinkToFit="1"/>
    </xf>
    <xf numFmtId="0" fontId="7" fillId="0" borderId="9" xfId="11" applyFont="1" applyBorder="1" applyAlignment="1">
      <alignment shrinkToFit="1"/>
    </xf>
    <xf numFmtId="0" fontId="9" fillId="0" borderId="8" xfId="11" applyFont="1" applyBorder="1" applyAlignment="1">
      <alignment shrinkToFit="1"/>
    </xf>
    <xf numFmtId="0" fontId="11" fillId="2" borderId="22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8" fillId="0" borderId="28" xfId="11" applyFont="1" applyBorder="1" applyAlignment="1">
      <alignment vertical="center"/>
    </xf>
    <xf numFmtId="0" fontId="28" fillId="0" borderId="25" xfId="11" applyFont="1" applyBorder="1" applyAlignment="1">
      <alignment vertical="center"/>
    </xf>
    <xf numFmtId="185" fontId="84" fillId="0" borderId="22" xfId="0" applyNumberFormat="1" applyFont="1" applyBorder="1" applyAlignment="1">
      <alignment shrinkToFit="1"/>
    </xf>
    <xf numFmtId="177" fontId="14" fillId="9" borderId="22" xfId="0" applyNumberFormat="1" applyFont="1" applyFill="1" applyBorder="1"/>
    <xf numFmtId="0" fontId="58" fillId="0" borderId="0" xfId="0" applyFont="1" applyAlignment="1">
      <alignment shrinkToFit="1"/>
    </xf>
    <xf numFmtId="0" fontId="66" fillId="0" borderId="0" xfId="0" applyFont="1" applyAlignment="1">
      <alignment horizontal="center" vertical="center" shrinkToFit="1"/>
    </xf>
    <xf numFmtId="185" fontId="26" fillId="0" borderId="0" xfId="14" applyNumberFormat="1" applyFont="1" applyAlignment="1">
      <alignment horizontal="center" vertical="center" shrinkToFit="1"/>
    </xf>
    <xf numFmtId="0" fontId="7" fillId="0" borderId="3" xfId="11" applyFont="1" applyBorder="1" applyAlignment="1">
      <alignment vertical="center" shrinkToFit="1"/>
    </xf>
    <xf numFmtId="10" fontId="7" fillId="0" borderId="1" xfId="11" applyNumberFormat="1" applyFont="1" applyBorder="1" applyAlignment="1">
      <alignment vertical="center" shrinkToFit="1"/>
    </xf>
    <xf numFmtId="0" fontId="7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7" fillId="0" borderId="8" xfId="11" applyFont="1" applyBorder="1" applyAlignment="1">
      <alignment vertical="center" shrinkToFit="1"/>
    </xf>
    <xf numFmtId="0" fontId="7" fillId="0" borderId="5" xfId="11" applyFont="1" applyBorder="1" applyAlignment="1">
      <alignment vertical="center" shrinkToFit="1"/>
    </xf>
    <xf numFmtId="0" fontId="68" fillId="0" borderId="0" xfId="0" applyFont="1" applyAlignment="1">
      <alignment horizontal="left" vertical="center"/>
    </xf>
    <xf numFmtId="189" fontId="26" fillId="0" borderId="0" xfId="0" applyNumberFormat="1" applyFont="1" applyAlignment="1">
      <alignment horizontal="center"/>
    </xf>
    <xf numFmtId="189" fontId="14" fillId="0" borderId="22" xfId="0" applyNumberFormat="1" applyFont="1" applyBorder="1" applyAlignment="1">
      <alignment shrinkToFit="1"/>
    </xf>
    <xf numFmtId="190" fontId="14" fillId="0" borderId="22" xfId="0" applyNumberFormat="1" applyFont="1" applyBorder="1"/>
    <xf numFmtId="1" fontId="28" fillId="3" borderId="22" xfId="11" applyNumberFormat="1" applyFont="1" applyFill="1" applyBorder="1" applyAlignment="1">
      <alignment vertical="center" shrinkToFit="1"/>
    </xf>
    <xf numFmtId="1" fontId="28" fillId="3" borderId="64" xfId="11" applyNumberFormat="1" applyFont="1" applyFill="1" applyBorder="1" applyAlignment="1">
      <alignment vertical="center" shrinkToFit="1"/>
    </xf>
    <xf numFmtId="1" fontId="28" fillId="3" borderId="51" xfId="11" applyNumberFormat="1" applyFont="1" applyFill="1" applyBorder="1" applyAlignment="1">
      <alignment vertical="center" shrinkToFit="1"/>
    </xf>
    <xf numFmtId="1" fontId="28" fillId="3" borderId="1" xfId="11" applyNumberFormat="1" applyFont="1" applyFill="1" applyBorder="1" applyAlignment="1">
      <alignment vertical="center" shrinkToFit="1"/>
    </xf>
    <xf numFmtId="1" fontId="28" fillId="3" borderId="45" xfId="11" applyNumberFormat="1" applyFont="1" applyFill="1" applyBorder="1" applyAlignment="1">
      <alignment shrinkToFit="1"/>
    </xf>
    <xf numFmtId="0" fontId="26" fillId="0" borderId="27" xfId="11" applyFont="1" applyBorder="1" applyAlignment="1">
      <alignment horizontal="center" vertical="center" shrinkToFit="1"/>
    </xf>
    <xf numFmtId="0" fontId="57" fillId="0" borderId="27" xfId="11" applyFont="1" applyBorder="1" applyAlignment="1">
      <alignment horizontal="center" vertical="center" shrinkToFit="1"/>
    </xf>
    <xf numFmtId="1" fontId="24" fillId="0" borderId="0" xfId="11" applyNumberFormat="1" applyAlignment="1">
      <alignment shrinkToFit="1"/>
    </xf>
    <xf numFmtId="1" fontId="7" fillId="2" borderId="1" xfId="11" applyNumberFormat="1" applyFont="1" applyFill="1" applyBorder="1" applyAlignment="1">
      <alignment horizontal="center" vertical="center" shrinkToFit="1"/>
    </xf>
    <xf numFmtId="1" fontId="28" fillId="3" borderId="22" xfId="11" applyNumberFormat="1" applyFont="1" applyFill="1" applyBorder="1" applyAlignment="1">
      <alignment shrinkToFit="1"/>
    </xf>
    <xf numFmtId="1" fontId="7" fillId="3" borderId="1" xfId="11" applyNumberFormat="1" applyFont="1" applyFill="1" applyBorder="1" applyAlignment="1">
      <alignment shrinkToFit="1"/>
    </xf>
    <xf numFmtId="1" fontId="7" fillId="3" borderId="5" xfId="11" applyNumberFormat="1" applyFont="1" applyFill="1" applyBorder="1" applyAlignment="1">
      <alignment shrinkToFit="1"/>
    </xf>
    <xf numFmtId="1" fontId="7" fillId="3" borderId="18" xfId="11" applyNumberFormat="1" applyFont="1" applyFill="1" applyBorder="1" applyAlignment="1">
      <alignment shrinkToFit="1"/>
    </xf>
    <xf numFmtId="0" fontId="6" fillId="0" borderId="0" xfId="4">
      <alignment vertical="center"/>
    </xf>
    <xf numFmtId="0" fontId="66" fillId="0" borderId="0" xfId="11" applyFont="1" applyAlignment="1">
      <alignment vertical="center" shrinkToFit="1"/>
    </xf>
    <xf numFmtId="0" fontId="66" fillId="0" borderId="0" xfId="11" applyFont="1" applyAlignment="1">
      <alignment shrinkToFit="1"/>
    </xf>
    <xf numFmtId="0" fontId="0" fillId="0" borderId="0" xfId="0" applyAlignment="1">
      <alignment vertical="center"/>
    </xf>
    <xf numFmtId="10" fontId="28" fillId="3" borderId="50" xfId="11" applyNumberFormat="1" applyFont="1" applyFill="1" applyBorder="1" applyAlignment="1">
      <alignment horizontal="center" vertical="center" shrinkToFit="1"/>
    </xf>
    <xf numFmtId="0" fontId="24" fillId="0" borderId="0" xfId="11" applyAlignment="1">
      <alignment horizontal="left" vertical="center" indent="2"/>
    </xf>
    <xf numFmtId="0" fontId="68" fillId="0" borderId="0" xfId="11" applyFont="1" applyAlignment="1">
      <alignment horizontal="left" vertical="center" indent="1"/>
    </xf>
    <xf numFmtId="0" fontId="24" fillId="0" borderId="0" xfId="11" applyAlignment="1">
      <alignment horizontal="left" vertical="center"/>
    </xf>
    <xf numFmtId="0" fontId="68" fillId="0" borderId="0" xfId="11" applyFont="1" applyAlignment="1">
      <alignment horizontal="left" vertical="center"/>
    </xf>
    <xf numFmtId="0" fontId="68" fillId="0" borderId="67" xfId="11" applyFont="1" applyBorder="1" applyAlignment="1">
      <alignment horizontal="left" vertical="center"/>
    </xf>
    <xf numFmtId="0" fontId="24" fillId="0" borderId="0" xfId="11" applyAlignment="1">
      <alignment vertical="center"/>
    </xf>
    <xf numFmtId="0" fontId="28" fillId="2" borderId="72" xfId="11" applyFont="1" applyFill="1" applyBorder="1" applyAlignment="1">
      <alignment horizontal="center" vertical="center" shrinkToFit="1"/>
    </xf>
    <xf numFmtId="10" fontId="28" fillId="3" borderId="73" xfId="11" applyNumberFormat="1" applyFont="1" applyFill="1" applyBorder="1" applyAlignment="1">
      <alignment horizontal="center" vertical="center" shrinkToFit="1"/>
    </xf>
    <xf numFmtId="0" fontId="28" fillId="2" borderId="74" xfId="11" applyFont="1" applyFill="1" applyBorder="1" applyAlignment="1">
      <alignment horizontal="center" shrinkToFit="1"/>
    </xf>
    <xf numFmtId="0" fontId="11" fillId="2" borderId="75" xfId="11" applyFont="1" applyFill="1" applyBorder="1" applyAlignment="1">
      <alignment horizontal="center" shrinkToFit="1"/>
    </xf>
    <xf numFmtId="0" fontId="11" fillId="2" borderId="74" xfId="11" applyFont="1" applyFill="1" applyBorder="1" applyAlignment="1">
      <alignment horizontal="center" shrinkToFit="1"/>
    </xf>
    <xf numFmtId="1" fontId="7" fillId="3" borderId="76" xfId="11" applyNumberFormat="1" applyFont="1" applyFill="1" applyBorder="1" applyAlignment="1">
      <alignment shrinkToFit="1"/>
    </xf>
    <xf numFmtId="195" fontId="4" fillId="0" borderId="0" xfId="15" applyNumberFormat="1">
      <alignment vertical="center"/>
    </xf>
    <xf numFmtId="0" fontId="70" fillId="0" borderId="0" xfId="0" applyFont="1" applyAlignment="1">
      <alignment vertical="center"/>
    </xf>
    <xf numFmtId="0" fontId="28" fillId="0" borderId="77" xfId="11" applyFont="1" applyBorder="1" applyAlignment="1">
      <alignment vertical="center"/>
    </xf>
    <xf numFmtId="192" fontId="57" fillId="0" borderId="22" xfId="0" applyNumberFormat="1" applyFont="1" applyBorder="1" applyAlignment="1">
      <alignment shrinkToFit="1"/>
    </xf>
    <xf numFmtId="10" fontId="7" fillId="0" borderId="65" xfId="11" applyNumberFormat="1" applyFont="1" applyBorder="1" applyAlignment="1">
      <alignment shrinkToFit="1"/>
    </xf>
    <xf numFmtId="0" fontId="26" fillId="0" borderId="22" xfId="11" applyFont="1" applyBorder="1" applyAlignment="1">
      <alignment horizontal="center" vertical="center" shrinkToFit="1"/>
    </xf>
    <xf numFmtId="0" fontId="57" fillId="0" borderId="22" xfId="11" applyFont="1" applyBorder="1" applyAlignment="1">
      <alignment horizontal="center" vertical="center" shrinkToFit="1"/>
    </xf>
    <xf numFmtId="1" fontId="28" fillId="3" borderId="78" xfId="11" applyNumberFormat="1" applyFont="1" applyFill="1" applyBorder="1" applyAlignment="1">
      <alignment vertical="center" shrinkToFit="1"/>
    </xf>
    <xf numFmtId="0" fontId="28" fillId="0" borderId="71" xfId="11" applyFont="1" applyBorder="1" applyAlignment="1">
      <alignment vertical="center"/>
    </xf>
    <xf numFmtId="9" fontId="28" fillId="0" borderId="22" xfId="11" applyNumberFormat="1" applyFont="1" applyBorder="1" applyAlignment="1">
      <alignment shrinkToFit="1"/>
    </xf>
    <xf numFmtId="0" fontId="28" fillId="0" borderId="22" xfId="11" applyFont="1" applyBorder="1" applyAlignment="1">
      <alignment vertical="center"/>
    </xf>
    <xf numFmtId="0" fontId="28" fillId="0" borderId="57" xfId="11" applyFont="1" applyBorder="1" applyAlignment="1">
      <alignment vertical="center"/>
    </xf>
    <xf numFmtId="0" fontId="28" fillId="0" borderId="58" xfId="11" applyFont="1" applyBorder="1" applyAlignment="1">
      <alignment vertical="center"/>
    </xf>
    <xf numFmtId="0" fontId="28" fillId="0" borderId="61" xfId="11" applyFont="1" applyBorder="1" applyAlignment="1">
      <alignment vertical="center"/>
    </xf>
    <xf numFmtId="0" fontId="31" fillId="0" borderId="22" xfId="11" applyFont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36" fillId="5" borderId="22" xfId="22" applyFont="1" applyFill="1" applyBorder="1" applyAlignment="1">
      <alignment horizontal="center" vertical="center"/>
    </xf>
    <xf numFmtId="196" fontId="36" fillId="0" borderId="22" xfId="11" applyNumberFormat="1" applyFont="1" applyBorder="1" applyAlignment="1">
      <alignment horizontal="center" vertical="center"/>
    </xf>
    <xf numFmtId="197" fontId="36" fillId="9" borderId="22" xfId="11" applyNumberFormat="1" applyFont="1" applyFill="1" applyBorder="1" applyAlignment="1">
      <alignment horizontal="center" vertical="center"/>
    </xf>
    <xf numFmtId="0" fontId="96" fillId="0" borderId="22" xfId="11" applyFont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94" fillId="0" borderId="0" xfId="11" applyFont="1" applyAlignment="1">
      <alignment horizontal="center" vertical="center"/>
    </xf>
    <xf numFmtId="0" fontId="31" fillId="0" borderId="40" xfId="11" applyFont="1" applyBorder="1" applyAlignment="1">
      <alignment horizontal="center" vertical="center"/>
    </xf>
    <xf numFmtId="0" fontId="31" fillId="0" borderId="0" xfId="11" applyFont="1" applyAlignment="1">
      <alignment horizontal="left" vertical="center"/>
    </xf>
    <xf numFmtId="0" fontId="96" fillId="0" borderId="0" xfId="11" applyFont="1" applyAlignment="1">
      <alignment horizontal="center" vertical="center"/>
    </xf>
    <xf numFmtId="1" fontId="61" fillId="0" borderId="79" xfId="11" applyNumberFormat="1" applyFont="1" applyBorder="1" applyAlignment="1">
      <alignment horizontal="center" vertical="center"/>
    </xf>
    <xf numFmtId="9" fontId="31" fillId="0" borderId="79" xfId="13" applyFont="1" applyBorder="1" applyAlignment="1">
      <alignment horizontal="center"/>
    </xf>
    <xf numFmtId="1" fontId="31" fillId="0" borderId="69" xfId="11" applyNumberFormat="1" applyFont="1" applyBorder="1" applyAlignment="1">
      <alignment horizontal="center" vertical="center"/>
    </xf>
    <xf numFmtId="1" fontId="31" fillId="0" borderId="22" xfId="11" applyNumberFormat="1" applyFont="1" applyBorder="1" applyAlignment="1">
      <alignment horizontal="center" vertical="center"/>
    </xf>
    <xf numFmtId="0" fontId="28" fillId="0" borderId="68" xfId="11" applyFont="1" applyBorder="1" applyAlignment="1">
      <alignment vertical="center"/>
    </xf>
    <xf numFmtId="0" fontId="28" fillId="0" borderId="54" xfId="11" applyFont="1" applyBorder="1" applyAlignment="1">
      <alignment horizontal="left" vertical="center"/>
    </xf>
    <xf numFmtId="0" fontId="28" fillId="0" borderId="47" xfId="11" applyFont="1" applyBorder="1" applyAlignment="1">
      <alignment horizontal="left" vertical="center"/>
    </xf>
    <xf numFmtId="0" fontId="28" fillId="0" borderId="63" xfId="11" applyFont="1" applyBorder="1" applyAlignment="1">
      <alignment horizontal="left" vertical="center"/>
    </xf>
    <xf numFmtId="0" fontId="11" fillId="2" borderId="5" xfId="11" applyFont="1" applyFill="1" applyBorder="1" applyAlignment="1">
      <alignment horizontal="center" vertical="center" shrinkToFit="1"/>
    </xf>
    <xf numFmtId="0" fontId="28" fillId="0" borderId="59" xfId="11" applyFont="1" applyBorder="1" applyAlignment="1">
      <alignment vertical="center"/>
    </xf>
    <xf numFmtId="0" fontId="28" fillId="0" borderId="80" xfId="11" applyFont="1" applyBorder="1" applyAlignment="1">
      <alignment vertical="center"/>
    </xf>
    <xf numFmtId="0" fontId="89" fillId="0" borderId="22" xfId="11" applyFont="1" applyBorder="1" applyAlignment="1">
      <alignment horizontal="center" vertical="center"/>
    </xf>
    <xf numFmtId="0" fontId="14" fillId="0" borderId="0" xfId="11" applyFont="1" applyAlignment="1">
      <alignment horizontal="center" shrinkToFit="1"/>
    </xf>
    <xf numFmtId="10" fontId="7" fillId="0" borderId="65" xfId="11" applyNumberFormat="1" applyFont="1" applyBorder="1" applyAlignment="1">
      <alignment vertical="center" shrinkToFit="1"/>
    </xf>
    <xf numFmtId="183" fontId="14" fillId="0" borderId="0" xfId="0" applyNumberFormat="1" applyFont="1" applyAlignment="1">
      <alignment horizontal="center" vertical="center" shrinkToFit="1"/>
    </xf>
    <xf numFmtId="183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vertical="center" shrinkToFit="1"/>
    </xf>
    <xf numFmtId="0" fontId="97" fillId="0" borderId="0" xfId="0" applyFont="1" applyAlignment="1">
      <alignment shrinkToFit="1"/>
    </xf>
    <xf numFmtId="0" fontId="7" fillId="0" borderId="82" xfId="11" applyFont="1" applyBorder="1" applyAlignment="1">
      <alignment vertical="center" shrinkToFit="1"/>
    </xf>
    <xf numFmtId="1" fontId="7" fillId="3" borderId="76" xfId="0" applyNumberFormat="1" applyFont="1" applyFill="1" applyBorder="1" applyAlignment="1">
      <alignment shrinkToFit="1"/>
    </xf>
    <xf numFmtId="0" fontId="98" fillId="0" borderId="0" xfId="0" applyFont="1" applyAlignment="1">
      <alignment horizontal="left" vertical="center" indent="1"/>
    </xf>
    <xf numFmtId="0" fontId="66" fillId="0" borderId="0" xfId="0" applyFont="1" applyAlignment="1">
      <alignment horizontal="left" vertical="center" indent="2"/>
    </xf>
    <xf numFmtId="0" fontId="66" fillId="0" borderId="0" xfId="11" applyFont="1"/>
    <xf numFmtId="0" fontId="66" fillId="0" borderId="0" xfId="11" applyFont="1" applyAlignment="1">
      <alignment horizontal="left" vertical="center"/>
    </xf>
    <xf numFmtId="0" fontId="66" fillId="0" borderId="0" xfId="11" applyFont="1" applyAlignment="1">
      <alignment horizontal="left" vertical="center" indent="2"/>
    </xf>
    <xf numFmtId="0" fontId="98" fillId="0" borderId="0" xfId="11" applyFont="1" applyAlignment="1">
      <alignment horizontal="left" vertical="center" indent="1"/>
    </xf>
    <xf numFmtId="0" fontId="98" fillId="0" borderId="0" xfId="11" applyFont="1" applyAlignment="1">
      <alignment horizontal="left" vertical="center"/>
    </xf>
    <xf numFmtId="0" fontId="66" fillId="0" borderId="0" xfId="0" applyFont="1" applyAlignment="1">
      <alignment shrinkToFit="1"/>
    </xf>
    <xf numFmtId="0" fontId="66" fillId="0" borderId="0" xfId="0" applyFont="1"/>
    <xf numFmtId="3" fontId="28" fillId="6" borderId="22" xfId="0" applyNumberFormat="1" applyFont="1" applyFill="1" applyBorder="1" applyAlignment="1">
      <alignment shrinkToFit="1"/>
    </xf>
    <xf numFmtId="0" fontId="99" fillId="0" borderId="84" xfId="11" applyFont="1" applyBorder="1" applyAlignment="1">
      <alignment horizontal="center" vertical="center"/>
    </xf>
    <xf numFmtId="0" fontId="99" fillId="0" borderId="85" xfId="11" applyFont="1" applyBorder="1" applyAlignment="1">
      <alignment horizontal="center" vertical="center"/>
    </xf>
    <xf numFmtId="196" fontId="100" fillId="0" borderId="22" xfId="11" applyNumberFormat="1" applyFont="1" applyBorder="1" applyAlignment="1">
      <alignment horizontal="right" vertical="center"/>
    </xf>
    <xf numFmtId="198" fontId="100" fillId="0" borderId="22" xfId="11" applyNumberFormat="1" applyFont="1" applyBorder="1" applyAlignment="1">
      <alignment horizontal="right" vertical="center"/>
    </xf>
    <xf numFmtId="186" fontId="100" fillId="0" borderId="22" xfId="13" applyNumberFormat="1" applyFont="1" applyBorder="1" applyAlignment="1">
      <alignment vertical="center"/>
    </xf>
    <xf numFmtId="10" fontId="100" fillId="0" borderId="22" xfId="13" applyNumberFormat="1" applyFont="1" applyBorder="1" applyAlignment="1">
      <alignment vertical="center"/>
    </xf>
    <xf numFmtId="183" fontId="100" fillId="0" borderId="22" xfId="11" applyNumberFormat="1" applyFont="1" applyBorder="1" applyAlignment="1">
      <alignment vertical="center"/>
    </xf>
    <xf numFmtId="183" fontId="100" fillId="0" borderId="89" xfId="11" applyNumberFormat="1" applyFont="1" applyBorder="1" applyAlignment="1">
      <alignment vertical="center"/>
    </xf>
    <xf numFmtId="10" fontId="28" fillId="9" borderId="22" xfId="0" applyNumberFormat="1" applyFont="1" applyFill="1" applyBorder="1" applyAlignment="1">
      <alignment shrinkToFit="1"/>
    </xf>
    <xf numFmtId="4" fontId="28" fillId="6" borderId="22" xfId="0" applyNumberFormat="1" applyFont="1" applyFill="1" applyBorder="1" applyAlignment="1">
      <alignment horizontal="right" shrinkToFit="1"/>
    </xf>
    <xf numFmtId="186" fontId="28" fillId="6" borderId="22" xfId="13" applyNumberFormat="1" applyFont="1" applyFill="1" applyBorder="1" applyAlignment="1">
      <alignment horizontal="right" shrinkToFit="1"/>
    </xf>
    <xf numFmtId="10" fontId="28" fillId="6" borderId="22" xfId="13" applyNumberFormat="1" applyFont="1" applyFill="1" applyBorder="1" applyAlignment="1">
      <alignment horizontal="right" shrinkToFit="1"/>
    </xf>
    <xf numFmtId="191" fontId="28" fillId="6" borderId="22" xfId="0" applyNumberFormat="1" applyFont="1" applyFill="1" applyBorder="1" applyAlignment="1">
      <alignment shrinkToFit="1"/>
    </xf>
    <xf numFmtId="0" fontId="100" fillId="0" borderId="22" xfId="11" applyFont="1" applyBorder="1" applyAlignment="1">
      <alignment vertical="center"/>
    </xf>
    <xf numFmtId="196" fontId="100" fillId="9" borderId="87" xfId="11" applyNumberFormat="1" applyFont="1" applyFill="1" applyBorder="1"/>
    <xf numFmtId="0" fontId="100" fillId="9" borderId="22" xfId="11" applyFont="1" applyFill="1" applyBorder="1" applyAlignment="1">
      <alignment vertical="center"/>
    </xf>
    <xf numFmtId="10" fontId="101" fillId="9" borderId="22" xfId="13" applyNumberFormat="1" applyFont="1" applyFill="1" applyBorder="1" applyAlignment="1">
      <alignment horizontal="right" vertical="center"/>
    </xf>
    <xf numFmtId="10" fontId="100" fillId="9" borderId="22" xfId="13" applyNumberFormat="1" applyFont="1" applyFill="1" applyBorder="1" applyAlignment="1">
      <alignment horizontal="right" vertical="center"/>
    </xf>
    <xf numFmtId="10" fontId="100" fillId="9" borderId="87" xfId="13" applyNumberFormat="1" applyFont="1" applyFill="1" applyBorder="1" applyAlignment="1"/>
    <xf numFmtId="0" fontId="100" fillId="0" borderId="86" xfId="11" applyFont="1" applyBorder="1" applyAlignment="1">
      <alignment horizontal="left"/>
    </xf>
    <xf numFmtId="197" fontId="100" fillId="0" borderId="22" xfId="11" applyNumberFormat="1" applyFont="1" applyBorder="1" applyAlignment="1">
      <alignment horizontal="right" vertical="center"/>
    </xf>
    <xf numFmtId="198" fontId="100" fillId="9" borderId="87" xfId="11" applyNumberFormat="1" applyFont="1" applyFill="1" applyBorder="1"/>
    <xf numFmtId="10" fontId="100" fillId="9" borderId="87" xfId="13" applyNumberFormat="1" applyFont="1" applyFill="1" applyBorder="1" applyAlignment="1">
      <alignment horizontal="right" vertical="center"/>
    </xf>
    <xf numFmtId="186" fontId="100" fillId="9" borderId="87" xfId="13" applyNumberFormat="1" applyFont="1" applyFill="1" applyBorder="1" applyAlignment="1">
      <alignment horizontal="right" vertical="center"/>
    </xf>
    <xf numFmtId="10" fontId="100" fillId="0" borderId="22" xfId="13" applyNumberFormat="1" applyFont="1" applyBorder="1" applyAlignment="1"/>
    <xf numFmtId="197" fontId="100" fillId="9" borderId="87" xfId="13" applyNumberFormat="1" applyFont="1" applyFill="1" applyBorder="1" applyAlignment="1">
      <alignment horizontal="right" vertical="center"/>
    </xf>
    <xf numFmtId="0" fontId="100" fillId="0" borderId="23" xfId="11" applyFont="1" applyBorder="1" applyAlignment="1">
      <alignment vertical="center"/>
    </xf>
    <xf numFmtId="183" fontId="100" fillId="0" borderId="23" xfId="11" applyNumberFormat="1" applyFont="1" applyBorder="1" applyAlignment="1">
      <alignment vertical="center"/>
    </xf>
    <xf numFmtId="0" fontId="100" fillId="0" borderId="89" xfId="11" applyFont="1" applyBorder="1" applyAlignment="1">
      <alignment vertical="center"/>
    </xf>
    <xf numFmtId="197" fontId="100" fillId="9" borderId="90" xfId="13" applyNumberFormat="1" applyFont="1" applyFill="1" applyBorder="1" applyAlignment="1">
      <alignment horizontal="right" vertical="center"/>
    </xf>
    <xf numFmtId="3" fontId="28" fillId="9" borderId="22" xfId="0" applyNumberFormat="1" applyFont="1" applyFill="1" applyBorder="1" applyAlignment="1">
      <alignment shrinkToFit="1"/>
    </xf>
    <xf numFmtId="4" fontId="28" fillId="9" borderId="22" xfId="0" applyNumberFormat="1" applyFont="1" applyFill="1" applyBorder="1" applyAlignment="1">
      <alignment horizontal="right" shrinkToFit="1"/>
    </xf>
    <xf numFmtId="186" fontId="28" fillId="9" borderId="22" xfId="0" applyNumberFormat="1" applyFont="1" applyFill="1" applyBorder="1" applyAlignment="1">
      <alignment shrinkToFit="1"/>
    </xf>
    <xf numFmtId="10" fontId="28" fillId="6" borderId="22" xfId="13" applyNumberFormat="1" applyFont="1" applyFill="1" applyBorder="1" applyAlignment="1">
      <alignment shrinkToFit="1"/>
    </xf>
    <xf numFmtId="10" fontId="28" fillId="6" borderId="22" xfId="0" applyNumberFormat="1" applyFont="1" applyFill="1" applyBorder="1" applyAlignment="1">
      <alignment shrinkToFit="1"/>
    </xf>
    <xf numFmtId="183" fontId="28" fillId="9" borderId="22" xfId="0" applyNumberFormat="1" applyFont="1" applyFill="1" applyBorder="1" applyAlignment="1">
      <alignment shrinkToFit="1"/>
    </xf>
    <xf numFmtId="183" fontId="28" fillId="6" borderId="22" xfId="0" applyNumberFormat="1" applyFont="1" applyFill="1" applyBorder="1" applyAlignment="1">
      <alignment shrinkToFit="1"/>
    </xf>
    <xf numFmtId="179" fontId="14" fillId="0" borderId="0" xfId="0" applyNumberFormat="1" applyFont="1" applyAlignment="1">
      <alignment horizontal="center"/>
    </xf>
    <xf numFmtId="185" fontId="26" fillId="0" borderId="0" xfId="13" applyNumberFormat="1" applyFont="1" applyAlignment="1"/>
    <xf numFmtId="10" fontId="28" fillId="3" borderId="94" xfId="11" applyNumberFormat="1" applyFont="1" applyFill="1" applyBorder="1" applyAlignment="1">
      <alignment horizontal="center" vertical="center" shrinkToFit="1"/>
    </xf>
    <xf numFmtId="0" fontId="95" fillId="5" borderId="22" xfId="22" applyFont="1" applyFill="1" applyBorder="1" applyAlignment="1">
      <alignment horizontal="center" vertical="center" wrapText="1"/>
    </xf>
    <xf numFmtId="0" fontId="31" fillId="9" borderId="22" xfId="11" applyFont="1" applyFill="1" applyBorder="1" applyAlignment="1">
      <alignment horizontal="left" vertical="center"/>
    </xf>
    <xf numFmtId="196" fontId="36" fillId="4" borderId="22" xfId="11" applyNumberFormat="1" applyFont="1" applyFill="1" applyBorder="1" applyAlignment="1">
      <alignment horizontal="center" vertical="center"/>
    </xf>
    <xf numFmtId="198" fontId="36" fillId="9" borderId="22" xfId="11" applyNumberFormat="1" applyFont="1" applyFill="1" applyBorder="1" applyAlignment="1">
      <alignment horizontal="center" vertical="center"/>
    </xf>
    <xf numFmtId="198" fontId="36" fillId="9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198" fontId="36" fillId="0" borderId="22" xfId="11" applyNumberFormat="1" applyFont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9" fontId="31" fillId="0" borderId="79" xfId="13" applyFont="1" applyBorder="1" applyAlignment="1">
      <alignment horizontal="center" vertical="center"/>
    </xf>
    <xf numFmtId="0" fontId="87" fillId="0" borderId="0" xfId="11" applyFont="1" applyAlignment="1">
      <alignment horizontal="center" shrinkToFit="1"/>
    </xf>
    <xf numFmtId="0" fontId="113" fillId="0" borderId="0" xfId="15" applyFont="1">
      <alignment vertical="center"/>
    </xf>
    <xf numFmtId="0" fontId="114" fillId="0" borderId="23" xfId="15" applyFont="1" applyBorder="1" applyAlignment="1">
      <alignment horizontal="center" vertical="center"/>
    </xf>
    <xf numFmtId="193" fontId="114" fillId="0" borderId="23" xfId="15" applyNumberFormat="1" applyFont="1" applyBorder="1" applyAlignment="1">
      <alignment horizontal="center" vertical="center"/>
    </xf>
    <xf numFmtId="186" fontId="114" fillId="0" borderId="23" xfId="15" applyNumberFormat="1" applyFont="1" applyBorder="1" applyAlignment="1">
      <alignment horizontal="center" vertical="center"/>
    </xf>
    <xf numFmtId="10" fontId="114" fillId="0" borderId="23" xfId="3" applyNumberFormat="1" applyFont="1" applyFill="1" applyBorder="1" applyAlignment="1">
      <alignment horizontal="center" vertical="center"/>
    </xf>
    <xf numFmtId="0" fontId="116" fillId="0" borderId="23" xfId="15" applyFont="1" applyBorder="1" applyAlignment="1">
      <alignment horizontal="center" vertical="center" wrapText="1"/>
    </xf>
    <xf numFmtId="0" fontId="119" fillId="0" borderId="23" xfId="11" applyFont="1" applyBorder="1" applyAlignment="1">
      <alignment horizontal="center" vertical="center"/>
    </xf>
    <xf numFmtId="0" fontId="115" fillId="0" borderId="0" xfId="15" applyFont="1">
      <alignment vertical="center"/>
    </xf>
    <xf numFmtId="193" fontId="115" fillId="0" borderId="0" xfId="15" applyNumberFormat="1" applyFont="1">
      <alignment vertical="center"/>
    </xf>
    <xf numFmtId="193" fontId="121" fillId="0" borderId="0" xfId="15" applyNumberFormat="1" applyFont="1">
      <alignment vertical="center"/>
    </xf>
    <xf numFmtId="195" fontId="113" fillId="0" borderId="0" xfId="15" applyNumberFormat="1" applyFont="1">
      <alignment vertical="center"/>
    </xf>
    <xf numFmtId="0" fontId="122" fillId="0" borderId="0" xfId="15" applyFont="1">
      <alignment vertical="center"/>
    </xf>
    <xf numFmtId="194" fontId="123" fillId="5" borderId="22" xfId="5" applyNumberFormat="1" applyFont="1" applyFill="1" applyBorder="1" applyAlignment="1">
      <alignment horizontal="center" vertical="center"/>
    </xf>
    <xf numFmtId="193" fontId="124" fillId="9" borderId="22" xfId="4" applyNumberFormat="1" applyFont="1" applyFill="1" applyBorder="1" applyAlignment="1">
      <alignment horizontal="center" vertical="center"/>
    </xf>
    <xf numFmtId="193" fontId="124" fillId="9" borderId="22" xfId="6" applyNumberFormat="1" applyFont="1" applyFill="1" applyBorder="1" applyAlignment="1">
      <alignment horizontal="center" vertical="center"/>
    </xf>
    <xf numFmtId="186" fontId="124" fillId="0" borderId="22" xfId="4" applyNumberFormat="1" applyFont="1" applyBorder="1" applyAlignment="1">
      <alignment horizontal="center" vertical="center"/>
    </xf>
    <xf numFmtId="10" fontId="124" fillId="0" borderId="22" xfId="3" applyNumberFormat="1" applyFont="1" applyBorder="1" applyAlignment="1">
      <alignment horizontal="center" vertical="center"/>
    </xf>
    <xf numFmtId="0" fontId="81" fillId="0" borderId="0" xfId="15" applyFont="1">
      <alignment vertical="center"/>
    </xf>
    <xf numFmtId="193" fontId="81" fillId="0" borderId="0" xfId="15" applyNumberFormat="1" applyFont="1">
      <alignment vertical="center"/>
    </xf>
    <xf numFmtId="0" fontId="113" fillId="0" borderId="0" xfId="4" applyFont="1">
      <alignment vertical="center"/>
    </xf>
    <xf numFmtId="194" fontId="123" fillId="10" borderId="22" xfId="5" applyNumberFormat="1" applyFont="1" applyFill="1" applyBorder="1" applyAlignment="1">
      <alignment horizontal="center" vertical="center"/>
    </xf>
    <xf numFmtId="3" fontId="113" fillId="0" borderId="0" xfId="4" applyNumberFormat="1" applyFont="1">
      <alignment vertical="center"/>
    </xf>
    <xf numFmtId="194" fontId="125" fillId="0" borderId="22" xfId="5" applyNumberFormat="1" applyFont="1" applyBorder="1" applyAlignment="1">
      <alignment horizontal="center" vertical="center"/>
    </xf>
    <xf numFmtId="193" fontId="124" fillId="9" borderId="22" xfId="17" applyNumberFormat="1" applyFont="1" applyFill="1" applyBorder="1" applyAlignment="1">
      <alignment horizontal="center" vertical="center"/>
    </xf>
    <xf numFmtId="196" fontId="36" fillId="0" borderId="22" xfId="13" applyNumberFormat="1" applyFont="1" applyFill="1" applyBorder="1" applyAlignment="1">
      <alignment horizontal="center" vertical="center"/>
    </xf>
    <xf numFmtId="0" fontId="26" fillId="0" borderId="37" xfId="11" applyFont="1" applyBorder="1" applyAlignment="1">
      <alignment shrinkToFit="1"/>
    </xf>
    <xf numFmtId="0" fontId="26" fillId="0" borderId="32" xfId="11" applyFont="1" applyBorder="1" applyAlignment="1">
      <alignment shrinkToFit="1"/>
    </xf>
    <xf numFmtId="0" fontId="26" fillId="4" borderId="26" xfId="11" applyFont="1" applyFill="1" applyBorder="1" applyAlignment="1">
      <alignment shrinkToFit="1"/>
    </xf>
    <xf numFmtId="0" fontId="26" fillId="4" borderId="36" xfId="11" applyFont="1" applyFill="1" applyBorder="1" applyAlignment="1">
      <alignment shrinkToFit="1"/>
    </xf>
    <xf numFmtId="0" fontId="28" fillId="0" borderId="27" xfId="11" applyFont="1" applyBorder="1" applyAlignment="1">
      <alignment vertical="center"/>
    </xf>
    <xf numFmtId="0" fontId="131" fillId="0" borderId="0" xfId="11" applyFont="1" applyAlignment="1">
      <alignment horizontal="center" vertical="center"/>
    </xf>
    <xf numFmtId="0" fontId="109" fillId="0" borderId="0" xfId="0" applyFont="1" applyAlignment="1">
      <alignment vertical="center"/>
    </xf>
    <xf numFmtId="10" fontId="28" fillId="9" borderId="22" xfId="13" applyNumberFormat="1" applyFont="1" applyFill="1" applyBorder="1" applyAlignment="1">
      <alignment shrinkToFit="1"/>
    </xf>
    <xf numFmtId="0" fontId="115" fillId="0" borderId="23" xfId="15" applyFont="1" applyBorder="1" applyAlignment="1">
      <alignment horizontal="center" vertical="center"/>
    </xf>
    <xf numFmtId="0" fontId="100" fillId="0" borderId="86" xfId="11" applyFont="1" applyBorder="1" applyAlignment="1">
      <alignment horizontal="left" vertical="center"/>
    </xf>
    <xf numFmtId="0" fontId="100" fillId="0" borderId="91" xfId="11" applyFont="1" applyBorder="1" applyAlignment="1">
      <alignment horizontal="left" vertical="center"/>
    </xf>
    <xf numFmtId="0" fontId="100" fillId="0" borderId="88" xfId="11" applyFont="1" applyBorder="1" applyAlignment="1">
      <alignment horizontal="left" vertical="center"/>
    </xf>
    <xf numFmtId="0" fontId="99" fillId="0" borderId="83" xfId="11" applyFont="1" applyBorder="1" applyAlignment="1">
      <alignment horizontal="center" vertical="center"/>
    </xf>
    <xf numFmtId="0" fontId="99" fillId="0" borderId="84" xfId="11" applyFont="1" applyBorder="1" applyAlignment="1">
      <alignment horizontal="center" vertical="center"/>
    </xf>
    <xf numFmtId="0" fontId="100" fillId="0" borderId="92" xfId="11" applyFont="1" applyBorder="1" applyAlignment="1">
      <alignment horizontal="left" vertical="center"/>
    </xf>
    <xf numFmtId="0" fontId="100" fillId="0" borderId="93" xfId="11" applyFont="1" applyBorder="1" applyAlignment="1">
      <alignment horizontal="left" vertical="center"/>
    </xf>
    <xf numFmtId="0" fontId="69" fillId="0" borderId="0" xfId="0" applyFont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9" fillId="9" borderId="27" xfId="0" applyFont="1" applyFill="1" applyBorder="1" applyAlignment="1">
      <alignment horizontal="center" vertical="center" shrinkToFit="1"/>
    </xf>
    <xf numFmtId="0" fontId="49" fillId="9" borderId="25" xfId="0" applyFont="1" applyFill="1" applyBorder="1" applyAlignment="1">
      <alignment horizontal="center" vertical="center" shrinkToFit="1"/>
    </xf>
    <xf numFmtId="185" fontId="26" fillId="0" borderId="0" xfId="13" applyNumberFormat="1" applyFont="1" applyAlignment="1">
      <alignment horizontal="center"/>
    </xf>
    <xf numFmtId="0" fontId="109" fillId="0" borderId="0" xfId="0" applyFont="1" applyAlignment="1">
      <alignment horizontal="center" vertical="center"/>
    </xf>
    <xf numFmtId="189" fontId="26" fillId="0" borderId="0" xfId="0" applyNumberFormat="1" applyFont="1" applyAlignment="1">
      <alignment horizontal="center"/>
    </xf>
    <xf numFmtId="185" fontId="26" fillId="0" borderId="0" xfId="0" applyNumberFormat="1" applyFont="1" applyAlignment="1">
      <alignment horizontal="center"/>
    </xf>
    <xf numFmtId="188" fontId="26" fillId="0" borderId="0" xfId="0" applyNumberFormat="1" applyFont="1" applyAlignment="1">
      <alignment horizontal="center"/>
    </xf>
    <xf numFmtId="190" fontId="26" fillId="0" borderId="0" xfId="0" applyNumberFormat="1" applyFont="1" applyAlignment="1">
      <alignment horizontal="center"/>
    </xf>
    <xf numFmtId="179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80" fontId="14" fillId="0" borderId="0" xfId="0" applyNumberFormat="1" applyFont="1" applyAlignment="1">
      <alignment horizontal="center"/>
    </xf>
    <xf numFmtId="185" fontId="14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0" fontId="90" fillId="0" borderId="0" xfId="0" applyFont="1" applyAlignment="1">
      <alignment horizontal="center" vertical="center"/>
    </xf>
    <xf numFmtId="180" fontId="26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179" fontId="14" fillId="0" borderId="23" xfId="0" applyNumberFormat="1" applyFont="1" applyBorder="1" applyAlignment="1">
      <alignment horizontal="center" vertical="center"/>
    </xf>
    <xf numFmtId="179" fontId="14" fillId="0" borderId="29" xfId="0" applyNumberFormat="1" applyFont="1" applyBorder="1" applyAlignment="1">
      <alignment horizontal="center" vertical="center"/>
    </xf>
    <xf numFmtId="179" fontId="14" fillId="0" borderId="30" xfId="0" applyNumberFormat="1" applyFont="1" applyBorder="1" applyAlignment="1">
      <alignment horizontal="center" vertical="center"/>
    </xf>
    <xf numFmtId="182" fontId="14" fillId="0" borderId="23" xfId="0" applyNumberFormat="1" applyFont="1" applyBorder="1" applyAlignment="1">
      <alignment horizontal="center" shrinkToFit="1"/>
    </xf>
    <xf numFmtId="182" fontId="14" fillId="0" borderId="29" xfId="0" applyNumberFormat="1" applyFont="1" applyBorder="1" applyAlignment="1">
      <alignment horizontal="center" shrinkToFit="1"/>
    </xf>
    <xf numFmtId="182" fontId="14" fillId="0" borderId="30" xfId="0" applyNumberFormat="1" applyFont="1" applyBorder="1" applyAlignment="1">
      <alignment horizontal="center" shrinkToFit="1"/>
    </xf>
    <xf numFmtId="0" fontId="126" fillId="0" borderId="29" xfId="0" applyFont="1" applyBorder="1" applyAlignment="1">
      <alignment horizontal="center" vertical="center"/>
    </xf>
    <xf numFmtId="0" fontId="126" fillId="0" borderId="30" xfId="0" applyFont="1" applyBorder="1" applyAlignment="1">
      <alignment horizontal="center" vertical="center"/>
    </xf>
    <xf numFmtId="189" fontId="26" fillId="0" borderId="29" xfId="0" applyNumberFormat="1" applyFont="1" applyBorder="1" applyAlignment="1">
      <alignment horizontal="center"/>
    </xf>
    <xf numFmtId="189" fontId="26" fillId="0" borderId="30" xfId="0" applyNumberFormat="1" applyFont="1" applyBorder="1" applyAlignment="1">
      <alignment horizontal="center"/>
    </xf>
    <xf numFmtId="0" fontId="32" fillId="0" borderId="22" xfId="0" applyFont="1" applyBorder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0" fontId="28" fillId="0" borderId="23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189" fontId="27" fillId="0" borderId="22" xfId="0" applyNumberFormat="1" applyFont="1" applyBorder="1" applyAlignment="1">
      <alignment horizontal="center" vertical="center"/>
    </xf>
    <xf numFmtId="189" fontId="27" fillId="0" borderId="23" xfId="0" applyNumberFormat="1" applyFont="1" applyBorder="1" applyAlignment="1">
      <alignment horizontal="center" vertical="center"/>
    </xf>
    <xf numFmtId="182" fontId="14" fillId="0" borderId="22" xfId="0" applyNumberFormat="1" applyFont="1" applyBorder="1" applyAlignment="1">
      <alignment horizontal="center" shrinkToFit="1"/>
    </xf>
    <xf numFmtId="0" fontId="131" fillId="0" borderId="23" xfId="0" applyFont="1" applyBorder="1" applyAlignment="1">
      <alignment horizontal="center" vertical="center"/>
    </xf>
    <xf numFmtId="0" fontId="131" fillId="0" borderId="29" xfId="0" applyFont="1" applyBorder="1" applyAlignment="1">
      <alignment horizontal="center" vertical="center"/>
    </xf>
    <xf numFmtId="0" fontId="131" fillId="0" borderId="30" xfId="0" applyFont="1" applyBorder="1" applyAlignment="1">
      <alignment horizontal="center" vertical="center"/>
    </xf>
    <xf numFmtId="182" fontId="14" fillId="0" borderId="23" xfId="0" applyNumberFormat="1" applyFont="1" applyBorder="1" applyAlignment="1">
      <alignment horizontal="center" vertical="center" shrinkToFit="1"/>
    </xf>
    <xf numFmtId="182" fontId="14" fillId="0" borderId="29" xfId="0" applyNumberFormat="1" applyFont="1" applyBorder="1" applyAlignment="1">
      <alignment horizontal="center" vertical="center" shrinkToFit="1"/>
    </xf>
    <xf numFmtId="182" fontId="14" fillId="0" borderId="30" xfId="0" applyNumberFormat="1" applyFont="1" applyBorder="1" applyAlignment="1">
      <alignment horizontal="center" vertical="center" shrinkToFit="1"/>
    </xf>
    <xf numFmtId="177" fontId="14" fillId="0" borderId="22" xfId="0" applyNumberFormat="1" applyFont="1" applyBorder="1" applyAlignment="1">
      <alignment horizontal="center"/>
    </xf>
    <xf numFmtId="177" fontId="14" fillId="0" borderId="29" xfId="0" applyNumberFormat="1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79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177" fontId="14" fillId="0" borderId="23" xfId="0" applyNumberFormat="1" applyFont="1" applyBorder="1" applyAlignment="1">
      <alignment horizontal="center" vertical="center"/>
    </xf>
    <xf numFmtId="177" fontId="27" fillId="0" borderId="23" xfId="0" applyNumberFormat="1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83" fontId="14" fillId="9" borderId="22" xfId="0" applyNumberFormat="1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9" borderId="22" xfId="0" applyFont="1" applyFill="1" applyBorder="1" applyAlignment="1">
      <alignment horizontal="center" vertical="center" shrinkToFit="1"/>
    </xf>
    <xf numFmtId="179" fontId="14" fillId="5" borderId="27" xfId="0" applyNumberFormat="1" applyFont="1" applyFill="1" applyBorder="1" applyAlignment="1">
      <alignment horizontal="center" vertical="center" shrinkToFit="1"/>
    </xf>
    <xf numFmtId="179" fontId="14" fillId="5" borderId="28" xfId="0" applyNumberFormat="1" applyFont="1" applyFill="1" applyBorder="1" applyAlignment="1">
      <alignment horizontal="center" vertical="center" shrinkToFit="1"/>
    </xf>
    <xf numFmtId="179" fontId="14" fillId="5" borderId="25" xfId="0" applyNumberFormat="1" applyFont="1" applyFill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187" fontId="14" fillId="8" borderId="22" xfId="0" applyNumberFormat="1" applyFont="1" applyFill="1" applyBorder="1" applyAlignment="1">
      <alignment horizontal="center" vertical="center" shrinkToFit="1"/>
    </xf>
    <xf numFmtId="187" fontId="14" fillId="5" borderId="27" xfId="0" applyNumberFormat="1" applyFont="1" applyFill="1" applyBorder="1" applyAlignment="1">
      <alignment horizontal="center" vertical="center" shrinkToFit="1"/>
    </xf>
    <xf numFmtId="187" fontId="14" fillId="5" borderId="28" xfId="0" applyNumberFormat="1" applyFont="1" applyFill="1" applyBorder="1" applyAlignment="1">
      <alignment horizontal="center" vertical="center" shrinkToFit="1"/>
    </xf>
    <xf numFmtId="187" fontId="14" fillId="5" borderId="25" xfId="0" applyNumberFormat="1" applyFont="1" applyFill="1" applyBorder="1" applyAlignment="1">
      <alignment horizontal="center" vertical="center" shrinkToFit="1"/>
    </xf>
    <xf numFmtId="185" fontId="14" fillId="0" borderId="22" xfId="13" applyNumberFormat="1" applyFont="1" applyBorder="1" applyAlignment="1">
      <alignment horizontal="center" vertical="center" shrinkToFit="1"/>
    </xf>
    <xf numFmtId="0" fontId="107" fillId="0" borderId="37" xfId="0" applyFont="1" applyBorder="1" applyAlignment="1">
      <alignment horizontal="left" vertical="center"/>
    </xf>
    <xf numFmtId="0" fontId="108" fillId="0" borderId="37" xfId="0" applyFont="1" applyBorder="1" applyAlignment="1">
      <alignment horizontal="left" vertical="center"/>
    </xf>
    <xf numFmtId="0" fontId="108" fillId="0" borderId="32" xfId="0" applyFont="1" applyBorder="1" applyAlignment="1">
      <alignment horizontal="left" vertical="center"/>
    </xf>
    <xf numFmtId="0" fontId="108" fillId="0" borderId="26" xfId="0" applyFont="1" applyBorder="1" applyAlignment="1">
      <alignment horizontal="left" vertical="center"/>
    </xf>
    <xf numFmtId="0" fontId="108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179" fontId="14" fillId="5" borderId="22" xfId="0" applyNumberFormat="1" applyFont="1" applyFill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179" fontId="14" fillId="8" borderId="22" xfId="0" applyNumberFormat="1" applyFont="1" applyFill="1" applyBorder="1" applyAlignment="1">
      <alignment horizontal="center" vertical="center" shrinkToFit="1"/>
    </xf>
    <xf numFmtId="0" fontId="14" fillId="8" borderId="22" xfId="0" applyFont="1" applyFill="1" applyBorder="1" applyAlignment="1">
      <alignment horizontal="center" vertical="center" shrinkToFit="1"/>
    </xf>
    <xf numFmtId="0" fontId="106" fillId="0" borderId="37" xfId="0" applyFont="1" applyBorder="1" applyAlignment="1">
      <alignment horizontal="left" vertical="center"/>
    </xf>
    <xf numFmtId="179" fontId="14" fillId="5" borderId="27" xfId="0" applyNumberFormat="1" applyFont="1" applyFill="1" applyBorder="1" applyAlignment="1">
      <alignment horizontal="center" vertical="center"/>
    </xf>
    <xf numFmtId="179" fontId="14" fillId="5" borderId="28" xfId="0" applyNumberFormat="1" applyFont="1" applyFill="1" applyBorder="1" applyAlignment="1">
      <alignment horizontal="center" vertical="center"/>
    </xf>
    <xf numFmtId="179" fontId="14" fillId="5" borderId="25" xfId="0" applyNumberFormat="1" applyFont="1" applyFill="1" applyBorder="1" applyAlignment="1">
      <alignment horizontal="center" vertical="center"/>
    </xf>
    <xf numFmtId="187" fontId="14" fillId="5" borderId="22" xfId="0" applyNumberFormat="1" applyFont="1" applyFill="1" applyBorder="1" applyAlignment="1">
      <alignment horizontal="center" vertical="center"/>
    </xf>
    <xf numFmtId="187" fontId="14" fillId="8" borderId="22" xfId="0" applyNumberFormat="1" applyFont="1" applyFill="1" applyBorder="1" applyAlignment="1">
      <alignment horizontal="center" vertical="center"/>
    </xf>
    <xf numFmtId="187" fontId="14" fillId="5" borderId="27" xfId="0" applyNumberFormat="1" applyFont="1" applyFill="1" applyBorder="1" applyAlignment="1">
      <alignment horizontal="center" vertical="center"/>
    </xf>
    <xf numFmtId="187" fontId="14" fillId="5" borderId="28" xfId="0" applyNumberFormat="1" applyFont="1" applyFill="1" applyBorder="1" applyAlignment="1">
      <alignment horizontal="center" vertical="center"/>
    </xf>
    <xf numFmtId="187" fontId="14" fillId="5" borderId="25" xfId="0" applyNumberFormat="1" applyFont="1" applyFill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179" fontId="14" fillId="5" borderId="22" xfId="0" applyNumberFormat="1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179" fontId="14" fillId="8" borderId="22" xfId="0" applyNumberFormat="1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center" vertical="center"/>
    </xf>
    <xf numFmtId="0" fontId="87" fillId="0" borderId="22" xfId="0" applyFont="1" applyBorder="1" applyAlignment="1">
      <alignment horizontal="center" vertical="center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0" fontId="51" fillId="0" borderId="0" xfId="0" applyFont="1" applyAlignment="1">
      <alignment horizontal="left" vertical="center" shrinkToFit="1"/>
    </xf>
    <xf numFmtId="0" fontId="15" fillId="0" borderId="22" xfId="0" applyFont="1" applyBorder="1" applyAlignment="1">
      <alignment horizontal="center" vertical="center" shrinkToFit="1"/>
    </xf>
    <xf numFmtId="0" fontId="57" fillId="2" borderId="22" xfId="0" applyFont="1" applyFill="1" applyBorder="1" applyAlignment="1">
      <alignment horizontal="center" vertical="center" shrinkToFit="1"/>
    </xf>
    <xf numFmtId="0" fontId="72" fillId="0" borderId="22" xfId="0" applyFont="1" applyBorder="1" applyAlignment="1">
      <alignment horizontal="center" vertical="center" shrinkToFit="1"/>
    </xf>
    <xf numFmtId="0" fontId="57" fillId="2" borderId="22" xfId="0" applyFont="1" applyFill="1" applyBorder="1" applyAlignment="1">
      <alignment horizontal="center" shrinkToFit="1"/>
    </xf>
    <xf numFmtId="0" fontId="72" fillId="0" borderId="22" xfId="0" applyFont="1" applyBorder="1" applyAlignment="1">
      <alignment horizontal="center" shrinkToFit="1"/>
    </xf>
    <xf numFmtId="0" fontId="64" fillId="0" borderId="22" xfId="0" applyFont="1" applyBorder="1" applyAlignment="1">
      <alignment shrinkToFit="1"/>
    </xf>
    <xf numFmtId="0" fontId="57" fillId="0" borderId="27" xfId="0" applyFont="1" applyBorder="1" applyAlignment="1">
      <alignment shrinkToFit="1"/>
    </xf>
    <xf numFmtId="0" fontId="57" fillId="0" borderId="25" xfId="0" applyFont="1" applyBorder="1" applyAlignment="1">
      <alignment shrinkToFit="1"/>
    </xf>
    <xf numFmtId="0" fontId="57" fillId="2" borderId="27" xfId="0" applyFont="1" applyFill="1" applyBorder="1" applyAlignment="1">
      <alignment horizontal="center" shrinkToFit="1"/>
    </xf>
    <xf numFmtId="0" fontId="57" fillId="2" borderId="25" xfId="0" applyFont="1" applyFill="1" applyBorder="1" applyAlignment="1">
      <alignment horizontal="center" shrinkToFit="1"/>
    </xf>
    <xf numFmtId="0" fontId="57" fillId="2" borderId="28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7" fillId="2" borderId="23" xfId="0" applyFont="1" applyFill="1" applyBorder="1" applyAlignment="1">
      <alignment horizontal="center" vertical="center" shrinkToFit="1"/>
    </xf>
    <xf numFmtId="0" fontId="57" fillId="2" borderId="29" xfId="0" applyFont="1" applyFill="1" applyBorder="1" applyAlignment="1">
      <alignment horizontal="center" vertical="center" shrinkToFit="1"/>
    </xf>
    <xf numFmtId="0" fontId="57" fillId="2" borderId="30" xfId="0" applyFont="1" applyFill="1" applyBorder="1" applyAlignment="1">
      <alignment horizontal="center" vertical="center" shrinkToFit="1"/>
    </xf>
    <xf numFmtId="0" fontId="57" fillId="0" borderId="28" xfId="0" applyFont="1" applyBorder="1" applyAlignment="1">
      <alignment shrinkToFit="1"/>
    </xf>
    <xf numFmtId="0" fontId="130" fillId="0" borderId="22" xfId="0" applyFont="1" applyBorder="1" applyAlignment="1">
      <alignment shrinkToFit="1"/>
    </xf>
    <xf numFmtId="0" fontId="57" fillId="2" borderId="27" xfId="0" applyFont="1" applyFill="1" applyBorder="1" applyAlignment="1">
      <alignment horizontal="center" vertical="center" shrinkToFit="1"/>
    </xf>
    <xf numFmtId="0" fontId="57" fillId="2" borderId="25" xfId="0" applyFont="1" applyFill="1" applyBorder="1" applyAlignment="1">
      <alignment horizontal="center" vertical="center" shrinkToFit="1"/>
    </xf>
    <xf numFmtId="0" fontId="57" fillId="2" borderId="28" xfId="0" applyFont="1" applyFill="1" applyBorder="1" applyAlignment="1">
      <alignment horizontal="center" vertical="center" shrinkToFit="1"/>
    </xf>
    <xf numFmtId="0" fontId="42" fillId="0" borderId="0" xfId="11" applyFont="1" applyAlignment="1">
      <alignment horizontal="center" vertical="center" shrinkToFit="1"/>
    </xf>
    <xf numFmtId="0" fontId="51" fillId="0" borderId="0" xfId="11" applyFont="1" applyAlignment="1">
      <alignment horizontal="left" vertical="center" shrinkToFit="1"/>
    </xf>
    <xf numFmtId="0" fontId="44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28" fillId="0" borderId="37" xfId="11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55" fillId="0" borderId="22" xfId="11" applyFont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43" fillId="2" borderId="22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horizontal="left" vertical="center" wrapText="1"/>
    </xf>
    <xf numFmtId="0" fontId="28" fillId="2" borderId="35" xfId="11" applyFont="1" applyFill="1" applyBorder="1" applyAlignment="1">
      <alignment horizontal="center" vertical="center" shrinkToFit="1"/>
    </xf>
    <xf numFmtId="0" fontId="28" fillId="2" borderId="26" xfId="11" applyFont="1" applyFill="1" applyBorder="1" applyAlignment="1">
      <alignment horizontal="center" vertical="center" shrinkToFit="1"/>
    </xf>
    <xf numFmtId="0" fontId="28" fillId="2" borderId="43" xfId="11" applyFont="1" applyFill="1" applyBorder="1" applyAlignment="1">
      <alignment horizontal="center" vertical="center" shrinkToFit="1"/>
    </xf>
    <xf numFmtId="0" fontId="28" fillId="2" borderId="57" xfId="11" applyFont="1" applyFill="1" applyBorder="1" applyAlignment="1">
      <alignment horizontal="center" vertical="center" shrinkToFit="1"/>
    </xf>
    <xf numFmtId="0" fontId="28" fillId="2" borderId="58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27" xfId="11" applyFont="1" applyFill="1" applyBorder="1" applyAlignment="1">
      <alignment horizontal="center" vertical="center" shrinkToFit="1"/>
    </xf>
    <xf numFmtId="0" fontId="28" fillId="2" borderId="28" xfId="11" applyFont="1" applyFill="1" applyBorder="1" applyAlignment="1">
      <alignment horizontal="center" vertical="center" shrinkToFit="1"/>
    </xf>
    <xf numFmtId="0" fontId="28" fillId="2" borderId="25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wrapText="1" shrinkToFit="1"/>
    </xf>
    <xf numFmtId="0" fontId="64" fillId="0" borderId="22" xfId="11" applyFont="1" applyBorder="1" applyAlignment="1">
      <alignment horizontal="left" vertical="center" wrapText="1"/>
    </xf>
    <xf numFmtId="0" fontId="64" fillId="2" borderId="22" xfId="11" applyFont="1" applyFill="1" applyBorder="1" applyAlignment="1">
      <alignment horizontal="center"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vertical="center" wrapText="1"/>
    </xf>
    <xf numFmtId="0" fontId="64" fillId="0" borderId="22" xfId="11" applyFont="1" applyBorder="1" applyAlignment="1">
      <alignment vertical="center" wrapText="1"/>
    </xf>
    <xf numFmtId="0" fontId="52" fillId="0" borderId="0" xfId="11" applyFont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/>
    </xf>
    <xf numFmtId="0" fontId="7" fillId="2" borderId="39" xfId="11" applyFont="1" applyFill="1" applyBorder="1" applyAlignment="1">
      <alignment horizontal="center" shrinkToFit="1"/>
    </xf>
    <xf numFmtId="0" fontId="7" fillId="2" borderId="2" xfId="11" applyFont="1" applyFill="1" applyBorder="1" applyAlignment="1">
      <alignment horizontal="center" shrinkToFit="1"/>
    </xf>
    <xf numFmtId="0" fontId="7" fillId="2" borderId="3" xfId="11" applyFont="1" applyFill="1" applyBorder="1" applyAlignment="1">
      <alignment horizont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7" fillId="2" borderId="68" xfId="11" applyFont="1" applyFill="1" applyBorder="1" applyAlignment="1">
      <alignment horizontal="center" vertical="center" shrinkToFit="1"/>
    </xf>
    <xf numFmtId="0" fontId="7" fillId="2" borderId="58" xfId="11" applyFont="1" applyFill="1" applyBorder="1" applyAlignment="1">
      <alignment horizontal="center" vertical="center" shrinkToFit="1"/>
    </xf>
    <xf numFmtId="0" fontId="7" fillId="2" borderId="61" xfId="11" applyFont="1" applyFill="1" applyBorder="1" applyAlignment="1">
      <alignment horizontal="center" vertical="center" shrinkToFit="1"/>
    </xf>
    <xf numFmtId="0" fontId="11" fillId="2" borderId="27" xfId="11" applyFont="1" applyFill="1" applyBorder="1" applyAlignment="1">
      <alignment horizontal="center" vertical="center" shrinkToFit="1"/>
    </xf>
    <xf numFmtId="0" fontId="11" fillId="2" borderId="28" xfId="11" applyFont="1" applyFill="1" applyBorder="1" applyAlignment="1">
      <alignment horizontal="center" vertical="center" shrinkToFit="1"/>
    </xf>
    <xf numFmtId="0" fontId="11" fillId="2" borderId="25" xfId="11" applyFont="1" applyFill="1" applyBorder="1" applyAlignment="1">
      <alignment horizontal="center" vertical="center" shrinkToFit="1"/>
    </xf>
    <xf numFmtId="0" fontId="12" fillId="2" borderId="4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shrinkToFit="1"/>
    </xf>
    <xf numFmtId="0" fontId="24" fillId="0" borderId="29" xfId="11" applyBorder="1" applyAlignment="1">
      <alignment horizontal="center" vertical="center" shrinkToFit="1"/>
    </xf>
    <xf numFmtId="0" fontId="24" fillId="0" borderId="30" xfId="11" applyBorder="1" applyAlignment="1">
      <alignment horizontal="center" vertical="center" shrinkToFit="1"/>
    </xf>
    <xf numFmtId="0" fontId="66" fillId="0" borderId="23" xfId="11" applyFont="1" applyBorder="1" applyAlignment="1">
      <alignment horizontal="center" vertical="center" wrapText="1" shrinkToFit="1"/>
    </xf>
    <xf numFmtId="0" fontId="66" fillId="0" borderId="29" xfId="11" applyFont="1" applyBorder="1" applyAlignment="1">
      <alignment horizontal="center" vertical="center" wrapText="1" shrinkToFit="1"/>
    </xf>
    <xf numFmtId="0" fontId="66" fillId="0" borderId="30" xfId="11" applyFont="1" applyBorder="1" applyAlignment="1">
      <alignment horizontal="center" vertical="center" wrapText="1" shrinkToFit="1"/>
    </xf>
    <xf numFmtId="0" fontId="77" fillId="0" borderId="4" xfId="11" applyFont="1" applyBorder="1" applyAlignment="1">
      <alignment horizontal="center" vertical="center" shrinkToFit="1"/>
    </xf>
    <xf numFmtId="0" fontId="77" fillId="0" borderId="3" xfId="11" applyFont="1" applyBorder="1" applyAlignment="1">
      <alignment horizontal="center" vertical="center" shrinkToFit="1"/>
    </xf>
    <xf numFmtId="0" fontId="77" fillId="0" borderId="4" xfId="11" applyFont="1" applyBorder="1" applyAlignment="1">
      <alignment horizontal="center" shrinkToFit="1"/>
    </xf>
    <xf numFmtId="0" fontId="77" fillId="0" borderId="3" xfId="11" applyFont="1" applyBorder="1" applyAlignment="1">
      <alignment horizontal="center" shrinkToFit="1"/>
    </xf>
    <xf numFmtId="0" fontId="7" fillId="2" borderId="27" xfId="11" applyFont="1" applyFill="1" applyBorder="1" applyAlignment="1">
      <alignment horizontal="center" vertical="center" shrinkToFit="1"/>
    </xf>
    <xf numFmtId="0" fontId="7" fillId="2" borderId="28" xfId="11" applyFont="1" applyFill="1" applyBorder="1" applyAlignment="1">
      <alignment horizontal="center" vertical="center" shrinkToFit="1"/>
    </xf>
    <xf numFmtId="0" fontId="7" fillId="2" borderId="25" xfId="11" applyFont="1" applyFill="1" applyBorder="1" applyAlignment="1">
      <alignment horizontal="center" vertical="center" shrinkToFit="1"/>
    </xf>
    <xf numFmtId="0" fontId="35" fillId="0" borderId="23" xfId="11" applyFont="1" applyBorder="1" applyAlignment="1">
      <alignment horizontal="center" vertical="center" wrapText="1" shrinkToFit="1"/>
    </xf>
    <xf numFmtId="0" fontId="35" fillId="0" borderId="29" xfId="11" applyFont="1" applyBorder="1" applyAlignment="1">
      <alignment horizontal="center" vertical="center" wrapText="1" shrinkToFit="1"/>
    </xf>
    <xf numFmtId="0" fontId="35" fillId="0" borderId="30" xfId="11" applyFont="1" applyBorder="1" applyAlignment="1">
      <alignment horizontal="center" vertical="center" wrapText="1" shrinkToFit="1"/>
    </xf>
    <xf numFmtId="0" fontId="77" fillId="0" borderId="4" xfId="11" applyFont="1" applyBorder="1" applyAlignment="1">
      <alignment vertical="center" wrapText="1" shrinkToFit="1"/>
    </xf>
    <xf numFmtId="0" fontId="77" fillId="0" borderId="3" xfId="11" applyFont="1" applyBorder="1" applyAlignment="1">
      <alignment vertical="center" wrapText="1" shrinkToFit="1"/>
    </xf>
    <xf numFmtId="0" fontId="77" fillId="0" borderId="4" xfId="11" applyFont="1" applyBorder="1" applyAlignment="1">
      <alignment vertical="center" wrapText="1"/>
    </xf>
    <xf numFmtId="0" fontId="77" fillId="0" borderId="3" xfId="11" applyFont="1" applyBorder="1" applyAlignment="1">
      <alignment vertical="center" wrapText="1"/>
    </xf>
    <xf numFmtId="0" fontId="7" fillId="2" borderId="4" xfId="11" applyFont="1" applyFill="1" applyBorder="1" applyAlignment="1">
      <alignment horizontal="center" vertical="center" shrinkToFit="1"/>
    </xf>
    <xf numFmtId="0" fontId="7" fillId="2" borderId="2" xfId="11" applyFont="1" applyFill="1" applyBorder="1" applyAlignment="1">
      <alignment horizontal="center" vertical="center" shrinkToFit="1"/>
    </xf>
    <xf numFmtId="0" fontId="7" fillId="2" borderId="3" xfId="11" applyFont="1" applyFill="1" applyBorder="1" applyAlignment="1">
      <alignment horizontal="center" vertical="center" shrinkToFit="1"/>
    </xf>
    <xf numFmtId="0" fontId="11" fillId="2" borderId="54" xfId="11" applyFont="1" applyFill="1" applyBorder="1" applyAlignment="1">
      <alignment horizontal="center" vertical="center" shrinkToFit="1"/>
    </xf>
    <xf numFmtId="0" fontId="11" fillId="2" borderId="47" xfId="11" applyFont="1" applyFill="1" applyBorder="1" applyAlignment="1">
      <alignment horizontal="center" vertical="center" shrinkToFit="1"/>
    </xf>
    <xf numFmtId="0" fontId="11" fillId="2" borderId="48" xfId="11" applyFont="1" applyFill="1" applyBorder="1" applyAlignment="1">
      <alignment horizontal="center" vertical="center" shrinkToFit="1"/>
    </xf>
    <xf numFmtId="0" fontId="85" fillId="4" borderId="4" xfId="11" applyFont="1" applyFill="1" applyBorder="1" applyAlignment="1">
      <alignment vertical="center" wrapText="1"/>
    </xf>
    <xf numFmtId="0" fontId="85" fillId="4" borderId="3" xfId="11" applyFont="1" applyFill="1" applyBorder="1" applyAlignment="1">
      <alignment vertical="center" wrapText="1"/>
    </xf>
    <xf numFmtId="0" fontId="77" fillId="0" borderId="4" xfId="11" applyFont="1" applyBorder="1" applyAlignment="1">
      <alignment horizontal="left" vertical="top" wrapText="1"/>
    </xf>
    <xf numFmtId="0" fontId="77" fillId="0" borderId="3" xfId="11" applyFont="1" applyBorder="1" applyAlignment="1">
      <alignment horizontal="left" vertical="top" wrapText="1"/>
    </xf>
    <xf numFmtId="0" fontId="77" fillId="0" borderId="4" xfId="11" applyFont="1" applyBorder="1" applyAlignment="1">
      <alignment horizontal="left" vertical="center" wrapText="1"/>
    </xf>
    <xf numFmtId="0" fontId="77" fillId="0" borderId="3" xfId="11" applyFont="1" applyBorder="1" applyAlignment="1">
      <alignment horizontal="left" vertical="center" wrapText="1"/>
    </xf>
    <xf numFmtId="0" fontId="77" fillId="4" borderId="4" xfId="11" applyFont="1" applyFill="1" applyBorder="1" applyAlignment="1">
      <alignment vertical="center" wrapText="1"/>
    </xf>
    <xf numFmtId="0" fontId="77" fillId="4" borderId="3" xfId="11" applyFont="1" applyFill="1" applyBorder="1" applyAlignment="1">
      <alignment vertical="center" wrapText="1"/>
    </xf>
    <xf numFmtId="0" fontId="24" fillId="0" borderId="23" xfId="11" applyBorder="1" applyAlignment="1">
      <alignment horizontal="center" vertical="center" wrapText="1" shrinkToFit="1"/>
    </xf>
    <xf numFmtId="0" fontId="24" fillId="0" borderId="29" xfId="11" applyBorder="1" applyAlignment="1">
      <alignment horizontal="center" vertical="center" wrapText="1" shrinkToFit="1"/>
    </xf>
    <xf numFmtId="0" fontId="24" fillId="0" borderId="30" xfId="11" applyBorder="1" applyAlignment="1">
      <alignment horizontal="center" vertical="center" wrapText="1" shrinkToFit="1"/>
    </xf>
    <xf numFmtId="0" fontId="37" fillId="0" borderId="68" xfId="11" applyFont="1" applyBorder="1" applyAlignment="1">
      <alignment horizontal="left" vertical="center" wrapText="1"/>
    </xf>
    <xf numFmtId="0" fontId="37" fillId="0" borderId="61" xfId="11" applyFont="1" applyBorder="1" applyAlignment="1">
      <alignment horizontal="left" vertical="center" wrapText="1"/>
    </xf>
    <xf numFmtId="0" fontId="77" fillId="4" borderId="4" xfId="11" applyFont="1" applyFill="1" applyBorder="1" applyAlignment="1">
      <alignment horizontal="left" vertical="center" wrapText="1"/>
    </xf>
    <xf numFmtId="0" fontId="77" fillId="4" borderId="3" xfId="11" applyFont="1" applyFill="1" applyBorder="1" applyAlignment="1">
      <alignment horizontal="left" vertical="center" wrapText="1"/>
    </xf>
    <xf numFmtId="0" fontId="77" fillId="0" borderId="4" xfId="11" applyFont="1" applyBorder="1" applyAlignment="1">
      <alignment horizontal="left" vertical="center" wrapText="1" shrinkToFit="1"/>
    </xf>
    <xf numFmtId="0" fontId="77" fillId="0" borderId="3" xfId="11" applyFont="1" applyBorder="1" applyAlignment="1">
      <alignment horizontal="left" vertical="center" wrapText="1" shrinkToFit="1"/>
    </xf>
    <xf numFmtId="0" fontId="7" fillId="2" borderId="35" xfId="11" applyFont="1" applyFill="1" applyBorder="1" applyAlignment="1">
      <alignment horizontal="center" vertical="center" shrinkToFit="1"/>
    </xf>
    <xf numFmtId="0" fontId="7" fillId="2" borderId="26" xfId="11" applyFont="1" applyFill="1" applyBorder="1" applyAlignment="1">
      <alignment horizontal="center" vertical="center" shrinkToFit="1"/>
    </xf>
    <xf numFmtId="0" fontId="7" fillId="2" borderId="36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51" fillId="0" borderId="26" xfId="11" applyFont="1" applyBorder="1" applyAlignment="1">
      <alignment horizontal="left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64" fillId="0" borderId="4" xfId="11" applyFont="1" applyBorder="1" applyAlignment="1">
      <alignment horizontal="left" vertical="center" wrapText="1"/>
    </xf>
    <xf numFmtId="0" fontId="64" fillId="0" borderId="62" xfId="11" applyFont="1" applyBorder="1" applyAlignment="1">
      <alignment horizontal="left" vertical="center" wrapText="1"/>
    </xf>
    <xf numFmtId="0" fontId="28" fillId="2" borderId="46" xfId="11" applyFont="1" applyFill="1" applyBorder="1" applyAlignment="1">
      <alignment horizontal="center" shrinkToFit="1"/>
    </xf>
    <xf numFmtId="0" fontId="28" fillId="2" borderId="47" xfId="11" applyFont="1" applyFill="1" applyBorder="1" applyAlignment="1">
      <alignment horizontal="center" shrinkToFit="1"/>
    </xf>
    <xf numFmtId="0" fontId="28" fillId="2" borderId="63" xfId="11" applyFont="1" applyFill="1" applyBorder="1" applyAlignment="1">
      <alignment horizontal="center" shrinkToFit="1"/>
    </xf>
    <xf numFmtId="0" fontId="64" fillId="2" borderId="57" xfId="11" applyFont="1" applyFill="1" applyBorder="1" applyAlignment="1">
      <alignment horizontal="center" vertical="center" shrinkToFit="1"/>
    </xf>
    <xf numFmtId="0" fontId="64" fillId="2" borderId="61" xfId="11" applyFont="1" applyFill="1" applyBorder="1" applyAlignment="1">
      <alignment horizontal="center" vertical="center" shrinkToFit="1"/>
    </xf>
    <xf numFmtId="0" fontId="64" fillId="2" borderId="57" xfId="11" applyFont="1" applyFill="1" applyBorder="1" applyAlignment="1">
      <alignment horizontal="left" vertical="center" shrinkToFit="1"/>
    </xf>
    <xf numFmtId="0" fontId="64" fillId="2" borderId="61" xfId="11" applyFont="1" applyFill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shrinkToFit="1"/>
    </xf>
    <xf numFmtId="0" fontId="64" fillId="0" borderId="62" xfId="11" applyFont="1" applyBorder="1" applyAlignment="1">
      <alignment horizontal="left" vertical="center" shrinkToFit="1"/>
    </xf>
    <xf numFmtId="0" fontId="64" fillId="2" borderId="52" xfId="11" applyFont="1" applyFill="1" applyBorder="1" applyAlignment="1">
      <alignment horizontal="center" vertical="center" shrinkToFit="1"/>
    </xf>
    <xf numFmtId="0" fontId="64" fillId="2" borderId="26" xfId="11" applyFont="1" applyFill="1" applyBorder="1" applyAlignment="1">
      <alignment horizontal="center" vertical="center" shrinkToFit="1"/>
    </xf>
    <xf numFmtId="0" fontId="64" fillId="2" borderId="36" xfId="11" applyFont="1" applyFill="1" applyBorder="1" applyAlignment="1">
      <alignment horizontal="center" vertical="center" shrinkToFit="1"/>
    </xf>
    <xf numFmtId="0" fontId="64" fillId="0" borderId="68" xfId="11" applyFont="1" applyBorder="1" applyAlignment="1">
      <alignment horizontal="left" vertical="center" wrapText="1"/>
    </xf>
    <xf numFmtId="0" fontId="64" fillId="0" borderId="61" xfId="11" applyFont="1" applyBorder="1" applyAlignment="1">
      <alignment horizontal="left" vertical="center" wrapText="1"/>
    </xf>
    <xf numFmtId="0" fontId="64" fillId="2" borderId="52" xfId="11" applyFont="1" applyFill="1" applyBorder="1" applyAlignment="1">
      <alignment horizontal="left" vertical="center" shrinkToFit="1"/>
    </xf>
    <xf numFmtId="0" fontId="64" fillId="2" borderId="26" xfId="11" applyFont="1" applyFill="1" applyBorder="1" applyAlignment="1">
      <alignment horizontal="left" vertical="center" shrinkToFit="1"/>
    </xf>
    <xf numFmtId="0" fontId="64" fillId="2" borderId="53" xfId="11" applyFont="1" applyFill="1" applyBorder="1" applyAlignment="1">
      <alignment horizontal="left" vertical="center" shrinkToFit="1"/>
    </xf>
    <xf numFmtId="0" fontId="57" fillId="0" borderId="22" xfId="11" applyFont="1" applyBorder="1" applyAlignment="1">
      <alignment horizontal="center" vertical="center" shrinkToFit="1"/>
    </xf>
    <xf numFmtId="0" fontId="77" fillId="0" borderId="4" xfId="11" applyFont="1" applyBorder="1" applyAlignment="1">
      <alignment vertical="top" wrapText="1" shrinkToFit="1"/>
    </xf>
    <xf numFmtId="0" fontId="77" fillId="0" borderId="3" xfId="11" applyFont="1" applyBorder="1" applyAlignment="1">
      <alignment vertical="top" wrapText="1" shrinkToFit="1"/>
    </xf>
    <xf numFmtId="0" fontId="85" fillId="0" borderId="4" xfId="11" applyFont="1" applyBorder="1" applyAlignment="1">
      <alignment vertical="center" wrapText="1"/>
    </xf>
    <xf numFmtId="0" fontId="85" fillId="0" borderId="3" xfId="11" applyFont="1" applyBorder="1" applyAlignment="1">
      <alignment vertical="center" wrapText="1"/>
    </xf>
    <xf numFmtId="0" fontId="7" fillId="2" borderId="9" xfId="11" applyFont="1" applyFill="1" applyBorder="1" applyAlignment="1">
      <alignment horizontal="center" vertical="center" shrinkToFit="1"/>
    </xf>
    <xf numFmtId="0" fontId="7" fillId="2" borderId="10" xfId="11" applyFont="1" applyFill="1" applyBorder="1" applyAlignment="1">
      <alignment horizontal="center" vertical="center" shrinkToFit="1"/>
    </xf>
    <xf numFmtId="0" fontId="7" fillId="2" borderId="8" xfId="11" applyFont="1" applyFill="1" applyBorder="1" applyAlignment="1">
      <alignment horizontal="center" vertical="center" shrinkToFit="1"/>
    </xf>
    <xf numFmtId="0" fontId="11" fillId="2" borderId="9" xfId="11" applyFont="1" applyFill="1" applyBorder="1" applyAlignment="1">
      <alignment horizontal="center" vertical="center" shrinkToFit="1"/>
    </xf>
    <xf numFmtId="0" fontId="11" fillId="2" borderId="10" xfId="11" applyFont="1" applyFill="1" applyBorder="1" applyAlignment="1">
      <alignment horizontal="center" vertic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91" fillId="0" borderId="26" xfId="11" applyFont="1" applyBorder="1" applyAlignment="1">
      <alignment horizontal="center" shrinkToFit="1"/>
    </xf>
    <xf numFmtId="0" fontId="26" fillId="0" borderId="26" xfId="11" applyFont="1" applyBorder="1" applyAlignment="1">
      <alignment horizontal="center" shrinkToFit="1"/>
    </xf>
    <xf numFmtId="0" fontId="28" fillId="0" borderId="22" xfId="11" applyFont="1" applyBorder="1" applyAlignment="1">
      <alignment horizontal="center" vertical="center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55" fillId="0" borderId="27" xfId="11" applyFont="1" applyBorder="1" applyAlignment="1">
      <alignment horizontal="center" vertical="center" shrinkToFit="1"/>
    </xf>
    <xf numFmtId="0" fontId="55" fillId="0" borderId="25" xfId="11" applyFont="1" applyBorder="1" applyAlignment="1">
      <alignment horizontal="center" vertic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/>
    </xf>
    <xf numFmtId="0" fontId="28" fillId="0" borderId="29" xfId="11" applyFont="1" applyBorder="1" applyAlignment="1">
      <alignment horizontal="center" vertical="center"/>
    </xf>
    <xf numFmtId="0" fontId="28" fillId="0" borderId="30" xfId="11" applyFont="1" applyBorder="1" applyAlignment="1">
      <alignment horizontal="center" vertical="center"/>
    </xf>
    <xf numFmtId="0" fontId="28" fillId="0" borderId="31" xfId="11" applyFont="1" applyBorder="1" applyAlignment="1">
      <alignment horizontal="center" vertical="center" shrinkToFit="1"/>
    </xf>
    <xf numFmtId="0" fontId="28" fillId="0" borderId="32" xfId="11" applyFont="1" applyBorder="1" applyAlignment="1">
      <alignment horizontal="center" vertical="center" shrinkToFit="1"/>
    </xf>
    <xf numFmtId="0" fontId="28" fillId="0" borderId="35" xfId="11" applyFont="1" applyBorder="1" applyAlignment="1">
      <alignment horizontal="center" vertical="center" shrinkToFit="1"/>
    </xf>
    <xf numFmtId="0" fontId="28" fillId="0" borderId="36" xfId="11" applyFont="1" applyBorder="1" applyAlignment="1">
      <alignment horizontal="center" vertical="center" shrinkToFit="1"/>
    </xf>
    <xf numFmtId="0" fontId="44" fillId="0" borderId="23" xfId="11" applyFont="1" applyBorder="1" applyAlignment="1">
      <alignment horizontal="center" vertical="center"/>
    </xf>
    <xf numFmtId="0" fontId="44" fillId="0" borderId="29" xfId="11" applyFont="1" applyBorder="1" applyAlignment="1">
      <alignment horizontal="center" vertical="center"/>
    </xf>
    <xf numFmtId="0" fontId="44" fillId="0" borderId="30" xfId="11" applyFont="1" applyBorder="1" applyAlignment="1">
      <alignment horizontal="center" vertical="center"/>
    </xf>
    <xf numFmtId="0" fontId="44" fillId="0" borderId="81" xfId="11" applyFont="1" applyBorder="1" applyAlignment="1">
      <alignment horizontal="center" vertical="center"/>
    </xf>
    <xf numFmtId="0" fontId="28" fillId="2" borderId="61" xfId="11" applyFont="1" applyFill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37" fillId="0" borderId="4" xfId="11" applyFont="1" applyBorder="1" applyAlignment="1">
      <alignment horizontal="left" vertical="center" wrapText="1"/>
    </xf>
    <xf numFmtId="0" fontId="37" fillId="0" borderId="62" xfId="11" applyFont="1" applyBorder="1" applyAlignment="1">
      <alignment horizontal="left" vertical="center" wrapText="1"/>
    </xf>
    <xf numFmtId="0" fontId="28" fillId="2" borderId="70" xfId="11" applyFont="1" applyFill="1" applyBorder="1" applyAlignment="1">
      <alignment horizontal="center" vertical="center" shrinkToFit="1"/>
    </xf>
    <xf numFmtId="0" fontId="28" fillId="2" borderId="68" xfId="11" applyFont="1" applyFill="1" applyBorder="1" applyAlignment="1">
      <alignment horizontal="center" vertical="center" shrinkToFit="1"/>
    </xf>
    <xf numFmtId="0" fontId="43" fillId="2" borderId="27" xfId="11" applyFont="1" applyFill="1" applyBorder="1" applyAlignment="1">
      <alignment horizontal="center" vertical="center" shrinkToFit="1"/>
    </xf>
    <xf numFmtId="0" fontId="43" fillId="2" borderId="25" xfId="11" applyFont="1" applyFill="1" applyBorder="1" applyAlignment="1">
      <alignment horizontal="center" vertical="center" shrinkToFit="1"/>
    </xf>
    <xf numFmtId="0" fontId="37" fillId="0" borderId="71" xfId="11" applyFont="1" applyBorder="1" applyAlignment="1">
      <alignment horizontal="left" vertical="center" wrapText="1"/>
    </xf>
    <xf numFmtId="0" fontId="64" fillId="0" borderId="71" xfId="11" applyFont="1" applyBorder="1" applyAlignment="1">
      <alignment horizontal="left" vertical="center" wrapText="1"/>
    </xf>
    <xf numFmtId="0" fontId="57" fillId="0" borderId="27" xfId="11" applyFont="1" applyBorder="1" applyAlignment="1">
      <alignment horizontal="center" vertical="center" shrinkToFit="1"/>
    </xf>
    <xf numFmtId="0" fontId="57" fillId="0" borderId="25" xfId="11" applyFont="1" applyBorder="1" applyAlignment="1">
      <alignment horizontal="center" vertical="center" shrinkToFit="1"/>
    </xf>
    <xf numFmtId="0" fontId="51" fillId="0" borderId="37" xfId="11" applyFont="1" applyBorder="1" applyAlignment="1">
      <alignment horizontal="left" vertical="center" shrinkToFit="1"/>
    </xf>
    <xf numFmtId="0" fontId="28" fillId="2" borderId="31" xfId="11" applyFont="1" applyFill="1" applyBorder="1" applyAlignment="1">
      <alignment horizontal="center" vertical="center" shrinkToFit="1"/>
    </xf>
    <xf numFmtId="0" fontId="28" fillId="2" borderId="37" xfId="11" applyFont="1" applyFill="1" applyBorder="1" applyAlignment="1">
      <alignment horizontal="center" vertical="center" shrinkToFit="1"/>
    </xf>
    <xf numFmtId="0" fontId="28" fillId="2" borderId="32" xfId="11" applyFont="1" applyFill="1" applyBorder="1" applyAlignment="1">
      <alignment horizontal="center" vertical="center" shrinkToFit="1"/>
    </xf>
    <xf numFmtId="0" fontId="88" fillId="0" borderId="4" xfId="11" applyFont="1" applyBorder="1" applyAlignment="1">
      <alignment horizontal="left" vertical="center" wrapText="1"/>
    </xf>
    <xf numFmtId="0" fontId="7" fillId="0" borderId="3" xfId="11" applyFont="1" applyBorder="1" applyAlignment="1">
      <alignment horizontal="left" vertical="center" wrapText="1"/>
    </xf>
    <xf numFmtId="0" fontId="51" fillId="0" borderId="31" xfId="11" applyFont="1" applyBorder="1" applyAlignment="1">
      <alignment horizontal="left" vertical="center" shrinkToFit="1"/>
    </xf>
    <xf numFmtId="0" fontId="51" fillId="0" borderId="35" xfId="11" applyFont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wrapText="1" shrinkToFit="1"/>
    </xf>
    <xf numFmtId="0" fontId="64" fillId="0" borderId="3" xfId="11" applyFont="1" applyBorder="1" applyAlignment="1">
      <alignment horizontal="left" vertical="center" wrapText="1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28" fillId="9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195" fontId="124" fillId="10" borderId="22" xfId="15" applyNumberFormat="1" applyFont="1" applyFill="1" applyBorder="1" applyAlignment="1">
      <alignment horizontal="center" vertical="center"/>
    </xf>
    <xf numFmtId="195" fontId="124" fillId="5" borderId="22" xfId="15" applyNumberFormat="1" applyFont="1" applyFill="1" applyBorder="1" applyAlignment="1">
      <alignment horizontal="center" vertical="center"/>
    </xf>
    <xf numFmtId="0" fontId="111" fillId="11" borderId="22" xfId="15" applyFont="1" applyFill="1" applyBorder="1" applyAlignment="1">
      <alignment horizontal="center" vertical="center"/>
    </xf>
    <xf numFmtId="0" fontId="112" fillId="11" borderId="22" xfId="15" applyFont="1" applyFill="1" applyBorder="1" applyAlignment="1">
      <alignment horizontal="center" vertical="center"/>
    </xf>
    <xf numFmtId="0" fontId="31" fillId="0" borderId="31" xfId="11" applyFont="1" applyBorder="1" applyAlignment="1">
      <alignment horizontal="center" vertical="center"/>
    </xf>
    <xf numFmtId="0" fontId="31" fillId="0" borderId="32" xfId="11" applyFont="1" applyBorder="1" applyAlignment="1">
      <alignment horizontal="center" vertical="center"/>
    </xf>
    <xf numFmtId="0" fontId="31" fillId="0" borderId="33" xfId="11" applyFont="1" applyBorder="1" applyAlignment="1">
      <alignment horizontal="center" vertical="center"/>
    </xf>
    <xf numFmtId="0" fontId="31" fillId="0" borderId="34" xfId="11" applyFont="1" applyBorder="1" applyAlignment="1">
      <alignment horizontal="center" vertical="center"/>
    </xf>
    <xf numFmtId="0" fontId="31" fillId="0" borderId="35" xfId="11" applyFont="1" applyBorder="1" applyAlignment="1">
      <alignment horizontal="center" vertical="center"/>
    </xf>
    <xf numFmtId="0" fontId="31" fillId="0" borderId="36" xfId="11" applyFont="1" applyBorder="1" applyAlignment="1">
      <alignment horizontal="center" vertical="center"/>
    </xf>
    <xf numFmtId="0" fontId="36" fillId="5" borderId="31" xfId="5" applyFont="1" applyFill="1" applyBorder="1" applyAlignment="1">
      <alignment horizontal="center" vertical="center"/>
    </xf>
    <xf numFmtId="0" fontId="36" fillId="5" borderId="37" xfId="5" applyFont="1" applyFill="1" applyBorder="1" applyAlignment="1">
      <alignment horizontal="center" vertical="center"/>
    </xf>
    <xf numFmtId="0" fontId="36" fillId="5" borderId="32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0" xfId="5" applyFont="1" applyFill="1" applyAlignment="1">
      <alignment horizontal="center" vertical="center"/>
    </xf>
    <xf numFmtId="0" fontId="36" fillId="5" borderId="34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6" xfId="5" applyFont="1" applyFill="1" applyBorder="1" applyAlignment="1">
      <alignment horizontal="center" vertical="center"/>
    </xf>
    <xf numFmtId="0" fontId="36" fillId="5" borderId="36" xfId="5" applyFont="1" applyFill="1" applyBorder="1" applyAlignment="1">
      <alignment horizontal="center" vertical="center"/>
    </xf>
    <xf numFmtId="0" fontId="94" fillId="5" borderId="31" xfId="11" applyFont="1" applyFill="1" applyBorder="1" applyAlignment="1">
      <alignment horizontal="center" vertical="center"/>
    </xf>
    <xf numFmtId="0" fontId="31" fillId="5" borderId="32" xfId="11" applyFont="1" applyFill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6" fillId="5" borderId="22" xfId="5" applyFont="1" applyFill="1" applyBorder="1" applyAlignment="1">
      <alignment horizontal="center" vertical="center"/>
    </xf>
    <xf numFmtId="0" fontId="36" fillId="5" borderId="27" xfId="5" applyFont="1" applyFill="1" applyBorder="1" applyAlignment="1">
      <alignment horizontal="center" vertical="center"/>
    </xf>
    <xf numFmtId="0" fontId="36" fillId="5" borderId="28" xfId="5" applyFont="1" applyFill="1" applyBorder="1" applyAlignment="1">
      <alignment horizontal="center" vertical="center"/>
    </xf>
    <xf numFmtId="0" fontId="36" fillId="5" borderId="25" xfId="5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/>
    </xf>
    <xf numFmtId="0" fontId="38" fillId="5" borderId="27" xfId="22" applyFont="1" applyFill="1" applyBorder="1" applyAlignment="1">
      <alignment horizontal="center" vertical="center"/>
    </xf>
    <xf numFmtId="0" fontId="38" fillId="5" borderId="25" xfId="22" applyFont="1" applyFill="1" applyBorder="1" applyAlignment="1">
      <alignment horizontal="center" vertical="center"/>
    </xf>
    <xf numFmtId="0" fontId="36" fillId="5" borderId="23" xfId="22" applyFont="1" applyFill="1" applyBorder="1" applyAlignment="1">
      <alignment horizontal="center" vertical="center" wrapText="1"/>
    </xf>
    <xf numFmtId="0" fontId="36" fillId="5" borderId="30" xfId="22" applyFont="1" applyFill="1" applyBorder="1" applyAlignment="1">
      <alignment horizontal="center" vertical="center" wrapText="1"/>
    </xf>
    <xf numFmtId="0" fontId="38" fillId="5" borderId="27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 wrapText="1"/>
    </xf>
    <xf numFmtId="0" fontId="38" fillId="5" borderId="25" xfId="22" applyFont="1" applyFill="1" applyBorder="1" applyAlignment="1">
      <alignment horizontal="center" vertical="center" wrapText="1"/>
    </xf>
    <xf numFmtId="0" fontId="49" fillId="5" borderId="31" xfId="5" applyFont="1" applyFill="1" applyBorder="1" applyAlignment="1">
      <alignment horizontal="center" vertical="center"/>
    </xf>
    <xf numFmtId="0" fontId="49" fillId="5" borderId="37" xfId="5" applyFont="1" applyFill="1" applyBorder="1" applyAlignment="1">
      <alignment horizontal="center" vertical="center"/>
    </xf>
    <xf numFmtId="0" fontId="49" fillId="5" borderId="32" xfId="5" applyFont="1" applyFill="1" applyBorder="1" applyAlignment="1">
      <alignment horizontal="center" vertical="center"/>
    </xf>
    <xf numFmtId="0" fontId="49" fillId="5" borderId="33" xfId="5" applyFont="1" applyFill="1" applyBorder="1" applyAlignment="1">
      <alignment horizontal="center" vertical="center"/>
    </xf>
    <xf numFmtId="0" fontId="49" fillId="5" borderId="0" xfId="5" applyFont="1" applyFill="1" applyAlignment="1">
      <alignment horizontal="center" vertical="center"/>
    </xf>
    <xf numFmtId="0" fontId="49" fillId="5" borderId="34" xfId="5" applyFont="1" applyFill="1" applyBorder="1" applyAlignment="1">
      <alignment horizontal="center" vertical="center"/>
    </xf>
    <xf numFmtId="0" fontId="49" fillId="5" borderId="35" xfId="5" applyFont="1" applyFill="1" applyBorder="1" applyAlignment="1">
      <alignment horizontal="center" vertical="center"/>
    </xf>
    <xf numFmtId="0" fontId="49" fillId="5" borderId="26" xfId="5" applyFont="1" applyFill="1" applyBorder="1" applyAlignment="1">
      <alignment horizontal="center" vertical="center"/>
    </xf>
    <xf numFmtId="0" fontId="49" fillId="5" borderId="36" xfId="5" applyFont="1" applyFill="1" applyBorder="1" applyAlignment="1">
      <alignment horizontal="center" vertical="center"/>
    </xf>
    <xf numFmtId="0" fontId="40" fillId="0" borderId="26" xfId="11" applyFont="1" applyBorder="1" applyAlignment="1">
      <alignment horizontal="center" vertical="center"/>
    </xf>
    <xf numFmtId="0" fontId="34" fillId="0" borderId="26" xfId="11" applyFont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38" fillId="5" borderId="27" xfId="22" applyFont="1" applyFill="1" applyBorder="1" applyAlignment="1">
      <alignment horizontal="center"/>
    </xf>
    <xf numFmtId="0" fontId="38" fillId="5" borderId="28" xfId="22" applyFont="1" applyFill="1" applyBorder="1" applyAlignment="1">
      <alignment horizontal="center"/>
    </xf>
    <xf numFmtId="0" fontId="38" fillId="5" borderId="25" xfId="22" applyFont="1" applyFill="1" applyBorder="1" applyAlignment="1">
      <alignment horizontal="center"/>
    </xf>
    <xf numFmtId="0" fontId="95" fillId="5" borderId="23" xfId="5" applyFont="1" applyFill="1" applyBorder="1" applyAlignment="1">
      <alignment horizontal="center" vertical="center"/>
    </xf>
    <xf numFmtId="0" fontId="95" fillId="5" borderId="29" xfId="5" applyFont="1" applyFill="1" applyBorder="1" applyAlignment="1">
      <alignment horizontal="center" vertical="center"/>
    </xf>
    <xf numFmtId="0" fontId="95" fillId="5" borderId="30" xfId="5" applyFont="1" applyFill="1" applyBorder="1" applyAlignment="1">
      <alignment horizontal="center" vertical="center"/>
    </xf>
    <xf numFmtId="0" fontId="36" fillId="5" borderId="29" xfId="22" applyFont="1" applyFill="1" applyBorder="1" applyAlignment="1">
      <alignment horizontal="center" vertical="center" wrapText="1"/>
    </xf>
    <xf numFmtId="0" fontId="95" fillId="5" borderId="22" xfId="22" applyFont="1" applyFill="1" applyBorder="1" applyAlignment="1">
      <alignment horizontal="center" vertical="center"/>
    </xf>
    <xf numFmtId="0" fontId="95" fillId="5" borderId="23" xfId="22" applyFont="1" applyFill="1" applyBorder="1" applyAlignment="1">
      <alignment horizontal="center" vertical="center" wrapText="1"/>
    </xf>
    <xf numFmtId="0" fontId="95" fillId="5" borderId="22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/>
    </xf>
    <xf numFmtId="0" fontId="8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9" xfId="0" applyFont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37" fillId="5" borderId="22" xfId="5" applyFont="1" applyFill="1" applyBorder="1" applyAlignment="1">
      <alignment horizontal="center"/>
    </xf>
  </cellXfs>
  <cellStyles count="36">
    <cellStyle name="一般" xfId="0" builtinId="0"/>
    <cellStyle name="一般 2" xfId="1"/>
    <cellStyle name="一般 2 2" xfId="23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2 2 2 2" xfId="22"/>
    <cellStyle name="一般 2 2 30 2 2 30 2 2 2 2 2 2" xfId="35"/>
    <cellStyle name="一般 2 2 30 2 2 30 2 2 2 2 3" xfId="33"/>
    <cellStyle name="一般 2 2 30 2 2 30 2 2 2 3" xfId="31"/>
    <cellStyle name="一般 2 2 30 2 2 30 2 2 3" xfId="28"/>
    <cellStyle name="一般 2 2 30 2 2 30 2 3" xfId="15"/>
    <cellStyle name="一般 2 2 30 2 2 30 2 3 2" xfId="29"/>
    <cellStyle name="一般 2 2 30 2 2 30 2 4" xfId="25"/>
    <cellStyle name="一般 2 2 30 2 3 2" xfId="6"/>
    <cellStyle name="一般 2 2 30 2 3 2 2" xfId="16"/>
    <cellStyle name="一般 2 2 30 2 3 2 2 2" xfId="18"/>
    <cellStyle name="一般 2 2 30 2 3 2 2 2 2" xfId="32"/>
    <cellStyle name="一般 2 2 30 2 3 2 2 3" xfId="30"/>
    <cellStyle name="一般 2 2 30 2 3 2 3" xfId="26"/>
    <cellStyle name="一般 2 2 30 3 30" xfId="7"/>
    <cellStyle name="一般 2 2 30 3 30 2" xfId="27"/>
    <cellStyle name="一般 3" xfId="11"/>
    <cellStyle name="一般 4" xfId="5"/>
    <cellStyle name="千分位 2" xfId="2"/>
    <cellStyle name="千分位 2 2" xfId="24"/>
    <cellStyle name="千分位 3" xfId="21"/>
    <cellStyle name="千分位 3 2" xfId="34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48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(&#9679;)&#22823;&#28330;&#24288;&#29983;&#29986;&#31649;&#29702;&#22577;&#34920;cora(0602-0608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$&#39854;&#39135;&#21322;&#25104;&#21697;&#22577;&#24290;$\2026-06&#23631;&#27054;&#22823;&#28330;&#24288;&#21322;&#25104;&#21697;&#29983;&#29986;&#31649;&#29702;&#26085;&#225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W2"/>
      <sheetName val="W3"/>
      <sheetName val="W4"/>
      <sheetName val="W5"/>
      <sheetName val="W6"/>
      <sheetName val="W7"/>
      <sheetName val="W1"/>
      <sheetName val="（２）ＫＰＩ達成進度"/>
      <sheetName val="貼訂購銷售表"/>
      <sheetName val="產能清單0602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8）品群別人時生產性(季節調理麵) --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別報廢率總表"/>
      <sheetName val="列入前十名共用類半成品超用.報廢商品展開"/>
      <sheetName val="6月份"/>
      <sheetName val="0601-30合計"/>
      <sheetName val="0616分析日報"/>
      <sheetName val="0616合計"/>
      <sheetName val="0615分析日報"/>
      <sheetName val="0615合計"/>
      <sheetName val="0614分析日報"/>
      <sheetName val="0614合計"/>
      <sheetName val="0613分析日報"/>
      <sheetName val="0613合計"/>
      <sheetName val="0612分析日報"/>
      <sheetName val="0612合計"/>
      <sheetName val="0611分析日報"/>
      <sheetName val="0611合計"/>
      <sheetName val="0610分析日報"/>
      <sheetName val="0610合計"/>
      <sheetName val="0609分析日報"/>
      <sheetName val="0609合計"/>
      <sheetName val="0608分析日報"/>
      <sheetName val="0608合計"/>
      <sheetName val="0607分析日報"/>
      <sheetName val="0607合計"/>
      <sheetName val="0606分析日報"/>
      <sheetName val="0606合計"/>
      <sheetName val="0605分析日報"/>
      <sheetName val="0605合計"/>
      <sheetName val="0604分析日報"/>
      <sheetName val="0604合計"/>
      <sheetName val="0603分析日報"/>
      <sheetName val="0603合計"/>
      <sheetName val="0602分析日報"/>
      <sheetName val="0602合計"/>
      <sheetName val="0601分析日報"/>
      <sheetName val="0601合計"/>
      <sheetName val="0531分析日報"/>
      <sheetName val="0531合計"/>
      <sheetName val="0530分析日報"/>
      <sheetName val="0530合計"/>
      <sheetName val="0529分析日報"/>
      <sheetName val="0529合計"/>
      <sheetName val="0528分析日報"/>
      <sheetName val="0528合計"/>
      <sheetName val="0527分析日報"/>
      <sheetName val="0527合計"/>
      <sheetName val="0526分析日報"/>
      <sheetName val="0526合計"/>
      <sheetName val="名詞定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P2">
            <v>14333.522300000008</v>
          </cell>
          <cell r="S2">
            <v>43606.773699999983</v>
          </cell>
        </row>
      </sheetData>
      <sheetData sheetId="22"/>
      <sheetData sheetId="23">
        <row r="2">
          <cell r="P2">
            <v>15371.665400000002</v>
          </cell>
          <cell r="S2">
            <v>46945.681800000035</v>
          </cell>
        </row>
      </sheetData>
      <sheetData sheetId="24"/>
      <sheetData sheetId="25">
        <row r="2">
          <cell r="P2">
            <v>11704.764399999996</v>
          </cell>
          <cell r="S2">
            <v>35738.407400000011</v>
          </cell>
        </row>
      </sheetData>
      <sheetData sheetId="26"/>
      <sheetData sheetId="27">
        <row r="2">
          <cell r="P2">
            <v>10712.628200000005</v>
          </cell>
          <cell r="S2">
            <v>32702.783500000012</v>
          </cell>
        </row>
      </sheetData>
      <sheetData sheetId="28"/>
      <sheetData sheetId="29">
        <row r="2">
          <cell r="P2">
            <v>12907.946200000002</v>
          </cell>
          <cell r="S2">
            <v>39393.344599999989</v>
          </cell>
        </row>
      </sheetData>
      <sheetData sheetId="30"/>
      <sheetData sheetId="31">
        <row r="2">
          <cell r="P2">
            <v>13609.994799999997</v>
          </cell>
          <cell r="S2">
            <v>41687.428800000002</v>
          </cell>
        </row>
      </sheetData>
      <sheetData sheetId="32"/>
      <sheetData sheetId="33">
        <row r="2">
          <cell r="P2">
            <v>14749.336800000003</v>
          </cell>
          <cell r="S2">
            <v>45443.21379999999</v>
          </cell>
        </row>
      </sheetData>
      <sheetData sheetId="34"/>
      <sheetData sheetId="35">
        <row r="2">
          <cell r="P2">
            <v>13966.2772</v>
          </cell>
          <cell r="S2">
            <v>43041.355699999978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"/>
  <dimension ref="B1:P45"/>
  <sheetViews>
    <sheetView workbookViewId="0">
      <selection activeCell="P15" sqref="P15"/>
    </sheetView>
  </sheetViews>
  <sheetFormatPr defaultColWidth="8.7265625" defaultRowHeight="13"/>
  <cols>
    <col min="1" max="1" width="8.7265625" style="402"/>
    <col min="2" max="2" width="27.7265625" style="402" bestFit="1" customWidth="1"/>
    <col min="3" max="3" width="34.7265625" style="402" customWidth="1"/>
    <col min="4" max="15" width="12.7265625" style="402" customWidth="1"/>
    <col min="16" max="16" width="15.7265625" style="402" customWidth="1"/>
    <col min="17" max="16384" width="8.7265625" style="402"/>
  </cols>
  <sheetData>
    <row r="1" spans="2:16" ht="18.5">
      <c r="B1" s="497" t="s">
        <v>197</v>
      </c>
      <c r="C1" s="498"/>
      <c r="D1" s="410" t="s">
        <v>487</v>
      </c>
      <c r="E1" s="410" t="s">
        <v>489</v>
      </c>
      <c r="F1" s="410" t="s">
        <v>490</v>
      </c>
      <c r="G1" s="410" t="s">
        <v>491</v>
      </c>
      <c r="H1" s="410" t="s">
        <v>492</v>
      </c>
      <c r="I1" s="410" t="s">
        <v>493</v>
      </c>
      <c r="J1" s="410" t="s">
        <v>494</v>
      </c>
      <c r="K1" s="410" t="s">
        <v>495</v>
      </c>
      <c r="L1" s="410" t="s">
        <v>496</v>
      </c>
      <c r="M1" s="410" t="s">
        <v>497</v>
      </c>
      <c r="N1" s="410" t="s">
        <v>498</v>
      </c>
      <c r="O1" s="410" t="s">
        <v>499</v>
      </c>
      <c r="P1" s="411" t="s">
        <v>500</v>
      </c>
    </row>
    <row r="2" spans="2:16" ht="15.5">
      <c r="B2" s="494" t="s">
        <v>511</v>
      </c>
      <c r="C2" s="423" t="s">
        <v>501</v>
      </c>
      <c r="D2" s="412">
        <v>146299.93539000006</v>
      </c>
      <c r="E2" s="412">
        <v>116569.43023000001</v>
      </c>
      <c r="F2" s="412">
        <v>148837.99842999995</v>
      </c>
      <c r="G2" s="412">
        <v>160648.31477000003</v>
      </c>
      <c r="H2" s="412">
        <v>181836.62618999998</v>
      </c>
      <c r="I2" s="412"/>
      <c r="J2" s="412"/>
      <c r="K2" s="412"/>
      <c r="L2" s="412"/>
      <c r="M2" s="412"/>
      <c r="N2" s="412"/>
      <c r="O2" s="412"/>
      <c r="P2" s="424">
        <f>SUM(D2:O2)</f>
        <v>754192.30501000001</v>
      </c>
    </row>
    <row r="3" spans="2:16" ht="15.5">
      <c r="B3" s="494"/>
      <c r="C3" s="423" t="s">
        <v>502</v>
      </c>
      <c r="D3" s="412">
        <v>4768701</v>
      </c>
      <c r="E3" s="412">
        <v>3787002</v>
      </c>
      <c r="F3" s="412">
        <v>5045753</v>
      </c>
      <c r="G3" s="412">
        <v>5396292</v>
      </c>
      <c r="H3" s="412">
        <v>6084520</v>
      </c>
      <c r="I3" s="412"/>
      <c r="J3" s="412"/>
      <c r="K3" s="412"/>
      <c r="L3" s="412"/>
      <c r="M3" s="412"/>
      <c r="N3" s="412"/>
      <c r="O3" s="412"/>
      <c r="P3" s="424">
        <f>SUM(D3:O3)</f>
        <v>25082268</v>
      </c>
    </row>
    <row r="4" spans="2:16" ht="15.5">
      <c r="B4" s="494"/>
      <c r="C4" s="423" t="s">
        <v>503</v>
      </c>
      <c r="D4" s="412">
        <v>93253</v>
      </c>
      <c r="E4" s="412">
        <v>74777</v>
      </c>
      <c r="F4" s="412">
        <v>93614</v>
      </c>
      <c r="G4" s="412">
        <v>104435</v>
      </c>
      <c r="H4" s="412">
        <v>116562</v>
      </c>
      <c r="I4" s="412"/>
      <c r="J4" s="412"/>
      <c r="K4" s="412"/>
      <c r="L4" s="412"/>
      <c r="M4" s="412"/>
      <c r="N4" s="412"/>
      <c r="O4" s="412"/>
      <c r="P4" s="424">
        <f>SUM(D4:O4)</f>
        <v>482641</v>
      </c>
    </row>
    <row r="5" spans="2:16" ht="15.5">
      <c r="B5" s="494"/>
      <c r="C5" s="425" t="s">
        <v>512</v>
      </c>
      <c r="D5" s="426">
        <v>0.65500000000000003</v>
      </c>
      <c r="E5" s="426">
        <v>0.65300000000000002</v>
      </c>
      <c r="F5" s="426">
        <v>0.64800000000000002</v>
      </c>
      <c r="G5" s="426">
        <v>0.66300000000000003</v>
      </c>
      <c r="H5" s="426">
        <v>0.67200000000000004</v>
      </c>
      <c r="I5" s="427" t="str">
        <f t="shared" ref="I5:O5" si="0">IFERROR(I4/I2, "")</f>
        <v/>
      </c>
      <c r="J5" s="427" t="str">
        <f t="shared" si="0"/>
        <v/>
      </c>
      <c r="K5" s="427" t="str">
        <f t="shared" si="0"/>
        <v/>
      </c>
      <c r="L5" s="427" t="str">
        <f t="shared" si="0"/>
        <v/>
      </c>
      <c r="M5" s="427" t="str">
        <f t="shared" si="0"/>
        <v/>
      </c>
      <c r="N5" s="427" t="str">
        <f t="shared" si="0"/>
        <v/>
      </c>
      <c r="O5" s="427" t="str">
        <f t="shared" si="0"/>
        <v/>
      </c>
      <c r="P5" s="428">
        <f>AVERAGEIF(D5:O5, "&gt;0")</f>
        <v>0.65820000000000001</v>
      </c>
    </row>
    <row r="6" spans="2:16" ht="15.5">
      <c r="B6" s="494"/>
      <c r="C6" s="423" t="s">
        <v>504</v>
      </c>
      <c r="D6" s="412">
        <v>22378</v>
      </c>
      <c r="E6" s="412">
        <v>22860</v>
      </c>
      <c r="F6" s="412">
        <v>22710</v>
      </c>
      <c r="G6" s="412">
        <v>23226</v>
      </c>
      <c r="H6" s="412">
        <v>24474</v>
      </c>
      <c r="I6" s="412"/>
      <c r="J6" s="412"/>
      <c r="K6" s="412"/>
      <c r="L6" s="412"/>
      <c r="M6" s="412"/>
      <c r="N6" s="412"/>
      <c r="O6" s="412"/>
      <c r="P6" s="424">
        <f t="shared" ref="P6" si="1">SUM(D6:O6)</f>
        <v>115648</v>
      </c>
    </row>
    <row r="7" spans="2:16" ht="15.5">
      <c r="B7" s="494"/>
      <c r="C7" s="425" t="s">
        <v>513</v>
      </c>
      <c r="D7" s="426">
        <v>0.157</v>
      </c>
      <c r="E7" s="426">
        <v>0.2</v>
      </c>
      <c r="F7" s="426">
        <v>0.157</v>
      </c>
      <c r="G7" s="426">
        <v>0.14699999999999999</v>
      </c>
      <c r="H7" s="426">
        <v>0.14099999999999999</v>
      </c>
      <c r="I7" s="427" t="str">
        <f t="shared" ref="I7:O7" si="2">IFERROR(I6/I2, "")</f>
        <v/>
      </c>
      <c r="J7" s="427" t="str">
        <f t="shared" si="2"/>
        <v/>
      </c>
      <c r="K7" s="427" t="str">
        <f t="shared" si="2"/>
        <v/>
      </c>
      <c r="L7" s="427" t="str">
        <f t="shared" si="2"/>
        <v/>
      </c>
      <c r="M7" s="427" t="str">
        <f t="shared" si="2"/>
        <v/>
      </c>
      <c r="N7" s="427" t="str">
        <f t="shared" si="2"/>
        <v/>
      </c>
      <c r="O7" s="427" t="str">
        <f t="shared" si="2"/>
        <v/>
      </c>
      <c r="P7" s="428">
        <f>AVERAGEIF(D7:O7, "&gt;0")</f>
        <v>0.16040000000000001</v>
      </c>
    </row>
    <row r="8" spans="2:16" ht="15.5">
      <c r="B8" s="429"/>
      <c r="C8" s="423"/>
      <c r="D8" s="412"/>
      <c r="E8" s="412"/>
      <c r="F8" s="412"/>
      <c r="G8" s="412"/>
      <c r="H8" s="412"/>
      <c r="I8" s="412"/>
      <c r="J8" s="412"/>
      <c r="K8" s="412"/>
      <c r="L8" s="412"/>
      <c r="M8" s="412"/>
      <c r="N8" s="412"/>
      <c r="O8" s="412"/>
      <c r="P8" s="424"/>
    </row>
    <row r="9" spans="2:16" ht="15.5">
      <c r="B9" s="494" t="s">
        <v>130</v>
      </c>
      <c r="C9" s="423" t="s">
        <v>514</v>
      </c>
      <c r="D9" s="430">
        <v>497.6</v>
      </c>
      <c r="E9" s="430">
        <v>497.6</v>
      </c>
      <c r="F9" s="430">
        <v>497.6</v>
      </c>
      <c r="G9" s="430">
        <v>497.6</v>
      </c>
      <c r="H9" s="413">
        <v>497.6</v>
      </c>
      <c r="I9" s="413"/>
      <c r="J9" s="413"/>
      <c r="K9" s="413"/>
      <c r="L9" s="413"/>
      <c r="M9" s="413"/>
      <c r="N9" s="413"/>
      <c r="O9" s="413"/>
      <c r="P9" s="431">
        <f>AVERAGEIF(D9:O9, "&gt;0")</f>
        <v>497.6</v>
      </c>
    </row>
    <row r="10" spans="2:16" ht="15.5">
      <c r="B10" s="494"/>
      <c r="C10" s="423" t="s">
        <v>505</v>
      </c>
      <c r="D10" s="430">
        <v>458.3841382804668</v>
      </c>
      <c r="E10" s="430">
        <v>476.04171528829499</v>
      </c>
      <c r="F10" s="430">
        <v>409.81563372836604</v>
      </c>
      <c r="G10" s="413">
        <v>402.86432092718081</v>
      </c>
      <c r="H10" s="413">
        <v>419.38045550218868</v>
      </c>
      <c r="I10" s="413"/>
      <c r="J10" s="413"/>
      <c r="K10" s="413"/>
      <c r="L10" s="413"/>
      <c r="M10" s="413"/>
      <c r="N10" s="413"/>
      <c r="O10" s="413"/>
      <c r="P10" s="431">
        <f>AVERAGEIF(D10:O10, "&gt;0")</f>
        <v>433.29725274529949</v>
      </c>
    </row>
    <row r="11" spans="2:16" ht="15.5">
      <c r="B11" s="494"/>
      <c r="C11" s="425" t="s">
        <v>506</v>
      </c>
      <c r="D11" s="427">
        <f t="shared" ref="D11:O11" si="3">IFERROR(D10/D9, "")</f>
        <v>0.92118998850576117</v>
      </c>
      <c r="E11" s="427">
        <f t="shared" si="3"/>
        <v>0.95667547284625198</v>
      </c>
      <c r="F11" s="427">
        <f t="shared" si="3"/>
        <v>0.82358447292678061</v>
      </c>
      <c r="G11" s="427">
        <f t="shared" si="3"/>
        <v>0.80961479286008997</v>
      </c>
      <c r="H11" s="427">
        <v>0.94796667156914272</v>
      </c>
      <c r="I11" s="427" t="str">
        <f t="shared" si="3"/>
        <v/>
      </c>
      <c r="J11" s="427" t="str">
        <f t="shared" si="3"/>
        <v/>
      </c>
      <c r="K11" s="427" t="str">
        <f t="shared" si="3"/>
        <v/>
      </c>
      <c r="L11" s="427" t="str">
        <f t="shared" si="3"/>
        <v/>
      </c>
      <c r="M11" s="427" t="str">
        <f t="shared" si="3"/>
        <v/>
      </c>
      <c r="N11" s="427" t="str">
        <f t="shared" si="3"/>
        <v/>
      </c>
      <c r="O11" s="427" t="str">
        <f t="shared" si="3"/>
        <v/>
      </c>
      <c r="P11" s="432">
        <f>AVERAGEIF(D11:O11, "&gt;0")</f>
        <v>0.8918062797416052</v>
      </c>
    </row>
    <row r="12" spans="2:16" ht="15.5">
      <c r="B12" s="494"/>
      <c r="C12" s="423" t="s">
        <v>507</v>
      </c>
      <c r="D12" s="415">
        <v>2.4135432458014692E-3</v>
      </c>
      <c r="E12" s="414">
        <v>2.3657636051419204E-3</v>
      </c>
      <c r="F12" s="414">
        <v>2.0222247634522129E-3</v>
      </c>
      <c r="G12" s="414">
        <v>2.0113648122943311E-3</v>
      </c>
      <c r="H12" s="414">
        <v>2.0088240498114199E-3</v>
      </c>
      <c r="I12" s="414"/>
      <c r="J12" s="414"/>
      <c r="K12" s="414"/>
      <c r="L12" s="414"/>
      <c r="M12" s="414"/>
      <c r="N12" s="414"/>
      <c r="O12" s="414"/>
      <c r="P12" s="433">
        <f>AVERAGEIF(D12:O12, "&gt;0")</f>
        <v>2.1643440953002706E-3</v>
      </c>
    </row>
    <row r="13" spans="2:16" ht="15.5">
      <c r="B13" s="494"/>
      <c r="C13" s="423" t="s">
        <v>508</v>
      </c>
      <c r="D13" s="415">
        <v>5.599443330875099E-3</v>
      </c>
      <c r="E13" s="415">
        <v>5.2393000579921759E-3</v>
      </c>
      <c r="F13" s="415">
        <v>4.8799137535570384E-3</v>
      </c>
      <c r="G13" s="415">
        <v>4.3085188206646403E-3</v>
      </c>
      <c r="H13" s="415">
        <v>6.1874817008048359E-3</v>
      </c>
      <c r="I13" s="415"/>
      <c r="J13" s="415"/>
      <c r="K13" s="415"/>
      <c r="L13" s="415"/>
      <c r="M13" s="415"/>
      <c r="N13" s="415"/>
      <c r="O13" s="415"/>
      <c r="P13" s="432">
        <f>AVERAGEIF(D13:O13, "&gt;0")</f>
        <v>5.2429315327787579E-3</v>
      </c>
    </row>
    <row r="14" spans="2:16" ht="15.5">
      <c r="B14" s="494"/>
      <c r="C14" s="423" t="s">
        <v>515</v>
      </c>
      <c r="D14" s="415">
        <v>0.89999999999999947</v>
      </c>
      <c r="E14" s="415">
        <v>0.89999999999999958</v>
      </c>
      <c r="F14" s="415">
        <v>0.89999999999999947</v>
      </c>
      <c r="G14" s="415">
        <v>0.89999999999999958</v>
      </c>
      <c r="H14" s="415">
        <v>0.89999999999999947</v>
      </c>
      <c r="I14" s="415"/>
      <c r="J14" s="415"/>
      <c r="K14" s="415"/>
      <c r="L14" s="415"/>
      <c r="M14" s="415"/>
      <c r="N14" s="415"/>
      <c r="O14" s="415"/>
      <c r="P14" s="432">
        <f t="shared" ref="P14" si="4">AVERAGEIF(D14:O14, "&gt;0")</f>
        <v>0.89999999999999947</v>
      </c>
    </row>
    <row r="15" spans="2:16" ht="15.5">
      <c r="B15" s="494"/>
      <c r="C15" s="423" t="s">
        <v>516</v>
      </c>
      <c r="D15" s="415">
        <v>5.7692307692307702E-2</v>
      </c>
      <c r="E15" s="415">
        <v>0.13873626373626369</v>
      </c>
      <c r="F15" s="415">
        <v>0.21960297766749381</v>
      </c>
      <c r="G15" s="415">
        <v>0.30384615384615377</v>
      </c>
      <c r="H15" s="415">
        <v>0.38709677419354849</v>
      </c>
      <c r="I15" s="415"/>
      <c r="J15" s="415"/>
      <c r="K15" s="415"/>
      <c r="L15" s="415"/>
      <c r="M15" s="415"/>
      <c r="N15" s="415"/>
      <c r="O15" s="415"/>
      <c r="P15" s="432">
        <f>MAX(D15:O15)</f>
        <v>0.38709677419354849</v>
      </c>
    </row>
    <row r="16" spans="2:16" ht="15.5">
      <c r="B16" s="429"/>
      <c r="C16" s="423"/>
      <c r="D16" s="415"/>
      <c r="E16" s="415"/>
      <c r="F16" s="415"/>
      <c r="G16" s="415"/>
      <c r="H16" s="415"/>
      <c r="I16" s="415"/>
      <c r="J16" s="415"/>
      <c r="K16" s="415"/>
      <c r="L16" s="415"/>
      <c r="M16" s="415"/>
      <c r="N16" s="415"/>
      <c r="O16" s="415"/>
      <c r="P16" s="432"/>
    </row>
    <row r="17" spans="2:16" ht="15.5">
      <c r="B17" s="495" t="s">
        <v>517</v>
      </c>
      <c r="C17" s="423" t="s">
        <v>518</v>
      </c>
      <c r="D17" s="434">
        <v>0.36139567422949059</v>
      </c>
      <c r="E17" s="434">
        <v>0.34737656751091073</v>
      </c>
      <c r="F17" s="434">
        <v>0.36414345188530645</v>
      </c>
      <c r="G17" s="434">
        <v>0.38079955956950995</v>
      </c>
      <c r="H17" s="434">
        <v>0.36318310058720077</v>
      </c>
      <c r="I17" s="434"/>
      <c r="J17" s="434"/>
      <c r="K17" s="434"/>
      <c r="L17" s="434"/>
      <c r="M17" s="434"/>
      <c r="N17" s="434"/>
      <c r="O17" s="434"/>
      <c r="P17" s="432">
        <f>AVERAGEIF(D17:O17, "&gt;0")</f>
        <v>0.3633796707564837</v>
      </c>
    </row>
    <row r="18" spans="2:16" ht="15.5">
      <c r="B18" s="499"/>
      <c r="C18" s="423" t="s">
        <v>222</v>
      </c>
      <c r="D18" s="434">
        <v>6.9633574224369291E-2</v>
      </c>
      <c r="E18" s="434">
        <v>7.7793665132509071E-2</v>
      </c>
      <c r="F18" s="434">
        <v>8.4480826486750038E-2</v>
      </c>
      <c r="G18" s="434">
        <v>6.0267903798814304E-2</v>
      </c>
      <c r="H18" s="434">
        <v>4.1707027010475142E-2</v>
      </c>
      <c r="I18" s="434"/>
      <c r="J18" s="434"/>
      <c r="K18" s="434"/>
      <c r="L18" s="434"/>
      <c r="M18" s="434"/>
      <c r="N18" s="434"/>
      <c r="O18" s="434"/>
      <c r="P18" s="432">
        <f t="shared" ref="P18:P45" si="5">AVERAGEIF(D18:O18, "&gt;0")</f>
        <v>6.6776599330583566E-2</v>
      </c>
    </row>
    <row r="19" spans="2:16" ht="15.5">
      <c r="B19" s="499"/>
      <c r="C19" s="423" t="s">
        <v>235</v>
      </c>
      <c r="D19" s="434">
        <v>2.2453221877666876E-2</v>
      </c>
      <c r="E19" s="434">
        <v>2.1676449691951108E-2</v>
      </c>
      <c r="F19" s="434">
        <v>2.4365160296787799E-2</v>
      </c>
      <c r="G19" s="434">
        <v>1.8891117808144807E-2</v>
      </c>
      <c r="H19" s="434">
        <v>1.3969000103124941E-2</v>
      </c>
      <c r="I19" s="434"/>
      <c r="J19" s="434"/>
      <c r="K19" s="434"/>
      <c r="L19" s="434"/>
      <c r="M19" s="434"/>
      <c r="N19" s="434"/>
      <c r="O19" s="434"/>
      <c r="P19" s="432">
        <f t="shared" si="5"/>
        <v>2.0270989955535106E-2</v>
      </c>
    </row>
    <row r="20" spans="2:16" ht="15.5">
      <c r="B20" s="499"/>
      <c r="C20" s="423" t="s">
        <v>220</v>
      </c>
      <c r="D20" s="434">
        <v>8.5850389930237133E-3</v>
      </c>
      <c r="E20" s="434">
        <v>9.9523222144173289E-3</v>
      </c>
      <c r="F20" s="434">
        <v>1.4684918119400437E-2</v>
      </c>
      <c r="G20" s="434">
        <v>2.8316295795027466E-2</v>
      </c>
      <c r="H20" s="434">
        <v>3.4128077824737396E-2</v>
      </c>
      <c r="I20" s="434"/>
      <c r="J20" s="434"/>
      <c r="K20" s="434"/>
      <c r="L20" s="434"/>
      <c r="M20" s="434"/>
      <c r="N20" s="434"/>
      <c r="O20" s="434"/>
      <c r="P20" s="432">
        <f t="shared" si="5"/>
        <v>1.9133330589321269E-2</v>
      </c>
    </row>
    <row r="21" spans="2:16" ht="15.5">
      <c r="B21" s="499"/>
      <c r="C21" s="423" t="s">
        <v>224</v>
      </c>
      <c r="D21" s="434">
        <v>0.16215294044225204</v>
      </c>
      <c r="E21" s="434">
        <v>0.18214707911075978</v>
      </c>
      <c r="F21" s="434">
        <v>0.20289323995580696</v>
      </c>
      <c r="G21" s="434">
        <v>0.15628267987712793</v>
      </c>
      <c r="H21" s="434">
        <v>0.13415543936957161</v>
      </c>
      <c r="I21" s="434"/>
      <c r="J21" s="434"/>
      <c r="K21" s="434"/>
      <c r="L21" s="434"/>
      <c r="M21" s="434"/>
      <c r="N21" s="434"/>
      <c r="O21" s="434"/>
      <c r="P21" s="432">
        <f t="shared" si="5"/>
        <v>0.16752627575110368</v>
      </c>
    </row>
    <row r="22" spans="2:16" ht="15.5">
      <c r="B22" s="499"/>
      <c r="C22" s="423" t="s">
        <v>226</v>
      </c>
      <c r="D22" s="434">
        <v>0.27057088032525339</v>
      </c>
      <c r="E22" s="434">
        <v>0.27529225824200032</v>
      </c>
      <c r="F22" s="434">
        <v>0.29293399487971084</v>
      </c>
      <c r="G22" s="434">
        <v>0.27842233710348685</v>
      </c>
      <c r="H22" s="434">
        <v>0.26474822074458115</v>
      </c>
      <c r="I22" s="434"/>
      <c r="J22" s="434"/>
      <c r="K22" s="434"/>
      <c r="L22" s="434"/>
      <c r="M22" s="434"/>
      <c r="N22" s="434"/>
      <c r="O22" s="434"/>
      <c r="P22" s="432">
        <f t="shared" si="5"/>
        <v>0.27639353825900653</v>
      </c>
    </row>
    <row r="23" spans="2:16" ht="15.5">
      <c r="B23" s="499"/>
      <c r="C23" s="423" t="s">
        <v>236</v>
      </c>
      <c r="D23" s="434">
        <v>2.9234371078829206E-2</v>
      </c>
      <c r="E23" s="434">
        <v>8.9796818765835347E-3</v>
      </c>
      <c r="F23" s="434">
        <v>0</v>
      </c>
      <c r="G23" s="434">
        <v>0</v>
      </c>
      <c r="H23" s="434">
        <v>0</v>
      </c>
      <c r="I23" s="434"/>
      <c r="J23" s="434"/>
      <c r="K23" s="434"/>
      <c r="L23" s="434"/>
      <c r="M23" s="434"/>
      <c r="N23" s="434"/>
      <c r="O23" s="434"/>
      <c r="P23" s="432">
        <f t="shared" si="5"/>
        <v>1.910702647770637E-2</v>
      </c>
    </row>
    <row r="24" spans="2:16" ht="15.5">
      <c r="B24" s="499"/>
      <c r="C24" s="423" t="s">
        <v>237</v>
      </c>
      <c r="D24" s="434">
        <v>4.0564165966170615E-2</v>
      </c>
      <c r="E24" s="434">
        <v>4.0109498783470192E-2</v>
      </c>
      <c r="F24" s="434">
        <v>1.6541184549440737E-3</v>
      </c>
      <c r="G24" s="434">
        <v>6.4343547299571813E-2</v>
      </c>
      <c r="H24" s="434">
        <v>0.13502459319909141</v>
      </c>
      <c r="I24" s="434"/>
      <c r="J24" s="434"/>
      <c r="K24" s="434"/>
      <c r="L24" s="434"/>
      <c r="M24" s="434"/>
      <c r="N24" s="434"/>
      <c r="O24" s="434"/>
      <c r="P24" s="432">
        <f t="shared" si="5"/>
        <v>5.6339184740649625E-2</v>
      </c>
    </row>
    <row r="25" spans="2:16" ht="15.5">
      <c r="B25" s="500"/>
      <c r="C25" s="423" t="s">
        <v>232</v>
      </c>
      <c r="D25" s="434">
        <v>3.5410132862943831E-2</v>
      </c>
      <c r="E25" s="434">
        <v>3.6672477437397863E-2</v>
      </c>
      <c r="F25" s="434">
        <v>1.4844289921293864E-2</v>
      </c>
      <c r="G25" s="434">
        <v>1.2676558748316833E-2</v>
      </c>
      <c r="H25" s="434">
        <v>1.308454116121764E-2</v>
      </c>
      <c r="I25" s="434"/>
      <c r="J25" s="434"/>
      <c r="K25" s="434"/>
      <c r="L25" s="434"/>
      <c r="M25" s="434"/>
      <c r="N25" s="434"/>
      <c r="O25" s="434"/>
      <c r="P25" s="432">
        <f t="shared" si="5"/>
        <v>2.2537600026234002E-2</v>
      </c>
    </row>
    <row r="26" spans="2:16" ht="15.5">
      <c r="B26" s="429"/>
      <c r="C26" s="423"/>
      <c r="D26" s="415"/>
      <c r="E26" s="415"/>
      <c r="F26" s="415"/>
      <c r="G26" s="415"/>
      <c r="H26" s="415"/>
      <c r="I26" s="415"/>
      <c r="J26" s="415"/>
      <c r="K26" s="415"/>
      <c r="L26" s="415"/>
      <c r="M26" s="415"/>
      <c r="N26" s="415"/>
      <c r="O26" s="415"/>
      <c r="P26" s="432"/>
    </row>
    <row r="27" spans="2:16" ht="15.5">
      <c r="B27" s="495" t="s">
        <v>519</v>
      </c>
      <c r="C27" s="423" t="s">
        <v>518</v>
      </c>
      <c r="D27" s="434">
        <v>0.58577126139802016</v>
      </c>
      <c r="E27" s="434">
        <v>0.57025346170928881</v>
      </c>
      <c r="F27" s="434">
        <v>0.57640851623137324</v>
      </c>
      <c r="G27" s="434">
        <v>0.58366911946203059</v>
      </c>
      <c r="H27" s="434">
        <v>0.56064800510147061</v>
      </c>
      <c r="I27" s="434"/>
      <c r="J27" s="434"/>
      <c r="K27" s="434"/>
      <c r="L27" s="434"/>
      <c r="M27" s="434"/>
      <c r="N27" s="434"/>
      <c r="O27" s="434"/>
      <c r="P27" s="432">
        <f>AVERAGEIF(D27:O27, "&gt;0")</f>
        <v>0.57535007278043671</v>
      </c>
    </row>
    <row r="28" spans="2:16" ht="15.5">
      <c r="B28" s="499"/>
      <c r="C28" s="423" t="s">
        <v>222</v>
      </c>
      <c r="D28" s="434">
        <v>8.1693945583923164E-2</v>
      </c>
      <c r="E28" s="434">
        <v>9.1615478418020382E-2</v>
      </c>
      <c r="F28" s="434">
        <v>0.10179987010858439</v>
      </c>
      <c r="G28" s="434">
        <v>6.8907686982098079E-2</v>
      </c>
      <c r="H28" s="434">
        <v>4.4634580870799995E-2</v>
      </c>
      <c r="I28" s="434"/>
      <c r="J28" s="434"/>
      <c r="K28" s="434"/>
      <c r="L28" s="434"/>
      <c r="M28" s="434"/>
      <c r="N28" s="434"/>
      <c r="O28" s="434"/>
      <c r="P28" s="432">
        <f t="shared" si="5"/>
        <v>7.77303123926852E-2</v>
      </c>
    </row>
    <row r="29" spans="2:16" ht="15.5">
      <c r="B29" s="499"/>
      <c r="C29" s="423" t="s">
        <v>235</v>
      </c>
      <c r="D29" s="434">
        <v>2.4966128092325353E-2</v>
      </c>
      <c r="E29" s="434">
        <v>2.3825971045169769E-2</v>
      </c>
      <c r="F29" s="434">
        <v>2.6809080825002728E-2</v>
      </c>
      <c r="G29" s="434">
        <v>2.031339297428679E-2</v>
      </c>
      <c r="H29" s="434">
        <v>1.4309263508049936E-2</v>
      </c>
      <c r="I29" s="434"/>
      <c r="J29" s="434"/>
      <c r="K29" s="434"/>
      <c r="L29" s="434"/>
      <c r="M29" s="434"/>
      <c r="N29" s="434"/>
      <c r="O29" s="434"/>
      <c r="P29" s="432">
        <f t="shared" si="5"/>
        <v>2.2044767288966916E-2</v>
      </c>
    </row>
    <row r="30" spans="2:16" ht="15.5">
      <c r="B30" s="499"/>
      <c r="C30" s="423" t="s">
        <v>220</v>
      </c>
      <c r="D30" s="434">
        <v>9.7963785106258503E-3</v>
      </c>
      <c r="E30" s="434">
        <v>1.1706621755150907E-2</v>
      </c>
      <c r="F30" s="434">
        <v>1.640151628508173E-2</v>
      </c>
      <c r="G30" s="434">
        <v>3.1347821800599376E-2</v>
      </c>
      <c r="H30" s="434">
        <v>4.8132802587550046E-2</v>
      </c>
      <c r="I30" s="434"/>
      <c r="J30" s="434"/>
      <c r="K30" s="434"/>
      <c r="L30" s="434"/>
      <c r="M30" s="434"/>
      <c r="N30" s="434"/>
      <c r="O30" s="434"/>
      <c r="P30" s="432">
        <f t="shared" si="5"/>
        <v>2.347702818780158E-2</v>
      </c>
    </row>
    <row r="31" spans="2:16" ht="15.5">
      <c r="B31" s="499"/>
      <c r="C31" s="423" t="s">
        <v>224</v>
      </c>
      <c r="D31" s="434">
        <v>8.9953008167213674E-2</v>
      </c>
      <c r="E31" s="434">
        <v>0.10114834901064219</v>
      </c>
      <c r="F31" s="434">
        <v>0.11343936177613133</v>
      </c>
      <c r="G31" s="434">
        <v>8.956298139537297E-2</v>
      </c>
      <c r="H31" s="434">
        <v>7.5610894532354242E-2</v>
      </c>
      <c r="I31" s="434"/>
      <c r="J31" s="434"/>
      <c r="K31" s="434"/>
      <c r="L31" s="434"/>
      <c r="M31" s="434"/>
      <c r="N31" s="434"/>
      <c r="O31" s="434"/>
      <c r="P31" s="432">
        <f t="shared" si="5"/>
        <v>9.3942918976342882E-2</v>
      </c>
    </row>
    <row r="32" spans="2:16" ht="15.5">
      <c r="B32" s="499"/>
      <c r="C32" s="423" t="s">
        <v>226</v>
      </c>
      <c r="D32" s="434">
        <v>0.13708177551916129</v>
      </c>
      <c r="E32" s="434">
        <v>0.14060779476747043</v>
      </c>
      <c r="F32" s="434">
        <v>0.14223546019791297</v>
      </c>
      <c r="G32" s="434">
        <v>0.13317793032697267</v>
      </c>
      <c r="H32" s="434">
        <v>0.12743437444531369</v>
      </c>
      <c r="I32" s="434"/>
      <c r="J32" s="434"/>
      <c r="K32" s="434"/>
      <c r="L32" s="434"/>
      <c r="M32" s="434"/>
      <c r="N32" s="434"/>
      <c r="O32" s="434"/>
      <c r="P32" s="432">
        <f t="shared" si="5"/>
        <v>0.1361074670513662</v>
      </c>
    </row>
    <row r="33" spans="2:16" ht="15.5">
      <c r="B33" s="499"/>
      <c r="C33" s="423" t="s">
        <v>236</v>
      </c>
      <c r="D33" s="434">
        <v>1.5652480623129864E-2</v>
      </c>
      <c r="E33" s="434">
        <v>4.823868590510383E-3</v>
      </c>
      <c r="F33" s="434">
        <v>0</v>
      </c>
      <c r="G33" s="434">
        <v>0</v>
      </c>
      <c r="H33" s="434">
        <v>0</v>
      </c>
      <c r="I33" s="434"/>
      <c r="J33" s="434"/>
      <c r="K33" s="434"/>
      <c r="L33" s="434"/>
      <c r="M33" s="434"/>
      <c r="N33" s="434"/>
      <c r="O33" s="434"/>
      <c r="P33" s="432">
        <f t="shared" si="5"/>
        <v>1.0238174606820123E-2</v>
      </c>
    </row>
    <row r="34" spans="2:16" ht="15.5">
      <c r="B34" s="499"/>
      <c r="C34" s="423" t="s">
        <v>237</v>
      </c>
      <c r="D34" s="434">
        <v>2.2004734622699137E-2</v>
      </c>
      <c r="E34" s="434">
        <v>2.0902022232890293E-2</v>
      </c>
      <c r="F34" s="434">
        <v>6.7918504928798538E-4</v>
      </c>
      <c r="G34" s="434">
        <v>5.3864579603920618E-2</v>
      </c>
      <c r="H34" s="434">
        <v>0.11022479998422226</v>
      </c>
      <c r="I34" s="434"/>
      <c r="J34" s="434"/>
      <c r="K34" s="434"/>
      <c r="L34" s="434"/>
      <c r="M34" s="434"/>
      <c r="N34" s="434"/>
      <c r="O34" s="434"/>
      <c r="P34" s="432">
        <f t="shared" si="5"/>
        <v>4.1535064298604055E-2</v>
      </c>
    </row>
    <row r="35" spans="2:16" ht="15.5">
      <c r="B35" s="500"/>
      <c r="C35" s="423" t="s">
        <v>232</v>
      </c>
      <c r="D35" s="434">
        <v>3.3080287482901531E-2</v>
      </c>
      <c r="E35" s="434">
        <v>3.5116432470856891E-2</v>
      </c>
      <c r="F35" s="434">
        <v>2.2227009526625659E-2</v>
      </c>
      <c r="G35" s="434">
        <v>1.9156487454718908E-2</v>
      </c>
      <c r="H35" s="434">
        <v>1.900527897023923E-2</v>
      </c>
      <c r="I35" s="434"/>
      <c r="J35" s="434"/>
      <c r="K35" s="434"/>
      <c r="L35" s="434"/>
      <c r="M35" s="434"/>
      <c r="N35" s="434"/>
      <c r="O35" s="434"/>
      <c r="P35" s="432">
        <f t="shared" si="5"/>
        <v>2.5717099181068442E-2</v>
      </c>
    </row>
    <row r="36" spans="2:16" ht="15.5">
      <c r="B36" s="429"/>
      <c r="C36" s="423"/>
      <c r="D36" s="415"/>
      <c r="E36" s="415"/>
      <c r="F36" s="415"/>
      <c r="G36" s="415"/>
      <c r="H36" s="415"/>
      <c r="I36" s="415"/>
      <c r="J36" s="415"/>
      <c r="K36" s="415"/>
      <c r="L36" s="415"/>
      <c r="M36" s="415"/>
      <c r="N36" s="415"/>
      <c r="O36" s="415"/>
      <c r="P36" s="432"/>
    </row>
    <row r="37" spans="2:16" ht="15.5">
      <c r="B37" s="494" t="s">
        <v>520</v>
      </c>
      <c r="C37" s="423" t="s">
        <v>518</v>
      </c>
      <c r="D37" s="416">
        <v>768.96508698264131</v>
      </c>
      <c r="E37" s="416">
        <v>774.12086448722914</v>
      </c>
      <c r="F37" s="416">
        <v>757.5904244152307</v>
      </c>
      <c r="G37" s="416">
        <v>740.76981301731939</v>
      </c>
      <c r="H37" s="416">
        <v>765.35781664687147</v>
      </c>
      <c r="I37" s="416"/>
      <c r="J37" s="416"/>
      <c r="K37" s="416"/>
      <c r="L37" s="416"/>
      <c r="M37" s="416"/>
      <c r="N37" s="416"/>
      <c r="O37" s="416"/>
      <c r="P37" s="435">
        <f>AVERAGEIF(D37:O37, "&gt;0")</f>
        <v>761.36080110985836</v>
      </c>
    </row>
    <row r="38" spans="2:16" ht="15.5">
      <c r="B38" s="495"/>
      <c r="C38" s="436" t="s">
        <v>222</v>
      </c>
      <c r="D38" s="437">
        <v>280.52357557404559</v>
      </c>
      <c r="E38" s="437">
        <v>304.46478382945497</v>
      </c>
      <c r="F38" s="437">
        <v>311.70581961708376</v>
      </c>
      <c r="G38" s="437">
        <v>320.67204374311393</v>
      </c>
      <c r="H38" s="437">
        <v>308.1159721716769</v>
      </c>
      <c r="I38" s="437"/>
      <c r="J38" s="437"/>
      <c r="K38" s="437"/>
      <c r="L38" s="437"/>
      <c r="M38" s="437"/>
      <c r="N38" s="437"/>
      <c r="O38" s="437"/>
      <c r="P38" s="435">
        <f t="shared" si="5"/>
        <v>305.09643898707503</v>
      </c>
    </row>
    <row r="39" spans="2:16" ht="15.5">
      <c r="B39" s="495"/>
      <c r="C39" s="436" t="s">
        <v>235</v>
      </c>
      <c r="D39" s="437">
        <v>258.56166578115295</v>
      </c>
      <c r="E39" s="437">
        <v>203.2437413385673</v>
      </c>
      <c r="F39" s="437">
        <v>331.13667122055222</v>
      </c>
      <c r="G39" s="437">
        <v>331.07659362533582</v>
      </c>
      <c r="H39" s="437">
        <v>209.58696420097431</v>
      </c>
      <c r="I39" s="437"/>
      <c r="J39" s="437"/>
      <c r="K39" s="437"/>
      <c r="L39" s="437"/>
      <c r="M39" s="437"/>
      <c r="N39" s="437"/>
      <c r="O39" s="437"/>
      <c r="P39" s="435">
        <f t="shared" si="5"/>
        <v>266.72112723331651</v>
      </c>
    </row>
    <row r="40" spans="2:16" ht="15.5">
      <c r="B40" s="495"/>
      <c r="C40" s="436" t="s">
        <v>220</v>
      </c>
      <c r="D40" s="437">
        <v>486.07170829520021</v>
      </c>
      <c r="E40" s="437">
        <v>490.19814173593841</v>
      </c>
      <c r="F40" s="437">
        <v>493.97618103140815</v>
      </c>
      <c r="G40" s="437">
        <v>416.80190173613738</v>
      </c>
      <c r="H40" s="437">
        <v>367.707567900654</v>
      </c>
      <c r="I40" s="437"/>
      <c r="J40" s="437"/>
      <c r="K40" s="437"/>
      <c r="L40" s="437"/>
      <c r="M40" s="437"/>
      <c r="N40" s="437"/>
      <c r="O40" s="437"/>
      <c r="P40" s="435">
        <f t="shared" si="5"/>
        <v>450.95110013986761</v>
      </c>
    </row>
    <row r="41" spans="2:16" ht="15.5">
      <c r="B41" s="495"/>
      <c r="C41" s="436" t="s">
        <v>224</v>
      </c>
      <c r="D41" s="437">
        <v>82.669482447974161</v>
      </c>
      <c r="E41" s="437">
        <v>81.452411562244222</v>
      </c>
      <c r="F41" s="437">
        <v>79.94999927589204</v>
      </c>
      <c r="G41" s="437">
        <v>82.282454157599574</v>
      </c>
      <c r="H41" s="437">
        <v>81.90398870846974</v>
      </c>
      <c r="I41" s="437"/>
      <c r="J41" s="437"/>
      <c r="K41" s="437"/>
      <c r="L41" s="437"/>
      <c r="M41" s="437"/>
      <c r="N41" s="437"/>
      <c r="O41" s="437"/>
      <c r="P41" s="435">
        <f t="shared" si="5"/>
        <v>81.651667230435947</v>
      </c>
    </row>
    <row r="42" spans="2:16" ht="15.5">
      <c r="B42" s="495"/>
      <c r="C42" s="436" t="s">
        <v>226</v>
      </c>
      <c r="D42" s="437">
        <v>78.306366965294018</v>
      </c>
      <c r="E42" s="437">
        <v>77.971322564328403</v>
      </c>
      <c r="F42" s="437">
        <v>77.906796798443906</v>
      </c>
      <c r="G42" s="437">
        <v>78.189351465199536</v>
      </c>
      <c r="H42" s="437">
        <v>79.190461701431943</v>
      </c>
      <c r="I42" s="437"/>
      <c r="J42" s="437"/>
      <c r="K42" s="437"/>
      <c r="L42" s="437"/>
      <c r="M42" s="437"/>
      <c r="N42" s="437"/>
      <c r="O42" s="437"/>
      <c r="P42" s="435">
        <f t="shared" si="5"/>
        <v>78.312859898939564</v>
      </c>
    </row>
    <row r="43" spans="2:16" ht="15.5">
      <c r="B43" s="495"/>
      <c r="C43" s="436" t="s">
        <v>236</v>
      </c>
      <c r="D43" s="437">
        <v>76.250132772766719</v>
      </c>
      <c r="E43" s="437">
        <v>72.949975663847383</v>
      </c>
      <c r="F43" s="437">
        <v>0</v>
      </c>
      <c r="G43" s="437">
        <v>0</v>
      </c>
      <c r="H43" s="437">
        <v>0</v>
      </c>
      <c r="I43" s="437"/>
      <c r="J43" s="437"/>
      <c r="K43" s="437"/>
      <c r="L43" s="437"/>
      <c r="M43" s="437"/>
      <c r="N43" s="437"/>
      <c r="O43" s="437"/>
      <c r="P43" s="435">
        <f t="shared" si="5"/>
        <v>74.600054218307051</v>
      </c>
    </row>
    <row r="44" spans="2:16" ht="15.5">
      <c r="B44" s="495"/>
      <c r="C44" s="436" t="s">
        <v>237</v>
      </c>
      <c r="D44" s="437">
        <v>110.80830487807768</v>
      </c>
      <c r="E44" s="437">
        <v>97.15750138812345</v>
      </c>
      <c r="F44" s="437">
        <v>84.60142398436416</v>
      </c>
      <c r="G44" s="437">
        <v>159.74228643292116</v>
      </c>
      <c r="H44" s="437">
        <v>161.80618458291255</v>
      </c>
      <c r="I44" s="437"/>
      <c r="J44" s="437"/>
      <c r="K44" s="437"/>
      <c r="L44" s="437"/>
      <c r="M44" s="437"/>
      <c r="N44" s="437"/>
      <c r="O44" s="437"/>
      <c r="P44" s="435">
        <f t="shared" si="5"/>
        <v>122.8231402532798</v>
      </c>
    </row>
    <row r="45" spans="2:16" ht="16" thickBot="1">
      <c r="B45" s="496"/>
      <c r="C45" s="438" t="s">
        <v>232</v>
      </c>
      <c r="D45" s="417">
        <v>76.123665150077642</v>
      </c>
      <c r="E45" s="417">
        <v>77.592138128204311</v>
      </c>
      <c r="F45" s="417">
        <v>83.044478559400275</v>
      </c>
      <c r="G45" s="417">
        <v>83.064526679068933</v>
      </c>
      <c r="H45" s="417">
        <v>89.419712752776604</v>
      </c>
      <c r="I45" s="417"/>
      <c r="J45" s="417"/>
      <c r="K45" s="417"/>
      <c r="L45" s="417"/>
      <c r="M45" s="417"/>
      <c r="N45" s="417"/>
      <c r="O45" s="417"/>
      <c r="P45" s="439">
        <f t="shared" si="5"/>
        <v>81.848904253905545</v>
      </c>
    </row>
  </sheetData>
  <mergeCells count="6">
    <mergeCell ref="B37:B45"/>
    <mergeCell ref="B1:C1"/>
    <mergeCell ref="B2:B7"/>
    <mergeCell ref="B9:B15"/>
    <mergeCell ref="B17:B25"/>
    <mergeCell ref="B27:B35"/>
  </mergeCells>
  <phoneticPr fontId="13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FF0000"/>
    <outlinePr summaryBelow="0" summaryRight="0"/>
  </sheetPr>
  <dimension ref="A1:P37"/>
  <sheetViews>
    <sheetView view="pageBreakPreview" topLeftCell="A16" zoomScale="115" zoomScaleNormal="100" zoomScaleSheetLayoutView="115" workbookViewId="0">
      <selection activeCell="B28" sqref="B28"/>
    </sheetView>
  </sheetViews>
  <sheetFormatPr defaultColWidth="12.54296875" defaultRowHeight="15.75" customHeight="1"/>
  <cols>
    <col min="1" max="1" width="27.453125" style="99" bestFit="1" customWidth="1"/>
    <col min="2" max="2" width="12.54296875" style="99" customWidth="1"/>
    <col min="3" max="4" width="12.54296875" style="99"/>
    <col min="5" max="5" width="16.453125" style="99" customWidth="1"/>
    <col min="6" max="6" width="2.453125" style="99" customWidth="1"/>
    <col min="7" max="7" width="24.81640625" style="99" bestFit="1" customWidth="1"/>
    <col min="8" max="10" width="12.54296875" style="99"/>
    <col min="11" max="11" width="16.453125" style="99" customWidth="1"/>
    <col min="12" max="12" width="12.54296875" style="100"/>
    <col min="13" max="16384" width="12.54296875" style="99"/>
  </cols>
  <sheetData>
    <row r="1" spans="1:12" ht="15.75" customHeight="1">
      <c r="A1" s="501" t="s">
        <v>334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99"/>
    </row>
    <row r="2" spans="1:12" s="100" customFormat="1" ht="15.75" customHeight="1">
      <c r="A2" s="502"/>
      <c r="B2" s="502"/>
      <c r="C2" s="502"/>
      <c r="D2" s="502"/>
      <c r="E2" s="502"/>
      <c r="F2" s="502"/>
      <c r="G2" s="502"/>
      <c r="H2" s="502"/>
      <c r="I2" s="502"/>
      <c r="J2" s="502"/>
      <c r="K2" s="502"/>
    </row>
    <row r="3" spans="1:12" ht="21.65" customHeight="1">
      <c r="A3" s="114" t="s">
        <v>73</v>
      </c>
      <c r="B3" s="115">
        <v>5</v>
      </c>
      <c r="C3" s="114" t="s">
        <v>20</v>
      </c>
      <c r="D3" s="503" t="s">
        <v>360</v>
      </c>
      <c r="E3" s="503"/>
      <c r="F3" s="100"/>
      <c r="G3" s="109"/>
      <c r="H3" s="100"/>
      <c r="I3" s="100"/>
      <c r="J3" s="100"/>
      <c r="K3" s="100"/>
    </row>
    <row r="4" spans="1:12" ht="15.75" customHeight="1">
      <c r="A4" s="110" t="s">
        <v>488</v>
      </c>
      <c r="E4" s="102" t="s">
        <v>23</v>
      </c>
      <c r="G4" s="111" t="s">
        <v>71</v>
      </c>
      <c r="L4" s="99"/>
    </row>
    <row r="5" spans="1:12" s="104" customFormat="1" ht="15.75" customHeight="1">
      <c r="A5" s="121" t="s">
        <v>197</v>
      </c>
      <c r="B5" s="116" t="s">
        <v>22</v>
      </c>
      <c r="C5" s="116" t="s">
        <v>1</v>
      </c>
      <c r="D5" s="116" t="s">
        <v>2</v>
      </c>
      <c r="E5" s="116" t="s">
        <v>3</v>
      </c>
      <c r="G5" s="121" t="s">
        <v>197</v>
      </c>
      <c r="H5" s="116" t="s">
        <v>69</v>
      </c>
      <c r="I5" s="116" t="s">
        <v>22</v>
      </c>
      <c r="J5" s="116" t="s">
        <v>67</v>
      </c>
      <c r="K5" s="116" t="s">
        <v>3</v>
      </c>
      <c r="L5" s="105" t="s">
        <v>60</v>
      </c>
    </row>
    <row r="6" spans="1:12" ht="18" customHeight="1">
      <c r="A6" s="107" t="s">
        <v>24</v>
      </c>
      <c r="B6" s="440">
        <f>'（１）收支狀況'!H11/1000</f>
        <v>53412.636720000002</v>
      </c>
      <c r="C6" s="409">
        <v>181836.62618999998</v>
      </c>
      <c r="D6" s="117">
        <f t="shared" ref="D6:D11" si="0">B6-C6</f>
        <v>-128423.98946999997</v>
      </c>
      <c r="E6" s="409">
        <f>'數值累積總表(月)'!P2</f>
        <v>754192.30501000001</v>
      </c>
      <c r="G6" s="107" t="s">
        <v>198</v>
      </c>
      <c r="H6" s="119">
        <v>497.6</v>
      </c>
      <c r="I6" s="441">
        <f>'（２）ＫＰＩ達成進度'!H11</f>
        <v>433.03614119869872</v>
      </c>
      <c r="J6" s="419">
        <v>419.38045550218868</v>
      </c>
      <c r="K6" s="419">
        <f>'數值累積總表(月)'!P10</f>
        <v>433.29725274529949</v>
      </c>
      <c r="L6" s="101" t="s">
        <v>195</v>
      </c>
    </row>
    <row r="7" spans="1:12" ht="18" customHeight="1">
      <c r="A7" s="107" t="s">
        <v>25</v>
      </c>
      <c r="B7" s="440">
        <f>'（１）收支狀況'!K11</f>
        <v>1760864</v>
      </c>
      <c r="C7" s="409">
        <v>6084520</v>
      </c>
      <c r="D7" s="117">
        <f t="shared" si="0"/>
        <v>-4323656</v>
      </c>
      <c r="E7" s="409">
        <f>'數值累積總表(月)'!P3</f>
        <v>25082268</v>
      </c>
      <c r="G7" s="107" t="s">
        <v>199</v>
      </c>
      <c r="H7" s="118">
        <v>0.8</v>
      </c>
      <c r="I7" s="418">
        <f>'（２）ＫＰＩ達成進度'!K11</f>
        <v>0.97883395388494299</v>
      </c>
      <c r="J7" s="421">
        <v>0.94796667156914272</v>
      </c>
      <c r="K7" s="421">
        <f>'數值累積總表(月)'!P11</f>
        <v>0.8918062797416052</v>
      </c>
      <c r="L7" s="101" t="s">
        <v>4</v>
      </c>
    </row>
    <row r="8" spans="1:12" ht="18" customHeight="1">
      <c r="A8" s="107" t="s">
        <v>5</v>
      </c>
      <c r="B8" s="440">
        <f>'（１）收支狀況'!N11/1000</f>
        <v>36078.35183521732</v>
      </c>
      <c r="C8" s="409">
        <v>122510.99774155837</v>
      </c>
      <c r="D8" s="117">
        <f>B8-C8</f>
        <v>-86432.645906341058</v>
      </c>
      <c r="E8" s="409">
        <f>'數值累積總表(月)'!P4</f>
        <v>482641</v>
      </c>
      <c r="G8" s="107" t="s">
        <v>200</v>
      </c>
      <c r="H8" s="118">
        <v>2.5000000000000001E-3</v>
      </c>
      <c r="I8" s="442">
        <f>'（２）ＫＰＩ達成進度'!N11</f>
        <v>2.0097269692038299E-3</v>
      </c>
      <c r="J8" s="420">
        <v>2.0088240498114199E-3</v>
      </c>
      <c r="K8" s="420">
        <f>'數值累積總表(月)'!P12</f>
        <v>2.1643440953002706E-3</v>
      </c>
      <c r="L8" s="101" t="s">
        <v>55</v>
      </c>
    </row>
    <row r="9" spans="1:12" ht="18" customHeight="1">
      <c r="A9" s="107" t="s">
        <v>6</v>
      </c>
      <c r="B9" s="492">
        <f>'（１）收支狀況'!Q11</f>
        <v>0.67546472240918276</v>
      </c>
      <c r="C9" s="443">
        <v>0.67374214045055691</v>
      </c>
      <c r="D9" s="118">
        <f t="shared" si="0"/>
        <v>1.7225819586258462E-3</v>
      </c>
      <c r="E9" s="443">
        <f>'數值累積總表(月)'!P5</f>
        <v>0.65820000000000001</v>
      </c>
      <c r="G9" s="107" t="s">
        <v>201</v>
      </c>
      <c r="H9" s="118">
        <v>4.0000000000000001E-3</v>
      </c>
      <c r="I9" s="418">
        <f>'（２）ＫＰＩ達成進度'!Q11</f>
        <v>6.1498080357289941E-3</v>
      </c>
      <c r="J9" s="421">
        <v>6.1874817008048359E-3</v>
      </c>
      <c r="K9" s="421">
        <f>'數值累積總表(月)'!P13</f>
        <v>5.2429315327787579E-3</v>
      </c>
      <c r="L9" s="101" t="s">
        <v>98</v>
      </c>
    </row>
    <row r="10" spans="1:12" ht="18" customHeight="1">
      <c r="A10" s="107" t="s">
        <v>64</v>
      </c>
      <c r="B10" s="440">
        <f>'（１）收支狀況'!T11/1000</f>
        <v>7300.0896300000004</v>
      </c>
      <c r="C10" s="409">
        <v>25634.580419999998</v>
      </c>
      <c r="D10" s="117">
        <f>B10-C10</f>
        <v>-18334.490789999996</v>
      </c>
      <c r="E10" s="409">
        <f>'數值累積總表(月)'!P6</f>
        <v>115648</v>
      </c>
      <c r="G10" s="107" t="s">
        <v>202</v>
      </c>
      <c r="H10" s="118">
        <v>0.8</v>
      </c>
      <c r="I10" s="418">
        <f>'（２）ＫＰＩ達成進度'!T11</f>
        <v>0.90000000000000013</v>
      </c>
      <c r="J10" s="421">
        <v>0.89999999999999947</v>
      </c>
      <c r="K10" s="421">
        <f>'數值累積總表(月)'!P14</f>
        <v>0.89999999999999947</v>
      </c>
      <c r="L10" s="101" t="s">
        <v>7</v>
      </c>
    </row>
    <row r="11" spans="1:12" ht="18" customHeight="1">
      <c r="A11" s="107" t="s">
        <v>65</v>
      </c>
      <c r="B11" s="492">
        <f>'（１）收支狀況'!W11</f>
        <v>0.13667345553953025</v>
      </c>
      <c r="C11" s="443">
        <v>0.14097589114535475</v>
      </c>
      <c r="D11" s="118">
        <f t="shared" si="0"/>
        <v>-4.302435605824495E-3</v>
      </c>
      <c r="E11" s="443">
        <f>'數值累積總表(月)'!P7</f>
        <v>0.16040000000000001</v>
      </c>
      <c r="G11" s="107" t="s">
        <v>203</v>
      </c>
      <c r="H11" s="118">
        <v>1</v>
      </c>
      <c r="I11" s="418">
        <f>'（２）ＫＰＩ達成進度'!W11</f>
        <v>0.43990384615384626</v>
      </c>
      <c r="J11" s="421">
        <v>0.38709677419354849</v>
      </c>
      <c r="K11" s="421">
        <f>'數值累積總表(月)'!P15</f>
        <v>0.38709677419354849</v>
      </c>
      <c r="L11" s="101" t="s">
        <v>62</v>
      </c>
    </row>
    <row r="12" spans="1:12" ht="9.65" customHeight="1">
      <c r="L12" s="99"/>
    </row>
    <row r="13" spans="1:12" ht="15.75" customHeight="1">
      <c r="A13" s="110" t="s">
        <v>32</v>
      </c>
      <c r="E13" s="311" t="s">
        <v>23</v>
      </c>
      <c r="G13" s="110" t="s">
        <v>33</v>
      </c>
      <c r="K13" s="311" t="s">
        <v>425</v>
      </c>
      <c r="L13" s="99"/>
    </row>
    <row r="14" spans="1:12" s="106" customFormat="1" ht="13.5">
      <c r="A14" s="120"/>
      <c r="B14" s="120" t="s">
        <v>22</v>
      </c>
      <c r="C14" s="120" t="s">
        <v>41</v>
      </c>
      <c r="D14" s="120" t="s">
        <v>67</v>
      </c>
      <c r="E14" s="120" t="s">
        <v>68</v>
      </c>
      <c r="G14" s="120"/>
      <c r="H14" s="120" t="s">
        <v>22</v>
      </c>
      <c r="I14" s="120" t="s">
        <v>41</v>
      </c>
      <c r="J14" s="120" t="s">
        <v>67</v>
      </c>
      <c r="K14" s="120" t="s">
        <v>68</v>
      </c>
    </row>
    <row r="15" spans="1:12" ht="18" customHeight="1">
      <c r="A15" s="107" t="s">
        <v>381</v>
      </c>
      <c r="B15" s="440">
        <f>SUM('（３）業績構成比'!M7:M12)/1000</f>
        <v>12726.26246</v>
      </c>
      <c r="C15" s="118">
        <f>IFERROR(B15/$B$6,"")</f>
        <v>0.23826313849124653</v>
      </c>
      <c r="D15" s="444">
        <v>0.36318310058720077</v>
      </c>
      <c r="E15" s="118">
        <f>IFERROR(C15-D15,"")</f>
        <v>-0.12491996209595424</v>
      </c>
      <c r="G15" s="107" t="s">
        <v>382</v>
      </c>
      <c r="H15" s="440">
        <f>SUM('（４）訂單數量構成比'!M7:M12)</f>
        <v>666176</v>
      </c>
      <c r="I15" s="118">
        <f t="shared" ref="I15:I23" si="1">IFERROR(H15/$B$7,"")</f>
        <v>0.37832336852817705</v>
      </c>
      <c r="J15" s="444">
        <v>0.56064800510147061</v>
      </c>
      <c r="K15" s="118">
        <f>IFERROR(I15-J15,"")</f>
        <v>-0.18232463657329356</v>
      </c>
      <c r="L15" s="99"/>
    </row>
    <row r="16" spans="1:12" ht="18" customHeight="1">
      <c r="A16" s="107" t="s">
        <v>223</v>
      </c>
      <c r="B16" s="440">
        <f>SUM('（３）業績構成比'!S7:S12)/1000</f>
        <v>1435.3238800000001</v>
      </c>
      <c r="C16" s="118">
        <f t="shared" ref="C16:C23" si="2">IFERROR(B16/$B$6,"")</f>
        <v>2.6872365195604597E-2</v>
      </c>
      <c r="D16" s="444">
        <v>4.1707027010475142E-2</v>
      </c>
      <c r="E16" s="118">
        <f t="shared" ref="E16:E23" si="3">IFERROR(C16-D16,"")</f>
        <v>-1.4834661814870545E-2</v>
      </c>
      <c r="G16" s="107" t="s">
        <v>223</v>
      </c>
      <c r="H16" s="440">
        <f>SUM('（４）訂單數量構成比'!S7:S12)</f>
        <v>49700</v>
      </c>
      <c r="I16" s="118">
        <f t="shared" si="1"/>
        <v>2.822478056226943E-2</v>
      </c>
      <c r="J16" s="444">
        <v>4.4634580870799995E-2</v>
      </c>
      <c r="K16" s="118">
        <f t="shared" ref="K16:K23" si="4">IFERROR(I16-J16,"")</f>
        <v>-1.6409800308530564E-2</v>
      </c>
      <c r="L16" s="99"/>
    </row>
    <row r="17" spans="1:16" ht="18" customHeight="1">
      <c r="A17" s="107" t="s">
        <v>219</v>
      </c>
      <c r="B17" s="440">
        <f>SUM('（３）業績構成比'!U7:U12)/1000</f>
        <v>429.61995000000002</v>
      </c>
      <c r="C17" s="118">
        <f t="shared" si="2"/>
        <v>8.0434140005511412E-3</v>
      </c>
      <c r="D17" s="444">
        <v>1.3969000103124941E-2</v>
      </c>
      <c r="E17" s="118">
        <f t="shared" si="3"/>
        <v>-5.9255861025738002E-3</v>
      </c>
      <c r="G17" s="107" t="s">
        <v>235</v>
      </c>
      <c r="H17" s="440">
        <f>SUM('（４）訂單數量構成比'!U7:U12)</f>
        <v>14335</v>
      </c>
      <c r="I17" s="118">
        <f t="shared" si="1"/>
        <v>8.1408899267632253E-3</v>
      </c>
      <c r="J17" s="444">
        <v>1.4309263508049936E-2</v>
      </c>
      <c r="K17" s="118">
        <f t="shared" si="4"/>
        <v>-6.168373581286711E-3</v>
      </c>
      <c r="L17" s="99"/>
    </row>
    <row r="18" spans="1:16" ht="18" customHeight="1">
      <c r="A18" s="107" t="s">
        <v>221</v>
      </c>
      <c r="B18" s="440">
        <f>SUM('（３）業績構成比'!W7:W12)/1000</f>
        <v>2413.7966500000002</v>
      </c>
      <c r="C18" s="118">
        <f t="shared" si="2"/>
        <v>4.5191490220818295E-2</v>
      </c>
      <c r="D18" s="444">
        <v>3.4128077824737396E-2</v>
      </c>
      <c r="E18" s="118">
        <f t="shared" si="3"/>
        <v>1.1063412396080899E-2</v>
      </c>
      <c r="G18" s="107" t="s">
        <v>220</v>
      </c>
      <c r="H18" s="440">
        <f>SUM('（４）訂單數量構成比'!W7:W12)</f>
        <v>93777</v>
      </c>
      <c r="I18" s="118">
        <f t="shared" si="1"/>
        <v>5.3256242390099406E-2</v>
      </c>
      <c r="J18" s="444">
        <v>4.8132802587550046E-2</v>
      </c>
      <c r="K18" s="118">
        <f t="shared" si="4"/>
        <v>5.1234398025493608E-3</v>
      </c>
      <c r="L18" s="99"/>
    </row>
    <row r="19" spans="1:16" ht="18" customHeight="1">
      <c r="A19" s="107" t="s">
        <v>225</v>
      </c>
      <c r="B19" s="440">
        <f>SUM('（３）業績構成比'!AC7:AC12)/1000</f>
        <v>4370.9224100000001</v>
      </c>
      <c r="C19" s="118">
        <f t="shared" si="2"/>
        <v>8.1833114379154734E-2</v>
      </c>
      <c r="D19" s="444">
        <v>0.13415543936957161</v>
      </c>
      <c r="E19" s="118">
        <f t="shared" si="3"/>
        <v>-5.2322324990416877E-2</v>
      </c>
      <c r="G19" s="107" t="s">
        <v>224</v>
      </c>
      <c r="H19" s="440">
        <f>SUM('（４）訂單數量構成比'!AC7:AC12)</f>
        <v>80914</v>
      </c>
      <c r="I19" s="118">
        <f t="shared" si="1"/>
        <v>4.5951305722645247E-2</v>
      </c>
      <c r="J19" s="444">
        <v>7.5610894532354242E-2</v>
      </c>
      <c r="K19" s="118">
        <f t="shared" si="4"/>
        <v>-2.9659588809708995E-2</v>
      </c>
      <c r="L19" s="99"/>
    </row>
    <row r="20" spans="1:16" ht="18" customHeight="1">
      <c r="A20" s="107" t="s">
        <v>227</v>
      </c>
      <c r="B20" s="440">
        <f>SUM('（３）業績構成比'!AE7:AE12)/1000</f>
        <v>9225.3851000000013</v>
      </c>
      <c r="C20" s="118">
        <f t="shared" si="2"/>
        <v>0.17271914787433848</v>
      </c>
      <c r="D20" s="444">
        <v>0.26474822074458115</v>
      </c>
      <c r="E20" s="118">
        <f t="shared" si="3"/>
        <v>-9.2029072870242673E-2</v>
      </c>
      <c r="G20" s="107" t="s">
        <v>226</v>
      </c>
      <c r="H20" s="440">
        <f>SUM('（４）訂單數量構成比'!AE7:AE12)</f>
        <v>147494</v>
      </c>
      <c r="I20" s="118">
        <f t="shared" si="1"/>
        <v>8.3762289421556696E-2</v>
      </c>
      <c r="J20" s="444">
        <v>0.12743437444531369</v>
      </c>
      <c r="K20" s="118">
        <f t="shared" si="4"/>
        <v>-4.3672085023756996E-2</v>
      </c>
      <c r="L20" s="99"/>
    </row>
    <row r="21" spans="1:16" ht="18" customHeight="1">
      <c r="A21" s="107" t="s">
        <v>230</v>
      </c>
      <c r="B21" s="440">
        <f>SUM('（３）業績構成比'!AG7:AG12)/1000</f>
        <v>0</v>
      </c>
      <c r="C21" s="118">
        <f t="shared" si="2"/>
        <v>0</v>
      </c>
      <c r="D21" s="444">
        <v>0</v>
      </c>
      <c r="E21" s="118">
        <f t="shared" si="3"/>
        <v>0</v>
      </c>
      <c r="G21" s="107" t="s">
        <v>236</v>
      </c>
      <c r="H21" s="440">
        <f>SUM('（４）訂單數量構成比'!AG7:AG12)</f>
        <v>0</v>
      </c>
      <c r="I21" s="118">
        <f t="shared" si="1"/>
        <v>0</v>
      </c>
      <c r="J21" s="444">
        <v>0</v>
      </c>
      <c r="K21" s="118">
        <f t="shared" si="4"/>
        <v>0</v>
      </c>
      <c r="L21" s="99"/>
    </row>
    <row r="22" spans="1:16" ht="18" customHeight="1">
      <c r="A22" s="107" t="s">
        <v>231</v>
      </c>
      <c r="B22" s="440">
        <f>SUM('（３）業績構成比'!AI7:AI12)/1000</f>
        <v>7523.4978800000008</v>
      </c>
      <c r="C22" s="118">
        <f t="shared" si="2"/>
        <v>0.14085614083123663</v>
      </c>
      <c r="D22" s="444">
        <v>0.13502459319909141</v>
      </c>
      <c r="E22" s="118">
        <f t="shared" si="3"/>
        <v>5.8315476321452175E-3</v>
      </c>
      <c r="G22" s="107" t="s">
        <v>237</v>
      </c>
      <c r="H22" s="440">
        <f>SUM('（４）訂單數量構成比'!AI7:AI12)</f>
        <v>203616</v>
      </c>
      <c r="I22" s="118">
        <f t="shared" si="1"/>
        <v>0.11563414323877369</v>
      </c>
      <c r="J22" s="444">
        <v>0.11022479998422226</v>
      </c>
      <c r="K22" s="118">
        <f t="shared" si="4"/>
        <v>5.4093432545514325E-3</v>
      </c>
      <c r="L22" s="99"/>
    </row>
    <row r="23" spans="1:16" ht="18" customHeight="1">
      <c r="A23" s="107" t="s">
        <v>233</v>
      </c>
      <c r="B23" s="440">
        <f>SUM('（３）業績構成比'!AK7:AK12)/1000</f>
        <v>663.33942000000002</v>
      </c>
      <c r="C23" s="118">
        <f t="shared" si="2"/>
        <v>1.2419147616272181E-2</v>
      </c>
      <c r="D23" s="444">
        <v>1.308454116121764E-2</v>
      </c>
      <c r="E23" s="118">
        <f t="shared" si="3"/>
        <v>-6.6539354494545878E-4</v>
      </c>
      <c r="G23" s="107" t="s">
        <v>232</v>
      </c>
      <c r="H23" s="440">
        <f>SUM('（４）訂單數量構成比'!AK7:AK12)</f>
        <v>28536</v>
      </c>
      <c r="I23" s="118">
        <f t="shared" si="1"/>
        <v>1.6205680847583913E-2</v>
      </c>
      <c r="J23" s="444">
        <v>1.900527897023923E-2</v>
      </c>
      <c r="K23" s="118">
        <f t="shared" si="4"/>
        <v>-2.7995981226553168E-3</v>
      </c>
      <c r="L23" s="99"/>
    </row>
    <row r="24" spans="1:16" ht="15.75" customHeight="1">
      <c r="C24" s="112">
        <f>SUM(C15:C23)</f>
        <v>0.72619795860922265</v>
      </c>
      <c r="D24" s="112">
        <f t="shared" ref="D24" si="5">SUM(D15:D23)</f>
        <v>1.0000000000000002</v>
      </c>
      <c r="I24" s="112">
        <f t="shared" ref="I24:J24" si="6">SUM(I15:I23)</f>
        <v>0.72949870063786859</v>
      </c>
      <c r="J24" s="112">
        <f t="shared" si="6"/>
        <v>1</v>
      </c>
      <c r="L24" s="99"/>
    </row>
    <row r="25" spans="1:16" ht="9.65" customHeight="1">
      <c r="A25" s="113"/>
      <c r="L25" s="99"/>
    </row>
    <row r="26" spans="1:16" ht="15.75" customHeight="1">
      <c r="A26" s="110" t="s">
        <v>196</v>
      </c>
      <c r="L26" s="99"/>
    </row>
    <row r="27" spans="1:16" ht="15.75" customHeight="1">
      <c r="A27" s="107" t="s">
        <v>188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6" ht="18" customHeight="1">
      <c r="A28" s="107" t="s">
        <v>234</v>
      </c>
      <c r="B28" s="445">
        <f>'（５-1）品群別人時生產性(18℃-飯糰)'!C1</f>
        <v>791.32419047930159</v>
      </c>
      <c r="C28" s="446">
        <v>765.35781664687147</v>
      </c>
      <c r="D28" s="222">
        <f t="shared" ref="D28:D36" si="7">B28-C28</f>
        <v>25.966373832430122</v>
      </c>
      <c r="E28" s="422">
        <f>'數值累積總表(月)'!P37</f>
        <v>761.36080110985836</v>
      </c>
      <c r="G28" s="122"/>
      <c r="H28" s="122"/>
      <c r="I28" s="122"/>
      <c r="J28" s="122"/>
      <c r="K28" s="122"/>
      <c r="L28" s="122"/>
      <c r="M28" s="122"/>
      <c r="N28" s="122"/>
      <c r="O28" s="123"/>
      <c r="P28" s="123"/>
    </row>
    <row r="29" spans="1:16" ht="18" customHeight="1">
      <c r="A29" s="107" t="s">
        <v>222</v>
      </c>
      <c r="B29" s="445">
        <f>'（５-2）品群別人時生產性(18℃-壽司手卷)'!C1</f>
        <v>298.03263700552321</v>
      </c>
      <c r="C29" s="446">
        <v>308.1159721716769</v>
      </c>
      <c r="D29" s="222">
        <f t="shared" si="7"/>
        <v>-10.083335166153688</v>
      </c>
      <c r="E29" s="422">
        <f>'數值累積總表(月)'!P38</f>
        <v>305.09643898707503</v>
      </c>
      <c r="G29" s="124"/>
      <c r="H29" s="124"/>
      <c r="I29" s="125"/>
      <c r="J29" s="1"/>
      <c r="K29" s="126"/>
      <c r="L29" s="67"/>
      <c r="M29" s="67"/>
      <c r="N29" s="67"/>
      <c r="O29" s="67"/>
      <c r="P29" s="67"/>
    </row>
    <row r="30" spans="1:16" ht="18" customHeight="1">
      <c r="A30" s="107" t="s">
        <v>235</v>
      </c>
      <c r="B30" s="445">
        <f>'（５-3）品群別人時生產性(4℃-飯糰)'!C1</f>
        <v>118.59923076923076</v>
      </c>
      <c r="C30" s="446">
        <v>209.58696420097431</v>
      </c>
      <c r="D30" s="222">
        <f t="shared" si="7"/>
        <v>-90.98773343174355</v>
      </c>
      <c r="E30" s="422">
        <f>'數值累積總表(月)'!P39</f>
        <v>266.72112723331651</v>
      </c>
      <c r="L30" s="99"/>
    </row>
    <row r="31" spans="1:16" ht="18" customHeight="1">
      <c r="A31" s="107" t="s">
        <v>220</v>
      </c>
      <c r="B31" s="445">
        <f>'（５-4）品群別人時生產性(4℃-壽司手卷)'!C1</f>
        <v>370.2926925356922</v>
      </c>
      <c r="C31" s="446">
        <v>367.707567900654</v>
      </c>
      <c r="D31" s="222">
        <f t="shared" si="7"/>
        <v>2.5851246350381984</v>
      </c>
      <c r="E31" s="422">
        <f>'數值累積總表(月)'!P40</f>
        <v>450.95110013986761</v>
      </c>
      <c r="L31" s="99"/>
    </row>
    <row r="32" spans="1:16" ht="18" customHeight="1">
      <c r="A32" s="107" t="s">
        <v>224</v>
      </c>
      <c r="B32" s="445">
        <f>'（５-5）品群別人時生產性(微波主食) '!C1</f>
        <v>83.410713746625532</v>
      </c>
      <c r="C32" s="446">
        <v>81.90398870846974</v>
      </c>
      <c r="D32" s="222">
        <f t="shared" si="7"/>
        <v>1.5067250381557926</v>
      </c>
      <c r="E32" s="422">
        <f>'數值累積總表(月)'!P41</f>
        <v>81.651667230435947</v>
      </c>
      <c r="L32" s="99"/>
    </row>
    <row r="33" spans="1:12" ht="18" customHeight="1">
      <c r="A33" s="107" t="s">
        <v>226</v>
      </c>
      <c r="B33" s="445">
        <f>'（５-6）品群別人時生產性(便當)'!C1</f>
        <v>79.415024817647932</v>
      </c>
      <c r="C33" s="446">
        <v>79.190461701431943</v>
      </c>
      <c r="D33" s="222">
        <f t="shared" si="7"/>
        <v>0.22456311621598957</v>
      </c>
      <c r="E33" s="422">
        <f>'數值累積總表(月)'!P42</f>
        <v>78.312859898939564</v>
      </c>
      <c r="L33" s="99"/>
    </row>
    <row r="34" spans="1:12" ht="18" customHeight="1">
      <c r="A34" s="107" t="s">
        <v>236</v>
      </c>
      <c r="B34" s="445">
        <f>'（５-7）品群別人時生產性(熱食義麵) '!C1</f>
        <v>0</v>
      </c>
      <c r="C34" s="446">
        <v>0</v>
      </c>
      <c r="D34" s="222">
        <f t="shared" si="7"/>
        <v>0</v>
      </c>
      <c r="E34" s="422">
        <f>'數值累積總表(月)'!P43</f>
        <v>74.600054218307051</v>
      </c>
      <c r="L34" s="99"/>
    </row>
    <row r="35" spans="1:12" ht="18" customHeight="1">
      <c r="A35" s="107" t="s">
        <v>237</v>
      </c>
      <c r="B35" s="445">
        <f>'（５-8）品群別人時生產性(季節調理麵) '!C1</f>
        <v>156.7690587103622</v>
      </c>
      <c r="C35" s="446">
        <v>161.80618458291255</v>
      </c>
      <c r="D35" s="222">
        <f t="shared" si="7"/>
        <v>-5.037125872550348</v>
      </c>
      <c r="E35" s="422">
        <f>'數值累積總表(月)'!P44</f>
        <v>122.8231402532798</v>
      </c>
      <c r="L35" s="99"/>
    </row>
    <row r="36" spans="1:12" ht="18" customHeight="1">
      <c r="A36" s="103" t="s">
        <v>232</v>
      </c>
      <c r="B36" s="445">
        <f>'（５-9）品群別人時生產性(微波小吃)'!C1</f>
        <v>121.82807875885263</v>
      </c>
      <c r="C36" s="446">
        <v>89.419712752776604</v>
      </c>
      <c r="D36" s="222">
        <f t="shared" si="7"/>
        <v>32.408366006076022</v>
      </c>
      <c r="E36" s="422">
        <f>'數值累積總表(月)'!P45</f>
        <v>81.848904253905545</v>
      </c>
      <c r="L36" s="99"/>
    </row>
    <row r="37" spans="1:12" ht="15.75" customHeight="1">
      <c r="L37" s="99"/>
    </row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92D050"/>
    <outlinePr summaryBelow="0" summaryRight="0"/>
  </sheetPr>
  <dimension ref="A1:Q38"/>
  <sheetViews>
    <sheetView tabSelected="1" view="pageBreakPreview" topLeftCell="C1" zoomScaleNormal="60" zoomScaleSheetLayoutView="100" workbookViewId="0">
      <selection activeCell="K12" sqref="K12"/>
    </sheetView>
  </sheetViews>
  <sheetFormatPr defaultColWidth="12.54296875" defaultRowHeight="15.75" customHeight="1"/>
  <cols>
    <col min="1" max="1" width="27.453125" style="99" bestFit="1" customWidth="1"/>
    <col min="2" max="2" width="12.54296875" style="99" customWidth="1"/>
    <col min="3" max="4" width="12.54296875" style="99"/>
    <col min="5" max="5" width="16.453125" style="99" customWidth="1"/>
    <col min="6" max="6" width="2.453125" style="99" customWidth="1"/>
    <col min="7" max="7" width="24.81640625" style="99" bestFit="1" customWidth="1"/>
    <col min="8" max="10" width="12.54296875" style="99"/>
    <col min="11" max="11" width="16.453125" style="99" customWidth="1"/>
    <col min="12" max="12" width="12.54296875" style="100"/>
    <col min="13" max="16384" width="12.54296875" style="99"/>
  </cols>
  <sheetData>
    <row r="1" spans="1:16" ht="15.75" customHeight="1">
      <c r="A1" s="501" t="s">
        <v>361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99"/>
    </row>
    <row r="2" spans="1:16" s="100" customFormat="1" ht="15.75" customHeight="1">
      <c r="A2" s="502"/>
      <c r="B2" s="502"/>
      <c r="C2" s="502"/>
      <c r="D2" s="502"/>
      <c r="E2" s="502"/>
      <c r="F2" s="502"/>
      <c r="G2" s="502"/>
      <c r="H2" s="502"/>
      <c r="I2" s="502"/>
      <c r="J2" s="502"/>
      <c r="K2" s="502"/>
    </row>
    <row r="3" spans="1:16" ht="21.65" customHeight="1">
      <c r="A3" s="114" t="s">
        <v>325</v>
      </c>
      <c r="B3" s="115">
        <v>6</v>
      </c>
      <c r="C3" s="157" t="s">
        <v>326</v>
      </c>
      <c r="D3" s="115" t="s">
        <v>658</v>
      </c>
      <c r="E3" s="114" t="s">
        <v>20</v>
      </c>
      <c r="F3" s="504" t="s">
        <v>360</v>
      </c>
      <c r="G3" s="505"/>
      <c r="H3" s="100"/>
      <c r="I3" s="109"/>
      <c r="J3" s="100"/>
      <c r="K3" s="100"/>
      <c r="M3" s="100"/>
      <c r="N3" s="100"/>
    </row>
    <row r="4" spans="1:16" ht="15.75" customHeight="1">
      <c r="A4" s="110" t="s">
        <v>403</v>
      </c>
      <c r="E4" s="102" t="s">
        <v>409</v>
      </c>
      <c r="G4" s="111" t="s">
        <v>71</v>
      </c>
      <c r="L4" s="99"/>
    </row>
    <row r="5" spans="1:16" s="104" customFormat="1" ht="15.75" customHeight="1">
      <c r="A5" s="121" t="s">
        <v>197</v>
      </c>
      <c r="B5" s="121" t="s">
        <v>328</v>
      </c>
      <c r="C5" s="121" t="s">
        <v>330</v>
      </c>
      <c r="D5" s="116" t="s">
        <v>2</v>
      </c>
      <c r="E5" s="116" t="s">
        <v>3</v>
      </c>
      <c r="G5" s="121" t="s">
        <v>197</v>
      </c>
      <c r="H5" s="116" t="s">
        <v>69</v>
      </c>
      <c r="I5" s="116" t="s">
        <v>327</v>
      </c>
      <c r="J5" s="116" t="s">
        <v>329</v>
      </c>
      <c r="K5" s="116" t="s">
        <v>3</v>
      </c>
      <c r="L5" s="105" t="s">
        <v>60</v>
      </c>
    </row>
    <row r="6" spans="1:16" ht="18" customHeight="1">
      <c r="A6" s="107" t="s">
        <v>24</v>
      </c>
      <c r="B6" s="117">
        <f>'（１）收支狀況'!G12/1000</f>
        <v>46456.915399999998</v>
      </c>
      <c r="C6" s="117">
        <v>45743.869070000001</v>
      </c>
      <c r="D6" s="117">
        <f>B6-C6</f>
        <v>713.0463299999974</v>
      </c>
      <c r="E6" s="216">
        <f>'（１）收支狀況'!H11:H11/1000</f>
        <v>53412.636720000002</v>
      </c>
      <c r="G6" s="217" t="s">
        <v>405</v>
      </c>
      <c r="H6" s="218">
        <v>442.4</v>
      </c>
      <c r="I6" s="218">
        <f>'（２）ＫＰＩ達成進度'!G12</f>
        <v>433.10658699661275</v>
      </c>
      <c r="J6" s="218">
        <v>428.7336804960396</v>
      </c>
      <c r="K6" s="218">
        <f>'（２）ＫＰＩ達成進度'!H11</f>
        <v>433.03614119869872</v>
      </c>
      <c r="L6" s="101" t="s">
        <v>195</v>
      </c>
    </row>
    <row r="7" spans="1:16" ht="18" customHeight="1">
      <c r="A7" s="107" t="s">
        <v>25</v>
      </c>
      <c r="B7" s="117">
        <f>'（１）收支狀況'!J12</f>
        <v>1530504</v>
      </c>
      <c r="C7" s="117">
        <v>1514908</v>
      </c>
      <c r="D7" s="117">
        <f t="shared" ref="D7:D11" si="0">B7-C7</f>
        <v>15596</v>
      </c>
      <c r="E7" s="216">
        <f>'（１）收支狀況'!K11:K11</f>
        <v>1760864</v>
      </c>
      <c r="G7" s="217" t="s">
        <v>406</v>
      </c>
      <c r="H7" s="219">
        <v>0.8</v>
      </c>
      <c r="I7" s="118">
        <f>'（２）ＫＰＩ達成進度'!J12</f>
        <v>0.97899318941368152</v>
      </c>
      <c r="J7" s="118">
        <v>0.96910868104891412</v>
      </c>
      <c r="K7" s="219">
        <f>'（２）ＫＰＩ達成進度'!K11</f>
        <v>0.97883395388494299</v>
      </c>
      <c r="L7" s="101" t="s">
        <v>4</v>
      </c>
    </row>
    <row r="8" spans="1:16" ht="18" customHeight="1">
      <c r="A8" s="107" t="s">
        <v>404</v>
      </c>
      <c r="B8" s="117">
        <f>'（１）收支狀況'!M12/1000</f>
        <v>31402.672938832991</v>
      </c>
      <c r="C8" s="117">
        <v>30950.167476616294</v>
      </c>
      <c r="D8" s="117">
        <f>B8-C8</f>
        <v>452.5054622166972</v>
      </c>
      <c r="E8" s="216">
        <f>'（１）收支狀況'!N11:N11/1000</f>
        <v>36078.35183521732</v>
      </c>
      <c r="G8" s="217" t="s">
        <v>200</v>
      </c>
      <c r="H8" s="118">
        <v>2.5000000000000001E-3</v>
      </c>
      <c r="I8" s="220">
        <f>'（２）ＫＰＩ達成進度'!M12</f>
        <v>2.0099903397953621E-3</v>
      </c>
      <c r="J8" s="220">
        <v>2.0088889910026943E-3</v>
      </c>
      <c r="K8" s="220">
        <f>'（２）ＫＰＩ達成進度'!N11</f>
        <v>2.0097269692038299E-3</v>
      </c>
      <c r="L8" s="101" t="s">
        <v>55</v>
      </c>
    </row>
    <row r="9" spans="1:16" ht="18" customHeight="1">
      <c r="A9" s="107" t="s">
        <v>6</v>
      </c>
      <c r="B9" s="219">
        <f>'（１）收支狀況'!P12</f>
        <v>0.67595260400850876</v>
      </c>
      <c r="C9" s="219">
        <v>0.67659706329725844</v>
      </c>
      <c r="D9" s="219">
        <f t="shared" si="0"/>
        <v>-6.4445928874967695E-4</v>
      </c>
      <c r="E9" s="219">
        <f>'（１）收支狀況'!Q11</f>
        <v>0.67546472240918276</v>
      </c>
      <c r="G9" s="217" t="s">
        <v>201</v>
      </c>
      <c r="H9" s="118">
        <v>4.0000000000000001E-3</v>
      </c>
      <c r="I9" s="118">
        <f>'（２）ＫＰＩ達成進度'!P12</f>
        <v>6.1443653459780298E-3</v>
      </c>
      <c r="J9" s="118">
        <v>6.1801862241285315E-3</v>
      </c>
      <c r="K9" s="118">
        <f>'（２）ＫＰＩ達成進度'!Q11</f>
        <v>6.1498080357289941E-3</v>
      </c>
      <c r="L9" s="101" t="s">
        <v>98</v>
      </c>
    </row>
    <row r="10" spans="1:16" ht="18" customHeight="1">
      <c r="A10" s="107" t="s">
        <v>64</v>
      </c>
      <c r="B10" s="117">
        <f>'（１）收支狀況'!S12/1000</f>
        <v>6456.1666359999999</v>
      </c>
      <c r="C10" s="117">
        <v>6254.2410459999992</v>
      </c>
      <c r="D10" s="117">
        <f t="shared" si="0"/>
        <v>201.92559000000074</v>
      </c>
      <c r="E10" s="216">
        <f>'（１）收支狀況'!T11/1000</f>
        <v>7300.0896300000004</v>
      </c>
      <c r="G10" s="217" t="s">
        <v>407</v>
      </c>
      <c r="H10" s="219">
        <v>0.8</v>
      </c>
      <c r="I10" s="219">
        <f>'（２）ＫＰＩ達成進度'!S12</f>
        <v>0.90000000000000013</v>
      </c>
      <c r="J10" s="219">
        <v>0.90000000000000013</v>
      </c>
      <c r="K10" s="219">
        <f>'（２）ＫＰＩ達成進度'!T11</f>
        <v>0.90000000000000013</v>
      </c>
      <c r="L10" s="101" t="s">
        <v>7</v>
      </c>
      <c r="M10" s="312"/>
      <c r="N10" s="312"/>
      <c r="O10" s="312"/>
      <c r="P10" s="312"/>
    </row>
    <row r="11" spans="1:16" ht="18" customHeight="1">
      <c r="A11" s="107" t="s">
        <v>65</v>
      </c>
      <c r="B11" s="219">
        <f>'（１）收支狀況'!V12</f>
        <v>0.13897105695484896</v>
      </c>
      <c r="C11" s="219">
        <v>0.13672304448994871</v>
      </c>
      <c r="D11" s="219">
        <f t="shared" si="0"/>
        <v>2.2480124649002509E-3</v>
      </c>
      <c r="E11" s="219">
        <f>'（１）收支狀況'!W11</f>
        <v>0.13667345553953025</v>
      </c>
      <c r="G11" s="217" t="s">
        <v>408</v>
      </c>
      <c r="H11" s="219">
        <v>1</v>
      </c>
      <c r="I11" s="309">
        <f>23/52*100%</f>
        <v>0.44230769230769229</v>
      </c>
      <c r="J11" s="309">
        <v>0.42307692307692307</v>
      </c>
      <c r="K11" s="309">
        <f>'（２）ＫＰＩ達成進度'!W11</f>
        <v>0.43990384615384626</v>
      </c>
      <c r="L11" s="101" t="s">
        <v>62</v>
      </c>
      <c r="M11" s="313"/>
      <c r="N11" s="313"/>
      <c r="O11" s="313"/>
      <c r="P11" s="313"/>
    </row>
    <row r="12" spans="1:16" ht="9.65" customHeight="1">
      <c r="L12" s="99"/>
    </row>
    <row r="13" spans="1:16" ht="15.75" customHeight="1">
      <c r="A13" s="110" t="s">
        <v>32</v>
      </c>
      <c r="E13" s="311" t="s">
        <v>23</v>
      </c>
      <c r="G13" s="110" t="s">
        <v>33</v>
      </c>
      <c r="K13" s="311" t="s">
        <v>425</v>
      </c>
      <c r="L13" s="99"/>
    </row>
    <row r="14" spans="1:16" s="106" customFormat="1" ht="13.5">
      <c r="A14" s="120"/>
      <c r="B14" s="158" t="s">
        <v>328</v>
      </c>
      <c r="C14" s="120" t="s">
        <v>66</v>
      </c>
      <c r="D14" s="158" t="s">
        <v>331</v>
      </c>
      <c r="E14" s="120" t="s">
        <v>68</v>
      </c>
      <c r="G14" s="120"/>
      <c r="H14" s="158" t="s">
        <v>328</v>
      </c>
      <c r="I14" s="120" t="s">
        <v>66</v>
      </c>
      <c r="J14" s="158" t="s">
        <v>331</v>
      </c>
      <c r="K14" s="120" t="s">
        <v>68</v>
      </c>
    </row>
    <row r="15" spans="1:16" ht="18" customHeight="1">
      <c r="A15" s="107" t="s">
        <v>381</v>
      </c>
      <c r="B15" s="117">
        <f>SUM('（３）業績構成比'!M14:M20)/1000</f>
        <v>14265.023060000003</v>
      </c>
      <c r="C15" s="219">
        <f>IFERROR(B15/$B$6,"")</f>
        <v>0.30705919532487952</v>
      </c>
      <c r="D15" s="219">
        <v>0.32785502199322375</v>
      </c>
      <c r="E15" s="219">
        <f>IFERROR(C15-D15,"")</f>
        <v>-2.0795826668344231E-2</v>
      </c>
      <c r="G15" s="107" t="s">
        <v>382</v>
      </c>
      <c r="H15" s="117">
        <f>SUM('（４）訂單數量構成比'!M14:M120)</f>
        <v>755670</v>
      </c>
      <c r="I15" s="219">
        <f>IFERROR(H15/$B$7,"")</f>
        <v>0.49373931724451553</v>
      </c>
      <c r="J15" s="219">
        <v>0.51917014102506553</v>
      </c>
      <c r="K15" s="219">
        <f t="shared" ref="K15:K23" si="1">IFERROR(I15-J15,"")</f>
        <v>-2.5430823780550005E-2</v>
      </c>
      <c r="L15" s="99"/>
    </row>
    <row r="16" spans="1:16" ht="18" customHeight="1">
      <c r="A16" s="107" t="s">
        <v>223</v>
      </c>
      <c r="B16" s="117">
        <f>SUM('（３）業績構成比'!S14:S20)/1000</f>
        <v>1674.24225</v>
      </c>
      <c r="C16" s="219">
        <f t="shared" ref="C16:C23" si="2">IFERROR(B16/$B$6,"")</f>
        <v>3.6038601262794991E-2</v>
      </c>
      <c r="D16" s="219">
        <v>3.7064806158076911E-2</v>
      </c>
      <c r="E16" s="219">
        <f t="shared" ref="E16:E23" si="3">IFERROR(C16-D16,"")</f>
        <v>-1.0262048952819208E-3</v>
      </c>
      <c r="G16" s="107" t="s">
        <v>254</v>
      </c>
      <c r="H16" s="117">
        <f>SUM('（４）訂單數量構成比'!S14:S20)</f>
        <v>57990</v>
      </c>
      <c r="I16" s="219">
        <f>IFERROR(H16/$B$7,"")</f>
        <v>3.7889479543993354E-2</v>
      </c>
      <c r="J16" s="219">
        <v>3.8758789312618322E-2</v>
      </c>
      <c r="K16" s="219">
        <f t="shared" si="1"/>
        <v>-8.6930976862496789E-4</v>
      </c>
      <c r="L16" s="99"/>
    </row>
    <row r="17" spans="1:17" ht="18" customHeight="1">
      <c r="A17" s="107" t="s">
        <v>219</v>
      </c>
      <c r="B17" s="117">
        <f>SUM('（３）業績構成比'!U14:U20)/1000</f>
        <v>526.15332000000012</v>
      </c>
      <c r="C17" s="219">
        <f t="shared" si="2"/>
        <v>1.1325618919589314E-2</v>
      </c>
      <c r="D17" s="219">
        <v>1.1163437644912795E-2</v>
      </c>
      <c r="E17" s="219">
        <f t="shared" si="3"/>
        <v>1.6218127467651847E-4</v>
      </c>
      <c r="G17" s="107" t="s">
        <v>235</v>
      </c>
      <c r="H17" s="117">
        <f>SUM('（４）訂單數量構成比'!U14:U20)</f>
        <v>17556</v>
      </c>
      <c r="I17" s="219">
        <f t="shared" ref="I17:I23" si="4">IFERROR(H17/$B$7,"")</f>
        <v>1.147073121011118E-2</v>
      </c>
      <c r="J17" s="219">
        <v>1.1247547705867287E-2</v>
      </c>
      <c r="K17" s="219">
        <f t="shared" si="1"/>
        <v>2.2318350424389323E-4</v>
      </c>
      <c r="L17" s="99"/>
    </row>
    <row r="18" spans="1:17" ht="18" customHeight="1">
      <c r="A18" s="107" t="s">
        <v>221</v>
      </c>
      <c r="B18" s="117">
        <f>SUM('（３）業績構成比'!W14:W20)/1000</f>
        <v>2981.27556</v>
      </c>
      <c r="C18" s="219">
        <f t="shared" si="2"/>
        <v>6.4172912349664962E-2</v>
      </c>
      <c r="D18" s="219">
        <v>6.0067406318326105E-2</v>
      </c>
      <c r="E18" s="219">
        <f t="shared" si="3"/>
        <v>4.1055060313388569E-3</v>
      </c>
      <c r="G18" s="107" t="s">
        <v>220</v>
      </c>
      <c r="H18" s="117">
        <f>SUM('（４）訂單數量構成比'!W14:W20)</f>
        <v>118870</v>
      </c>
      <c r="I18" s="219">
        <f t="shared" si="4"/>
        <v>7.7667225959553193E-2</v>
      </c>
      <c r="J18" s="219">
        <v>7.1243270218389498E-2</v>
      </c>
      <c r="K18" s="219">
        <f t="shared" si="1"/>
        <v>6.4239557411636949E-3</v>
      </c>
      <c r="L18" s="99"/>
    </row>
    <row r="19" spans="1:17" ht="18" customHeight="1">
      <c r="A19" s="107" t="s">
        <v>225</v>
      </c>
      <c r="B19" s="117">
        <f>SUM('（３）業績構成比'!AC14:AC20)/1000</f>
        <v>5250.8286799999996</v>
      </c>
      <c r="C19" s="219">
        <f t="shared" si="2"/>
        <v>0.11302577097057977</v>
      </c>
      <c r="D19" s="219">
        <v>0.11397860950549454</v>
      </c>
      <c r="E19" s="219">
        <f t="shared" si="3"/>
        <v>-9.5283853491477666E-4</v>
      </c>
      <c r="G19" s="107" t="s">
        <v>224</v>
      </c>
      <c r="H19" s="117">
        <f>SUM('（４）訂單數量構成比'!AC14:AC20)</f>
        <v>97114</v>
      </c>
      <c r="I19" s="219">
        <f t="shared" si="4"/>
        <v>6.3452300680037432E-2</v>
      </c>
      <c r="J19" s="219">
        <v>6.3704858644881401E-2</v>
      </c>
      <c r="K19" s="219">
        <f t="shared" si="1"/>
        <v>-2.5255796484396908E-4</v>
      </c>
      <c r="L19" s="99"/>
    </row>
    <row r="20" spans="1:17" ht="18" customHeight="1">
      <c r="A20" s="107" t="s">
        <v>227</v>
      </c>
      <c r="B20" s="117">
        <f>SUM('（３）業績構成比'!AE14:AE20)/1000</f>
        <v>10546.28422</v>
      </c>
      <c r="C20" s="219">
        <f t="shared" si="2"/>
        <v>0.22701214941188283</v>
      </c>
      <c r="D20" s="219">
        <v>0.23996189244951424</v>
      </c>
      <c r="E20" s="219">
        <f t="shared" si="3"/>
        <v>-1.2949743037631412E-2</v>
      </c>
      <c r="G20" s="107" t="s">
        <v>226</v>
      </c>
      <c r="H20" s="117">
        <f>SUM('（４）訂單數量構成比'!AE14:AE20)</f>
        <v>168184</v>
      </c>
      <c r="I20" s="219">
        <f t="shared" si="4"/>
        <v>0.10988798461160507</v>
      </c>
      <c r="J20" s="219">
        <v>0.11578326868694337</v>
      </c>
      <c r="K20" s="219">
        <f t="shared" si="1"/>
        <v>-5.8952840753383057E-3</v>
      </c>
      <c r="L20" s="99"/>
    </row>
    <row r="21" spans="1:17" ht="18" customHeight="1">
      <c r="A21" s="107" t="s">
        <v>230</v>
      </c>
      <c r="B21" s="117">
        <f>SUM('（３）業績構成比'!AG14:AG20)/1000</f>
        <v>0</v>
      </c>
      <c r="C21" s="219">
        <f t="shared" si="2"/>
        <v>0</v>
      </c>
      <c r="D21" s="219">
        <v>0</v>
      </c>
      <c r="E21" s="219">
        <f t="shared" si="3"/>
        <v>0</v>
      </c>
      <c r="G21" s="107" t="s">
        <v>236</v>
      </c>
      <c r="H21" s="117">
        <f>SUM('（４）訂單數量構成比'!AG14:AG20)</f>
        <v>0</v>
      </c>
      <c r="I21" s="219">
        <f t="shared" si="4"/>
        <v>0</v>
      </c>
      <c r="J21" s="219">
        <v>0</v>
      </c>
      <c r="K21" s="219">
        <f t="shared" si="1"/>
        <v>0</v>
      </c>
      <c r="L21" s="99"/>
    </row>
    <row r="22" spans="1:17" ht="18" customHeight="1">
      <c r="A22" s="107" t="s">
        <v>231</v>
      </c>
      <c r="B22" s="117">
        <f>SUM('（３）業績構成比'!AI14:AI20)/1000</f>
        <v>9058.0382899999986</v>
      </c>
      <c r="C22" s="219">
        <f t="shared" si="2"/>
        <v>0.1949771785752267</v>
      </c>
      <c r="D22" s="219">
        <v>0.18822289904739795</v>
      </c>
      <c r="E22" s="219">
        <f t="shared" si="3"/>
        <v>6.7542795278287548E-3</v>
      </c>
      <c r="G22" s="107" t="s">
        <v>237</v>
      </c>
      <c r="H22" s="117">
        <f>SUM('（４）訂單數量構成比'!AI14:AI20)</f>
        <v>239808</v>
      </c>
      <c r="I22" s="219">
        <f t="shared" si="4"/>
        <v>0.15668564080851799</v>
      </c>
      <c r="J22" s="219">
        <v>0.15374530994621455</v>
      </c>
      <c r="K22" s="219">
        <f t="shared" si="1"/>
        <v>2.9403308623034419E-3</v>
      </c>
      <c r="L22" s="99"/>
    </row>
    <row r="23" spans="1:17" ht="18" customHeight="1">
      <c r="A23" s="107" t="s">
        <v>233</v>
      </c>
      <c r="B23" s="117">
        <f>SUM('（３）業績構成比'!AK14:AK20)/1000</f>
        <v>2155.0700200000001</v>
      </c>
      <c r="C23" s="219">
        <f t="shared" si="2"/>
        <v>4.6388573185382004E-2</v>
      </c>
      <c r="D23" s="219">
        <v>2.1685926883053666E-2</v>
      </c>
      <c r="E23" s="219">
        <f t="shared" si="3"/>
        <v>2.4702646302328338E-2</v>
      </c>
      <c r="G23" s="107" t="s">
        <v>232</v>
      </c>
      <c r="H23" s="117">
        <f>SUM('（４）訂單數量構成比'!AK14:AK20)</f>
        <v>75312</v>
      </c>
      <c r="I23" s="219">
        <f t="shared" si="4"/>
        <v>4.9207319941666272E-2</v>
      </c>
      <c r="J23" s="219">
        <v>2.6346814460020015E-2</v>
      </c>
      <c r="K23" s="219">
        <f t="shared" si="1"/>
        <v>2.2860505481646257E-2</v>
      </c>
      <c r="L23" s="99"/>
    </row>
    <row r="24" spans="1:17" ht="15.75" customHeight="1">
      <c r="B24" s="102"/>
      <c r="C24" s="112">
        <f>SUM(C15:C23)</f>
        <v>1</v>
      </c>
      <c r="D24" s="112">
        <f>SUM(D15:D23)</f>
        <v>1</v>
      </c>
      <c r="I24" s="112">
        <f>SUM(I15:I23)</f>
        <v>1</v>
      </c>
      <c r="J24" s="112">
        <f>SUM(J15:J23)</f>
        <v>0.99999999999999989</v>
      </c>
      <c r="L24" s="99"/>
    </row>
    <row r="25" spans="1:17" ht="9.65" customHeight="1">
      <c r="A25" s="113"/>
      <c r="L25" s="99"/>
    </row>
    <row r="26" spans="1:17" ht="15.75" customHeight="1">
      <c r="A26" s="110" t="s">
        <v>421</v>
      </c>
      <c r="L26" s="99"/>
    </row>
    <row r="27" spans="1:17" ht="15.75" customHeight="1">
      <c r="A27" s="107" t="s">
        <v>188</v>
      </c>
      <c r="B27" s="159" t="s">
        <v>328</v>
      </c>
      <c r="C27" s="159" t="s">
        <v>330</v>
      </c>
      <c r="D27" s="107" t="s">
        <v>2</v>
      </c>
      <c r="E27" s="107" t="s">
        <v>3</v>
      </c>
      <c r="L27" s="99"/>
    </row>
    <row r="28" spans="1:17" ht="18" customHeight="1">
      <c r="A28" s="107" t="s">
        <v>382</v>
      </c>
      <c r="B28" s="210">
        <f>'（５-1）品群別人時生產性(18℃-飯糰)'!L47</f>
        <v>791.32419047930159</v>
      </c>
      <c r="C28" s="210">
        <v>786.32217224098804</v>
      </c>
      <c r="D28" s="221">
        <f>B28-C28</f>
        <v>5.0020182383135534</v>
      </c>
      <c r="E28" s="222">
        <f>'（５-1）品群別人時生產性(18℃-飯糰)'!C1</f>
        <v>791.32419047930159</v>
      </c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3"/>
    </row>
    <row r="29" spans="1:17" ht="18" customHeight="1">
      <c r="A29" s="107" t="s">
        <v>222</v>
      </c>
      <c r="B29" s="210">
        <f>'（５-2）品群別人時生產性(18℃-壽司手卷)'!L27</f>
        <v>298.03263700552321</v>
      </c>
      <c r="C29" s="210">
        <v>297.77180396992856</v>
      </c>
      <c r="D29" s="221">
        <f>B29-C29</f>
        <v>0.26083303559465776</v>
      </c>
      <c r="E29" s="222">
        <f>'（５-2）品群別人時生產性(18℃-壽司手卷)'!C1</f>
        <v>298.03263700552321</v>
      </c>
      <c r="G29" s="124"/>
      <c r="H29" s="124"/>
      <c r="I29" s="125"/>
      <c r="J29" s="1"/>
      <c r="K29" s="126"/>
      <c r="L29" s="67"/>
      <c r="M29" s="66"/>
      <c r="N29" s="67"/>
      <c r="O29" s="67"/>
      <c r="P29" s="67"/>
      <c r="Q29" s="67"/>
    </row>
    <row r="30" spans="1:17" ht="18" customHeight="1">
      <c r="A30" s="107" t="s">
        <v>235</v>
      </c>
      <c r="B30" s="210">
        <f>'（５-3）品群別人時生產性(4℃-飯糰)'!L27</f>
        <v>118.59923076923076</v>
      </c>
      <c r="C30" s="210">
        <v>118.59923076923076</v>
      </c>
      <c r="D30" s="221">
        <f>B30-C30</f>
        <v>0</v>
      </c>
      <c r="E30" s="222">
        <f>'（５-3）品群別人時生產性(4℃-飯糰)'!C1</f>
        <v>118.59923076923076</v>
      </c>
      <c r="L30" s="99"/>
    </row>
    <row r="31" spans="1:17" ht="18" customHeight="1">
      <c r="A31" s="107" t="s">
        <v>220</v>
      </c>
      <c r="B31" s="210">
        <f>'（５-4）品群別人時生產性(4℃-壽司手卷)'!L27</f>
        <v>370.2926925356922</v>
      </c>
      <c r="C31" s="210">
        <v>353.61817387960917</v>
      </c>
      <c r="D31" s="221">
        <f>B31-C31</f>
        <v>16.674518656083023</v>
      </c>
      <c r="E31" s="222">
        <f>'（５-4）品群別人時生產性(4℃-壽司手卷)'!C1</f>
        <v>370.2926925356922</v>
      </c>
      <c r="L31" s="99"/>
    </row>
    <row r="32" spans="1:17" ht="18" customHeight="1">
      <c r="A32" s="107" t="s">
        <v>225</v>
      </c>
      <c r="B32" s="210">
        <f>'（５-5）品群別人時生產性(微波主食) '!L27</f>
        <v>83.410713746625532</v>
      </c>
      <c r="C32" s="210">
        <v>72.075561803646522</v>
      </c>
      <c r="D32" s="221">
        <f t="shared" ref="D32:D36" si="5">B32-C32</f>
        <v>11.33515194297901</v>
      </c>
      <c r="E32" s="222">
        <f>'（５-5）品群別人時生產性(微波主食) '!C1</f>
        <v>83.410713746625532</v>
      </c>
      <c r="L32" s="99"/>
    </row>
    <row r="33" spans="1:12" ht="18" customHeight="1">
      <c r="A33" s="107" t="s">
        <v>226</v>
      </c>
      <c r="B33" s="210">
        <f>'（５-6）品群別人時生產性(便當)'!L27</f>
        <v>79.415024817647932</v>
      </c>
      <c r="C33" s="210">
        <v>79.739368904594443</v>
      </c>
      <c r="D33" s="221">
        <f t="shared" si="5"/>
        <v>-0.3243440869465104</v>
      </c>
      <c r="E33" s="222">
        <f>'（５-6）品群別人時生產性(便當)'!C1</f>
        <v>79.415024817647932</v>
      </c>
      <c r="L33" s="99"/>
    </row>
    <row r="34" spans="1:12" ht="18" customHeight="1">
      <c r="A34" s="107" t="s">
        <v>236</v>
      </c>
      <c r="B34" s="210">
        <f>'（５-7）品群別人時生產性(熱食義麵) '!L27</f>
        <v>0</v>
      </c>
      <c r="C34" s="210">
        <v>0</v>
      </c>
      <c r="D34" s="221">
        <f t="shared" si="5"/>
        <v>0</v>
      </c>
      <c r="E34" s="222">
        <f>'（５-7）品群別人時生產性(熱食義麵) '!C1</f>
        <v>0</v>
      </c>
      <c r="L34" s="99"/>
    </row>
    <row r="35" spans="1:12" ht="18" customHeight="1">
      <c r="A35" s="107" t="s">
        <v>237</v>
      </c>
      <c r="B35" s="210">
        <f>'（５-8）品群別人時生產性(季節調理麵) '!L27</f>
        <v>156.7690587103622</v>
      </c>
      <c r="C35" s="210">
        <v>159.97979588555501</v>
      </c>
      <c r="D35" s="221">
        <f t="shared" si="5"/>
        <v>-3.2107371751928042</v>
      </c>
      <c r="E35" s="222">
        <f>'（５-8）品群別人時生產性(季節調理麵) '!C1</f>
        <v>156.7690587103622</v>
      </c>
      <c r="L35" s="99"/>
    </row>
    <row r="36" spans="1:12" ht="18" customHeight="1">
      <c r="A36" s="103" t="s">
        <v>232</v>
      </c>
      <c r="B36" s="210">
        <f>'（５-9）品群別人時生產性(微波小吃)'!L27</f>
        <v>121.82807875885263</v>
      </c>
      <c r="C36" s="210">
        <v>114.90234457160523</v>
      </c>
      <c r="D36" s="221">
        <f t="shared" si="5"/>
        <v>6.9257341872474001</v>
      </c>
      <c r="E36" s="223">
        <f>'（５-9）品群別人時生產性(微波小吃)'!C1</f>
        <v>121.82807875885263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  <pageSetUpPr fitToPage="1"/>
  </sheetPr>
  <dimension ref="B2:W46"/>
  <sheetViews>
    <sheetView zoomScale="80" zoomScaleNormal="80" workbookViewId="0">
      <selection activeCell="G12" sqref="G12:G18"/>
    </sheetView>
  </sheetViews>
  <sheetFormatPr defaultColWidth="8.81640625" defaultRowHeight="13.5"/>
  <cols>
    <col min="1" max="1" width="8.81640625" style="75"/>
    <col min="2" max="2" width="12.54296875" style="78" customWidth="1"/>
    <col min="3" max="3" width="8.81640625" style="75"/>
    <col min="4" max="4" width="17.453125" style="77" customWidth="1"/>
    <col min="5" max="5" width="4.453125" style="77" customWidth="1"/>
    <col min="6" max="8" width="19.54296875" style="81" customWidth="1"/>
    <col min="9" max="13" width="19.54296875" style="82" customWidth="1"/>
    <col min="14" max="14" width="19.54296875" style="83" customWidth="1"/>
    <col min="15" max="17" width="19.54296875" style="84" customWidth="1"/>
    <col min="18" max="20" width="19.54296875" style="83" customWidth="1"/>
    <col min="21" max="21" width="19.54296875" style="84" customWidth="1"/>
    <col min="22" max="23" width="19.54296875" style="75" customWidth="1"/>
    <col min="24" max="16384" width="8.81640625" style="75"/>
  </cols>
  <sheetData>
    <row r="2" spans="2:23" ht="38.15" customHeight="1">
      <c r="B2" s="515" t="s">
        <v>126</v>
      </c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</row>
    <row r="3" spans="2:23" s="77" customFormat="1" ht="23.5" customHeight="1">
      <c r="B3" s="519" t="s">
        <v>122</v>
      </c>
      <c r="C3" s="520" t="s">
        <v>119</v>
      </c>
      <c r="D3" s="521" t="s">
        <v>105</v>
      </c>
      <c r="E3" s="521"/>
      <c r="F3" s="518" t="s">
        <v>123</v>
      </c>
      <c r="G3" s="518"/>
      <c r="H3" s="518"/>
      <c r="I3" s="516" t="s">
        <v>124</v>
      </c>
      <c r="J3" s="516"/>
      <c r="K3" s="516"/>
      <c r="L3" s="517" t="s">
        <v>125</v>
      </c>
      <c r="M3" s="517"/>
      <c r="N3" s="517"/>
      <c r="O3" s="514" t="s">
        <v>127</v>
      </c>
      <c r="P3" s="514"/>
      <c r="Q3" s="514"/>
      <c r="R3" s="522" t="s">
        <v>128</v>
      </c>
      <c r="S3" s="522"/>
      <c r="T3" s="522"/>
      <c r="U3" s="514" t="s">
        <v>129</v>
      </c>
      <c r="V3" s="514"/>
      <c r="W3" s="514"/>
    </row>
    <row r="4" spans="2:23" s="77" customFormat="1" ht="23.5" customHeight="1">
      <c r="B4" s="519"/>
      <c r="C4" s="520"/>
      <c r="D4" s="521"/>
      <c r="E4" s="521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512">
        <v>46176</v>
      </c>
      <c r="C5" s="507" t="s">
        <v>114</v>
      </c>
      <c r="D5" s="80">
        <v>46168</v>
      </c>
      <c r="E5" s="80" t="s">
        <v>118</v>
      </c>
      <c r="F5" s="164">
        <v>6878064.2100000009</v>
      </c>
      <c r="G5" s="510">
        <f>SUM(F5:F11)</f>
        <v>45743869.07</v>
      </c>
      <c r="H5" s="510"/>
      <c r="I5" s="214">
        <v>228475</v>
      </c>
      <c r="J5" s="511">
        <f t="shared" ref="J5" si="0">SUM(I5:I11)</f>
        <v>1514908</v>
      </c>
      <c r="K5" s="511"/>
      <c r="L5" s="164">
        <v>4648295.0641478356</v>
      </c>
      <c r="M5" s="510">
        <f t="shared" ref="M5" si="1">SUM(L5:L11)</f>
        <v>30950167.476616293</v>
      </c>
      <c r="N5" s="510"/>
      <c r="O5" s="154">
        <f t="shared" ref="O5:O32" si="2">L5/F5</f>
        <v>0.67581443298969068</v>
      </c>
      <c r="P5" s="509">
        <f>M5/G5</f>
        <v>0.67659706329725844</v>
      </c>
      <c r="Q5" s="506"/>
      <c r="R5" s="165">
        <v>946742.79</v>
      </c>
      <c r="S5" s="508">
        <f t="shared" ref="S5" si="3">SUM(R5:R11)</f>
        <v>6254241.0459999992</v>
      </c>
      <c r="T5" s="510"/>
      <c r="U5" s="154">
        <f t="shared" ref="U5:U32" si="4">R5/F5</f>
        <v>0.13764669260044607</v>
      </c>
      <c r="V5" s="509">
        <f>S5/G5</f>
        <v>0.13672304448994871</v>
      </c>
      <c r="W5" s="506"/>
    </row>
    <row r="6" spans="2:23">
      <c r="B6" s="513"/>
      <c r="C6" s="507"/>
      <c r="D6" s="80">
        <f t="shared" ref="D6:D42" si="5">D5+1</f>
        <v>46169</v>
      </c>
      <c r="E6" s="80" t="s">
        <v>112</v>
      </c>
      <c r="F6" s="164">
        <v>6712279.8799999999</v>
      </c>
      <c r="G6" s="510"/>
      <c r="H6" s="510"/>
      <c r="I6" s="214">
        <v>223731</v>
      </c>
      <c r="J6" s="511"/>
      <c r="K6" s="511"/>
      <c r="L6" s="164">
        <v>4588154.6924074236</v>
      </c>
      <c r="M6" s="510"/>
      <c r="N6" s="510"/>
      <c r="O6" s="154">
        <f t="shared" si="2"/>
        <v>0.68354639175257748</v>
      </c>
      <c r="P6" s="509"/>
      <c r="Q6" s="506"/>
      <c r="R6" s="165">
        <v>911346.69</v>
      </c>
      <c r="S6" s="508"/>
      <c r="T6" s="510"/>
      <c r="U6" s="154">
        <f t="shared" si="4"/>
        <v>0.13577304675799662</v>
      </c>
      <c r="V6" s="509"/>
      <c r="W6" s="506"/>
    </row>
    <row r="7" spans="2:23">
      <c r="B7" s="513"/>
      <c r="C7" s="507"/>
      <c r="D7" s="80">
        <f t="shared" si="5"/>
        <v>46170</v>
      </c>
      <c r="E7" s="80" t="s">
        <v>113</v>
      </c>
      <c r="F7" s="164">
        <v>6322728.4299999997</v>
      </c>
      <c r="G7" s="510"/>
      <c r="H7" s="510"/>
      <c r="I7" s="214">
        <v>210315</v>
      </c>
      <c r="J7" s="511"/>
      <c r="K7" s="511"/>
      <c r="L7" s="164">
        <v>4256043.6093651541</v>
      </c>
      <c r="M7" s="510"/>
      <c r="N7" s="510"/>
      <c r="O7" s="154">
        <f t="shared" si="2"/>
        <v>0.67313402061855665</v>
      </c>
      <c r="P7" s="509"/>
      <c r="Q7" s="506"/>
      <c r="R7" s="165">
        <v>881006.96799999999</v>
      </c>
      <c r="S7" s="508"/>
      <c r="T7" s="510"/>
      <c r="U7" s="154">
        <f t="shared" si="4"/>
        <v>0.13933968187211862</v>
      </c>
      <c r="V7" s="509"/>
      <c r="W7" s="506"/>
    </row>
    <row r="8" spans="2:23">
      <c r="B8" s="513"/>
      <c r="C8" s="507"/>
      <c r="D8" s="80">
        <f t="shared" si="5"/>
        <v>46171</v>
      </c>
      <c r="E8" s="80" t="s">
        <v>114</v>
      </c>
      <c r="F8" s="164">
        <v>5695002.629999998</v>
      </c>
      <c r="G8" s="510"/>
      <c r="H8" s="510"/>
      <c r="I8" s="214">
        <v>188020</v>
      </c>
      <c r="J8" s="511"/>
      <c r="K8" s="511"/>
      <c r="L8" s="164">
        <v>3839371.1544971126</v>
      </c>
      <c r="M8" s="510"/>
      <c r="N8" s="510"/>
      <c r="O8" s="154">
        <f t="shared" si="2"/>
        <v>0.6741649484536083</v>
      </c>
      <c r="P8" s="509"/>
      <c r="Q8" s="506"/>
      <c r="R8" s="165">
        <v>830800.09</v>
      </c>
      <c r="S8" s="508"/>
      <c r="T8" s="510"/>
      <c r="U8" s="154">
        <f t="shared" si="4"/>
        <v>0.14588230137481081</v>
      </c>
      <c r="V8" s="509"/>
      <c r="W8" s="506"/>
    </row>
    <row r="9" spans="2:23">
      <c r="B9" s="513"/>
      <c r="C9" s="507"/>
      <c r="D9" s="80">
        <f t="shared" si="5"/>
        <v>46172</v>
      </c>
      <c r="E9" s="80" t="s">
        <v>115</v>
      </c>
      <c r="F9" s="164">
        <v>5706651.8800000008</v>
      </c>
      <c r="G9" s="510"/>
      <c r="H9" s="510"/>
      <c r="I9" s="214">
        <v>190453</v>
      </c>
      <c r="J9" s="511"/>
      <c r="K9" s="511"/>
      <c r="L9" s="164">
        <v>3894289.840667217</v>
      </c>
      <c r="M9" s="510"/>
      <c r="N9" s="510"/>
      <c r="O9" s="154">
        <f t="shared" si="2"/>
        <v>0.68241237113402065</v>
      </c>
      <c r="P9" s="509"/>
      <c r="Q9" s="506"/>
      <c r="R9" s="165">
        <v>845100.99399999995</v>
      </c>
      <c r="S9" s="508"/>
      <c r="T9" s="510"/>
      <c r="U9" s="154">
        <f t="shared" si="4"/>
        <v>0.14809051117377775</v>
      </c>
      <c r="V9" s="509"/>
      <c r="W9" s="506"/>
    </row>
    <row r="10" spans="2:23">
      <c r="B10" s="513"/>
      <c r="C10" s="507"/>
      <c r="D10" s="80">
        <f t="shared" si="5"/>
        <v>46173</v>
      </c>
      <c r="E10" s="80" t="s">
        <v>116</v>
      </c>
      <c r="F10" s="164">
        <v>7473420.7200000007</v>
      </c>
      <c r="G10" s="510"/>
      <c r="H10" s="510"/>
      <c r="I10" s="214">
        <v>243554</v>
      </c>
      <c r="J10" s="511"/>
      <c r="K10" s="511"/>
      <c r="L10" s="164">
        <v>5048334.2191472165</v>
      </c>
      <c r="M10" s="510"/>
      <c r="N10" s="510"/>
      <c r="O10" s="154">
        <f t="shared" si="2"/>
        <v>0.67550515463917515</v>
      </c>
      <c r="P10" s="509"/>
      <c r="Q10" s="506"/>
      <c r="R10" s="165">
        <v>995320.52</v>
      </c>
      <c r="S10" s="508"/>
      <c r="T10" s="510"/>
      <c r="U10" s="154">
        <f t="shared" si="4"/>
        <v>0.13318138470866123</v>
      </c>
      <c r="V10" s="509"/>
      <c r="W10" s="506"/>
    </row>
    <row r="11" spans="2:23">
      <c r="B11" s="513"/>
      <c r="C11" s="507" t="s">
        <v>115</v>
      </c>
      <c r="D11" s="80">
        <f t="shared" si="5"/>
        <v>46174</v>
      </c>
      <c r="E11" s="80" t="s">
        <v>117</v>
      </c>
      <c r="F11" s="164">
        <v>6955721.3199999994</v>
      </c>
      <c r="G11" s="510"/>
      <c r="H11" s="510">
        <f>SUM(F11:F40)</f>
        <v>53412636.719999999</v>
      </c>
      <c r="I11" s="214">
        <v>230360</v>
      </c>
      <c r="J11" s="511"/>
      <c r="K11" s="511">
        <f>SUM(I11:I40)</f>
        <v>1760864</v>
      </c>
      <c r="L11" s="164">
        <v>4675678.8963843305</v>
      </c>
      <c r="M11" s="510"/>
      <c r="N11" s="510">
        <f>SUM(L11:L40)</f>
        <v>36078351.835217319</v>
      </c>
      <c r="O11" s="154">
        <f t="shared" si="2"/>
        <v>0.67220618556701051</v>
      </c>
      <c r="P11" s="509"/>
      <c r="Q11" s="506">
        <f>N11/H11</f>
        <v>0.67546472240918276</v>
      </c>
      <c r="R11" s="165">
        <v>843922.99399999995</v>
      </c>
      <c r="S11" s="508"/>
      <c r="T11" s="510">
        <f>SUM(R11:R40)</f>
        <v>7300089.6300000008</v>
      </c>
      <c r="U11" s="154">
        <f t="shared" si="4"/>
        <v>0.12132789040490197</v>
      </c>
      <c r="V11" s="509"/>
      <c r="W11" s="506">
        <f>T11/H11</f>
        <v>0.13667345553953025</v>
      </c>
    </row>
    <row r="12" spans="2:23">
      <c r="B12" s="512">
        <f>B5+7</f>
        <v>46183</v>
      </c>
      <c r="C12" s="507"/>
      <c r="D12" s="80">
        <f t="shared" si="5"/>
        <v>46175</v>
      </c>
      <c r="E12" s="80" t="s">
        <v>118</v>
      </c>
      <c r="F12" s="164">
        <v>7317703.0300000003</v>
      </c>
      <c r="G12" s="510">
        <f>SUM(F12:F18)</f>
        <v>46456915.399999999</v>
      </c>
      <c r="H12" s="510"/>
      <c r="I12" s="214">
        <v>241153</v>
      </c>
      <c r="J12" s="511">
        <f t="shared" ref="J12" si="6">SUM(I12:I18)</f>
        <v>1530504</v>
      </c>
      <c r="K12" s="511"/>
      <c r="L12" s="164">
        <v>4901653.9863012377</v>
      </c>
      <c r="M12" s="510">
        <f t="shared" ref="M12" si="7">SUM(L12:L18)</f>
        <v>31402672.938832991</v>
      </c>
      <c r="N12" s="510"/>
      <c r="O12" s="154">
        <f t="shared" si="2"/>
        <v>0.66983505154639178</v>
      </c>
      <c r="P12" s="509">
        <f>M12/G12</f>
        <v>0.67595260400850876</v>
      </c>
      <c r="Q12" s="506"/>
      <c r="R12" s="165">
        <v>989402.71</v>
      </c>
      <c r="S12" s="508">
        <f t="shared" ref="S12" si="8">SUM(R12:R18)</f>
        <v>6456166.6359999999</v>
      </c>
      <c r="T12" s="510"/>
      <c r="U12" s="154">
        <f t="shared" si="4"/>
        <v>0.13520673166754621</v>
      </c>
      <c r="V12" s="509">
        <f>S12/G12</f>
        <v>0.13897105695484896</v>
      </c>
      <c r="W12" s="506"/>
    </row>
    <row r="13" spans="2:23">
      <c r="B13" s="513"/>
      <c r="C13" s="507"/>
      <c r="D13" s="80">
        <f t="shared" si="5"/>
        <v>46176</v>
      </c>
      <c r="E13" s="80" t="s">
        <v>112</v>
      </c>
      <c r="F13" s="164">
        <v>6765416.6999999993</v>
      </c>
      <c r="G13" s="510"/>
      <c r="H13" s="510"/>
      <c r="I13" s="214">
        <v>224497</v>
      </c>
      <c r="J13" s="511"/>
      <c r="K13" s="511"/>
      <c r="L13" s="164">
        <v>4515671.5342762889</v>
      </c>
      <c r="M13" s="510"/>
      <c r="N13" s="510"/>
      <c r="O13" s="154">
        <f t="shared" si="2"/>
        <v>0.66746391752577328</v>
      </c>
      <c r="P13" s="509"/>
      <c r="Q13" s="506"/>
      <c r="R13" s="165">
        <v>930479.73400000005</v>
      </c>
      <c r="S13" s="508"/>
      <c r="T13" s="510"/>
      <c r="U13" s="154">
        <f t="shared" si="4"/>
        <v>0.13753472627931404</v>
      </c>
      <c r="V13" s="509"/>
      <c r="W13" s="506"/>
    </row>
    <row r="14" spans="2:23">
      <c r="B14" s="513"/>
      <c r="C14" s="507"/>
      <c r="D14" s="80">
        <f t="shared" si="5"/>
        <v>46177</v>
      </c>
      <c r="E14" s="80" t="s">
        <v>113</v>
      </c>
      <c r="F14" s="164">
        <v>6422003.3399999999</v>
      </c>
      <c r="G14" s="510"/>
      <c r="H14" s="510"/>
      <c r="I14" s="214">
        <v>214546</v>
      </c>
      <c r="J14" s="511"/>
      <c r="K14" s="511"/>
      <c r="L14" s="164">
        <v>4430123.0050800005</v>
      </c>
      <c r="M14" s="510"/>
      <c r="N14" s="510"/>
      <c r="O14" s="154">
        <f t="shared" si="2"/>
        <v>0.6898350515463918</v>
      </c>
      <c r="P14" s="509"/>
      <c r="Q14" s="506"/>
      <c r="R14" s="165">
        <v>888963.79200000002</v>
      </c>
      <c r="S14" s="508"/>
      <c r="T14" s="510"/>
      <c r="U14" s="154">
        <f t="shared" si="4"/>
        <v>0.13842468540354264</v>
      </c>
      <c r="V14" s="509"/>
      <c r="W14" s="506"/>
    </row>
    <row r="15" spans="2:23">
      <c r="B15" s="513"/>
      <c r="C15" s="507"/>
      <c r="D15" s="80">
        <f t="shared" si="5"/>
        <v>46178</v>
      </c>
      <c r="E15" s="80" t="s">
        <v>114</v>
      </c>
      <c r="F15" s="164">
        <v>5340875.8999999994</v>
      </c>
      <c r="G15" s="510"/>
      <c r="H15" s="510"/>
      <c r="I15" s="214">
        <v>177694</v>
      </c>
      <c r="J15" s="511"/>
      <c r="K15" s="511"/>
      <c r="L15" s="164">
        <v>3671108.8634701027</v>
      </c>
      <c r="M15" s="510"/>
      <c r="N15" s="510"/>
      <c r="O15" s="154">
        <f t="shared" si="2"/>
        <v>0.68736082474226801</v>
      </c>
      <c r="P15" s="509"/>
      <c r="Q15" s="506"/>
      <c r="R15" s="165">
        <v>822252.59400000004</v>
      </c>
      <c r="S15" s="508"/>
      <c r="T15" s="510"/>
      <c r="U15" s="154">
        <f t="shared" si="4"/>
        <v>0.15395463392062717</v>
      </c>
      <c r="V15" s="509"/>
      <c r="W15" s="506"/>
    </row>
    <row r="16" spans="2:23">
      <c r="B16" s="513"/>
      <c r="C16" s="507"/>
      <c r="D16" s="80">
        <f t="shared" si="5"/>
        <v>46179</v>
      </c>
      <c r="E16" s="80" t="s">
        <v>115</v>
      </c>
      <c r="F16" s="164">
        <v>5830113.3399999999</v>
      </c>
      <c r="G16" s="510"/>
      <c r="H16" s="510"/>
      <c r="I16" s="214">
        <v>192072</v>
      </c>
      <c r="J16" s="511"/>
      <c r="K16" s="511"/>
      <c r="L16" s="164">
        <v>3916033.0366428862</v>
      </c>
      <c r="M16" s="510"/>
      <c r="N16" s="510"/>
      <c r="O16" s="154">
        <f t="shared" si="2"/>
        <v>0.67169072164948451</v>
      </c>
      <c r="P16" s="509"/>
      <c r="Q16" s="506"/>
      <c r="R16" s="165">
        <v>859500.82</v>
      </c>
      <c r="S16" s="508"/>
      <c r="T16" s="510"/>
      <c r="U16" s="154">
        <f t="shared" si="4"/>
        <v>0.14742437580124299</v>
      </c>
      <c r="V16" s="509"/>
      <c r="W16" s="506"/>
    </row>
    <row r="17" spans="2:23">
      <c r="B17" s="513"/>
      <c r="C17" s="507"/>
      <c r="D17" s="80">
        <f t="shared" si="5"/>
        <v>46180</v>
      </c>
      <c r="E17" s="80" t="s">
        <v>116</v>
      </c>
      <c r="F17" s="164">
        <v>7640961.5300000003</v>
      </c>
      <c r="G17" s="510"/>
      <c r="H17" s="510"/>
      <c r="I17" s="214">
        <v>246810</v>
      </c>
      <c r="J17" s="511"/>
      <c r="K17" s="511"/>
      <c r="L17" s="164">
        <v>5135513.8761527846</v>
      </c>
      <c r="M17" s="510"/>
      <c r="N17" s="510"/>
      <c r="O17" s="154">
        <f t="shared" si="2"/>
        <v>0.67210309278350522</v>
      </c>
      <c r="P17" s="509"/>
      <c r="Q17" s="506"/>
      <c r="R17" s="165">
        <v>999498.054</v>
      </c>
      <c r="S17" s="508"/>
      <c r="T17" s="510"/>
      <c r="U17" s="154">
        <f t="shared" si="4"/>
        <v>0.13080788982849387</v>
      </c>
      <c r="V17" s="509"/>
      <c r="W17" s="506"/>
    </row>
    <row r="18" spans="2:23">
      <c r="B18" s="513"/>
      <c r="C18" s="507"/>
      <c r="D18" s="80">
        <f t="shared" si="5"/>
        <v>46181</v>
      </c>
      <c r="E18" s="80" t="s">
        <v>117</v>
      </c>
      <c r="F18" s="164">
        <v>7139841.5599999996</v>
      </c>
      <c r="G18" s="510"/>
      <c r="H18" s="510"/>
      <c r="I18" s="214">
        <v>233732</v>
      </c>
      <c r="J18" s="511"/>
      <c r="K18" s="511"/>
      <c r="L18" s="164">
        <v>4832568.6369096898</v>
      </c>
      <c r="M18" s="510"/>
      <c r="N18" s="510"/>
      <c r="O18" s="154">
        <f t="shared" si="2"/>
        <v>0.67684536082474223</v>
      </c>
      <c r="P18" s="509"/>
      <c r="Q18" s="506"/>
      <c r="R18" s="165">
        <v>966068.93200000003</v>
      </c>
      <c r="S18" s="508"/>
      <c r="T18" s="510"/>
      <c r="U18" s="154">
        <f t="shared" si="4"/>
        <v>0.13530677451055373</v>
      </c>
      <c r="V18" s="509"/>
      <c r="W18" s="506"/>
    </row>
    <row r="19" spans="2:23">
      <c r="B19" s="512">
        <f>B12+7</f>
        <v>46190</v>
      </c>
      <c r="C19" s="507"/>
      <c r="D19" s="80">
        <f t="shared" si="5"/>
        <v>46182</v>
      </c>
      <c r="E19" s="80" t="s">
        <v>118</v>
      </c>
      <c r="F19" s="164"/>
      <c r="G19" s="510">
        <f>SUM(F19:F25)</f>
        <v>0</v>
      </c>
      <c r="H19" s="510"/>
      <c r="I19" s="214"/>
      <c r="J19" s="511">
        <f t="shared" ref="J19" si="9">SUM(I19:I25)</f>
        <v>0</v>
      </c>
      <c r="K19" s="511"/>
      <c r="L19" s="164"/>
      <c r="M19" s="510">
        <f t="shared" ref="M19" si="10">SUM(L19:L25)</f>
        <v>0</v>
      </c>
      <c r="N19" s="510"/>
      <c r="O19" s="154" t="e">
        <f t="shared" si="2"/>
        <v>#DIV/0!</v>
      </c>
      <c r="P19" s="509" t="e">
        <f>M19/G19</f>
        <v>#DIV/0!</v>
      </c>
      <c r="Q19" s="506"/>
      <c r="R19" s="165"/>
      <c r="S19" s="508">
        <f t="shared" ref="S19" si="11">SUM(R19:R25)</f>
        <v>0</v>
      </c>
      <c r="T19" s="510"/>
      <c r="U19" s="154" t="e">
        <f t="shared" si="4"/>
        <v>#DIV/0!</v>
      </c>
      <c r="V19" s="509" t="e">
        <f>S19/G19</f>
        <v>#DIV/0!</v>
      </c>
      <c r="W19" s="506"/>
    </row>
    <row r="20" spans="2:23">
      <c r="B20" s="513"/>
      <c r="C20" s="507"/>
      <c r="D20" s="80">
        <f t="shared" si="5"/>
        <v>46183</v>
      </c>
      <c r="E20" s="80" t="s">
        <v>112</v>
      </c>
      <c r="F20" s="164"/>
      <c r="G20" s="510"/>
      <c r="H20" s="510"/>
      <c r="I20" s="214"/>
      <c r="J20" s="511"/>
      <c r="K20" s="511"/>
      <c r="L20" s="164"/>
      <c r="M20" s="510"/>
      <c r="N20" s="510"/>
      <c r="O20" s="154" t="e">
        <f t="shared" si="2"/>
        <v>#DIV/0!</v>
      </c>
      <c r="P20" s="509"/>
      <c r="Q20" s="506"/>
      <c r="R20" s="165"/>
      <c r="S20" s="508"/>
      <c r="T20" s="510"/>
      <c r="U20" s="154" t="e">
        <f t="shared" si="4"/>
        <v>#DIV/0!</v>
      </c>
      <c r="V20" s="509"/>
      <c r="W20" s="506"/>
    </row>
    <row r="21" spans="2:23">
      <c r="B21" s="513"/>
      <c r="C21" s="507"/>
      <c r="D21" s="80">
        <f t="shared" si="5"/>
        <v>46184</v>
      </c>
      <c r="E21" s="80" t="s">
        <v>113</v>
      </c>
      <c r="F21" s="164"/>
      <c r="G21" s="510"/>
      <c r="H21" s="510"/>
      <c r="I21" s="214"/>
      <c r="J21" s="511"/>
      <c r="K21" s="511"/>
      <c r="L21" s="164"/>
      <c r="M21" s="510"/>
      <c r="N21" s="510"/>
      <c r="O21" s="154" t="e">
        <f t="shared" si="2"/>
        <v>#DIV/0!</v>
      </c>
      <c r="P21" s="509"/>
      <c r="Q21" s="506"/>
      <c r="R21" s="165"/>
      <c r="S21" s="508"/>
      <c r="T21" s="510"/>
      <c r="U21" s="154" t="e">
        <f t="shared" si="4"/>
        <v>#DIV/0!</v>
      </c>
      <c r="V21" s="509"/>
      <c r="W21" s="506"/>
    </row>
    <row r="22" spans="2:23">
      <c r="B22" s="513"/>
      <c r="C22" s="507"/>
      <c r="D22" s="80">
        <f t="shared" si="5"/>
        <v>46185</v>
      </c>
      <c r="E22" s="80" t="s">
        <v>114</v>
      </c>
      <c r="F22" s="164"/>
      <c r="G22" s="510"/>
      <c r="H22" s="510"/>
      <c r="I22" s="214"/>
      <c r="J22" s="511"/>
      <c r="K22" s="511"/>
      <c r="L22" s="164"/>
      <c r="M22" s="510"/>
      <c r="N22" s="510"/>
      <c r="O22" s="154" t="e">
        <f t="shared" si="2"/>
        <v>#DIV/0!</v>
      </c>
      <c r="P22" s="509"/>
      <c r="Q22" s="506"/>
      <c r="R22" s="165"/>
      <c r="S22" s="508"/>
      <c r="T22" s="510"/>
      <c r="U22" s="154" t="e">
        <f t="shared" si="4"/>
        <v>#DIV/0!</v>
      </c>
      <c r="V22" s="509"/>
      <c r="W22" s="506"/>
    </row>
    <row r="23" spans="2:23">
      <c r="B23" s="513"/>
      <c r="C23" s="507"/>
      <c r="D23" s="80">
        <f t="shared" si="5"/>
        <v>46186</v>
      </c>
      <c r="E23" s="80" t="s">
        <v>115</v>
      </c>
      <c r="F23" s="164"/>
      <c r="G23" s="510"/>
      <c r="H23" s="510"/>
      <c r="I23" s="214"/>
      <c r="J23" s="511"/>
      <c r="K23" s="511"/>
      <c r="L23" s="164"/>
      <c r="M23" s="510"/>
      <c r="N23" s="510"/>
      <c r="O23" s="154" t="e">
        <f t="shared" si="2"/>
        <v>#DIV/0!</v>
      </c>
      <c r="P23" s="509"/>
      <c r="Q23" s="506"/>
      <c r="R23" s="165"/>
      <c r="S23" s="508"/>
      <c r="T23" s="510"/>
      <c r="U23" s="154" t="e">
        <f t="shared" si="4"/>
        <v>#DIV/0!</v>
      </c>
      <c r="V23" s="509"/>
      <c r="W23" s="506"/>
    </row>
    <row r="24" spans="2:23">
      <c r="B24" s="513"/>
      <c r="C24" s="507"/>
      <c r="D24" s="80">
        <f t="shared" si="5"/>
        <v>46187</v>
      </c>
      <c r="E24" s="80" t="s">
        <v>116</v>
      </c>
      <c r="F24" s="164"/>
      <c r="G24" s="510"/>
      <c r="H24" s="510"/>
      <c r="I24" s="214"/>
      <c r="J24" s="511"/>
      <c r="K24" s="511"/>
      <c r="L24" s="164"/>
      <c r="M24" s="510"/>
      <c r="N24" s="510"/>
      <c r="O24" s="154" t="e">
        <f t="shared" si="2"/>
        <v>#DIV/0!</v>
      </c>
      <c r="P24" s="509"/>
      <c r="Q24" s="506"/>
      <c r="R24" s="165"/>
      <c r="S24" s="508"/>
      <c r="T24" s="510"/>
      <c r="U24" s="154" t="e">
        <f t="shared" si="4"/>
        <v>#DIV/0!</v>
      </c>
      <c r="V24" s="509"/>
      <c r="W24" s="506"/>
    </row>
    <row r="25" spans="2:23">
      <c r="B25" s="513"/>
      <c r="C25" s="507"/>
      <c r="D25" s="80">
        <f t="shared" si="5"/>
        <v>46188</v>
      </c>
      <c r="E25" s="80" t="s">
        <v>117</v>
      </c>
      <c r="F25" s="164"/>
      <c r="G25" s="510"/>
      <c r="H25" s="510"/>
      <c r="I25" s="214"/>
      <c r="J25" s="511"/>
      <c r="K25" s="511"/>
      <c r="L25" s="164"/>
      <c r="M25" s="510"/>
      <c r="N25" s="510"/>
      <c r="O25" s="154" t="e">
        <f t="shared" si="2"/>
        <v>#DIV/0!</v>
      </c>
      <c r="P25" s="509"/>
      <c r="Q25" s="506"/>
      <c r="R25" s="165"/>
      <c r="S25" s="508"/>
      <c r="T25" s="510"/>
      <c r="U25" s="154" t="e">
        <f t="shared" si="4"/>
        <v>#DIV/0!</v>
      </c>
      <c r="V25" s="509"/>
      <c r="W25" s="506"/>
    </row>
    <row r="26" spans="2:23">
      <c r="B26" s="512">
        <f>B19+7</f>
        <v>46197</v>
      </c>
      <c r="C26" s="507"/>
      <c r="D26" s="80">
        <f t="shared" si="5"/>
        <v>46189</v>
      </c>
      <c r="E26" s="80" t="s">
        <v>118</v>
      </c>
      <c r="F26" s="164"/>
      <c r="G26" s="510">
        <f>SUM(F26:F32)</f>
        <v>0</v>
      </c>
      <c r="H26" s="510"/>
      <c r="I26" s="214"/>
      <c r="J26" s="511">
        <f t="shared" ref="J26" si="12">SUM(I26:I32)</f>
        <v>0</v>
      </c>
      <c r="K26" s="511"/>
      <c r="L26" s="164"/>
      <c r="M26" s="510">
        <f t="shared" ref="M26" si="13">SUM(L26:L32)</f>
        <v>0</v>
      </c>
      <c r="N26" s="510"/>
      <c r="O26" s="154" t="e">
        <f t="shared" si="2"/>
        <v>#DIV/0!</v>
      </c>
      <c r="P26" s="509" t="e">
        <f>M26/G26</f>
        <v>#DIV/0!</v>
      </c>
      <c r="Q26" s="506"/>
      <c r="R26" s="165"/>
      <c r="S26" s="508">
        <f t="shared" ref="S26" si="14">SUM(R26:R32)</f>
        <v>0</v>
      </c>
      <c r="T26" s="510"/>
      <c r="U26" s="154" t="e">
        <f t="shared" si="4"/>
        <v>#DIV/0!</v>
      </c>
      <c r="V26" s="509" t="e">
        <f>S26/G26</f>
        <v>#DIV/0!</v>
      </c>
      <c r="W26" s="506"/>
    </row>
    <row r="27" spans="2:23">
      <c r="B27" s="513"/>
      <c r="C27" s="507"/>
      <c r="D27" s="80">
        <f t="shared" si="5"/>
        <v>46190</v>
      </c>
      <c r="E27" s="80" t="s">
        <v>112</v>
      </c>
      <c r="F27" s="164"/>
      <c r="G27" s="510"/>
      <c r="H27" s="510"/>
      <c r="I27" s="214"/>
      <c r="J27" s="511"/>
      <c r="K27" s="511"/>
      <c r="L27" s="164"/>
      <c r="M27" s="510"/>
      <c r="N27" s="510"/>
      <c r="O27" s="154" t="e">
        <f t="shared" si="2"/>
        <v>#DIV/0!</v>
      </c>
      <c r="P27" s="509"/>
      <c r="Q27" s="506"/>
      <c r="R27" s="165"/>
      <c r="S27" s="508"/>
      <c r="T27" s="510"/>
      <c r="U27" s="154" t="e">
        <f t="shared" si="4"/>
        <v>#DIV/0!</v>
      </c>
      <c r="V27" s="509"/>
      <c r="W27" s="506"/>
    </row>
    <row r="28" spans="2:23">
      <c r="B28" s="513"/>
      <c r="C28" s="507"/>
      <c r="D28" s="80">
        <f t="shared" si="5"/>
        <v>46191</v>
      </c>
      <c r="E28" s="80" t="s">
        <v>113</v>
      </c>
      <c r="F28" s="164"/>
      <c r="G28" s="510"/>
      <c r="H28" s="510"/>
      <c r="I28" s="214"/>
      <c r="J28" s="511"/>
      <c r="K28" s="511"/>
      <c r="L28" s="164"/>
      <c r="M28" s="510"/>
      <c r="N28" s="510"/>
      <c r="O28" s="154" t="e">
        <f t="shared" si="2"/>
        <v>#DIV/0!</v>
      </c>
      <c r="P28" s="509"/>
      <c r="Q28" s="506"/>
      <c r="R28" s="165"/>
      <c r="S28" s="508"/>
      <c r="T28" s="510"/>
      <c r="U28" s="154" t="e">
        <f t="shared" si="4"/>
        <v>#DIV/0!</v>
      </c>
      <c r="V28" s="509"/>
      <c r="W28" s="506"/>
    </row>
    <row r="29" spans="2:23">
      <c r="B29" s="513"/>
      <c r="C29" s="507"/>
      <c r="D29" s="80">
        <f t="shared" si="5"/>
        <v>46192</v>
      </c>
      <c r="E29" s="80" t="s">
        <v>114</v>
      </c>
      <c r="F29" s="164"/>
      <c r="G29" s="510"/>
      <c r="H29" s="510"/>
      <c r="I29" s="214"/>
      <c r="J29" s="511"/>
      <c r="K29" s="511"/>
      <c r="L29" s="164"/>
      <c r="M29" s="510"/>
      <c r="N29" s="510"/>
      <c r="O29" s="154" t="e">
        <f t="shared" si="2"/>
        <v>#DIV/0!</v>
      </c>
      <c r="P29" s="509"/>
      <c r="Q29" s="506"/>
      <c r="R29" s="165"/>
      <c r="S29" s="508"/>
      <c r="T29" s="510"/>
      <c r="U29" s="154" t="e">
        <f t="shared" si="4"/>
        <v>#DIV/0!</v>
      </c>
      <c r="V29" s="509"/>
      <c r="W29" s="506"/>
    </row>
    <row r="30" spans="2:23">
      <c r="B30" s="513"/>
      <c r="C30" s="507"/>
      <c r="D30" s="80">
        <f t="shared" si="5"/>
        <v>46193</v>
      </c>
      <c r="E30" s="80" t="s">
        <v>115</v>
      </c>
      <c r="F30" s="164"/>
      <c r="G30" s="510"/>
      <c r="H30" s="510"/>
      <c r="I30" s="214"/>
      <c r="J30" s="511"/>
      <c r="K30" s="511"/>
      <c r="L30" s="164"/>
      <c r="M30" s="510"/>
      <c r="N30" s="510"/>
      <c r="O30" s="154" t="e">
        <f t="shared" si="2"/>
        <v>#DIV/0!</v>
      </c>
      <c r="P30" s="509"/>
      <c r="Q30" s="506"/>
      <c r="R30" s="165"/>
      <c r="S30" s="508"/>
      <c r="T30" s="510"/>
      <c r="U30" s="154" t="e">
        <f t="shared" si="4"/>
        <v>#DIV/0!</v>
      </c>
      <c r="V30" s="509"/>
      <c r="W30" s="506"/>
    </row>
    <row r="31" spans="2:23">
      <c r="B31" s="513"/>
      <c r="C31" s="507"/>
      <c r="D31" s="80">
        <f t="shared" si="5"/>
        <v>46194</v>
      </c>
      <c r="E31" s="80" t="s">
        <v>116</v>
      </c>
      <c r="F31" s="164"/>
      <c r="G31" s="510"/>
      <c r="H31" s="510"/>
      <c r="I31" s="214"/>
      <c r="J31" s="511"/>
      <c r="K31" s="511"/>
      <c r="L31" s="164"/>
      <c r="M31" s="510"/>
      <c r="N31" s="510"/>
      <c r="O31" s="154" t="e">
        <f t="shared" si="2"/>
        <v>#DIV/0!</v>
      </c>
      <c r="P31" s="509"/>
      <c r="Q31" s="506"/>
      <c r="R31" s="165"/>
      <c r="S31" s="508"/>
      <c r="T31" s="510"/>
      <c r="U31" s="154" t="e">
        <f t="shared" si="4"/>
        <v>#DIV/0!</v>
      </c>
      <c r="V31" s="509"/>
      <c r="W31" s="506"/>
    </row>
    <row r="32" spans="2:23">
      <c r="B32" s="513"/>
      <c r="C32" s="507"/>
      <c r="D32" s="80">
        <f t="shared" si="5"/>
        <v>46195</v>
      </c>
      <c r="E32" s="80" t="s">
        <v>117</v>
      </c>
      <c r="F32" s="164"/>
      <c r="G32" s="510"/>
      <c r="H32" s="510"/>
      <c r="I32" s="214"/>
      <c r="J32" s="511"/>
      <c r="K32" s="511"/>
      <c r="L32" s="164"/>
      <c r="M32" s="510"/>
      <c r="N32" s="510"/>
      <c r="O32" s="154" t="e">
        <f t="shared" si="2"/>
        <v>#DIV/0!</v>
      </c>
      <c r="P32" s="509"/>
      <c r="Q32" s="506"/>
      <c r="R32" s="165"/>
      <c r="S32" s="508"/>
      <c r="T32" s="510"/>
      <c r="U32" s="154" t="e">
        <f t="shared" si="4"/>
        <v>#DIV/0!</v>
      </c>
      <c r="V32" s="509"/>
      <c r="W32" s="506"/>
    </row>
    <row r="33" spans="2:23">
      <c r="B33" s="512">
        <f>B26+7</f>
        <v>46204</v>
      </c>
      <c r="C33" s="507"/>
      <c r="D33" s="80">
        <f t="shared" si="5"/>
        <v>46196</v>
      </c>
      <c r="E33" s="80" t="s">
        <v>118</v>
      </c>
      <c r="F33" s="164"/>
      <c r="G33" s="510">
        <f>SUM(F33:F39)</f>
        <v>0</v>
      </c>
      <c r="H33" s="510"/>
      <c r="I33" s="214"/>
      <c r="J33" s="511">
        <f t="shared" ref="J33" si="15">SUM(I33:I39)</f>
        <v>0</v>
      </c>
      <c r="K33" s="511"/>
      <c r="L33" s="164"/>
      <c r="M33" s="510">
        <f t="shared" ref="M33" si="16">SUM(L33:L39)</f>
        <v>0</v>
      </c>
      <c r="N33" s="510"/>
      <c r="O33" s="154" t="e">
        <f t="shared" ref="O33:O39" si="17">L33/F33</f>
        <v>#DIV/0!</v>
      </c>
      <c r="P33" s="509" t="e">
        <f>M33/G33</f>
        <v>#DIV/0!</v>
      </c>
      <c r="Q33" s="506"/>
      <c r="R33" s="165"/>
      <c r="S33" s="508">
        <f t="shared" ref="S33" si="18">SUM(R33:R39)</f>
        <v>0</v>
      </c>
      <c r="T33" s="510"/>
      <c r="U33" s="154" t="e">
        <f t="shared" ref="U33:U39" si="19">R33/F33</f>
        <v>#DIV/0!</v>
      </c>
      <c r="V33" s="509" t="e">
        <f>S33/G33</f>
        <v>#DIV/0!</v>
      </c>
      <c r="W33" s="506"/>
    </row>
    <row r="34" spans="2:23">
      <c r="B34" s="513"/>
      <c r="C34" s="507"/>
      <c r="D34" s="80">
        <f t="shared" si="5"/>
        <v>46197</v>
      </c>
      <c r="E34" s="80" t="s">
        <v>112</v>
      </c>
      <c r="F34" s="164"/>
      <c r="G34" s="510"/>
      <c r="H34" s="510"/>
      <c r="I34" s="214"/>
      <c r="J34" s="511"/>
      <c r="K34" s="511"/>
      <c r="L34" s="164"/>
      <c r="M34" s="510"/>
      <c r="N34" s="510"/>
      <c r="O34" s="154" t="e">
        <f t="shared" si="17"/>
        <v>#DIV/0!</v>
      </c>
      <c r="P34" s="509"/>
      <c r="Q34" s="506"/>
      <c r="R34" s="165"/>
      <c r="S34" s="508"/>
      <c r="T34" s="510"/>
      <c r="U34" s="154" t="e">
        <f t="shared" si="19"/>
        <v>#DIV/0!</v>
      </c>
      <c r="V34" s="509"/>
      <c r="W34" s="506"/>
    </row>
    <row r="35" spans="2:23">
      <c r="B35" s="513"/>
      <c r="C35" s="507"/>
      <c r="D35" s="80">
        <f t="shared" si="5"/>
        <v>46198</v>
      </c>
      <c r="E35" s="80" t="s">
        <v>113</v>
      </c>
      <c r="F35" s="164"/>
      <c r="G35" s="510"/>
      <c r="H35" s="510"/>
      <c r="I35" s="214"/>
      <c r="J35" s="511"/>
      <c r="K35" s="511"/>
      <c r="L35" s="164"/>
      <c r="M35" s="510"/>
      <c r="N35" s="510"/>
      <c r="O35" s="154" t="e">
        <f t="shared" si="17"/>
        <v>#DIV/0!</v>
      </c>
      <c r="P35" s="509"/>
      <c r="Q35" s="506"/>
      <c r="R35" s="165"/>
      <c r="S35" s="508"/>
      <c r="T35" s="510"/>
      <c r="U35" s="154" t="e">
        <f t="shared" si="19"/>
        <v>#DIV/0!</v>
      </c>
      <c r="V35" s="509"/>
      <c r="W35" s="506"/>
    </row>
    <row r="36" spans="2:23">
      <c r="B36" s="513"/>
      <c r="C36" s="507"/>
      <c r="D36" s="80">
        <f t="shared" si="5"/>
        <v>46199</v>
      </c>
      <c r="E36" s="80" t="s">
        <v>114</v>
      </c>
      <c r="F36" s="164"/>
      <c r="G36" s="510"/>
      <c r="H36" s="510"/>
      <c r="I36" s="214"/>
      <c r="J36" s="511"/>
      <c r="K36" s="511"/>
      <c r="L36" s="164"/>
      <c r="M36" s="510"/>
      <c r="N36" s="510"/>
      <c r="O36" s="154" t="e">
        <f t="shared" si="17"/>
        <v>#DIV/0!</v>
      </c>
      <c r="P36" s="509"/>
      <c r="Q36" s="506"/>
      <c r="R36" s="165"/>
      <c r="S36" s="508"/>
      <c r="T36" s="510"/>
      <c r="U36" s="154" t="e">
        <f t="shared" si="19"/>
        <v>#DIV/0!</v>
      </c>
      <c r="V36" s="509"/>
      <c r="W36" s="506"/>
    </row>
    <row r="37" spans="2:23">
      <c r="B37" s="513"/>
      <c r="C37" s="507"/>
      <c r="D37" s="80">
        <f t="shared" si="5"/>
        <v>46200</v>
      </c>
      <c r="E37" s="80" t="s">
        <v>115</v>
      </c>
      <c r="F37" s="164"/>
      <c r="G37" s="510"/>
      <c r="H37" s="510"/>
      <c r="I37" s="214"/>
      <c r="J37" s="511"/>
      <c r="K37" s="511"/>
      <c r="L37" s="164"/>
      <c r="M37" s="510"/>
      <c r="N37" s="510"/>
      <c r="O37" s="154" t="e">
        <f t="shared" si="17"/>
        <v>#DIV/0!</v>
      </c>
      <c r="P37" s="509"/>
      <c r="Q37" s="506"/>
      <c r="R37" s="165"/>
      <c r="S37" s="508"/>
      <c r="T37" s="510"/>
      <c r="U37" s="154" t="e">
        <f t="shared" si="19"/>
        <v>#DIV/0!</v>
      </c>
      <c r="V37" s="509"/>
      <c r="W37" s="506"/>
    </row>
    <row r="38" spans="2:23">
      <c r="B38" s="513"/>
      <c r="C38" s="507"/>
      <c r="D38" s="80">
        <f t="shared" si="5"/>
        <v>46201</v>
      </c>
      <c r="E38" s="80" t="s">
        <v>116</v>
      </c>
      <c r="F38" s="164"/>
      <c r="G38" s="510"/>
      <c r="H38" s="510"/>
      <c r="I38" s="214"/>
      <c r="J38" s="511"/>
      <c r="K38" s="511"/>
      <c r="L38" s="164"/>
      <c r="M38" s="510"/>
      <c r="N38" s="510"/>
      <c r="O38" s="154" t="e">
        <f t="shared" si="17"/>
        <v>#DIV/0!</v>
      </c>
      <c r="P38" s="509"/>
      <c r="Q38" s="506"/>
      <c r="R38" s="165"/>
      <c r="S38" s="508"/>
      <c r="T38" s="510"/>
      <c r="U38" s="154" t="e">
        <f t="shared" si="19"/>
        <v>#DIV/0!</v>
      </c>
      <c r="V38" s="509"/>
      <c r="W38" s="506"/>
    </row>
    <row r="39" spans="2:23">
      <c r="B39" s="513"/>
      <c r="C39" s="507"/>
      <c r="D39" s="80">
        <f t="shared" si="5"/>
        <v>46202</v>
      </c>
      <c r="E39" s="80" t="s">
        <v>117</v>
      </c>
      <c r="F39" s="164"/>
      <c r="G39" s="510"/>
      <c r="H39" s="510"/>
      <c r="I39" s="214"/>
      <c r="J39" s="511"/>
      <c r="K39" s="511"/>
      <c r="L39" s="164"/>
      <c r="M39" s="510"/>
      <c r="N39" s="510"/>
      <c r="O39" s="154" t="e">
        <f t="shared" si="17"/>
        <v>#DIV/0!</v>
      </c>
      <c r="P39" s="509"/>
      <c r="Q39" s="506"/>
      <c r="R39" s="165"/>
      <c r="S39" s="508"/>
      <c r="T39" s="510"/>
      <c r="U39" s="154" t="e">
        <f t="shared" si="19"/>
        <v>#DIV/0!</v>
      </c>
      <c r="V39" s="509"/>
      <c r="W39" s="506"/>
    </row>
    <row r="40" spans="2:23">
      <c r="B40" s="512">
        <f>B33+7</f>
        <v>46211</v>
      </c>
      <c r="C40" s="507"/>
      <c r="D40" s="80">
        <f t="shared" si="5"/>
        <v>46203</v>
      </c>
      <c r="E40" s="80" t="s">
        <v>118</v>
      </c>
      <c r="F40" s="164"/>
      <c r="G40" s="510">
        <f>SUM(F40:F46)</f>
        <v>0</v>
      </c>
      <c r="H40" s="510"/>
      <c r="I40" s="214"/>
      <c r="J40" s="511">
        <f t="shared" ref="J40" si="20">SUM(I40:I46)</f>
        <v>0</v>
      </c>
      <c r="K40" s="511"/>
      <c r="L40" s="164"/>
      <c r="M40" s="510">
        <f t="shared" ref="M40" si="21">SUM(L40:L46)</f>
        <v>0</v>
      </c>
      <c r="N40" s="510"/>
      <c r="O40" s="154" t="e">
        <f t="shared" ref="O40:O46" si="22">L40/F40</f>
        <v>#DIV/0!</v>
      </c>
      <c r="P40" s="509" t="e">
        <f>M40/G40</f>
        <v>#DIV/0!</v>
      </c>
      <c r="Q40" s="506"/>
      <c r="R40" s="165"/>
      <c r="S40" s="508">
        <f t="shared" ref="S40" si="23">SUM(R40:R46)</f>
        <v>0</v>
      </c>
      <c r="T40" s="510"/>
      <c r="U40" s="154" t="e">
        <f t="shared" ref="U40:U46" si="24">R40/F40</f>
        <v>#DIV/0!</v>
      </c>
      <c r="V40" s="509" t="e">
        <f>S40/G40</f>
        <v>#DIV/0!</v>
      </c>
      <c r="W40" s="506"/>
    </row>
    <row r="41" spans="2:23">
      <c r="B41" s="513"/>
      <c r="C41" s="491"/>
      <c r="D41" s="80">
        <f t="shared" si="5"/>
        <v>46204</v>
      </c>
      <c r="E41" s="80" t="s">
        <v>112</v>
      </c>
      <c r="F41" s="164"/>
      <c r="G41" s="510"/>
      <c r="H41" s="164"/>
      <c r="I41" s="214"/>
      <c r="J41" s="511"/>
      <c r="K41" s="214"/>
      <c r="L41" s="164"/>
      <c r="M41" s="510"/>
      <c r="N41" s="164"/>
      <c r="O41" s="154" t="e">
        <f t="shared" si="22"/>
        <v>#DIV/0!</v>
      </c>
      <c r="P41" s="509"/>
      <c r="Q41" s="448"/>
      <c r="R41" s="165"/>
      <c r="S41" s="508"/>
      <c r="T41" s="164"/>
      <c r="U41" s="154" t="e">
        <f t="shared" si="24"/>
        <v>#DIV/0!</v>
      </c>
      <c r="V41" s="509"/>
      <c r="W41" s="448"/>
    </row>
    <row r="42" spans="2:23">
      <c r="B42" s="513"/>
      <c r="D42" s="80">
        <f t="shared" si="5"/>
        <v>46205</v>
      </c>
      <c r="E42" s="80" t="s">
        <v>113</v>
      </c>
      <c r="F42" s="164"/>
      <c r="G42" s="510"/>
      <c r="I42" s="214"/>
      <c r="J42" s="511"/>
      <c r="L42" s="164"/>
      <c r="M42" s="510"/>
      <c r="O42" s="154" t="e">
        <f t="shared" si="22"/>
        <v>#DIV/0!</v>
      </c>
      <c r="P42" s="509"/>
      <c r="R42" s="165"/>
      <c r="S42" s="508"/>
      <c r="U42" s="154" t="e">
        <f t="shared" si="24"/>
        <v>#DIV/0!</v>
      </c>
      <c r="V42" s="509"/>
    </row>
    <row r="43" spans="2:23">
      <c r="B43" s="513"/>
      <c r="D43" s="80">
        <f t="shared" ref="D43:D46" si="25">D42+1</f>
        <v>46206</v>
      </c>
      <c r="E43" s="80" t="s">
        <v>114</v>
      </c>
      <c r="F43" s="164"/>
      <c r="G43" s="510"/>
      <c r="H43" s="164"/>
      <c r="I43" s="214"/>
      <c r="J43" s="511"/>
      <c r="K43" s="214"/>
      <c r="L43" s="164"/>
      <c r="M43" s="510"/>
      <c r="N43" s="164"/>
      <c r="O43" s="154" t="e">
        <f t="shared" si="22"/>
        <v>#DIV/0!</v>
      </c>
      <c r="P43" s="509"/>
      <c r="Q43" s="448"/>
      <c r="R43" s="165"/>
      <c r="S43" s="508"/>
      <c r="T43" s="164"/>
      <c r="U43" s="154" t="e">
        <f t="shared" si="24"/>
        <v>#DIV/0!</v>
      </c>
      <c r="V43" s="509"/>
      <c r="W43" s="448"/>
    </row>
    <row r="44" spans="2:23">
      <c r="B44" s="513"/>
      <c r="D44" s="80">
        <f t="shared" si="25"/>
        <v>46207</v>
      </c>
      <c r="E44" s="80" t="s">
        <v>115</v>
      </c>
      <c r="F44" s="164"/>
      <c r="G44" s="510"/>
      <c r="I44" s="214"/>
      <c r="J44" s="511"/>
      <c r="L44" s="164"/>
      <c r="M44" s="510"/>
      <c r="O44" s="154" t="e">
        <f t="shared" si="22"/>
        <v>#DIV/0!</v>
      </c>
      <c r="P44" s="509"/>
      <c r="R44" s="165"/>
      <c r="S44" s="508"/>
      <c r="U44" s="154" t="e">
        <f t="shared" si="24"/>
        <v>#DIV/0!</v>
      </c>
      <c r="V44" s="509"/>
    </row>
    <row r="45" spans="2:23">
      <c r="B45" s="513"/>
      <c r="D45" s="80">
        <f t="shared" si="25"/>
        <v>46208</v>
      </c>
      <c r="E45" s="80" t="s">
        <v>116</v>
      </c>
      <c r="F45" s="164"/>
      <c r="G45" s="510"/>
      <c r="I45" s="214"/>
      <c r="J45" s="511"/>
      <c r="L45" s="164"/>
      <c r="M45" s="510"/>
      <c r="O45" s="154" t="e">
        <f t="shared" si="22"/>
        <v>#DIV/0!</v>
      </c>
      <c r="P45" s="509"/>
      <c r="R45" s="165"/>
      <c r="S45" s="508"/>
      <c r="U45" s="154" t="e">
        <f t="shared" si="24"/>
        <v>#DIV/0!</v>
      </c>
      <c r="V45" s="509"/>
    </row>
    <row r="46" spans="2:23">
      <c r="B46" s="513"/>
      <c r="D46" s="80">
        <f t="shared" si="25"/>
        <v>46209</v>
      </c>
      <c r="E46" s="80" t="s">
        <v>117</v>
      </c>
      <c r="F46" s="164"/>
      <c r="G46" s="510"/>
      <c r="I46" s="214"/>
      <c r="J46" s="511"/>
      <c r="L46" s="164"/>
      <c r="M46" s="510"/>
      <c r="O46" s="154" t="e">
        <f t="shared" si="22"/>
        <v>#DIV/0!</v>
      </c>
      <c r="P46" s="509"/>
      <c r="R46" s="165"/>
      <c r="S46" s="508"/>
      <c r="U46" s="154" t="e">
        <f t="shared" si="24"/>
        <v>#DIV/0!</v>
      </c>
      <c r="V46" s="509"/>
    </row>
  </sheetData>
  <mergeCells count="66">
    <mergeCell ref="S19:S25"/>
    <mergeCell ref="W5:W10"/>
    <mergeCell ref="S26:S32"/>
    <mergeCell ref="V26:V32"/>
    <mergeCell ref="B33:B39"/>
    <mergeCell ref="G33:G39"/>
    <mergeCell ref="J33:J39"/>
    <mergeCell ref="M33:M39"/>
    <mergeCell ref="P33:P39"/>
    <mergeCell ref="S33:S39"/>
    <mergeCell ref="V33:V39"/>
    <mergeCell ref="B26:B32"/>
    <mergeCell ref="G26:G32"/>
    <mergeCell ref="J26:J32"/>
    <mergeCell ref="M26:M32"/>
    <mergeCell ref="P26:P32"/>
    <mergeCell ref="B19:B25"/>
    <mergeCell ref="G19:G25"/>
    <mergeCell ref="J19:J25"/>
    <mergeCell ref="M19:M25"/>
    <mergeCell ref="P19:P25"/>
    <mergeCell ref="B12:B18"/>
    <mergeCell ref="G12:G18"/>
    <mergeCell ref="J12:J18"/>
    <mergeCell ref="M12:M18"/>
    <mergeCell ref="P12:P18"/>
    <mergeCell ref="B5:B11"/>
    <mergeCell ref="G5:G11"/>
    <mergeCell ref="J5:J11"/>
    <mergeCell ref="M5:M11"/>
    <mergeCell ref="P5:P11"/>
    <mergeCell ref="C5:C10"/>
    <mergeCell ref="H5:H10"/>
    <mergeCell ref="K5:K10"/>
    <mergeCell ref="N5:N10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B40:B46"/>
    <mergeCell ref="G40:G46"/>
    <mergeCell ref="J40:J46"/>
    <mergeCell ref="M40:M46"/>
    <mergeCell ref="P40:P46"/>
    <mergeCell ref="W11:W40"/>
    <mergeCell ref="Q11:Q40"/>
    <mergeCell ref="C11:C40"/>
    <mergeCell ref="S40:S46"/>
    <mergeCell ref="V40:V46"/>
    <mergeCell ref="H11:H40"/>
    <mergeCell ref="K11:K40"/>
    <mergeCell ref="N11:N40"/>
    <mergeCell ref="T11:T40"/>
    <mergeCell ref="S5:S11"/>
    <mergeCell ref="V5:V11"/>
    <mergeCell ref="Q5:Q10"/>
    <mergeCell ref="T5:T10"/>
    <mergeCell ref="V19:V25"/>
    <mergeCell ref="S12:S18"/>
    <mergeCell ref="V12:V18"/>
  </mergeCells>
  <phoneticPr fontId="13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B1:W46"/>
  <sheetViews>
    <sheetView topLeftCell="A3" zoomScale="55" zoomScaleNormal="55" workbookViewId="0">
      <selection activeCell="K11" sqref="K11:K40"/>
    </sheetView>
  </sheetViews>
  <sheetFormatPr defaultColWidth="8.81640625" defaultRowHeight="13.5"/>
  <cols>
    <col min="1" max="1" width="4.453125" style="73" customWidth="1"/>
    <col min="2" max="2" width="18.54296875" style="78" bestFit="1" customWidth="1"/>
    <col min="3" max="3" width="8.81640625" style="75"/>
    <col min="4" max="4" width="17.453125" style="77" customWidth="1"/>
    <col min="5" max="5" width="4.453125" style="77" customWidth="1"/>
    <col min="6" max="8" width="25.54296875" style="88" customWidth="1"/>
    <col min="9" max="11" width="15" style="72" customWidth="1"/>
    <col min="12" max="12" width="14.54296875" style="168" customWidth="1"/>
    <col min="13" max="17" width="14.54296875" style="72" customWidth="1"/>
    <col min="18" max="21" width="14.1796875" style="72" customWidth="1"/>
    <col min="22" max="23" width="14.1796875" style="73" customWidth="1"/>
    <col min="24" max="16384" width="8.81640625" style="73"/>
  </cols>
  <sheetData>
    <row r="1" spans="2:23">
      <c r="B1" s="163" t="s">
        <v>357</v>
      </c>
      <c r="C1" s="166">
        <v>442.4</v>
      </c>
    </row>
    <row r="2" spans="2:23" ht="38.15" customHeight="1">
      <c r="B2" s="515" t="s">
        <v>130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529"/>
      <c r="S2" s="529"/>
      <c r="T2" s="529"/>
      <c r="U2" s="529"/>
    </row>
    <row r="3" spans="2:23" s="71" customFormat="1" ht="23.5" customHeight="1">
      <c r="B3" s="519" t="s">
        <v>122</v>
      </c>
      <c r="C3" s="520" t="s">
        <v>119</v>
      </c>
      <c r="D3" s="521" t="s">
        <v>105</v>
      </c>
      <c r="E3" s="521"/>
      <c r="F3" s="530" t="s">
        <v>107</v>
      </c>
      <c r="G3" s="530"/>
      <c r="H3" s="530"/>
      <c r="I3" s="532" t="s">
        <v>108</v>
      </c>
      <c r="J3" s="532"/>
      <c r="K3" s="532"/>
      <c r="L3" s="531" t="s">
        <v>324</v>
      </c>
      <c r="M3" s="531"/>
      <c r="N3" s="531"/>
      <c r="O3" s="531" t="s">
        <v>106</v>
      </c>
      <c r="P3" s="531"/>
      <c r="Q3" s="531"/>
      <c r="R3" s="531" t="s">
        <v>356</v>
      </c>
      <c r="S3" s="531"/>
      <c r="T3" s="531"/>
      <c r="U3" s="531" t="s">
        <v>426</v>
      </c>
      <c r="V3" s="531"/>
      <c r="W3" s="531"/>
    </row>
    <row r="4" spans="2:23" ht="15">
      <c r="B4" s="519"/>
      <c r="C4" s="520"/>
      <c r="D4" s="521"/>
      <c r="E4" s="521"/>
      <c r="F4" s="79" t="s">
        <v>116</v>
      </c>
      <c r="G4" s="90" t="s">
        <v>131</v>
      </c>
      <c r="H4" s="90" t="s">
        <v>132</v>
      </c>
      <c r="I4" s="79" t="s">
        <v>116</v>
      </c>
      <c r="J4" s="89" t="s">
        <v>131</v>
      </c>
      <c r="K4" s="89" t="s">
        <v>132</v>
      </c>
      <c r="L4" s="169" t="s">
        <v>116</v>
      </c>
      <c r="M4" s="89" t="s">
        <v>131</v>
      </c>
      <c r="N4" s="89" t="s">
        <v>132</v>
      </c>
      <c r="O4" s="167" t="s">
        <v>116</v>
      </c>
      <c r="P4" s="89" t="s">
        <v>131</v>
      </c>
      <c r="Q4" s="89" t="s">
        <v>132</v>
      </c>
      <c r="R4" s="79" t="s">
        <v>116</v>
      </c>
      <c r="S4" s="89" t="s">
        <v>131</v>
      </c>
      <c r="T4" s="89" t="s">
        <v>132</v>
      </c>
      <c r="U4" s="79" t="s">
        <v>116</v>
      </c>
      <c r="V4" s="89" t="s">
        <v>131</v>
      </c>
      <c r="W4" s="89" t="s">
        <v>132</v>
      </c>
    </row>
    <row r="5" spans="2:23">
      <c r="B5" s="512">
        <v>46176</v>
      </c>
      <c r="C5" s="527" t="s">
        <v>114</v>
      </c>
      <c r="D5" s="80">
        <v>46168</v>
      </c>
      <c r="E5" s="447" t="s">
        <v>118</v>
      </c>
      <c r="F5" s="88">
        <v>427.33284875544769</v>
      </c>
      <c r="G5" s="523">
        <f t="shared" ref="G5" si="0">AVERAGE(F5:F11)</f>
        <v>428.7336804960396</v>
      </c>
      <c r="H5" s="528"/>
      <c r="I5" s="154">
        <f t="shared" ref="I5:I32" si="1">F5/$C$1</f>
        <v>0.9659422440222597</v>
      </c>
      <c r="J5" s="524">
        <f t="shared" ref="J5" si="2">AVERAGE(I5:I11)</f>
        <v>0.96910868104891412</v>
      </c>
      <c r="K5" s="526"/>
      <c r="L5" s="162">
        <v>2.016233111031105E-3</v>
      </c>
      <c r="M5" s="525">
        <f>AVERAGE(L5:L11)</f>
        <v>2.0087453315827532E-3</v>
      </c>
      <c r="N5" s="525"/>
      <c r="O5" s="84">
        <v>6.2104950311302788E-3</v>
      </c>
      <c r="P5" s="526">
        <f t="shared" ref="P5" si="3">AVERAGE(O5:O11)</f>
        <v>6.181289172679562E-3</v>
      </c>
      <c r="Q5" s="525"/>
      <c r="R5" s="154">
        <v>0.9</v>
      </c>
      <c r="S5" s="524">
        <f t="shared" ref="S5" si="4">AVERAGE(R5:R11)</f>
        <v>0.90000000000000013</v>
      </c>
      <c r="T5" s="526"/>
      <c r="U5" s="154">
        <f>22/52*100%</f>
        <v>0.42307692307692307</v>
      </c>
      <c r="V5" s="509">
        <f t="shared" ref="V5" si="5">AVERAGE(U5:U11)</f>
        <v>0.42307692307692302</v>
      </c>
      <c r="W5" s="526"/>
    </row>
    <row r="6" spans="2:23">
      <c r="B6" s="512"/>
      <c r="C6" s="527"/>
      <c r="D6" s="80">
        <f t="shared" ref="D6:D42" si="6">D5+1</f>
        <v>46169</v>
      </c>
      <c r="E6" s="447" t="s">
        <v>112</v>
      </c>
      <c r="F6" s="88">
        <v>426.22277380940659</v>
      </c>
      <c r="G6" s="523"/>
      <c r="H6" s="528"/>
      <c r="I6" s="154">
        <f t="shared" si="1"/>
        <v>0.96343303302307104</v>
      </c>
      <c r="J6" s="524"/>
      <c r="K6" s="526"/>
      <c r="L6" s="162">
        <v>2.0104611609252508E-3</v>
      </c>
      <c r="M6" s="525"/>
      <c r="N6" s="525"/>
      <c r="O6" s="84">
        <v>6.2075441496637924E-3</v>
      </c>
      <c r="P6" s="526"/>
      <c r="Q6" s="525"/>
      <c r="R6" s="154">
        <v>0.9</v>
      </c>
      <c r="S6" s="524"/>
      <c r="T6" s="526"/>
      <c r="U6" s="154">
        <f t="shared" ref="U6:U11" si="7">22/52*100%</f>
        <v>0.42307692307692307</v>
      </c>
      <c r="V6" s="509"/>
      <c r="W6" s="526"/>
    </row>
    <row r="7" spans="2:23">
      <c r="B7" s="512"/>
      <c r="C7" s="527"/>
      <c r="D7" s="80">
        <f t="shared" si="6"/>
        <v>46170</v>
      </c>
      <c r="E7" s="447" t="s">
        <v>113</v>
      </c>
      <c r="F7" s="88">
        <v>426.32681447089033</v>
      </c>
      <c r="G7" s="523"/>
      <c r="H7" s="528"/>
      <c r="I7" s="154">
        <f t="shared" si="1"/>
        <v>0.96366820630852246</v>
      </c>
      <c r="J7" s="524"/>
      <c r="K7" s="526"/>
      <c r="L7" s="162">
        <v>2.0040912638090319E-3</v>
      </c>
      <c r="M7" s="525"/>
      <c r="N7" s="525"/>
      <c r="O7" s="84">
        <v>6.148124362823533E-3</v>
      </c>
      <c r="P7" s="526"/>
      <c r="Q7" s="525"/>
      <c r="R7" s="154">
        <v>0.9</v>
      </c>
      <c r="S7" s="524"/>
      <c r="T7" s="526"/>
      <c r="U7" s="154">
        <f t="shared" si="7"/>
        <v>0.42307692307692307</v>
      </c>
      <c r="V7" s="509"/>
      <c r="W7" s="526"/>
    </row>
    <row r="8" spans="2:23">
      <c r="B8" s="512"/>
      <c r="C8" s="527"/>
      <c r="D8" s="80">
        <f t="shared" si="6"/>
        <v>46171</v>
      </c>
      <c r="E8" s="447" t="s">
        <v>114</v>
      </c>
      <c r="F8" s="88">
        <v>426.09600546172072</v>
      </c>
      <c r="G8" s="523"/>
      <c r="H8" s="528"/>
      <c r="I8" s="154">
        <f t="shared" si="1"/>
        <v>0.96314648612504694</v>
      </c>
      <c r="J8" s="524"/>
      <c r="K8" s="526"/>
      <c r="L8" s="162">
        <v>2.0037175645694115E-3</v>
      </c>
      <c r="M8" s="525"/>
      <c r="N8" s="525"/>
      <c r="O8" s="84">
        <v>6.1263084438645836E-3</v>
      </c>
      <c r="P8" s="526"/>
      <c r="Q8" s="525"/>
      <c r="R8" s="154">
        <v>0.9</v>
      </c>
      <c r="S8" s="524"/>
      <c r="T8" s="526"/>
      <c r="U8" s="154">
        <f t="shared" si="7"/>
        <v>0.42307692307692307</v>
      </c>
      <c r="V8" s="509"/>
      <c r="W8" s="526"/>
    </row>
    <row r="9" spans="2:23">
      <c r="B9" s="512"/>
      <c r="C9" s="527"/>
      <c r="D9" s="80">
        <f t="shared" si="6"/>
        <v>46172</v>
      </c>
      <c r="E9" s="447" t="s">
        <v>115</v>
      </c>
      <c r="F9" s="88">
        <v>429.99426472177777</v>
      </c>
      <c r="G9" s="523"/>
      <c r="H9" s="528"/>
      <c r="I9" s="154">
        <f t="shared" si="1"/>
        <v>0.97195810289732776</v>
      </c>
      <c r="J9" s="524"/>
      <c r="K9" s="526"/>
      <c r="L9" s="162">
        <v>2.0067372324102579E-3</v>
      </c>
      <c r="M9" s="525"/>
      <c r="N9" s="525"/>
      <c r="O9" s="84">
        <v>6.1783148755869067E-3</v>
      </c>
      <c r="P9" s="526"/>
      <c r="Q9" s="525"/>
      <c r="R9" s="154">
        <v>0.9</v>
      </c>
      <c r="S9" s="524"/>
      <c r="T9" s="526"/>
      <c r="U9" s="154">
        <f t="shared" si="7"/>
        <v>0.42307692307692307</v>
      </c>
      <c r="V9" s="509"/>
      <c r="W9" s="526"/>
    </row>
    <row r="10" spans="2:23">
      <c r="B10" s="512"/>
      <c r="C10" s="527"/>
      <c r="D10" s="80">
        <f t="shared" si="6"/>
        <v>46173</v>
      </c>
      <c r="E10" s="447" t="s">
        <v>116</v>
      </c>
      <c r="F10" s="88">
        <v>432.62003563973298</v>
      </c>
      <c r="G10" s="523"/>
      <c r="H10" s="528"/>
      <c r="I10" s="154">
        <f t="shared" si="1"/>
        <v>0.97789338978239826</v>
      </c>
      <c r="J10" s="524"/>
      <c r="K10" s="526"/>
      <c r="L10" s="162">
        <v>2.0120936132711109E-3</v>
      </c>
      <c r="M10" s="525"/>
      <c r="N10" s="525"/>
      <c r="O10" s="84">
        <v>6.2103304817020888E-3</v>
      </c>
      <c r="P10" s="526"/>
      <c r="Q10" s="525"/>
      <c r="R10" s="154">
        <v>0.9</v>
      </c>
      <c r="S10" s="524"/>
      <c r="T10" s="526"/>
      <c r="U10" s="154">
        <f t="shared" si="7"/>
        <v>0.42307692307692307</v>
      </c>
      <c r="V10" s="509"/>
      <c r="W10" s="526"/>
    </row>
    <row r="11" spans="2:23">
      <c r="B11" s="512"/>
      <c r="C11" s="507" t="s">
        <v>115</v>
      </c>
      <c r="D11" s="80">
        <f t="shared" si="6"/>
        <v>46174</v>
      </c>
      <c r="E11" s="447" t="s">
        <v>117</v>
      </c>
      <c r="F11" s="88">
        <v>432.54302061330094</v>
      </c>
      <c r="G11" s="523"/>
      <c r="H11" s="528">
        <f>AVERAGEIF(F11:F40,"&lt;&gt;0")</f>
        <v>433.03614119869872</v>
      </c>
      <c r="I11" s="154">
        <f t="shared" si="1"/>
        <v>0.97771930518377248</v>
      </c>
      <c r="J11" s="524"/>
      <c r="K11" s="526">
        <f>AVERAGEIF(I11:I40,"&lt;&gt;0")</f>
        <v>0.97883395388494299</v>
      </c>
      <c r="L11" s="162">
        <v>2.0078833750631054E-3</v>
      </c>
      <c r="M11" s="525"/>
      <c r="N11" s="525">
        <f>AVERAGEIF(L11:L40,"&lt;&gt;0")</f>
        <v>2.0097269692038299E-3</v>
      </c>
      <c r="O11" s="84">
        <v>6.1879068639857432E-3</v>
      </c>
      <c r="P11" s="526"/>
      <c r="Q11" s="525">
        <f>AVERAGEIF(O11:O40,"&lt;&gt;0")</f>
        <v>6.1498080357289941E-3</v>
      </c>
      <c r="R11" s="154">
        <v>0.9</v>
      </c>
      <c r="S11" s="524"/>
      <c r="T11" s="526">
        <f>AVERAGEIF(R11:R40,"&lt;&gt;0")</f>
        <v>0.90000000000000013</v>
      </c>
      <c r="U11" s="154">
        <f t="shared" si="7"/>
        <v>0.42307692307692307</v>
      </c>
      <c r="V11" s="509"/>
      <c r="W11" s="526">
        <f>AVERAGEIF(U11:U40,"&lt;&gt;0")</f>
        <v>0.43990384615384626</v>
      </c>
    </row>
    <row r="12" spans="2:23">
      <c r="B12" s="512">
        <f t="shared" ref="B12" si="8">B5+7</f>
        <v>46183</v>
      </c>
      <c r="C12" s="507"/>
      <c r="D12" s="80">
        <f t="shared" si="6"/>
        <v>46175</v>
      </c>
      <c r="E12" s="447" t="s">
        <v>118</v>
      </c>
      <c r="F12" s="88">
        <v>432.51148516277232</v>
      </c>
      <c r="G12" s="523">
        <f>AVERAGE(F12:F18)</f>
        <v>433.10658699661275</v>
      </c>
      <c r="H12" s="528"/>
      <c r="I12" s="154">
        <f t="shared" si="1"/>
        <v>0.97764802251982896</v>
      </c>
      <c r="J12" s="524">
        <f t="shared" ref="J12" si="9">AVERAGE(I12:I18)</f>
        <v>0.97899318941368152</v>
      </c>
      <c r="K12" s="526"/>
      <c r="L12" s="162">
        <v>2.0155691942584887E-3</v>
      </c>
      <c r="M12" s="525">
        <f>AVERAGE(L12:L18)</f>
        <v>2.0099903397953621E-3</v>
      </c>
      <c r="N12" s="525"/>
      <c r="O12" s="84">
        <v>6.210037987835643E-3</v>
      </c>
      <c r="P12" s="526">
        <f t="shared" ref="P12" si="10">AVERAGE(O12:O18)</f>
        <v>6.1443653459780298E-3</v>
      </c>
      <c r="Q12" s="525"/>
      <c r="R12" s="154">
        <v>0.9</v>
      </c>
      <c r="S12" s="524">
        <f t="shared" ref="S12" si="11">AVERAGE(R12:R18)</f>
        <v>0.90000000000000013</v>
      </c>
      <c r="T12" s="526"/>
      <c r="U12" s="154">
        <f>23/52*100%</f>
        <v>0.44230769230769229</v>
      </c>
      <c r="V12" s="509">
        <f t="shared" ref="V12" si="12">AVERAGE(U12:U18)</f>
        <v>0.4423076923076924</v>
      </c>
      <c r="W12" s="526"/>
    </row>
    <row r="13" spans="2:23">
      <c r="B13" s="512"/>
      <c r="C13" s="507"/>
      <c r="D13" s="80">
        <f t="shared" si="6"/>
        <v>46176</v>
      </c>
      <c r="E13" s="447" t="s">
        <v>112</v>
      </c>
      <c r="F13" s="88">
        <v>432.69164334759324</v>
      </c>
      <c r="G13" s="523"/>
      <c r="H13" s="528"/>
      <c r="I13" s="154">
        <f t="shared" si="1"/>
        <v>0.97805525168985818</v>
      </c>
      <c r="J13" s="524"/>
      <c r="K13" s="526"/>
      <c r="L13" s="162">
        <v>2.0117008905009498E-3</v>
      </c>
      <c r="M13" s="525"/>
      <c r="N13" s="525"/>
      <c r="O13" s="84">
        <v>6.1618420044991466E-3</v>
      </c>
      <c r="P13" s="526"/>
      <c r="Q13" s="525"/>
      <c r="R13" s="154">
        <v>0.9</v>
      </c>
      <c r="S13" s="524"/>
      <c r="T13" s="526"/>
      <c r="U13" s="154">
        <f t="shared" ref="U13:U18" si="13">23/52*100%</f>
        <v>0.44230769230769229</v>
      </c>
      <c r="V13" s="509"/>
      <c r="W13" s="526"/>
    </row>
    <row r="14" spans="2:23">
      <c r="B14" s="512"/>
      <c r="C14" s="507"/>
      <c r="D14" s="80">
        <f t="shared" si="6"/>
        <v>46177</v>
      </c>
      <c r="E14" s="447" t="s">
        <v>113</v>
      </c>
      <c r="F14" s="88">
        <v>432.96499495748071</v>
      </c>
      <c r="G14" s="523"/>
      <c r="H14" s="528"/>
      <c r="I14" s="154">
        <f t="shared" si="1"/>
        <v>0.97867313507567977</v>
      </c>
      <c r="J14" s="524"/>
      <c r="K14" s="526"/>
      <c r="L14" s="162">
        <v>2.0099563199542031E-3</v>
      </c>
      <c r="M14" s="525"/>
      <c r="N14" s="525"/>
      <c r="O14" s="84">
        <v>6.1341208520766652E-3</v>
      </c>
      <c r="P14" s="526"/>
      <c r="Q14" s="525"/>
      <c r="R14" s="154">
        <v>0.9</v>
      </c>
      <c r="S14" s="524"/>
      <c r="T14" s="526"/>
      <c r="U14" s="154">
        <f t="shared" si="13"/>
        <v>0.44230769230769229</v>
      </c>
      <c r="V14" s="509"/>
      <c r="W14" s="526"/>
    </row>
    <row r="15" spans="2:23">
      <c r="B15" s="512"/>
      <c r="C15" s="507"/>
      <c r="D15" s="80">
        <f t="shared" si="6"/>
        <v>46178</v>
      </c>
      <c r="E15" s="447" t="s">
        <v>114</v>
      </c>
      <c r="F15" s="88">
        <v>431.62380918206202</v>
      </c>
      <c r="G15" s="523"/>
      <c r="H15" s="528"/>
      <c r="I15" s="154">
        <f t="shared" si="1"/>
        <v>0.9756415216592722</v>
      </c>
      <c r="J15" s="524"/>
      <c r="K15" s="526"/>
      <c r="L15" s="162">
        <v>2.0057811491182563E-3</v>
      </c>
      <c r="M15" s="525"/>
      <c r="N15" s="525"/>
      <c r="O15" s="84">
        <v>6.1231124093334586E-3</v>
      </c>
      <c r="P15" s="526"/>
      <c r="Q15" s="525"/>
      <c r="R15" s="154">
        <v>0.9</v>
      </c>
      <c r="S15" s="524"/>
      <c r="T15" s="526"/>
      <c r="U15" s="154">
        <f t="shared" si="13"/>
        <v>0.44230769230769229</v>
      </c>
      <c r="V15" s="509"/>
      <c r="W15" s="526"/>
    </row>
    <row r="16" spans="2:23">
      <c r="B16" s="512"/>
      <c r="C16" s="507"/>
      <c r="D16" s="80">
        <f t="shared" si="6"/>
        <v>46179</v>
      </c>
      <c r="E16" s="447" t="s">
        <v>115</v>
      </c>
      <c r="F16" s="88">
        <v>431.78572901033266</v>
      </c>
      <c r="G16" s="523"/>
      <c r="H16" s="528"/>
      <c r="I16" s="154">
        <f t="shared" si="1"/>
        <v>0.97600752488773213</v>
      </c>
      <c r="J16" s="524"/>
      <c r="K16" s="526"/>
      <c r="L16" s="162">
        <v>2.0076392545740791E-3</v>
      </c>
      <c r="M16" s="525"/>
      <c r="N16" s="525"/>
      <c r="O16" s="84">
        <v>6.1299678609678639E-3</v>
      </c>
      <c r="P16" s="526"/>
      <c r="Q16" s="525"/>
      <c r="R16" s="154">
        <v>0.9</v>
      </c>
      <c r="S16" s="524"/>
      <c r="T16" s="526"/>
      <c r="U16" s="154">
        <f t="shared" si="13"/>
        <v>0.44230769230769229</v>
      </c>
      <c r="V16" s="509"/>
      <c r="W16" s="526"/>
    </row>
    <row r="17" spans="2:23">
      <c r="B17" s="512"/>
      <c r="C17" s="507"/>
      <c r="D17" s="80">
        <f t="shared" si="6"/>
        <v>46180</v>
      </c>
      <c r="E17" s="447" t="s">
        <v>116</v>
      </c>
      <c r="F17" s="88">
        <v>433.85504237391649</v>
      </c>
      <c r="G17" s="523"/>
      <c r="H17" s="528"/>
      <c r="I17" s="154">
        <f t="shared" si="1"/>
        <v>0.98068499632440442</v>
      </c>
      <c r="J17" s="524"/>
      <c r="K17" s="526"/>
      <c r="L17" s="162">
        <v>2.0117449014299647E-3</v>
      </c>
      <c r="M17" s="525"/>
      <c r="N17" s="525"/>
      <c r="O17" s="84">
        <v>6.143949503695516E-3</v>
      </c>
      <c r="P17" s="526"/>
      <c r="Q17" s="525"/>
      <c r="R17" s="154">
        <v>0.9</v>
      </c>
      <c r="S17" s="524"/>
      <c r="T17" s="526"/>
      <c r="U17" s="154">
        <f t="shared" si="13"/>
        <v>0.44230769230769229</v>
      </c>
      <c r="V17" s="509"/>
      <c r="W17" s="526"/>
    </row>
    <row r="18" spans="2:23">
      <c r="B18" s="512"/>
      <c r="C18" s="507"/>
      <c r="D18" s="80">
        <f t="shared" si="6"/>
        <v>46181</v>
      </c>
      <c r="E18" s="447" t="s">
        <v>117</v>
      </c>
      <c r="F18" s="88">
        <v>436.31340494213168</v>
      </c>
      <c r="G18" s="523"/>
      <c r="H18" s="528"/>
      <c r="I18" s="154">
        <f t="shared" si="1"/>
        <v>0.98624187373899574</v>
      </c>
      <c r="J18" s="524"/>
      <c r="K18" s="526"/>
      <c r="L18" s="162">
        <v>2.0075406687315913E-3</v>
      </c>
      <c r="M18" s="525"/>
      <c r="N18" s="525"/>
      <c r="O18" s="84">
        <v>6.1075268034379163E-3</v>
      </c>
      <c r="P18" s="526"/>
      <c r="Q18" s="525"/>
      <c r="R18" s="154">
        <v>0.9</v>
      </c>
      <c r="S18" s="524"/>
      <c r="T18" s="526"/>
      <c r="U18" s="154">
        <f t="shared" si="13"/>
        <v>0.44230769230769229</v>
      </c>
      <c r="V18" s="509"/>
      <c r="W18" s="526"/>
    </row>
    <row r="19" spans="2:23">
      <c r="B19" s="512">
        <f t="shared" ref="B19" si="14">B12+7</f>
        <v>46190</v>
      </c>
      <c r="C19" s="507"/>
      <c r="D19" s="80">
        <f t="shared" si="6"/>
        <v>46182</v>
      </c>
      <c r="E19" s="447" t="s">
        <v>118</v>
      </c>
      <c r="G19" s="523" t="e">
        <f t="shared" ref="G19" si="15">AVERAGE(F19:F25)</f>
        <v>#DIV/0!</v>
      </c>
      <c r="H19" s="528"/>
      <c r="I19" s="154">
        <f t="shared" si="1"/>
        <v>0</v>
      </c>
      <c r="J19" s="524">
        <f t="shared" ref="J19" si="16">AVERAGE(I19:I25)</f>
        <v>0</v>
      </c>
      <c r="K19" s="526"/>
      <c r="L19" s="162"/>
      <c r="M19" s="525" t="e">
        <f>AVERAGE(L19:L25)</f>
        <v>#DIV/0!</v>
      </c>
      <c r="N19" s="525"/>
      <c r="O19" s="84"/>
      <c r="P19" s="526" t="e">
        <f t="shared" ref="P19" si="17">AVERAGE(O19:O25)</f>
        <v>#DIV/0!</v>
      </c>
      <c r="Q19" s="525"/>
      <c r="R19" s="154"/>
      <c r="S19" s="524" t="e">
        <f t="shared" ref="S19" si="18">AVERAGE(R19:R25)</f>
        <v>#DIV/0!</v>
      </c>
      <c r="T19" s="526"/>
      <c r="U19" s="154"/>
      <c r="V19" s="509" t="e">
        <f t="shared" ref="V19" si="19">AVERAGE(U19:U25)</f>
        <v>#DIV/0!</v>
      </c>
      <c r="W19" s="526"/>
    </row>
    <row r="20" spans="2:23">
      <c r="B20" s="512"/>
      <c r="C20" s="507"/>
      <c r="D20" s="80">
        <f t="shared" si="6"/>
        <v>46183</v>
      </c>
      <c r="E20" s="447" t="s">
        <v>112</v>
      </c>
      <c r="G20" s="523"/>
      <c r="H20" s="528"/>
      <c r="I20" s="154">
        <f t="shared" si="1"/>
        <v>0</v>
      </c>
      <c r="J20" s="524"/>
      <c r="K20" s="526"/>
      <c r="L20" s="162"/>
      <c r="M20" s="525"/>
      <c r="N20" s="525"/>
      <c r="O20" s="84"/>
      <c r="P20" s="526"/>
      <c r="Q20" s="525"/>
      <c r="R20" s="154"/>
      <c r="S20" s="524"/>
      <c r="T20" s="526"/>
      <c r="U20" s="154"/>
      <c r="V20" s="509"/>
      <c r="W20" s="526"/>
    </row>
    <row r="21" spans="2:23">
      <c r="B21" s="512"/>
      <c r="C21" s="507"/>
      <c r="D21" s="80">
        <f t="shared" si="6"/>
        <v>46184</v>
      </c>
      <c r="E21" s="447" t="s">
        <v>113</v>
      </c>
      <c r="G21" s="523"/>
      <c r="H21" s="528"/>
      <c r="I21" s="154">
        <f t="shared" si="1"/>
        <v>0</v>
      </c>
      <c r="J21" s="524"/>
      <c r="K21" s="526"/>
      <c r="L21" s="162"/>
      <c r="M21" s="525"/>
      <c r="N21" s="525"/>
      <c r="O21" s="84"/>
      <c r="P21" s="526"/>
      <c r="Q21" s="525"/>
      <c r="R21" s="154"/>
      <c r="S21" s="524"/>
      <c r="T21" s="526"/>
      <c r="U21" s="154"/>
      <c r="V21" s="509"/>
      <c r="W21" s="526"/>
    </row>
    <row r="22" spans="2:23">
      <c r="B22" s="512"/>
      <c r="C22" s="507"/>
      <c r="D22" s="80">
        <f t="shared" si="6"/>
        <v>46185</v>
      </c>
      <c r="E22" s="447" t="s">
        <v>114</v>
      </c>
      <c r="G22" s="523"/>
      <c r="H22" s="528"/>
      <c r="I22" s="154">
        <f t="shared" si="1"/>
        <v>0</v>
      </c>
      <c r="J22" s="524"/>
      <c r="K22" s="526"/>
      <c r="L22" s="162"/>
      <c r="M22" s="525"/>
      <c r="N22" s="525"/>
      <c r="O22" s="84"/>
      <c r="P22" s="526"/>
      <c r="Q22" s="525"/>
      <c r="R22" s="154"/>
      <c r="S22" s="524"/>
      <c r="T22" s="526"/>
      <c r="U22" s="154"/>
      <c r="V22" s="509"/>
      <c r="W22" s="526"/>
    </row>
    <row r="23" spans="2:23">
      <c r="B23" s="512"/>
      <c r="C23" s="507"/>
      <c r="D23" s="80">
        <f t="shared" si="6"/>
        <v>46186</v>
      </c>
      <c r="E23" s="447" t="s">
        <v>115</v>
      </c>
      <c r="G23" s="523"/>
      <c r="H23" s="528"/>
      <c r="I23" s="154">
        <f t="shared" si="1"/>
        <v>0</v>
      </c>
      <c r="J23" s="524"/>
      <c r="K23" s="526"/>
      <c r="L23" s="162"/>
      <c r="M23" s="525"/>
      <c r="N23" s="525"/>
      <c r="O23" s="84"/>
      <c r="P23" s="526"/>
      <c r="Q23" s="525"/>
      <c r="R23" s="154"/>
      <c r="S23" s="524"/>
      <c r="T23" s="526"/>
      <c r="U23" s="154"/>
      <c r="V23" s="509"/>
      <c r="W23" s="526"/>
    </row>
    <row r="24" spans="2:23">
      <c r="B24" s="512"/>
      <c r="C24" s="507"/>
      <c r="D24" s="80">
        <f t="shared" si="6"/>
        <v>46187</v>
      </c>
      <c r="E24" s="447" t="s">
        <v>116</v>
      </c>
      <c r="G24" s="523"/>
      <c r="H24" s="528"/>
      <c r="I24" s="154">
        <f t="shared" si="1"/>
        <v>0</v>
      </c>
      <c r="J24" s="524"/>
      <c r="K24" s="526"/>
      <c r="L24" s="162"/>
      <c r="M24" s="525"/>
      <c r="N24" s="525"/>
      <c r="O24" s="84"/>
      <c r="P24" s="526"/>
      <c r="Q24" s="525"/>
      <c r="R24" s="154"/>
      <c r="S24" s="524"/>
      <c r="T24" s="526"/>
      <c r="U24" s="154"/>
      <c r="V24" s="509"/>
      <c r="W24" s="526"/>
    </row>
    <row r="25" spans="2:23">
      <c r="B25" s="512"/>
      <c r="C25" s="507"/>
      <c r="D25" s="80">
        <f t="shared" si="6"/>
        <v>46188</v>
      </c>
      <c r="E25" s="447" t="s">
        <v>117</v>
      </c>
      <c r="G25" s="523"/>
      <c r="H25" s="528"/>
      <c r="I25" s="154">
        <f t="shared" si="1"/>
        <v>0</v>
      </c>
      <c r="J25" s="524"/>
      <c r="K25" s="526"/>
      <c r="L25" s="162"/>
      <c r="M25" s="525"/>
      <c r="N25" s="525"/>
      <c r="O25" s="84"/>
      <c r="P25" s="526"/>
      <c r="Q25" s="525"/>
      <c r="R25" s="154"/>
      <c r="S25" s="524"/>
      <c r="T25" s="526"/>
      <c r="U25" s="154"/>
      <c r="V25" s="509"/>
      <c r="W25" s="526"/>
    </row>
    <row r="26" spans="2:23">
      <c r="B26" s="512">
        <f t="shared" ref="B26" si="20">B19+7</f>
        <v>46197</v>
      </c>
      <c r="C26" s="507"/>
      <c r="D26" s="80">
        <f t="shared" si="6"/>
        <v>46189</v>
      </c>
      <c r="E26" s="447" t="s">
        <v>118</v>
      </c>
      <c r="G26" s="523" t="e">
        <f t="shared" ref="G26" si="21">AVERAGE(F26:F32)</f>
        <v>#DIV/0!</v>
      </c>
      <c r="H26" s="528"/>
      <c r="I26" s="154">
        <f t="shared" si="1"/>
        <v>0</v>
      </c>
      <c r="J26" s="524">
        <f t="shared" ref="J26" si="22">AVERAGE(I26:I32)</f>
        <v>0</v>
      </c>
      <c r="K26" s="526"/>
      <c r="L26" s="162"/>
      <c r="M26" s="525" t="e">
        <f>AVERAGE(L26:L32)</f>
        <v>#DIV/0!</v>
      </c>
      <c r="N26" s="525"/>
      <c r="O26" s="84"/>
      <c r="P26" s="526" t="e">
        <f t="shared" ref="P26" si="23">AVERAGE(O26:O32)</f>
        <v>#DIV/0!</v>
      </c>
      <c r="Q26" s="525"/>
      <c r="R26" s="154"/>
      <c r="S26" s="524" t="e">
        <f t="shared" ref="S26" si="24">AVERAGE(R26:R32)</f>
        <v>#DIV/0!</v>
      </c>
      <c r="T26" s="526"/>
      <c r="U26" s="154"/>
      <c r="V26" s="509" t="e">
        <f t="shared" ref="V26" si="25">AVERAGE(U26:U32)</f>
        <v>#DIV/0!</v>
      </c>
      <c r="W26" s="526"/>
    </row>
    <row r="27" spans="2:23">
      <c r="B27" s="512"/>
      <c r="C27" s="507"/>
      <c r="D27" s="80">
        <f t="shared" si="6"/>
        <v>46190</v>
      </c>
      <c r="E27" s="447" t="s">
        <v>112</v>
      </c>
      <c r="G27" s="523"/>
      <c r="H27" s="528"/>
      <c r="I27" s="154">
        <f t="shared" si="1"/>
        <v>0</v>
      </c>
      <c r="J27" s="524"/>
      <c r="K27" s="526"/>
      <c r="L27" s="162"/>
      <c r="M27" s="525"/>
      <c r="N27" s="525"/>
      <c r="O27" s="84"/>
      <c r="P27" s="526"/>
      <c r="Q27" s="525"/>
      <c r="R27" s="154"/>
      <c r="S27" s="524"/>
      <c r="T27" s="526"/>
      <c r="U27" s="154"/>
      <c r="V27" s="509"/>
      <c r="W27" s="526"/>
    </row>
    <row r="28" spans="2:23">
      <c r="B28" s="512"/>
      <c r="C28" s="507"/>
      <c r="D28" s="80">
        <f t="shared" si="6"/>
        <v>46191</v>
      </c>
      <c r="E28" s="447" t="s">
        <v>113</v>
      </c>
      <c r="G28" s="523"/>
      <c r="H28" s="528"/>
      <c r="I28" s="154">
        <f t="shared" si="1"/>
        <v>0</v>
      </c>
      <c r="J28" s="524"/>
      <c r="K28" s="526"/>
      <c r="L28" s="162"/>
      <c r="M28" s="525"/>
      <c r="N28" s="525"/>
      <c r="O28" s="84"/>
      <c r="P28" s="526"/>
      <c r="Q28" s="525"/>
      <c r="R28" s="154"/>
      <c r="S28" s="524"/>
      <c r="T28" s="526"/>
      <c r="U28" s="154"/>
      <c r="V28" s="509"/>
      <c r="W28" s="526"/>
    </row>
    <row r="29" spans="2:23">
      <c r="B29" s="512"/>
      <c r="C29" s="507"/>
      <c r="D29" s="80">
        <f t="shared" si="6"/>
        <v>46192</v>
      </c>
      <c r="E29" s="447" t="s">
        <v>114</v>
      </c>
      <c r="G29" s="523"/>
      <c r="H29" s="528"/>
      <c r="I29" s="154">
        <f t="shared" si="1"/>
        <v>0</v>
      </c>
      <c r="J29" s="524"/>
      <c r="K29" s="526"/>
      <c r="L29" s="162"/>
      <c r="M29" s="525"/>
      <c r="N29" s="525"/>
      <c r="O29" s="84"/>
      <c r="P29" s="526"/>
      <c r="Q29" s="525"/>
      <c r="R29" s="154"/>
      <c r="S29" s="524"/>
      <c r="T29" s="526"/>
      <c r="U29" s="154"/>
      <c r="V29" s="509"/>
      <c r="W29" s="526"/>
    </row>
    <row r="30" spans="2:23">
      <c r="B30" s="512"/>
      <c r="C30" s="507"/>
      <c r="D30" s="80">
        <f t="shared" si="6"/>
        <v>46193</v>
      </c>
      <c r="E30" s="447" t="s">
        <v>115</v>
      </c>
      <c r="G30" s="523"/>
      <c r="H30" s="528"/>
      <c r="I30" s="154">
        <f t="shared" si="1"/>
        <v>0</v>
      </c>
      <c r="J30" s="524"/>
      <c r="K30" s="526"/>
      <c r="L30" s="162"/>
      <c r="M30" s="525"/>
      <c r="N30" s="525"/>
      <c r="O30" s="84"/>
      <c r="P30" s="526"/>
      <c r="Q30" s="525"/>
      <c r="R30" s="154"/>
      <c r="S30" s="524"/>
      <c r="T30" s="526"/>
      <c r="U30" s="154"/>
      <c r="V30" s="509"/>
      <c r="W30" s="526"/>
    </row>
    <row r="31" spans="2:23">
      <c r="B31" s="512"/>
      <c r="C31" s="507"/>
      <c r="D31" s="80">
        <f t="shared" si="6"/>
        <v>46194</v>
      </c>
      <c r="E31" s="447" t="s">
        <v>116</v>
      </c>
      <c r="G31" s="523"/>
      <c r="H31" s="528"/>
      <c r="I31" s="154">
        <f t="shared" si="1"/>
        <v>0</v>
      </c>
      <c r="J31" s="524"/>
      <c r="K31" s="526"/>
      <c r="L31" s="162"/>
      <c r="M31" s="525"/>
      <c r="N31" s="525"/>
      <c r="O31" s="84"/>
      <c r="P31" s="526"/>
      <c r="Q31" s="525"/>
      <c r="R31" s="154"/>
      <c r="S31" s="524"/>
      <c r="T31" s="526"/>
      <c r="U31" s="154"/>
      <c r="V31" s="509"/>
      <c r="W31" s="526"/>
    </row>
    <row r="32" spans="2:23">
      <c r="B32" s="512"/>
      <c r="C32" s="507"/>
      <c r="D32" s="80">
        <f t="shared" si="6"/>
        <v>46195</v>
      </c>
      <c r="E32" s="447" t="s">
        <v>117</v>
      </c>
      <c r="G32" s="523"/>
      <c r="H32" s="528"/>
      <c r="I32" s="154">
        <f t="shared" si="1"/>
        <v>0</v>
      </c>
      <c r="J32" s="524"/>
      <c r="K32" s="526"/>
      <c r="L32" s="162"/>
      <c r="M32" s="525"/>
      <c r="N32" s="525"/>
      <c r="O32" s="84"/>
      <c r="P32" s="526"/>
      <c r="Q32" s="525"/>
      <c r="R32" s="154"/>
      <c r="S32" s="524"/>
      <c r="T32" s="526"/>
      <c r="U32" s="154"/>
      <c r="V32" s="509"/>
      <c r="W32" s="526"/>
    </row>
    <row r="33" spans="2:23">
      <c r="B33" s="512">
        <f t="shared" ref="B33" si="26">B26+7</f>
        <v>46204</v>
      </c>
      <c r="C33" s="507"/>
      <c r="D33" s="80">
        <f t="shared" si="6"/>
        <v>46196</v>
      </c>
      <c r="E33" s="447" t="s">
        <v>118</v>
      </c>
      <c r="G33" s="523" t="e">
        <f t="shared" ref="G33" si="27">AVERAGE(F33:F39)</f>
        <v>#DIV/0!</v>
      </c>
      <c r="H33" s="528"/>
      <c r="I33" s="154">
        <f t="shared" ref="I33:I39" si="28">F33/$C$1</f>
        <v>0</v>
      </c>
      <c r="J33" s="524">
        <f t="shared" ref="J33" si="29">AVERAGE(I33:I39)</f>
        <v>0</v>
      </c>
      <c r="K33" s="526"/>
      <c r="L33" s="162"/>
      <c r="M33" s="525" t="e">
        <f>AVERAGE(L33:L39)</f>
        <v>#DIV/0!</v>
      </c>
      <c r="N33" s="525"/>
      <c r="O33" s="84"/>
      <c r="P33" s="526" t="e">
        <f t="shared" ref="P33" si="30">AVERAGE(O33:O39)</f>
        <v>#DIV/0!</v>
      </c>
      <c r="Q33" s="525"/>
      <c r="R33" s="154"/>
      <c r="S33" s="524" t="e">
        <f t="shared" ref="S33" si="31">AVERAGE(R33:R39)</f>
        <v>#DIV/0!</v>
      </c>
      <c r="T33" s="526"/>
      <c r="U33" s="154"/>
      <c r="V33" s="509" t="e">
        <f t="shared" ref="V33" si="32">AVERAGE(U33:U39)</f>
        <v>#DIV/0!</v>
      </c>
      <c r="W33" s="526"/>
    </row>
    <row r="34" spans="2:23">
      <c r="B34" s="512"/>
      <c r="C34" s="507"/>
      <c r="D34" s="80">
        <f t="shared" si="6"/>
        <v>46197</v>
      </c>
      <c r="E34" s="447" t="s">
        <v>112</v>
      </c>
      <c r="G34" s="523"/>
      <c r="H34" s="528"/>
      <c r="I34" s="154">
        <f t="shared" si="28"/>
        <v>0</v>
      </c>
      <c r="J34" s="524"/>
      <c r="K34" s="526"/>
      <c r="L34" s="162"/>
      <c r="M34" s="525"/>
      <c r="N34" s="525"/>
      <c r="O34" s="84"/>
      <c r="P34" s="526"/>
      <c r="Q34" s="525"/>
      <c r="R34" s="154"/>
      <c r="S34" s="524"/>
      <c r="T34" s="526"/>
      <c r="U34" s="154"/>
      <c r="V34" s="509"/>
      <c r="W34" s="526"/>
    </row>
    <row r="35" spans="2:23">
      <c r="B35" s="512"/>
      <c r="C35" s="507"/>
      <c r="D35" s="80">
        <f t="shared" si="6"/>
        <v>46198</v>
      </c>
      <c r="E35" s="447" t="s">
        <v>113</v>
      </c>
      <c r="G35" s="523"/>
      <c r="H35" s="528"/>
      <c r="I35" s="154">
        <f t="shared" si="28"/>
        <v>0</v>
      </c>
      <c r="J35" s="524"/>
      <c r="K35" s="526"/>
      <c r="L35" s="162"/>
      <c r="M35" s="525"/>
      <c r="N35" s="525"/>
      <c r="O35" s="84"/>
      <c r="P35" s="526"/>
      <c r="Q35" s="525"/>
      <c r="R35" s="154"/>
      <c r="S35" s="524"/>
      <c r="T35" s="526"/>
      <c r="U35" s="154"/>
      <c r="V35" s="509"/>
      <c r="W35" s="526"/>
    </row>
    <row r="36" spans="2:23">
      <c r="B36" s="512"/>
      <c r="C36" s="507"/>
      <c r="D36" s="80">
        <f t="shared" si="6"/>
        <v>46199</v>
      </c>
      <c r="E36" s="447" t="s">
        <v>114</v>
      </c>
      <c r="G36" s="523"/>
      <c r="H36" s="528"/>
      <c r="I36" s="154">
        <f t="shared" si="28"/>
        <v>0</v>
      </c>
      <c r="J36" s="524"/>
      <c r="K36" s="526"/>
      <c r="L36" s="162"/>
      <c r="M36" s="525"/>
      <c r="N36" s="525"/>
      <c r="O36" s="84"/>
      <c r="P36" s="526"/>
      <c r="Q36" s="525"/>
      <c r="R36" s="154"/>
      <c r="S36" s="524"/>
      <c r="T36" s="526"/>
      <c r="U36" s="154"/>
      <c r="V36" s="509"/>
      <c r="W36" s="526"/>
    </row>
    <row r="37" spans="2:23">
      <c r="B37" s="512"/>
      <c r="C37" s="507"/>
      <c r="D37" s="80">
        <f t="shared" si="6"/>
        <v>46200</v>
      </c>
      <c r="E37" s="447" t="s">
        <v>115</v>
      </c>
      <c r="G37" s="523"/>
      <c r="H37" s="528"/>
      <c r="I37" s="154">
        <f t="shared" si="28"/>
        <v>0</v>
      </c>
      <c r="J37" s="524"/>
      <c r="K37" s="526"/>
      <c r="L37" s="162"/>
      <c r="M37" s="525"/>
      <c r="N37" s="525"/>
      <c r="O37" s="84"/>
      <c r="P37" s="526"/>
      <c r="Q37" s="525"/>
      <c r="R37" s="154"/>
      <c r="S37" s="524"/>
      <c r="T37" s="526"/>
      <c r="U37" s="154"/>
      <c r="V37" s="509"/>
      <c r="W37" s="526"/>
    </row>
    <row r="38" spans="2:23">
      <c r="B38" s="512"/>
      <c r="C38" s="507"/>
      <c r="D38" s="80">
        <f t="shared" si="6"/>
        <v>46201</v>
      </c>
      <c r="E38" s="447" t="s">
        <v>116</v>
      </c>
      <c r="G38" s="523"/>
      <c r="H38" s="528"/>
      <c r="I38" s="154">
        <f t="shared" si="28"/>
        <v>0</v>
      </c>
      <c r="J38" s="524"/>
      <c r="K38" s="526"/>
      <c r="L38" s="162"/>
      <c r="M38" s="525"/>
      <c r="N38" s="525"/>
      <c r="O38" s="84"/>
      <c r="P38" s="526"/>
      <c r="Q38" s="525"/>
      <c r="R38" s="154"/>
      <c r="S38" s="524"/>
      <c r="T38" s="526"/>
      <c r="U38" s="154"/>
      <c r="V38" s="509"/>
      <c r="W38" s="526"/>
    </row>
    <row r="39" spans="2:23">
      <c r="B39" s="512"/>
      <c r="C39" s="507"/>
      <c r="D39" s="80">
        <f t="shared" si="6"/>
        <v>46202</v>
      </c>
      <c r="E39" s="447" t="s">
        <v>117</v>
      </c>
      <c r="G39" s="523"/>
      <c r="H39" s="528"/>
      <c r="I39" s="154">
        <f t="shared" si="28"/>
        <v>0</v>
      </c>
      <c r="J39" s="524"/>
      <c r="K39" s="526"/>
      <c r="L39" s="162"/>
      <c r="M39" s="525"/>
      <c r="N39" s="525"/>
      <c r="O39" s="84"/>
      <c r="P39" s="526"/>
      <c r="Q39" s="525"/>
      <c r="R39" s="154"/>
      <c r="S39" s="524"/>
      <c r="T39" s="526"/>
      <c r="U39" s="154"/>
      <c r="V39" s="509"/>
      <c r="W39" s="526"/>
    </row>
    <row r="40" spans="2:23">
      <c r="B40" s="512">
        <f t="shared" ref="B40" si="33">B33+7</f>
        <v>46211</v>
      </c>
      <c r="C40" s="507"/>
      <c r="D40" s="80">
        <f t="shared" si="6"/>
        <v>46203</v>
      </c>
      <c r="E40" s="447" t="s">
        <v>118</v>
      </c>
      <c r="G40" s="523" t="e">
        <f t="shared" ref="G40" si="34">AVERAGE(F40:F46)</f>
        <v>#DIV/0!</v>
      </c>
      <c r="H40" s="528"/>
      <c r="I40" s="154">
        <f t="shared" ref="I40:I46" si="35">F40/$C$1</f>
        <v>0</v>
      </c>
      <c r="J40" s="524">
        <f t="shared" ref="J40" si="36">AVERAGE(I40:I46)</f>
        <v>0</v>
      </c>
      <c r="K40" s="526"/>
      <c r="L40" s="162"/>
      <c r="M40" s="525" t="e">
        <f>AVERAGE(L40:L46)</f>
        <v>#DIV/0!</v>
      </c>
      <c r="N40" s="525"/>
      <c r="O40" s="84"/>
      <c r="P40" s="526" t="e">
        <f t="shared" ref="P40" si="37">AVERAGE(O40:O46)</f>
        <v>#DIV/0!</v>
      </c>
      <c r="Q40" s="525"/>
      <c r="R40" s="154"/>
      <c r="S40" s="524" t="e">
        <f t="shared" ref="S40" si="38">AVERAGE(R40:R46)</f>
        <v>#DIV/0!</v>
      </c>
      <c r="T40" s="526"/>
      <c r="U40" s="154"/>
      <c r="V40" s="509" t="e">
        <f t="shared" ref="V40" si="39">AVERAGE(U40:U46)</f>
        <v>#DIV/0!</v>
      </c>
      <c r="W40" s="526"/>
    </row>
    <row r="41" spans="2:23">
      <c r="B41" s="512"/>
      <c r="D41" s="80">
        <f t="shared" si="6"/>
        <v>46204</v>
      </c>
      <c r="E41" s="447" t="s">
        <v>112</v>
      </c>
      <c r="G41" s="523"/>
      <c r="H41" s="87"/>
      <c r="I41" s="154">
        <f t="shared" si="35"/>
        <v>0</v>
      </c>
      <c r="J41" s="524"/>
      <c r="K41" s="84"/>
      <c r="L41" s="162"/>
      <c r="M41" s="525"/>
      <c r="N41" s="162"/>
      <c r="O41" s="84"/>
      <c r="P41" s="526"/>
      <c r="Q41" s="162"/>
      <c r="R41" s="154"/>
      <c r="S41" s="524"/>
      <c r="T41" s="84"/>
      <c r="U41" s="154"/>
      <c r="V41" s="509"/>
      <c r="W41" s="84"/>
    </row>
    <row r="42" spans="2:23">
      <c r="B42" s="512"/>
      <c r="D42" s="80">
        <f t="shared" si="6"/>
        <v>46205</v>
      </c>
      <c r="E42" s="447" t="s">
        <v>113</v>
      </c>
      <c r="G42" s="523"/>
      <c r="I42" s="154">
        <f t="shared" si="35"/>
        <v>0</v>
      </c>
      <c r="J42" s="524"/>
      <c r="L42" s="162"/>
      <c r="M42" s="525"/>
      <c r="O42" s="84"/>
      <c r="P42" s="526"/>
      <c r="R42" s="154"/>
      <c r="S42" s="524"/>
      <c r="U42" s="154"/>
      <c r="V42" s="509"/>
    </row>
    <row r="43" spans="2:23">
      <c r="B43" s="512"/>
      <c r="C43" s="73"/>
      <c r="D43" s="80">
        <f t="shared" ref="D43:D46" si="40">D42+1</f>
        <v>46206</v>
      </c>
      <c r="E43" s="447" t="s">
        <v>114</v>
      </c>
      <c r="G43" s="523"/>
      <c r="H43" s="87"/>
      <c r="I43" s="154">
        <f t="shared" si="35"/>
        <v>0</v>
      </c>
      <c r="J43" s="524"/>
      <c r="K43" s="84"/>
      <c r="L43" s="162"/>
      <c r="M43" s="525"/>
      <c r="N43" s="162"/>
      <c r="O43" s="84"/>
      <c r="P43" s="526"/>
      <c r="Q43" s="162"/>
      <c r="R43" s="154"/>
      <c r="S43" s="524"/>
      <c r="T43" s="84"/>
      <c r="U43" s="154"/>
      <c r="V43" s="509"/>
      <c r="W43" s="84"/>
    </row>
    <row r="44" spans="2:23">
      <c r="B44" s="512"/>
      <c r="C44" s="73"/>
      <c r="D44" s="80">
        <f t="shared" si="40"/>
        <v>46207</v>
      </c>
      <c r="E44" s="447" t="s">
        <v>115</v>
      </c>
      <c r="G44" s="523"/>
      <c r="I44" s="154">
        <f t="shared" si="35"/>
        <v>0</v>
      </c>
      <c r="J44" s="524"/>
      <c r="L44" s="162"/>
      <c r="M44" s="525"/>
      <c r="O44" s="84"/>
      <c r="P44" s="526"/>
      <c r="R44" s="154"/>
      <c r="S44" s="524"/>
      <c r="U44" s="154"/>
      <c r="V44" s="509"/>
    </row>
    <row r="45" spans="2:23">
      <c r="B45" s="512"/>
      <c r="C45" s="73"/>
      <c r="D45" s="80">
        <f t="shared" si="40"/>
        <v>46208</v>
      </c>
      <c r="E45" s="447" t="s">
        <v>116</v>
      </c>
      <c r="G45" s="523"/>
      <c r="I45" s="154">
        <f t="shared" si="35"/>
        <v>0</v>
      </c>
      <c r="J45" s="524"/>
      <c r="L45" s="162"/>
      <c r="M45" s="525"/>
      <c r="O45" s="84"/>
      <c r="P45" s="526"/>
      <c r="R45" s="154"/>
      <c r="S45" s="524"/>
      <c r="U45" s="154"/>
      <c r="V45" s="509"/>
    </row>
    <row r="46" spans="2:23">
      <c r="B46" s="512"/>
      <c r="C46" s="73"/>
      <c r="D46" s="80">
        <f t="shared" si="40"/>
        <v>46209</v>
      </c>
      <c r="E46" s="447" t="s">
        <v>117</v>
      </c>
      <c r="G46" s="523"/>
      <c r="I46" s="154">
        <f t="shared" si="35"/>
        <v>0</v>
      </c>
      <c r="J46" s="524"/>
      <c r="L46" s="162"/>
      <c r="M46" s="525"/>
      <c r="O46" s="84"/>
      <c r="P46" s="526"/>
      <c r="R46" s="154"/>
      <c r="S46" s="524"/>
      <c r="U46" s="154"/>
      <c r="V46" s="509"/>
    </row>
  </sheetData>
  <mergeCells count="66">
    <mergeCell ref="V12:V18"/>
    <mergeCell ref="B19:B25"/>
    <mergeCell ref="G19:G25"/>
    <mergeCell ref="J19:J25"/>
    <mergeCell ref="M19:M25"/>
    <mergeCell ref="P19:P25"/>
    <mergeCell ref="S19:S25"/>
    <mergeCell ref="V19:V25"/>
    <mergeCell ref="M12:M18"/>
    <mergeCell ref="P12:P18"/>
    <mergeCell ref="B12:B18"/>
    <mergeCell ref="G12:G18"/>
    <mergeCell ref="J12:J18"/>
    <mergeCell ref="V33:V39"/>
    <mergeCell ref="B26:B32"/>
    <mergeCell ref="G26:G32"/>
    <mergeCell ref="J26:J32"/>
    <mergeCell ref="M26:M32"/>
    <mergeCell ref="P26:P32"/>
    <mergeCell ref="B33:B39"/>
    <mergeCell ref="G33:G39"/>
    <mergeCell ref="J33:J39"/>
    <mergeCell ref="M33:M39"/>
    <mergeCell ref="P33:P39"/>
    <mergeCell ref="K5:K10"/>
    <mergeCell ref="N5:N10"/>
    <mergeCell ref="W5:W10"/>
    <mergeCell ref="S5:S11"/>
    <mergeCell ref="V5:V11"/>
    <mergeCell ref="Q5:Q10"/>
    <mergeCell ref="T5:T10"/>
    <mergeCell ref="W11:W40"/>
    <mergeCell ref="S40:S46"/>
    <mergeCell ref="V40:V46"/>
    <mergeCell ref="Q11:Q40"/>
    <mergeCell ref="T11:T40"/>
    <mergeCell ref="S26:S32"/>
    <mergeCell ref="S12:S18"/>
    <mergeCell ref="V26:V32"/>
    <mergeCell ref="S33:S39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U3:W3"/>
    <mergeCell ref="B40:B46"/>
    <mergeCell ref="G40:G46"/>
    <mergeCell ref="J40:J46"/>
    <mergeCell ref="M40:M46"/>
    <mergeCell ref="P40:P46"/>
    <mergeCell ref="C11:C40"/>
    <mergeCell ref="B5:B11"/>
    <mergeCell ref="G5:G11"/>
    <mergeCell ref="J5:J11"/>
    <mergeCell ref="M5:M11"/>
    <mergeCell ref="P5:P11"/>
    <mergeCell ref="C5:C10"/>
    <mergeCell ref="H5:H10"/>
    <mergeCell ref="H11:H40"/>
    <mergeCell ref="K11:K40"/>
    <mergeCell ref="N11:N40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N20"/>
  <sheetViews>
    <sheetView zoomScale="85" zoomScaleNormal="85" workbookViewId="0">
      <selection activeCell="G14" sqref="G14:G20"/>
    </sheetView>
  </sheetViews>
  <sheetFormatPr defaultColWidth="8.81640625" defaultRowHeight="16"/>
  <cols>
    <col min="1" max="1" width="8.81640625" style="75"/>
    <col min="2" max="2" width="13.1796875" style="75" customWidth="1"/>
    <col min="3" max="3" width="8.81640625" style="95"/>
    <col min="4" max="4" width="17" style="95" customWidth="1"/>
    <col min="5" max="5" width="8.54296875" style="77" customWidth="1"/>
    <col min="6" max="6" width="20.26953125" style="321" bestFit="1" customWidth="1"/>
    <col min="7" max="8" width="20.26953125" style="94" bestFit="1" customWidth="1"/>
    <col min="9" max="9" width="18.26953125" style="91" bestFit="1" customWidth="1"/>
    <col min="10" max="10" width="10.54296875" style="84" customWidth="1"/>
    <col min="11" max="11" width="18.26953125" style="91" bestFit="1" customWidth="1"/>
    <col min="12" max="12" width="10.54296875" style="84" customWidth="1"/>
    <col min="13" max="13" width="20.26953125" style="84" bestFit="1" customWidth="1"/>
    <col min="14" max="14" width="10.54296875" style="84" customWidth="1"/>
    <col min="15" max="15" width="18.26953125" style="91" bestFit="1" customWidth="1"/>
    <col min="16" max="16" width="10.54296875" style="84" customWidth="1"/>
    <col min="17" max="17" width="18.26953125" style="91" bestFit="1" customWidth="1"/>
    <col min="18" max="18" width="10.54296875" style="84" customWidth="1"/>
    <col min="19" max="19" width="18.26953125" style="91" bestFit="1" customWidth="1"/>
    <col min="20" max="20" width="10.54296875" style="84" customWidth="1"/>
    <col min="21" max="21" width="18.26953125" style="91" bestFit="1" customWidth="1"/>
    <col min="22" max="22" width="10.54296875" style="84" customWidth="1"/>
    <col min="23" max="23" width="17" style="91" bestFit="1" customWidth="1"/>
    <col min="24" max="24" width="10.54296875" style="84" customWidth="1"/>
    <col min="25" max="25" width="18.26953125" style="91" bestFit="1" customWidth="1"/>
    <col min="26" max="26" width="10.54296875" style="84" customWidth="1"/>
    <col min="27" max="27" width="18.26953125" style="91" bestFit="1" customWidth="1"/>
    <col min="28" max="28" width="10.54296875" style="84" customWidth="1"/>
    <col min="29" max="29" width="18.26953125" style="91" bestFit="1" customWidth="1"/>
    <col min="30" max="30" width="10.54296875" style="84" customWidth="1"/>
    <col min="31" max="31" width="20.26953125" style="91" bestFit="1" customWidth="1"/>
    <col min="32" max="32" width="10.54296875" style="84" customWidth="1"/>
    <col min="33" max="33" width="18.26953125" style="91" bestFit="1" customWidth="1"/>
    <col min="34" max="34" width="10.453125" style="84" customWidth="1"/>
    <col min="35" max="35" width="20.26953125" style="91" bestFit="1" customWidth="1"/>
    <col min="36" max="36" width="10.453125" style="84" customWidth="1"/>
    <col min="37" max="37" width="18.26953125" style="91" bestFit="1" customWidth="1"/>
    <col min="38" max="38" width="10.453125" style="84" customWidth="1"/>
    <col min="39" max="16384" width="8.81640625" style="75"/>
  </cols>
  <sheetData>
    <row r="2" spans="1:40" ht="38.15" customHeight="1">
      <c r="A2" s="74"/>
      <c r="B2" s="515" t="s">
        <v>322</v>
      </c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  <c r="AD2" s="515"/>
      <c r="AE2" s="515"/>
      <c r="AF2" s="515"/>
      <c r="AG2" s="515"/>
      <c r="AH2" s="515"/>
      <c r="AI2" s="515"/>
      <c r="AJ2" s="515"/>
      <c r="AK2" s="515"/>
      <c r="AL2" s="515"/>
    </row>
    <row r="3" spans="1:40" ht="25.4" customHeight="1">
      <c r="B3" s="545" t="s">
        <v>151</v>
      </c>
      <c r="C3" s="546" t="s">
        <v>144</v>
      </c>
      <c r="D3" s="547" t="s">
        <v>105</v>
      </c>
      <c r="E3" s="547"/>
      <c r="F3" s="549" t="s">
        <v>135</v>
      </c>
      <c r="G3" s="549"/>
      <c r="H3" s="549"/>
      <c r="I3" s="550" t="s">
        <v>109</v>
      </c>
      <c r="J3" s="550"/>
      <c r="K3" s="550"/>
      <c r="L3" s="550"/>
      <c r="M3" s="550"/>
      <c r="N3" s="550"/>
      <c r="O3" s="550"/>
      <c r="P3" s="550"/>
      <c r="Q3" s="550"/>
      <c r="R3" s="550"/>
      <c r="S3" s="550"/>
      <c r="T3" s="550"/>
      <c r="U3" s="550"/>
      <c r="V3" s="550"/>
      <c r="W3" s="550"/>
      <c r="X3" s="550"/>
      <c r="Y3" s="550"/>
      <c r="Z3" s="550"/>
      <c r="AA3" s="550"/>
      <c r="AB3" s="550"/>
      <c r="AC3" s="550"/>
      <c r="AD3" s="550"/>
      <c r="AE3" s="550"/>
      <c r="AF3" s="550"/>
      <c r="AG3" s="550"/>
      <c r="AH3" s="550"/>
      <c r="AI3" s="550"/>
      <c r="AJ3" s="550"/>
      <c r="AK3" s="550"/>
      <c r="AL3" s="550"/>
    </row>
    <row r="4" spans="1:40" ht="25.4" customHeight="1">
      <c r="B4" s="545"/>
      <c r="C4" s="546"/>
      <c r="D4" s="547"/>
      <c r="E4" s="547"/>
      <c r="F4" s="549"/>
      <c r="G4" s="549"/>
      <c r="H4" s="549"/>
      <c r="I4" s="543" t="s">
        <v>145</v>
      </c>
      <c r="J4" s="543"/>
      <c r="K4" s="543"/>
      <c r="L4" s="543"/>
      <c r="M4" s="543"/>
      <c r="N4" s="543"/>
      <c r="O4" s="543" t="s">
        <v>146</v>
      </c>
      <c r="P4" s="543"/>
      <c r="Q4" s="543"/>
      <c r="R4" s="543"/>
      <c r="S4" s="543"/>
      <c r="T4" s="543"/>
      <c r="U4" s="543" t="s">
        <v>147</v>
      </c>
      <c r="V4" s="543"/>
      <c r="W4" s="543" t="s">
        <v>148</v>
      </c>
      <c r="X4" s="543"/>
      <c r="Y4" s="543" t="s">
        <v>139</v>
      </c>
      <c r="Z4" s="543"/>
      <c r="AA4" s="543"/>
      <c r="AB4" s="543"/>
      <c r="AC4" s="543"/>
      <c r="AD4" s="543"/>
      <c r="AE4" s="543" t="s">
        <v>137</v>
      </c>
      <c r="AF4" s="543"/>
      <c r="AG4" s="543" t="s">
        <v>149</v>
      </c>
      <c r="AH4" s="543"/>
      <c r="AI4" s="543" t="s">
        <v>150</v>
      </c>
      <c r="AJ4" s="543"/>
      <c r="AK4" s="543" t="s">
        <v>143</v>
      </c>
      <c r="AL4" s="543"/>
    </row>
    <row r="5" spans="1:40" ht="25.4" customHeight="1">
      <c r="B5" s="545"/>
      <c r="C5" s="546"/>
      <c r="D5" s="547"/>
      <c r="E5" s="547"/>
      <c r="F5" s="552" t="s">
        <v>116</v>
      </c>
      <c r="G5" s="544" t="s">
        <v>120</v>
      </c>
      <c r="H5" s="544" t="s">
        <v>121</v>
      </c>
      <c r="I5" s="543" t="s">
        <v>133</v>
      </c>
      <c r="J5" s="543"/>
      <c r="K5" s="543" t="s">
        <v>134</v>
      </c>
      <c r="L5" s="543"/>
      <c r="M5" s="551" t="s">
        <v>152</v>
      </c>
      <c r="N5" s="543"/>
      <c r="O5" s="543" t="s">
        <v>133</v>
      </c>
      <c r="P5" s="543"/>
      <c r="Q5" s="543" t="s">
        <v>134</v>
      </c>
      <c r="R5" s="543"/>
      <c r="S5" s="551" t="s">
        <v>152</v>
      </c>
      <c r="T5" s="543"/>
      <c r="U5" s="543" t="s">
        <v>133</v>
      </c>
      <c r="V5" s="543"/>
      <c r="W5" s="543" t="s">
        <v>133</v>
      </c>
      <c r="X5" s="543"/>
      <c r="Y5" s="543" t="s">
        <v>133</v>
      </c>
      <c r="Z5" s="543"/>
      <c r="AA5" s="543" t="s">
        <v>134</v>
      </c>
      <c r="AB5" s="543"/>
      <c r="AC5" s="551" t="s">
        <v>152</v>
      </c>
      <c r="AD5" s="543"/>
      <c r="AE5" s="543" t="s">
        <v>133</v>
      </c>
      <c r="AF5" s="543"/>
      <c r="AG5" s="543" t="s">
        <v>133</v>
      </c>
      <c r="AH5" s="543"/>
      <c r="AI5" s="543" t="s">
        <v>133</v>
      </c>
      <c r="AJ5" s="543"/>
      <c r="AK5" s="543" t="s">
        <v>133</v>
      </c>
      <c r="AL5" s="543"/>
    </row>
    <row r="6" spans="1:40" s="77" customFormat="1" ht="23.5" customHeight="1">
      <c r="B6" s="545"/>
      <c r="C6" s="546"/>
      <c r="D6" s="548"/>
      <c r="E6" s="548"/>
      <c r="F6" s="553"/>
      <c r="G6" s="544"/>
      <c r="H6" s="544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>
      <c r="B7" s="533">
        <f>D8+7</f>
        <v>46176</v>
      </c>
      <c r="C7" s="539" t="s">
        <v>114</v>
      </c>
      <c r="D7" s="171">
        <v>46168</v>
      </c>
      <c r="E7" s="171" t="s">
        <v>118</v>
      </c>
      <c r="F7" s="322">
        <f t="shared" ref="F7:F20" si="0">SUM(M7,S7,U7,W7,AC7,AE7,AG7,AI7,AK7)</f>
        <v>6878064.2100000009</v>
      </c>
      <c r="G7" s="536">
        <f>SUM(F7:F13)</f>
        <v>45743869.07</v>
      </c>
      <c r="H7" s="541"/>
      <c r="I7" s="172">
        <v>1146496.8600000001</v>
      </c>
      <c r="J7" s="173">
        <f t="shared" ref="J7:J20" si="1">I7/$F7</f>
        <v>0.16668888585441105</v>
      </c>
      <c r="K7" s="172">
        <v>1202631.79</v>
      </c>
      <c r="L7" s="173">
        <f t="shared" ref="L7:L20" si="2">K7/$F7</f>
        <v>0.17485032899976372</v>
      </c>
      <c r="M7" s="172">
        <f t="shared" ref="M7:M20" si="3">I7+K7</f>
        <v>2349128.6500000004</v>
      </c>
      <c r="N7" s="173">
        <f>M7/$F7</f>
        <v>0.34153921485417482</v>
      </c>
      <c r="O7" s="172">
        <v>253149.29000000004</v>
      </c>
      <c r="P7" s="173">
        <f t="shared" ref="P7:P20" si="4">O7/$F7</f>
        <v>3.6805310661675257E-2</v>
      </c>
      <c r="Q7" s="172">
        <v>0</v>
      </c>
      <c r="R7" s="173">
        <f t="shared" ref="R7:R20" si="5">Q7/$F7</f>
        <v>0</v>
      </c>
      <c r="S7" s="172">
        <f t="shared" ref="S7:S20" si="6">O7+Q7</f>
        <v>253149.29000000004</v>
      </c>
      <c r="T7" s="173">
        <f>S7/$F7</f>
        <v>3.6805310661675257E-2</v>
      </c>
      <c r="U7" s="172">
        <v>82986.929999999993</v>
      </c>
      <c r="V7" s="173">
        <f>U7/$F7</f>
        <v>1.2065448571902759E-2</v>
      </c>
      <c r="W7" s="172">
        <v>512720.57</v>
      </c>
      <c r="X7" s="173">
        <f t="shared" ref="X7:X20" si="7">W7/$F7</f>
        <v>7.4544312810362667E-2</v>
      </c>
      <c r="Y7" s="172">
        <v>210730.24000000002</v>
      </c>
      <c r="Z7" s="173">
        <f t="shared" ref="Z7:Z20" si="8">Y7/$F7</f>
        <v>3.0638015808811415E-2</v>
      </c>
      <c r="AA7" s="172">
        <v>606164.46</v>
      </c>
      <c r="AB7" s="173">
        <f t="shared" ref="AB7:AB20" si="9">AA7/$F7</f>
        <v>8.8130096127730082E-2</v>
      </c>
      <c r="AC7" s="172">
        <f t="shared" ref="AC7:AC20" si="10">Y7+AA7</f>
        <v>816894.7</v>
      </c>
      <c r="AD7" s="173">
        <f t="shared" ref="AD7:AD20" si="11">AC7/$F7</f>
        <v>0.11876811193654149</v>
      </c>
      <c r="AE7" s="172">
        <v>1699147.0300000003</v>
      </c>
      <c r="AF7" s="173">
        <f t="shared" ref="AF7:AF20" si="12">AE7/F7</f>
        <v>0.2470385530175212</v>
      </c>
      <c r="AG7" s="172">
        <v>0</v>
      </c>
      <c r="AH7" s="173">
        <f t="shared" ref="AH7:AH20" si="13">AG7/$F7</f>
        <v>0</v>
      </c>
      <c r="AI7" s="172">
        <v>1091284.9400000002</v>
      </c>
      <c r="AJ7" s="173">
        <f t="shared" ref="AJ7:AJ20" si="14">AI7/$F7</f>
        <v>0.15866163889737808</v>
      </c>
      <c r="AK7" s="172">
        <v>72752.099999999991</v>
      </c>
      <c r="AL7" s="173">
        <f t="shared" ref="AL7:AL20" si="15">AK7/$F7</f>
        <v>1.0577409250443735E-2</v>
      </c>
      <c r="AN7" s="72"/>
    </row>
    <row r="8" spans="1:40" s="73" customFormat="1" ht="14.25" customHeight="1">
      <c r="B8" s="534"/>
      <c r="C8" s="539"/>
      <c r="D8" s="171">
        <v>46169</v>
      </c>
      <c r="E8" s="171" t="s">
        <v>112</v>
      </c>
      <c r="F8" s="322">
        <f t="shared" si="0"/>
        <v>6712279.8799999999</v>
      </c>
      <c r="G8" s="537"/>
      <c r="H8" s="541"/>
      <c r="I8" s="172">
        <v>1127682.8799999999</v>
      </c>
      <c r="J8" s="173">
        <f t="shared" si="1"/>
        <v>0.16800295878007993</v>
      </c>
      <c r="K8" s="172">
        <v>1165408.01</v>
      </c>
      <c r="L8" s="173">
        <f t="shared" si="2"/>
        <v>0.1736232741832571</v>
      </c>
      <c r="M8" s="172">
        <f t="shared" si="3"/>
        <v>2293090.8899999997</v>
      </c>
      <c r="N8" s="173">
        <f t="shared" ref="N8" si="16">M8/F8</f>
        <v>0.341626232963337</v>
      </c>
      <c r="O8" s="172">
        <v>251528.67</v>
      </c>
      <c r="P8" s="173">
        <f t="shared" si="4"/>
        <v>3.7472911513934073E-2</v>
      </c>
      <c r="Q8" s="172">
        <v>0</v>
      </c>
      <c r="R8" s="173">
        <f t="shared" si="5"/>
        <v>0</v>
      </c>
      <c r="S8" s="172">
        <f t="shared" si="6"/>
        <v>251528.67</v>
      </c>
      <c r="T8" s="173">
        <f t="shared" ref="T8" si="17">S8/F8</f>
        <v>3.7472911513934073E-2</v>
      </c>
      <c r="U8" s="172">
        <v>74745.179999999993</v>
      </c>
      <c r="V8" s="173">
        <f t="shared" ref="V8" si="18">U8/F8</f>
        <v>1.1135587510692416E-2</v>
      </c>
      <c r="W8" s="172">
        <v>367760.25</v>
      </c>
      <c r="X8" s="173">
        <f t="shared" si="7"/>
        <v>5.4789170978371063E-2</v>
      </c>
      <c r="Y8" s="172">
        <v>200852.26</v>
      </c>
      <c r="Z8" s="173">
        <f t="shared" si="8"/>
        <v>2.9923105649760244E-2</v>
      </c>
      <c r="AA8" s="172">
        <v>547025.24000000011</v>
      </c>
      <c r="AB8" s="173">
        <f t="shared" si="9"/>
        <v>8.1496190531316182E-2</v>
      </c>
      <c r="AC8" s="172">
        <f t="shared" si="10"/>
        <v>747877.50000000012</v>
      </c>
      <c r="AD8" s="173">
        <f t="shared" si="11"/>
        <v>0.11141929618107642</v>
      </c>
      <c r="AE8" s="172">
        <v>1618030.1</v>
      </c>
      <c r="AF8" s="173">
        <f t="shared" si="12"/>
        <v>0.2410552195269903</v>
      </c>
      <c r="AG8" s="172">
        <v>0</v>
      </c>
      <c r="AH8" s="173">
        <f t="shared" si="13"/>
        <v>0</v>
      </c>
      <c r="AI8" s="172">
        <v>1285726.8899999999</v>
      </c>
      <c r="AJ8" s="173">
        <f t="shared" si="14"/>
        <v>0.19154846236834808</v>
      </c>
      <c r="AK8" s="172">
        <v>73520.399999999994</v>
      </c>
      <c r="AL8" s="173">
        <f t="shared" si="15"/>
        <v>1.0953118957250632E-2</v>
      </c>
      <c r="AN8" s="72"/>
    </row>
    <row r="9" spans="1:40" s="73" customFormat="1" ht="14.25" customHeight="1">
      <c r="B9" s="534"/>
      <c r="C9" s="539"/>
      <c r="D9" s="171">
        <v>46170</v>
      </c>
      <c r="E9" s="171" t="s">
        <v>113</v>
      </c>
      <c r="F9" s="322">
        <f t="shared" si="0"/>
        <v>6322728.4299999997</v>
      </c>
      <c r="G9" s="537"/>
      <c r="H9" s="541"/>
      <c r="I9" s="172">
        <v>1089331.6000000003</v>
      </c>
      <c r="J9" s="173">
        <f t="shared" si="1"/>
        <v>0.17228821576953296</v>
      </c>
      <c r="K9" s="172">
        <v>1017737.9699999999</v>
      </c>
      <c r="L9" s="173">
        <f t="shared" si="2"/>
        <v>0.16096499814400536</v>
      </c>
      <c r="M9" s="172">
        <f t="shared" si="3"/>
        <v>2107069.5700000003</v>
      </c>
      <c r="N9" s="173">
        <f>M9/$F9</f>
        <v>0.33325321391353835</v>
      </c>
      <c r="O9" s="172">
        <v>259420.86</v>
      </c>
      <c r="P9" s="173">
        <f t="shared" si="4"/>
        <v>4.102989126800121E-2</v>
      </c>
      <c r="Q9" s="172">
        <v>0</v>
      </c>
      <c r="R9" s="173">
        <f t="shared" si="5"/>
        <v>0</v>
      </c>
      <c r="S9" s="172">
        <f t="shared" si="6"/>
        <v>259420.86</v>
      </c>
      <c r="T9" s="173">
        <f>S9/$F9</f>
        <v>4.102989126800121E-2</v>
      </c>
      <c r="U9" s="172">
        <v>63086.85</v>
      </c>
      <c r="V9" s="173">
        <f>U9/$F9</f>
        <v>9.9777889717145418E-3</v>
      </c>
      <c r="W9" s="172">
        <v>365622.49</v>
      </c>
      <c r="X9" s="173">
        <f t="shared" si="7"/>
        <v>5.7826695238909702E-2</v>
      </c>
      <c r="Y9" s="172">
        <v>179222.89</v>
      </c>
      <c r="Z9" s="173">
        <f t="shared" si="8"/>
        <v>2.834581494116141E-2</v>
      </c>
      <c r="AA9" s="172">
        <v>440019.08999999997</v>
      </c>
      <c r="AB9" s="173">
        <f t="shared" si="9"/>
        <v>6.9593229390053052E-2</v>
      </c>
      <c r="AC9" s="172">
        <f t="shared" si="10"/>
        <v>619241.98</v>
      </c>
      <c r="AD9" s="173">
        <f t="shared" si="11"/>
        <v>9.7939044331214462E-2</v>
      </c>
      <c r="AE9" s="172">
        <v>1493806.2399999998</v>
      </c>
      <c r="AF9" s="173">
        <f t="shared" si="12"/>
        <v>0.23625975028631743</v>
      </c>
      <c r="AG9" s="172">
        <v>0</v>
      </c>
      <c r="AH9" s="173">
        <f t="shared" si="13"/>
        <v>0</v>
      </c>
      <c r="AI9" s="172">
        <v>1342082.94</v>
      </c>
      <c r="AJ9" s="173">
        <f t="shared" si="14"/>
        <v>0.21226325863247616</v>
      </c>
      <c r="AK9" s="172">
        <v>72397.5</v>
      </c>
      <c r="AL9" s="173">
        <f t="shared" si="15"/>
        <v>1.1450357357828194E-2</v>
      </c>
      <c r="AN9" s="72"/>
    </row>
    <row r="10" spans="1:40" s="73" customFormat="1" ht="14.25" customHeight="1">
      <c r="B10" s="534"/>
      <c r="C10" s="539"/>
      <c r="D10" s="171">
        <v>46171</v>
      </c>
      <c r="E10" s="171" t="s">
        <v>114</v>
      </c>
      <c r="F10" s="322">
        <f t="shared" si="0"/>
        <v>5695002.629999998</v>
      </c>
      <c r="G10" s="537"/>
      <c r="H10" s="541"/>
      <c r="I10" s="172">
        <v>839625.91999999981</v>
      </c>
      <c r="J10" s="173">
        <f t="shared" si="1"/>
        <v>0.14743205131759529</v>
      </c>
      <c r="K10" s="172">
        <v>948812.09999999986</v>
      </c>
      <c r="L10" s="173">
        <f t="shared" si="2"/>
        <v>0.16660433043557701</v>
      </c>
      <c r="M10" s="172">
        <f t="shared" si="3"/>
        <v>1788438.0199999996</v>
      </c>
      <c r="N10" s="173">
        <f t="shared" ref="N10" si="19">M10/F10</f>
        <v>0.31403638175317228</v>
      </c>
      <c r="O10" s="172">
        <v>203759.43000000002</v>
      </c>
      <c r="P10" s="173">
        <f t="shared" si="4"/>
        <v>3.5778636681683164E-2</v>
      </c>
      <c r="Q10" s="172">
        <v>0</v>
      </c>
      <c r="R10" s="173">
        <f t="shared" si="5"/>
        <v>0</v>
      </c>
      <c r="S10" s="172">
        <f t="shared" si="6"/>
        <v>203759.43000000002</v>
      </c>
      <c r="T10" s="173">
        <f t="shared" ref="T10" si="20">S10/F10</f>
        <v>3.5778636681683164E-2</v>
      </c>
      <c r="U10" s="172">
        <v>59490.45</v>
      </c>
      <c r="V10" s="173">
        <f t="shared" ref="V10" si="21">U10/F10</f>
        <v>1.0446079460370683E-2</v>
      </c>
      <c r="W10" s="172">
        <v>333533.79000000004</v>
      </c>
      <c r="X10" s="173">
        <f t="shared" si="7"/>
        <v>5.8566046702598303E-2</v>
      </c>
      <c r="Y10" s="172">
        <v>161056.49000000002</v>
      </c>
      <c r="Z10" s="173">
        <f t="shared" si="8"/>
        <v>2.8280318809966919E-2</v>
      </c>
      <c r="AA10" s="172">
        <v>461282.12</v>
      </c>
      <c r="AB10" s="173">
        <f t="shared" si="9"/>
        <v>8.0997700961553398E-2</v>
      </c>
      <c r="AC10" s="172">
        <f t="shared" si="10"/>
        <v>622338.61</v>
      </c>
      <c r="AD10" s="173">
        <f t="shared" si="11"/>
        <v>0.10927801977152031</v>
      </c>
      <c r="AE10" s="172">
        <v>1199515.6799999997</v>
      </c>
      <c r="AF10" s="173">
        <f t="shared" si="12"/>
        <v>0.21062600984259774</v>
      </c>
      <c r="AG10" s="172">
        <v>0</v>
      </c>
      <c r="AH10" s="173">
        <f t="shared" si="13"/>
        <v>0</v>
      </c>
      <c r="AI10" s="172">
        <v>1424098.6499999997</v>
      </c>
      <c r="AJ10" s="173">
        <f t="shared" si="14"/>
        <v>0.2500611048883748</v>
      </c>
      <c r="AK10" s="172">
        <v>63828</v>
      </c>
      <c r="AL10" s="173">
        <f t="shared" si="15"/>
        <v>1.120772089968289E-2</v>
      </c>
      <c r="AN10" s="72"/>
    </row>
    <row r="11" spans="1:40" s="73" customFormat="1" ht="14.25" customHeight="1">
      <c r="B11" s="534"/>
      <c r="C11" s="539"/>
      <c r="D11" s="171">
        <v>46172</v>
      </c>
      <c r="E11" s="171" t="s">
        <v>115</v>
      </c>
      <c r="F11" s="322">
        <f t="shared" si="0"/>
        <v>5706651.8800000008</v>
      </c>
      <c r="G11" s="537"/>
      <c r="H11" s="541"/>
      <c r="I11" s="172">
        <v>751160.99000000011</v>
      </c>
      <c r="J11" s="173">
        <f t="shared" si="1"/>
        <v>0.13162901922098671</v>
      </c>
      <c r="K11" s="172">
        <v>1112618.26</v>
      </c>
      <c r="L11" s="173">
        <f t="shared" si="2"/>
        <v>0.19496865822486439</v>
      </c>
      <c r="M11" s="172">
        <f t="shared" si="3"/>
        <v>1863779.25</v>
      </c>
      <c r="N11" s="173">
        <f>M11/$F11</f>
        <v>0.32659767744585111</v>
      </c>
      <c r="O11" s="172">
        <v>196826.19</v>
      </c>
      <c r="P11" s="173">
        <f t="shared" si="4"/>
        <v>3.4490660047060723E-2</v>
      </c>
      <c r="Q11" s="172">
        <v>0</v>
      </c>
      <c r="R11" s="173">
        <f t="shared" si="5"/>
        <v>0</v>
      </c>
      <c r="S11" s="172">
        <f t="shared" si="6"/>
        <v>196826.19</v>
      </c>
      <c r="T11" s="173">
        <f>S11/$F11</f>
        <v>3.4490660047060723E-2</v>
      </c>
      <c r="U11" s="172">
        <v>66713.22</v>
      </c>
      <c r="V11" s="173">
        <f>U11/$F11</f>
        <v>1.1690430992261611E-2</v>
      </c>
      <c r="W11" s="172">
        <v>408357.98000000004</v>
      </c>
      <c r="X11" s="173">
        <f t="shared" si="7"/>
        <v>7.1558242659091373E-2</v>
      </c>
      <c r="Y11" s="172">
        <v>183991.57</v>
      </c>
      <c r="Z11" s="173">
        <f t="shared" si="8"/>
        <v>3.2241596976474406E-2</v>
      </c>
      <c r="AA11" s="172">
        <v>539970.02999999991</v>
      </c>
      <c r="AB11" s="173">
        <f t="shared" si="9"/>
        <v>9.4621161646888441E-2</v>
      </c>
      <c r="AC11" s="172">
        <f t="shared" si="10"/>
        <v>723961.59999999986</v>
      </c>
      <c r="AD11" s="173">
        <f t="shared" si="11"/>
        <v>0.12686275862336283</v>
      </c>
      <c r="AE11" s="172">
        <v>1264118.4300000002</v>
      </c>
      <c r="AF11" s="173">
        <f t="shared" si="12"/>
        <v>0.22151665399992823</v>
      </c>
      <c r="AG11" s="172">
        <v>0</v>
      </c>
      <c r="AH11" s="173">
        <f t="shared" si="13"/>
        <v>0</v>
      </c>
      <c r="AI11" s="172">
        <v>1118830.81</v>
      </c>
      <c r="AJ11" s="173">
        <f t="shared" si="14"/>
        <v>0.1960573088260642</v>
      </c>
      <c r="AK11" s="172">
        <v>64064.399999999994</v>
      </c>
      <c r="AL11" s="173">
        <f t="shared" si="15"/>
        <v>1.1226267406379796E-2</v>
      </c>
      <c r="AN11" s="72"/>
    </row>
    <row r="12" spans="1:40" s="73" customFormat="1" ht="14.25" customHeight="1">
      <c r="B12" s="534"/>
      <c r="C12" s="540"/>
      <c r="D12" s="171">
        <v>46173</v>
      </c>
      <c r="E12" s="171" t="s">
        <v>116</v>
      </c>
      <c r="F12" s="322">
        <f t="shared" si="0"/>
        <v>7473420.7200000007</v>
      </c>
      <c r="G12" s="537"/>
      <c r="H12" s="542"/>
      <c r="I12" s="172">
        <v>1067325.28</v>
      </c>
      <c r="J12" s="173">
        <f t="shared" si="1"/>
        <v>0.14281616410858239</v>
      </c>
      <c r="K12" s="172">
        <v>1257430.7999999998</v>
      </c>
      <c r="L12" s="173">
        <f t="shared" si="2"/>
        <v>0.16825371501365169</v>
      </c>
      <c r="M12" s="172">
        <f t="shared" si="3"/>
        <v>2324756.08</v>
      </c>
      <c r="N12" s="173">
        <f t="shared" ref="N12" si="22">M12/F12</f>
        <v>0.31106987912223411</v>
      </c>
      <c r="O12" s="172">
        <v>270639.44</v>
      </c>
      <c r="P12" s="173">
        <f t="shared" si="4"/>
        <v>3.621359617500565E-2</v>
      </c>
      <c r="Q12" s="172">
        <v>0</v>
      </c>
      <c r="R12" s="173">
        <f t="shared" si="5"/>
        <v>0</v>
      </c>
      <c r="S12" s="172">
        <f t="shared" si="6"/>
        <v>270639.44</v>
      </c>
      <c r="T12" s="173">
        <f t="shared" ref="T12" si="23">S12/F12</f>
        <v>3.621359617500565E-2</v>
      </c>
      <c r="U12" s="172">
        <v>82597.319999999992</v>
      </c>
      <c r="V12" s="173">
        <f t="shared" ref="V12" si="24">U12/F12</f>
        <v>1.1052143736395986E-2</v>
      </c>
      <c r="W12" s="172">
        <v>425801.57000000007</v>
      </c>
      <c r="X12" s="173">
        <f t="shared" si="7"/>
        <v>5.6975458220957759E-2</v>
      </c>
      <c r="Y12" s="172">
        <v>218507.73</v>
      </c>
      <c r="Z12" s="173">
        <f t="shared" si="8"/>
        <v>2.9237980596387457E-2</v>
      </c>
      <c r="AA12" s="172">
        <v>622100.29</v>
      </c>
      <c r="AB12" s="173">
        <f t="shared" si="9"/>
        <v>8.3241705948009309E-2</v>
      </c>
      <c r="AC12" s="172">
        <f t="shared" si="10"/>
        <v>840608.02</v>
      </c>
      <c r="AD12" s="173">
        <f t="shared" si="11"/>
        <v>0.11247968654439676</v>
      </c>
      <c r="AE12" s="172">
        <v>1950767.62</v>
      </c>
      <c r="AF12" s="173">
        <f t="shared" si="12"/>
        <v>0.26102740539943803</v>
      </c>
      <c r="AG12" s="172">
        <v>0</v>
      </c>
      <c r="AH12" s="173">
        <f t="shared" si="13"/>
        <v>0</v>
      </c>
      <c r="AI12" s="172">
        <v>1261473.6499999999</v>
      </c>
      <c r="AJ12" s="173">
        <f t="shared" si="14"/>
        <v>0.16879467880405907</v>
      </c>
      <c r="AK12" s="172">
        <v>316777.02</v>
      </c>
      <c r="AL12" s="173">
        <f t="shared" si="15"/>
        <v>4.2387151997512591E-2</v>
      </c>
      <c r="AN12" s="72"/>
    </row>
    <row r="13" spans="1:40" s="73" customFormat="1" ht="14.25" customHeight="1">
      <c r="B13" s="535"/>
      <c r="C13" s="555" t="s">
        <v>115</v>
      </c>
      <c r="D13" s="171">
        <v>46174</v>
      </c>
      <c r="E13" s="171" t="s">
        <v>117</v>
      </c>
      <c r="F13" s="322">
        <f t="shared" si="0"/>
        <v>6955721.3199999994</v>
      </c>
      <c r="G13" s="538"/>
      <c r="H13" s="558">
        <f>SUM(F13:F43)</f>
        <v>53412636.719999999</v>
      </c>
      <c r="I13" s="172">
        <v>1048096.97</v>
      </c>
      <c r="J13" s="173">
        <f t="shared" si="1"/>
        <v>0.15068127686288618</v>
      </c>
      <c r="K13" s="172">
        <v>1222997.7699999998</v>
      </c>
      <c r="L13" s="173">
        <f t="shared" si="2"/>
        <v>0.17582616003943066</v>
      </c>
      <c r="M13" s="172">
        <f t="shared" si="3"/>
        <v>2271094.7399999998</v>
      </c>
      <c r="N13" s="173">
        <f>M13/$F13</f>
        <v>0.32650743690231682</v>
      </c>
      <c r="O13" s="172">
        <v>260163.76</v>
      </c>
      <c r="P13" s="173">
        <f t="shared" si="4"/>
        <v>3.7402844080590629E-2</v>
      </c>
      <c r="Q13" s="172">
        <v>0</v>
      </c>
      <c r="R13" s="173">
        <f t="shared" si="5"/>
        <v>0</v>
      </c>
      <c r="S13" s="172">
        <f t="shared" si="6"/>
        <v>260163.76</v>
      </c>
      <c r="T13" s="173">
        <f>S13/$F13</f>
        <v>3.7402844080590629E-2</v>
      </c>
      <c r="U13" s="172">
        <v>81038.87999999999</v>
      </c>
      <c r="V13" s="173">
        <f>U13/$F13</f>
        <v>1.1650679530099402E-2</v>
      </c>
      <c r="W13" s="172">
        <v>333918.92000000004</v>
      </c>
      <c r="X13" s="173">
        <f t="shared" si="7"/>
        <v>4.8006368374746804E-2</v>
      </c>
      <c r="Y13" s="172">
        <v>226569.07</v>
      </c>
      <c r="Z13" s="173">
        <f t="shared" si="8"/>
        <v>3.2573051675969106E-2</v>
      </c>
      <c r="AA13" s="172">
        <v>616331.11</v>
      </c>
      <c r="AB13" s="173">
        <f t="shared" si="9"/>
        <v>8.8607792297233673E-2</v>
      </c>
      <c r="AC13" s="172">
        <f t="shared" si="10"/>
        <v>842900.17999999993</v>
      </c>
      <c r="AD13" s="173">
        <f t="shared" si="11"/>
        <v>0.12118084397320276</v>
      </c>
      <c r="AE13" s="172">
        <v>1751400.2899999998</v>
      </c>
      <c r="AF13" s="173">
        <f t="shared" si="12"/>
        <v>0.25179276302576192</v>
      </c>
      <c r="AG13" s="172">
        <v>0</v>
      </c>
      <c r="AH13" s="173">
        <f t="shared" si="13"/>
        <v>0</v>
      </c>
      <c r="AI13" s="172">
        <v>1086545.7699999998</v>
      </c>
      <c r="AJ13" s="173">
        <f t="shared" si="14"/>
        <v>0.1562089278757936</v>
      </c>
      <c r="AK13" s="172">
        <v>328658.78000000003</v>
      </c>
      <c r="AL13" s="173">
        <f t="shared" si="15"/>
        <v>4.7250136237488027E-2</v>
      </c>
      <c r="AN13" s="72"/>
    </row>
    <row r="14" spans="1:40" s="73" customFormat="1" ht="14.25" customHeight="1">
      <c r="B14" s="533">
        <f>D15+7</f>
        <v>46183</v>
      </c>
      <c r="C14" s="556"/>
      <c r="D14" s="171">
        <v>46175</v>
      </c>
      <c r="E14" s="171" t="s">
        <v>118</v>
      </c>
      <c r="F14" s="322">
        <f t="shared" si="0"/>
        <v>7317703.0300000003</v>
      </c>
      <c r="G14" s="554">
        <f t="shared" ref="G14" si="25">SUM(F14:F20)</f>
        <v>46456915.399999999</v>
      </c>
      <c r="H14" s="559"/>
      <c r="I14" s="172">
        <v>1029605.2000000001</v>
      </c>
      <c r="J14" s="173">
        <f t="shared" si="1"/>
        <v>0.14070059905122989</v>
      </c>
      <c r="K14" s="172">
        <v>1183857.75</v>
      </c>
      <c r="L14" s="173">
        <f t="shared" si="2"/>
        <v>0.16177996635646472</v>
      </c>
      <c r="M14" s="172">
        <f t="shared" si="3"/>
        <v>2213462.9500000002</v>
      </c>
      <c r="N14" s="173">
        <f t="shared" ref="N14" si="26">M14/$F14</f>
        <v>0.30248056540769463</v>
      </c>
      <c r="O14" s="172">
        <v>258730.68</v>
      </c>
      <c r="P14" s="173">
        <f t="shared" si="4"/>
        <v>3.5356816058166818E-2</v>
      </c>
      <c r="Q14" s="172">
        <v>0</v>
      </c>
      <c r="R14" s="173">
        <f t="shared" si="5"/>
        <v>0</v>
      </c>
      <c r="S14" s="172">
        <f t="shared" si="6"/>
        <v>258730.68</v>
      </c>
      <c r="T14" s="173">
        <f t="shared" ref="T14" si="27">S14/$F14</f>
        <v>3.5356816058166818E-2</v>
      </c>
      <c r="U14" s="172">
        <v>85414.5</v>
      </c>
      <c r="V14" s="173">
        <f t="shared" ref="V14" si="28">U14/$F14</f>
        <v>1.1672310238585891E-2</v>
      </c>
      <c r="W14" s="172">
        <v>526935.54</v>
      </c>
      <c r="X14" s="173">
        <f t="shared" si="7"/>
        <v>7.2008325268154538E-2</v>
      </c>
      <c r="Y14" s="172">
        <v>212149.49000000002</v>
      </c>
      <c r="Z14" s="173">
        <f t="shared" si="8"/>
        <v>2.8991268042753576E-2</v>
      </c>
      <c r="AA14" s="172">
        <v>580222.43999999994</v>
      </c>
      <c r="AB14" s="173">
        <f t="shared" si="9"/>
        <v>7.9290241435228059E-2</v>
      </c>
      <c r="AC14" s="172">
        <f t="shared" si="10"/>
        <v>792371.92999999993</v>
      </c>
      <c r="AD14" s="173">
        <f t="shared" si="11"/>
        <v>0.10828150947798164</v>
      </c>
      <c r="AE14" s="172">
        <v>1664130.38</v>
      </c>
      <c r="AF14" s="173">
        <f t="shared" si="12"/>
        <v>0.22741157617050767</v>
      </c>
      <c r="AG14" s="172">
        <v>0</v>
      </c>
      <c r="AH14" s="173">
        <f t="shared" si="13"/>
        <v>0</v>
      </c>
      <c r="AI14" s="172">
        <v>1452930.7199999997</v>
      </c>
      <c r="AJ14" s="173">
        <f t="shared" si="14"/>
        <v>0.19855010705456294</v>
      </c>
      <c r="AK14" s="172">
        <v>323726.32999999996</v>
      </c>
      <c r="AL14" s="173">
        <f t="shared" si="15"/>
        <v>4.42387903243458E-2</v>
      </c>
      <c r="AN14" s="72"/>
    </row>
    <row r="15" spans="1:40" s="73" customFormat="1" ht="14.25" customHeight="1">
      <c r="B15" s="534"/>
      <c r="C15" s="556"/>
      <c r="D15" s="171">
        <v>46176</v>
      </c>
      <c r="E15" s="171" t="s">
        <v>112</v>
      </c>
      <c r="F15" s="322">
        <f t="shared" si="0"/>
        <v>6765416.6999999993</v>
      </c>
      <c r="G15" s="554"/>
      <c r="H15" s="559"/>
      <c r="I15" s="172">
        <v>1010811.6500000001</v>
      </c>
      <c r="J15" s="173">
        <f t="shared" si="1"/>
        <v>0.14940863140033936</v>
      </c>
      <c r="K15" s="172">
        <v>1127213.3700000001</v>
      </c>
      <c r="L15" s="173">
        <f t="shared" si="2"/>
        <v>0.16661403428409668</v>
      </c>
      <c r="M15" s="172">
        <f t="shared" si="3"/>
        <v>2138025.0200000005</v>
      </c>
      <c r="N15" s="173">
        <f t="shared" ref="N15" si="29">M15/F15</f>
        <v>0.31602266568443604</v>
      </c>
      <c r="O15" s="172">
        <v>255813.28</v>
      </c>
      <c r="P15" s="173">
        <f t="shared" si="4"/>
        <v>3.7811902997785786E-2</v>
      </c>
      <c r="Q15" s="172">
        <v>0</v>
      </c>
      <c r="R15" s="173">
        <f t="shared" si="5"/>
        <v>0</v>
      </c>
      <c r="S15" s="172">
        <f t="shared" si="6"/>
        <v>255813.28</v>
      </c>
      <c r="T15" s="173">
        <f t="shared" ref="T15" si="30">S15/F15</f>
        <v>3.7811902997785786E-2</v>
      </c>
      <c r="U15" s="172">
        <v>72107.819999999992</v>
      </c>
      <c r="V15" s="173">
        <f t="shared" ref="V15" si="31">U15/F15</f>
        <v>1.0658296923528746E-2</v>
      </c>
      <c r="W15" s="172">
        <v>448349.06</v>
      </c>
      <c r="X15" s="173">
        <f t="shared" si="7"/>
        <v>6.6270723575681603E-2</v>
      </c>
      <c r="Y15" s="172">
        <v>190747.2</v>
      </c>
      <c r="Z15" s="173">
        <f t="shared" si="8"/>
        <v>2.8194449574702476E-2</v>
      </c>
      <c r="AA15" s="172">
        <v>533381.16999999993</v>
      </c>
      <c r="AB15" s="173">
        <f t="shared" si="9"/>
        <v>7.8839366982376702E-2</v>
      </c>
      <c r="AC15" s="172">
        <f t="shared" si="10"/>
        <v>724128.36999999988</v>
      </c>
      <c r="AD15" s="173">
        <f t="shared" si="11"/>
        <v>0.10703381655707918</v>
      </c>
      <c r="AE15" s="172">
        <v>1550012.17</v>
      </c>
      <c r="AF15" s="173">
        <f t="shared" si="12"/>
        <v>0.22910815973833512</v>
      </c>
      <c r="AG15" s="172">
        <v>0</v>
      </c>
      <c r="AH15" s="173">
        <f t="shared" si="13"/>
        <v>0</v>
      </c>
      <c r="AI15" s="172">
        <v>1274874.7699999998</v>
      </c>
      <c r="AJ15" s="173">
        <f t="shared" si="14"/>
        <v>0.18843994783056009</v>
      </c>
      <c r="AK15" s="172">
        <v>302106.20999999996</v>
      </c>
      <c r="AL15" s="173">
        <f t="shared" si="15"/>
        <v>4.4654486692593524E-2</v>
      </c>
      <c r="AN15" s="72"/>
    </row>
    <row r="16" spans="1:40" s="73" customFormat="1" ht="14.25" customHeight="1">
      <c r="B16" s="534"/>
      <c r="C16" s="556"/>
      <c r="D16" s="171">
        <v>46177</v>
      </c>
      <c r="E16" s="171" t="s">
        <v>113</v>
      </c>
      <c r="F16" s="322">
        <f t="shared" si="0"/>
        <v>6422003.3399999999</v>
      </c>
      <c r="G16" s="554"/>
      <c r="H16" s="559"/>
      <c r="I16" s="172">
        <v>984740.83000000007</v>
      </c>
      <c r="J16" s="173">
        <f t="shared" si="1"/>
        <v>0.15333857331815093</v>
      </c>
      <c r="K16" s="172">
        <v>1008777.98</v>
      </c>
      <c r="L16" s="173">
        <f t="shared" si="2"/>
        <v>0.15708150970846427</v>
      </c>
      <c r="M16" s="172">
        <f t="shared" si="3"/>
        <v>1993518.81</v>
      </c>
      <c r="N16" s="173">
        <f t="shared" ref="N16" si="32">M16/$F16</f>
        <v>0.31042008302661522</v>
      </c>
      <c r="O16" s="172">
        <v>249957.03999999998</v>
      </c>
      <c r="P16" s="173">
        <f t="shared" si="4"/>
        <v>3.8921972905731933E-2</v>
      </c>
      <c r="Q16" s="172">
        <v>0</v>
      </c>
      <c r="R16" s="173">
        <f t="shared" si="5"/>
        <v>0</v>
      </c>
      <c r="S16" s="172">
        <f t="shared" si="6"/>
        <v>249957.03999999998</v>
      </c>
      <c r="T16" s="173">
        <f t="shared" ref="T16" si="33">S16/$F16</f>
        <v>3.8921972905731933E-2</v>
      </c>
      <c r="U16" s="172">
        <v>73816.11</v>
      </c>
      <c r="V16" s="173">
        <f t="shared" ref="V16" si="34">U16/$F16</f>
        <v>1.149424970557552E-2</v>
      </c>
      <c r="W16" s="172">
        <v>467698.89</v>
      </c>
      <c r="X16" s="173">
        <f t="shared" si="7"/>
        <v>7.2827568787904126E-2</v>
      </c>
      <c r="Y16" s="172">
        <v>172126.64</v>
      </c>
      <c r="Z16" s="173">
        <f t="shared" si="8"/>
        <v>2.680263943929995E-2</v>
      </c>
      <c r="AA16" s="172">
        <v>430983.48</v>
      </c>
      <c r="AB16" s="173">
        <f t="shared" si="9"/>
        <v>6.7110441583794006E-2</v>
      </c>
      <c r="AC16" s="172">
        <f t="shared" si="10"/>
        <v>603110.12</v>
      </c>
      <c r="AD16" s="173">
        <f t="shared" si="11"/>
        <v>9.3913081023093953E-2</v>
      </c>
      <c r="AE16" s="172">
        <v>1356292.36</v>
      </c>
      <c r="AF16" s="173">
        <f t="shared" si="12"/>
        <v>0.2111945896309671</v>
      </c>
      <c r="AG16" s="172">
        <v>0</v>
      </c>
      <c r="AH16" s="173">
        <f t="shared" si="13"/>
        <v>0</v>
      </c>
      <c r="AI16" s="172">
        <v>1386350.63</v>
      </c>
      <c r="AJ16" s="173">
        <f t="shared" si="14"/>
        <v>0.21587510261245052</v>
      </c>
      <c r="AK16" s="172">
        <v>291259.38</v>
      </c>
      <c r="AL16" s="173">
        <f t="shared" si="15"/>
        <v>4.535335230766168E-2</v>
      </c>
      <c r="AN16" s="72"/>
    </row>
    <row r="17" spans="2:40" s="73" customFormat="1" ht="14.25" customHeight="1">
      <c r="B17" s="534"/>
      <c r="C17" s="556"/>
      <c r="D17" s="171">
        <v>46178</v>
      </c>
      <c r="E17" s="171" t="s">
        <v>114</v>
      </c>
      <c r="F17" s="322">
        <f t="shared" si="0"/>
        <v>5340875.8999999994</v>
      </c>
      <c r="G17" s="554"/>
      <c r="H17" s="559"/>
      <c r="I17" s="172">
        <v>738554.91999999993</v>
      </c>
      <c r="J17" s="173">
        <f t="shared" si="1"/>
        <v>0.13828348267743873</v>
      </c>
      <c r="K17" s="172">
        <v>916431.33000000007</v>
      </c>
      <c r="L17" s="173">
        <f t="shared" si="2"/>
        <v>0.17158820896774632</v>
      </c>
      <c r="M17" s="172">
        <f t="shared" si="3"/>
        <v>1654986.25</v>
      </c>
      <c r="N17" s="173">
        <f t="shared" ref="N17" si="35">M17/F17</f>
        <v>0.30987169164518502</v>
      </c>
      <c r="O17" s="172">
        <v>198769.24</v>
      </c>
      <c r="P17" s="173">
        <f t="shared" si="4"/>
        <v>3.7216599621796118E-2</v>
      </c>
      <c r="Q17" s="172">
        <v>0</v>
      </c>
      <c r="R17" s="173">
        <f t="shared" si="5"/>
        <v>0</v>
      </c>
      <c r="S17" s="172">
        <f t="shared" si="6"/>
        <v>198769.24</v>
      </c>
      <c r="T17" s="173">
        <f t="shared" ref="T17" si="36">S17/F17</f>
        <v>3.7216599621796118E-2</v>
      </c>
      <c r="U17" s="172">
        <v>57302.64</v>
      </c>
      <c r="V17" s="173">
        <f t="shared" ref="V17" si="37">U17/F17</f>
        <v>1.0729071611643328E-2</v>
      </c>
      <c r="W17" s="172">
        <v>282180.75</v>
      </c>
      <c r="X17" s="173">
        <f t="shared" si="7"/>
        <v>5.283417088946029E-2</v>
      </c>
      <c r="Y17" s="172">
        <v>146636.91</v>
      </c>
      <c r="Z17" s="173">
        <f t="shared" si="8"/>
        <v>2.7455592068709182E-2</v>
      </c>
      <c r="AA17" s="172">
        <v>454927.38</v>
      </c>
      <c r="AB17" s="173">
        <f t="shared" si="9"/>
        <v>8.5178421764115511E-2</v>
      </c>
      <c r="AC17" s="172">
        <f t="shared" si="10"/>
        <v>601564.29</v>
      </c>
      <c r="AD17" s="173">
        <f t="shared" si="11"/>
        <v>0.1126340138328247</v>
      </c>
      <c r="AE17" s="172">
        <v>1017236.3700000001</v>
      </c>
      <c r="AF17" s="173">
        <f t="shared" si="12"/>
        <v>0.19046246141012194</v>
      </c>
      <c r="AG17" s="172">
        <v>0</v>
      </c>
      <c r="AH17" s="173">
        <f t="shared" si="13"/>
        <v>0</v>
      </c>
      <c r="AI17" s="172">
        <v>1272378.5900000001</v>
      </c>
      <c r="AJ17" s="173">
        <f t="shared" si="14"/>
        <v>0.23823406756183949</v>
      </c>
      <c r="AK17" s="172">
        <v>256457.77</v>
      </c>
      <c r="AL17" s="173">
        <f t="shared" si="15"/>
        <v>4.8017923427129253E-2</v>
      </c>
      <c r="AN17" s="72"/>
    </row>
    <row r="18" spans="2:40" s="73" customFormat="1" ht="14.25" customHeight="1">
      <c r="B18" s="534"/>
      <c r="C18" s="556"/>
      <c r="D18" s="171">
        <v>46179</v>
      </c>
      <c r="E18" s="171" t="s">
        <v>115</v>
      </c>
      <c r="F18" s="322">
        <f t="shared" si="0"/>
        <v>5830113.3399999999</v>
      </c>
      <c r="G18" s="554"/>
      <c r="H18" s="559"/>
      <c r="I18" s="172">
        <v>701273.12000000011</v>
      </c>
      <c r="J18" s="173">
        <f t="shared" si="1"/>
        <v>0.12028464613005278</v>
      </c>
      <c r="K18" s="172">
        <v>1075289.2999999998</v>
      </c>
      <c r="L18" s="173">
        <f t="shared" si="2"/>
        <v>0.18443711764958584</v>
      </c>
      <c r="M18" s="172">
        <f t="shared" si="3"/>
        <v>1776562.42</v>
      </c>
      <c r="N18" s="173">
        <f t="shared" ref="N18" si="38">M18/$F18</f>
        <v>0.30472176377963861</v>
      </c>
      <c r="O18" s="172">
        <v>189086.32</v>
      </c>
      <c r="P18" s="173">
        <f t="shared" si="4"/>
        <v>3.2432700527911182E-2</v>
      </c>
      <c r="Q18" s="172">
        <v>0</v>
      </c>
      <c r="R18" s="173">
        <f t="shared" si="5"/>
        <v>0</v>
      </c>
      <c r="S18" s="172">
        <f t="shared" si="6"/>
        <v>189086.32</v>
      </c>
      <c r="T18" s="173">
        <f t="shared" ref="T18" si="39">S18/$F18</f>
        <v>3.2432700527911182E-2</v>
      </c>
      <c r="U18" s="172">
        <v>63686.25</v>
      </c>
      <c r="V18" s="173">
        <f t="shared" ref="V18" si="40">U18/$F18</f>
        <v>1.0923672711995682E-2</v>
      </c>
      <c r="W18" s="172">
        <v>339898.14</v>
      </c>
      <c r="X18" s="173">
        <f t="shared" si="7"/>
        <v>5.83004343445577E-2</v>
      </c>
      <c r="Y18" s="172">
        <v>189895.65000000002</v>
      </c>
      <c r="Z18" s="173">
        <f t="shared" si="8"/>
        <v>3.2571519441507123E-2</v>
      </c>
      <c r="AA18" s="172">
        <v>571191.63</v>
      </c>
      <c r="AB18" s="173">
        <f t="shared" si="9"/>
        <v>9.7972645931442559E-2</v>
      </c>
      <c r="AC18" s="172">
        <f t="shared" si="10"/>
        <v>761087.28</v>
      </c>
      <c r="AD18" s="173">
        <f t="shared" si="11"/>
        <v>0.13054416537294969</v>
      </c>
      <c r="AE18" s="172">
        <v>1207978.0999999999</v>
      </c>
      <c r="AF18" s="173">
        <f t="shared" si="12"/>
        <v>0.20719633213854466</v>
      </c>
      <c r="AG18" s="172">
        <v>0</v>
      </c>
      <c r="AH18" s="173">
        <f t="shared" si="13"/>
        <v>0</v>
      </c>
      <c r="AI18" s="172">
        <v>1203401.24</v>
      </c>
      <c r="AJ18" s="173">
        <f t="shared" si="14"/>
        <v>0.20641129422708615</v>
      </c>
      <c r="AK18" s="172">
        <v>288413.59000000003</v>
      </c>
      <c r="AL18" s="173">
        <f t="shared" si="15"/>
        <v>4.9469636897316309E-2</v>
      </c>
      <c r="AN18" s="72"/>
    </row>
    <row r="19" spans="2:40" s="73" customFormat="1" ht="14.25" customHeight="1">
      <c r="B19" s="534"/>
      <c r="C19" s="556"/>
      <c r="D19" s="171">
        <v>46180</v>
      </c>
      <c r="E19" s="171" t="s">
        <v>116</v>
      </c>
      <c r="F19" s="322">
        <f t="shared" si="0"/>
        <v>7640961.5300000003</v>
      </c>
      <c r="G19" s="554"/>
      <c r="H19" s="559"/>
      <c r="I19" s="172">
        <v>1028874.5599999999</v>
      </c>
      <c r="J19" s="173">
        <f t="shared" si="1"/>
        <v>0.13465249837476931</v>
      </c>
      <c r="K19" s="172">
        <v>1231966.4200000002</v>
      </c>
      <c r="L19" s="173">
        <f t="shared" si="2"/>
        <v>0.16123185742567142</v>
      </c>
      <c r="M19" s="172">
        <f t="shared" si="3"/>
        <v>2260840.98</v>
      </c>
      <c r="N19" s="173">
        <f t="shared" ref="N19" si="41">M19/F19</f>
        <v>0.2958843558004407</v>
      </c>
      <c r="O19" s="172">
        <v>262547.42000000004</v>
      </c>
      <c r="P19" s="173">
        <f t="shared" si="4"/>
        <v>3.436052111624753E-2</v>
      </c>
      <c r="Q19" s="172">
        <v>0</v>
      </c>
      <c r="R19" s="173">
        <f t="shared" si="5"/>
        <v>0</v>
      </c>
      <c r="S19" s="172">
        <f t="shared" si="6"/>
        <v>262547.42000000004</v>
      </c>
      <c r="T19" s="173">
        <f t="shared" ref="T19" si="42">S19/F19</f>
        <v>3.436052111624753E-2</v>
      </c>
      <c r="U19" s="172">
        <v>90269.64</v>
      </c>
      <c r="V19" s="173">
        <f t="shared" ref="V19" si="43">U19/F19</f>
        <v>1.1813911069383436E-2</v>
      </c>
      <c r="W19" s="172">
        <v>500696.74</v>
      </c>
      <c r="X19" s="173">
        <f t="shared" si="7"/>
        <v>6.5527975508600678E-2</v>
      </c>
      <c r="Y19" s="172">
        <v>227761.24000000002</v>
      </c>
      <c r="Z19" s="173">
        <f t="shared" si="8"/>
        <v>2.9807929159931267E-2</v>
      </c>
      <c r="AA19" s="172">
        <v>675296.00999999989</v>
      </c>
      <c r="AB19" s="173">
        <f t="shared" si="9"/>
        <v>8.8378407265714873E-2</v>
      </c>
      <c r="AC19" s="172">
        <f t="shared" si="10"/>
        <v>903057.24999999988</v>
      </c>
      <c r="AD19" s="173">
        <f t="shared" si="11"/>
        <v>0.11818633642564613</v>
      </c>
      <c r="AE19" s="172">
        <v>1948052</v>
      </c>
      <c r="AF19" s="173">
        <f t="shared" si="12"/>
        <v>0.25494854179693793</v>
      </c>
      <c r="AG19" s="172">
        <v>0</v>
      </c>
      <c r="AH19" s="173">
        <f t="shared" si="13"/>
        <v>0</v>
      </c>
      <c r="AI19" s="172">
        <v>1334115.17</v>
      </c>
      <c r="AJ19" s="173">
        <f t="shared" si="14"/>
        <v>0.17460043016340115</v>
      </c>
      <c r="AK19" s="172">
        <v>341382.32999999996</v>
      </c>
      <c r="AL19" s="173">
        <f t="shared" si="15"/>
        <v>4.4677928119342326E-2</v>
      </c>
      <c r="AN19" s="72"/>
    </row>
    <row r="20" spans="2:40" s="73" customFormat="1" ht="14.25" customHeight="1">
      <c r="B20" s="535"/>
      <c r="C20" s="557"/>
      <c r="D20" s="171">
        <v>46181</v>
      </c>
      <c r="E20" s="171" t="s">
        <v>117</v>
      </c>
      <c r="F20" s="322">
        <f t="shared" si="0"/>
        <v>7139841.5599999996</v>
      </c>
      <c r="G20" s="554"/>
      <c r="H20" s="560"/>
      <c r="I20" s="172">
        <v>1020569.8200000003</v>
      </c>
      <c r="J20" s="173">
        <f t="shared" si="1"/>
        <v>0.14294012148919455</v>
      </c>
      <c r="K20" s="172">
        <v>1207056.8099999998</v>
      </c>
      <c r="L20" s="173">
        <f t="shared" si="2"/>
        <v>0.16905932713722571</v>
      </c>
      <c r="M20" s="172">
        <f t="shared" si="3"/>
        <v>2227626.63</v>
      </c>
      <c r="N20" s="173">
        <f t="shared" ref="N20" si="44">M20/$F20</f>
        <v>0.31199944862642021</v>
      </c>
      <c r="O20" s="172">
        <v>259338.27000000002</v>
      </c>
      <c r="P20" s="173">
        <f t="shared" si="4"/>
        <v>3.6322692572466557E-2</v>
      </c>
      <c r="Q20" s="172">
        <v>0</v>
      </c>
      <c r="R20" s="173">
        <f t="shared" si="5"/>
        <v>0</v>
      </c>
      <c r="S20" s="172">
        <f t="shared" si="6"/>
        <v>259338.27000000002</v>
      </c>
      <c r="T20" s="173">
        <f t="shared" ref="T20" si="45">S20/$F20</f>
        <v>3.6322692572466557E-2</v>
      </c>
      <c r="U20" s="172">
        <v>83556.36</v>
      </c>
      <c r="V20" s="173">
        <f t="shared" ref="V20" si="46">U20/$F20</f>
        <v>1.1702831119966757E-2</v>
      </c>
      <c r="W20" s="172">
        <v>415516.44</v>
      </c>
      <c r="X20" s="173">
        <f t="shared" si="7"/>
        <v>5.8196871248218568E-2</v>
      </c>
      <c r="Y20" s="172">
        <v>238320.46000000002</v>
      </c>
      <c r="Z20" s="173">
        <f t="shared" si="8"/>
        <v>3.3378956381211355E-2</v>
      </c>
      <c r="AA20" s="172">
        <v>627188.98</v>
      </c>
      <c r="AB20" s="173">
        <f t="shared" si="9"/>
        <v>8.784354312758727E-2</v>
      </c>
      <c r="AC20" s="172">
        <f t="shared" si="10"/>
        <v>865509.44</v>
      </c>
      <c r="AD20" s="173">
        <f t="shared" si="11"/>
        <v>0.12122249950879863</v>
      </c>
      <c r="AE20" s="172">
        <v>1802582.84</v>
      </c>
      <c r="AF20" s="173">
        <f t="shared" si="12"/>
        <v>0.25246818502230184</v>
      </c>
      <c r="AG20" s="172">
        <v>0</v>
      </c>
      <c r="AH20" s="173">
        <f t="shared" si="13"/>
        <v>0</v>
      </c>
      <c r="AI20" s="172">
        <v>1133987.17</v>
      </c>
      <c r="AJ20" s="173">
        <f t="shared" si="14"/>
        <v>0.1588252569010789</v>
      </c>
      <c r="AK20" s="172">
        <v>351724.41000000003</v>
      </c>
      <c r="AL20" s="173">
        <f t="shared" si="15"/>
        <v>4.9262215000748566E-2</v>
      </c>
      <c r="AN20" s="72"/>
    </row>
  </sheetData>
  <mergeCells count="41">
    <mergeCell ref="B14:B20"/>
    <mergeCell ref="G14:G20"/>
    <mergeCell ref="C13:C20"/>
    <mergeCell ref="H13:H20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B7:B13"/>
    <mergeCell ref="G7:G13"/>
    <mergeCell ref="C7:C12"/>
    <mergeCell ref="H7:H12"/>
    <mergeCell ref="AI4:AJ4"/>
    <mergeCell ref="G5:G6"/>
    <mergeCell ref="H5:H6"/>
    <mergeCell ref="I5:J5"/>
    <mergeCell ref="K5:L5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2:AL20"/>
  <sheetViews>
    <sheetView zoomScale="85" zoomScaleNormal="85" workbookViewId="0">
      <selection activeCell="G14" sqref="G14:G20"/>
    </sheetView>
  </sheetViews>
  <sheetFormatPr defaultColWidth="8.81640625" defaultRowHeight="16"/>
  <cols>
    <col min="1" max="1" width="8.81640625" style="75"/>
    <col min="2" max="2" width="13.1796875" style="75" customWidth="1"/>
    <col min="3" max="3" width="8.81640625" style="95"/>
    <col min="4" max="4" width="17" style="95" customWidth="1"/>
    <col min="5" max="5" width="8.54296875" style="77" customWidth="1"/>
    <col min="6" max="8" width="17.453125" style="96" customWidth="1"/>
    <col min="9" max="9" width="10.54296875" style="82" customWidth="1"/>
    <col min="10" max="10" width="10.54296875" style="84" customWidth="1"/>
    <col min="11" max="11" width="10.54296875" style="82" customWidth="1"/>
    <col min="12" max="12" width="10.54296875" style="84" customWidth="1"/>
    <col min="13" max="13" width="10.54296875" style="82" customWidth="1"/>
    <col min="14" max="14" width="10.54296875" style="84" customWidth="1"/>
    <col min="15" max="15" width="10.54296875" style="82" customWidth="1"/>
    <col min="16" max="16" width="10.54296875" style="84" customWidth="1"/>
    <col min="17" max="17" width="10.54296875" style="82" customWidth="1"/>
    <col min="18" max="18" width="10.54296875" style="84" customWidth="1"/>
    <col min="19" max="19" width="10.54296875" style="82" customWidth="1"/>
    <col min="20" max="20" width="10.54296875" style="84" customWidth="1"/>
    <col min="21" max="21" width="10.54296875" style="82" customWidth="1"/>
    <col min="22" max="22" width="10.54296875" style="84" customWidth="1"/>
    <col min="23" max="23" width="10.54296875" style="82" customWidth="1"/>
    <col min="24" max="24" width="10.54296875" style="84" customWidth="1"/>
    <col min="25" max="25" width="10.54296875" style="82" customWidth="1"/>
    <col min="26" max="26" width="10.54296875" style="84" customWidth="1"/>
    <col min="27" max="27" width="10.54296875" style="82" customWidth="1"/>
    <col min="28" max="28" width="10.54296875" style="84" customWidth="1"/>
    <col min="29" max="29" width="10.54296875" style="82" customWidth="1"/>
    <col min="30" max="30" width="10.54296875" style="84" customWidth="1"/>
    <col min="31" max="31" width="10.54296875" style="82" customWidth="1"/>
    <col min="32" max="32" width="10.54296875" style="84" customWidth="1"/>
    <col min="33" max="33" width="10.453125" style="82" customWidth="1"/>
    <col min="34" max="34" width="10.453125" style="84" customWidth="1"/>
    <col min="35" max="35" width="10.453125" style="82" customWidth="1"/>
    <col min="36" max="36" width="10.453125" style="84" customWidth="1"/>
    <col min="37" max="37" width="10.453125" style="82" customWidth="1"/>
    <col min="38" max="38" width="10.453125" style="84" customWidth="1"/>
    <col min="39" max="16384" width="8.81640625" style="75"/>
  </cols>
  <sheetData>
    <row r="2" spans="1:38" ht="38.15" customHeight="1">
      <c r="A2" s="74"/>
      <c r="B2" s="515" t="s">
        <v>323</v>
      </c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  <c r="AD2" s="515"/>
      <c r="AE2" s="515"/>
      <c r="AF2" s="515"/>
      <c r="AG2" s="515"/>
      <c r="AH2" s="515"/>
      <c r="AI2" s="515"/>
      <c r="AJ2" s="515"/>
      <c r="AK2" s="515"/>
      <c r="AL2" s="515"/>
    </row>
    <row r="3" spans="1:38" ht="25.4" customHeight="1">
      <c r="B3" s="545" t="s">
        <v>410</v>
      </c>
      <c r="C3" s="546" t="s">
        <v>411</v>
      </c>
      <c r="D3" s="547" t="s">
        <v>105</v>
      </c>
      <c r="E3" s="547"/>
      <c r="F3" s="567" t="s">
        <v>153</v>
      </c>
      <c r="G3" s="567"/>
      <c r="H3" s="567"/>
      <c r="I3" s="566" t="s">
        <v>321</v>
      </c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6"/>
      <c r="AF3" s="566"/>
      <c r="AG3" s="566"/>
      <c r="AH3" s="566"/>
      <c r="AI3" s="566"/>
      <c r="AJ3" s="566"/>
      <c r="AK3" s="566"/>
      <c r="AL3" s="566"/>
    </row>
    <row r="4" spans="1:38" ht="25.4" customHeight="1">
      <c r="B4" s="545"/>
      <c r="C4" s="546"/>
      <c r="D4" s="547"/>
      <c r="E4" s="547"/>
      <c r="F4" s="567"/>
      <c r="G4" s="567"/>
      <c r="H4" s="567"/>
      <c r="I4" s="564" t="s">
        <v>412</v>
      </c>
      <c r="J4" s="564"/>
      <c r="K4" s="564"/>
      <c r="L4" s="564"/>
      <c r="M4" s="564"/>
      <c r="N4" s="564"/>
      <c r="O4" s="564" t="s">
        <v>413</v>
      </c>
      <c r="P4" s="564"/>
      <c r="Q4" s="564"/>
      <c r="R4" s="564"/>
      <c r="S4" s="564"/>
      <c r="T4" s="564"/>
      <c r="U4" s="564" t="s">
        <v>414</v>
      </c>
      <c r="V4" s="564"/>
      <c r="W4" s="564" t="s">
        <v>415</v>
      </c>
      <c r="X4" s="564"/>
      <c r="Y4" s="564" t="s">
        <v>139</v>
      </c>
      <c r="Z4" s="564"/>
      <c r="AA4" s="564"/>
      <c r="AB4" s="564"/>
      <c r="AC4" s="564"/>
      <c r="AD4" s="564"/>
      <c r="AE4" s="564" t="s">
        <v>137</v>
      </c>
      <c r="AF4" s="564"/>
      <c r="AG4" s="564" t="s">
        <v>416</v>
      </c>
      <c r="AH4" s="564"/>
      <c r="AI4" s="564" t="s">
        <v>417</v>
      </c>
      <c r="AJ4" s="564"/>
      <c r="AK4" s="564" t="s">
        <v>143</v>
      </c>
      <c r="AL4" s="564"/>
    </row>
    <row r="5" spans="1:38" ht="25.4" customHeight="1">
      <c r="B5" s="545"/>
      <c r="C5" s="546"/>
      <c r="D5" s="547"/>
      <c r="E5" s="547"/>
      <c r="F5" s="565" t="s">
        <v>116</v>
      </c>
      <c r="G5" s="565" t="s">
        <v>120</v>
      </c>
      <c r="H5" s="565" t="s">
        <v>121</v>
      </c>
      <c r="I5" s="564" t="s">
        <v>133</v>
      </c>
      <c r="J5" s="564"/>
      <c r="K5" s="564" t="s">
        <v>134</v>
      </c>
      <c r="L5" s="564"/>
      <c r="M5" s="564" t="s">
        <v>152</v>
      </c>
      <c r="N5" s="564"/>
      <c r="O5" s="564" t="s">
        <v>133</v>
      </c>
      <c r="P5" s="564"/>
      <c r="Q5" s="564" t="s">
        <v>134</v>
      </c>
      <c r="R5" s="564"/>
      <c r="S5" s="564" t="s">
        <v>152</v>
      </c>
      <c r="T5" s="564"/>
      <c r="U5" s="564" t="s">
        <v>133</v>
      </c>
      <c r="V5" s="564"/>
      <c r="W5" s="564" t="s">
        <v>133</v>
      </c>
      <c r="X5" s="564"/>
      <c r="Y5" s="564" t="s">
        <v>133</v>
      </c>
      <c r="Z5" s="564"/>
      <c r="AA5" s="564" t="s">
        <v>134</v>
      </c>
      <c r="AB5" s="564"/>
      <c r="AC5" s="564" t="s">
        <v>152</v>
      </c>
      <c r="AD5" s="564"/>
      <c r="AE5" s="564" t="s">
        <v>133</v>
      </c>
      <c r="AF5" s="564"/>
      <c r="AG5" s="564" t="s">
        <v>133</v>
      </c>
      <c r="AH5" s="564"/>
      <c r="AI5" s="564" t="s">
        <v>133</v>
      </c>
      <c r="AJ5" s="564"/>
      <c r="AK5" s="564" t="s">
        <v>133</v>
      </c>
      <c r="AL5" s="564"/>
    </row>
    <row r="6" spans="1:38" s="77" customFormat="1" ht="23.5" customHeight="1">
      <c r="B6" s="545"/>
      <c r="C6" s="570"/>
      <c r="D6" s="548"/>
      <c r="E6" s="548"/>
      <c r="F6" s="569"/>
      <c r="G6" s="565"/>
      <c r="H6" s="565"/>
      <c r="I6" s="215" t="s">
        <v>154</v>
      </c>
      <c r="J6" s="174" t="s">
        <v>111</v>
      </c>
      <c r="K6" s="215" t="s">
        <v>154</v>
      </c>
      <c r="L6" s="174" t="s">
        <v>111</v>
      </c>
      <c r="M6" s="215" t="s">
        <v>154</v>
      </c>
      <c r="N6" s="174" t="s">
        <v>111</v>
      </c>
      <c r="O6" s="215" t="s">
        <v>154</v>
      </c>
      <c r="P6" s="174" t="s">
        <v>111</v>
      </c>
      <c r="Q6" s="215" t="s">
        <v>154</v>
      </c>
      <c r="R6" s="174" t="s">
        <v>111</v>
      </c>
      <c r="S6" s="215" t="s">
        <v>154</v>
      </c>
      <c r="T6" s="174" t="s">
        <v>111</v>
      </c>
      <c r="U6" s="215" t="s">
        <v>154</v>
      </c>
      <c r="V6" s="174" t="s">
        <v>111</v>
      </c>
      <c r="W6" s="215" t="s">
        <v>154</v>
      </c>
      <c r="X6" s="174" t="s">
        <v>111</v>
      </c>
      <c r="Y6" s="215" t="s">
        <v>154</v>
      </c>
      <c r="Z6" s="174" t="s">
        <v>111</v>
      </c>
      <c r="AA6" s="215" t="s">
        <v>154</v>
      </c>
      <c r="AB6" s="174" t="s">
        <v>111</v>
      </c>
      <c r="AC6" s="215" t="s">
        <v>154</v>
      </c>
      <c r="AD6" s="174" t="s">
        <v>111</v>
      </c>
      <c r="AE6" s="215" t="s">
        <v>154</v>
      </c>
      <c r="AF6" s="174" t="s">
        <v>111</v>
      </c>
      <c r="AG6" s="215" t="s">
        <v>154</v>
      </c>
      <c r="AH6" s="174" t="s">
        <v>111</v>
      </c>
      <c r="AI6" s="215" t="s">
        <v>154</v>
      </c>
      <c r="AJ6" s="174" t="s">
        <v>111</v>
      </c>
      <c r="AK6" s="215" t="s">
        <v>154</v>
      </c>
      <c r="AL6" s="174" t="s">
        <v>111</v>
      </c>
    </row>
    <row r="7" spans="1:38" s="73" customFormat="1" ht="14.25" customHeight="1">
      <c r="B7" s="533">
        <f>D8+7</f>
        <v>46176</v>
      </c>
      <c r="C7" s="539"/>
      <c r="D7" s="171">
        <v>46168</v>
      </c>
      <c r="E7" s="171" t="s">
        <v>118</v>
      </c>
      <c r="F7" s="323">
        <f t="shared" ref="F7:F20" si="0">SUM(M7,S7,U7,W7,AC7,AE7,AG7,AI7,AK7)</f>
        <v>228475</v>
      </c>
      <c r="G7" s="561">
        <f t="shared" ref="G7" si="1">SUM(F7:F13)</f>
        <v>1514908</v>
      </c>
      <c r="H7" s="562"/>
      <c r="I7" s="310">
        <v>57344</v>
      </c>
      <c r="J7" s="232">
        <f t="shared" ref="J7:J20" si="2">I7/$F7</f>
        <v>0.25098588467009519</v>
      </c>
      <c r="K7" s="310">
        <v>64932</v>
      </c>
      <c r="L7" s="232">
        <f t="shared" ref="L7:L20" si="3">K7/$F7</f>
        <v>0.28419739577634312</v>
      </c>
      <c r="M7" s="310">
        <f t="shared" ref="M7:M20" si="4">I7+K7</f>
        <v>122276</v>
      </c>
      <c r="N7" s="232">
        <f t="shared" ref="N7:N20" si="5">M7/$F7</f>
        <v>0.53518328044643837</v>
      </c>
      <c r="O7" s="310">
        <v>8767</v>
      </c>
      <c r="P7" s="232">
        <f t="shared" ref="P7:P20" si="6">O7/$F7</f>
        <v>3.8371813108655214E-2</v>
      </c>
      <c r="Q7" s="310">
        <v>0</v>
      </c>
      <c r="R7" s="232">
        <f t="shared" ref="R7:R20" si="7">Q7/$F7</f>
        <v>0</v>
      </c>
      <c r="S7" s="310">
        <f t="shared" ref="S7:S20" si="8">O7+Q7</f>
        <v>8767</v>
      </c>
      <c r="T7" s="232">
        <f t="shared" ref="T7:T20" si="9">S7/$F7</f>
        <v>3.8371813108655214E-2</v>
      </c>
      <c r="U7" s="310">
        <v>2769</v>
      </c>
      <c r="V7" s="232">
        <f t="shared" ref="V7:V20" si="10">U7/$F7</f>
        <v>1.2119487908961593E-2</v>
      </c>
      <c r="W7" s="310">
        <v>18761</v>
      </c>
      <c r="X7" s="232">
        <f t="shared" ref="X7:X20" si="11">W7/$F7</f>
        <v>8.2114016850858951E-2</v>
      </c>
      <c r="Y7" s="310">
        <v>3712</v>
      </c>
      <c r="Z7" s="232">
        <f t="shared" ref="Z7:Z20" si="12">Y7/$F7</f>
        <v>1.6246854141590984E-2</v>
      </c>
      <c r="AA7" s="310">
        <v>11414</v>
      </c>
      <c r="AB7" s="232">
        <f t="shared" ref="AB7:AB20" si="13">AA7/$F7</f>
        <v>4.9957325746799432E-2</v>
      </c>
      <c r="AC7" s="310">
        <f t="shared" ref="AC7:AC20" si="14">Y7+AA7</f>
        <v>15126</v>
      </c>
      <c r="AD7" s="232">
        <f t="shared" ref="AD7:AD20" si="15">AC7/$F7</f>
        <v>6.6204179888390419E-2</v>
      </c>
      <c r="AE7" s="310">
        <v>27471</v>
      </c>
      <c r="AF7" s="232">
        <f t="shared" ref="AF7:AF20" si="16">AE7/$F7</f>
        <v>0.12023634971003393</v>
      </c>
      <c r="AG7" s="310">
        <v>0</v>
      </c>
      <c r="AH7" s="232">
        <f t="shared" ref="AH7:AH20" si="17">AG7/$F7</f>
        <v>0</v>
      </c>
      <c r="AI7" s="310">
        <v>29612</v>
      </c>
      <c r="AJ7" s="232">
        <f t="shared" ref="AJ7:AJ20" si="18">AI7/$F7</f>
        <v>0.12960717802823066</v>
      </c>
      <c r="AK7" s="310">
        <v>3693</v>
      </c>
      <c r="AL7" s="232">
        <f t="shared" ref="AL7:AL20" si="19">AK7/$F7</f>
        <v>1.6163694058430902E-2</v>
      </c>
    </row>
    <row r="8" spans="1:38" s="73" customFormat="1" ht="14.25" customHeight="1">
      <c r="B8" s="534"/>
      <c r="C8" s="539"/>
      <c r="D8" s="171">
        <f t="shared" ref="D8:D20" si="20">D7+1</f>
        <v>46169</v>
      </c>
      <c r="E8" s="171" t="s">
        <v>112</v>
      </c>
      <c r="F8" s="323">
        <f t="shared" si="0"/>
        <v>223731</v>
      </c>
      <c r="G8" s="561"/>
      <c r="H8" s="562"/>
      <c r="I8" s="310">
        <v>56388</v>
      </c>
      <c r="J8" s="232">
        <f t="shared" si="2"/>
        <v>0.25203480965981467</v>
      </c>
      <c r="K8" s="310">
        <v>62812</v>
      </c>
      <c r="L8" s="232">
        <f t="shared" si="3"/>
        <v>0.28074786238831456</v>
      </c>
      <c r="M8" s="310">
        <f t="shared" si="4"/>
        <v>119200</v>
      </c>
      <c r="N8" s="232">
        <f t="shared" si="5"/>
        <v>0.53278267204812924</v>
      </c>
      <c r="O8" s="310">
        <v>8707</v>
      </c>
      <c r="P8" s="232">
        <f t="shared" si="6"/>
        <v>3.8917271187274005E-2</v>
      </c>
      <c r="Q8" s="310">
        <v>0</v>
      </c>
      <c r="R8" s="232">
        <f t="shared" si="7"/>
        <v>0</v>
      </c>
      <c r="S8" s="310">
        <f t="shared" si="8"/>
        <v>8707</v>
      </c>
      <c r="T8" s="232">
        <f t="shared" si="9"/>
        <v>3.8917271187274005E-2</v>
      </c>
      <c r="U8" s="310">
        <v>2494</v>
      </c>
      <c r="V8" s="232">
        <f t="shared" si="10"/>
        <v>1.1147315302751966E-2</v>
      </c>
      <c r="W8" s="310">
        <v>15103</v>
      </c>
      <c r="X8" s="232">
        <f t="shared" si="11"/>
        <v>6.750517362368201E-2</v>
      </c>
      <c r="Y8" s="310">
        <v>3538</v>
      </c>
      <c r="Z8" s="232">
        <f t="shared" si="12"/>
        <v>1.5813633336462091E-2</v>
      </c>
      <c r="AA8" s="310">
        <v>10312</v>
      </c>
      <c r="AB8" s="232">
        <f t="shared" si="13"/>
        <v>4.6091064716109971E-2</v>
      </c>
      <c r="AC8" s="310">
        <f t="shared" si="14"/>
        <v>13850</v>
      </c>
      <c r="AD8" s="232">
        <f t="shared" si="15"/>
        <v>6.1904698052572059E-2</v>
      </c>
      <c r="AE8" s="310">
        <v>25741</v>
      </c>
      <c r="AF8" s="232">
        <f t="shared" si="16"/>
        <v>0.11505334531200415</v>
      </c>
      <c r="AG8" s="310">
        <v>0</v>
      </c>
      <c r="AH8" s="232">
        <f t="shared" si="17"/>
        <v>0</v>
      </c>
      <c r="AI8" s="310">
        <v>34904</v>
      </c>
      <c r="AJ8" s="232">
        <f t="shared" si="18"/>
        <v>0.15600877839905958</v>
      </c>
      <c r="AK8" s="310">
        <v>3732</v>
      </c>
      <c r="AL8" s="232">
        <f t="shared" si="19"/>
        <v>1.6680746074526999E-2</v>
      </c>
    </row>
    <row r="9" spans="1:38" s="73" customFormat="1" ht="14.25" customHeight="1">
      <c r="B9" s="534"/>
      <c r="C9" s="539"/>
      <c r="D9" s="171">
        <f t="shared" si="20"/>
        <v>46170</v>
      </c>
      <c r="E9" s="171" t="s">
        <v>113</v>
      </c>
      <c r="F9" s="323">
        <f t="shared" si="0"/>
        <v>210315</v>
      </c>
      <c r="G9" s="561"/>
      <c r="H9" s="562"/>
      <c r="I9" s="310">
        <v>54513</v>
      </c>
      <c r="J9" s="232">
        <f t="shared" si="2"/>
        <v>0.25919691890735325</v>
      </c>
      <c r="K9" s="310">
        <v>54796</v>
      </c>
      <c r="L9" s="232">
        <f t="shared" si="3"/>
        <v>0.26054251955400232</v>
      </c>
      <c r="M9" s="310">
        <f t="shared" si="4"/>
        <v>109309</v>
      </c>
      <c r="N9" s="232">
        <f t="shared" si="5"/>
        <v>0.51973943846135562</v>
      </c>
      <c r="O9" s="310">
        <v>8973</v>
      </c>
      <c r="P9" s="232">
        <f t="shared" si="6"/>
        <v>4.2664574566721347E-2</v>
      </c>
      <c r="Q9" s="310">
        <v>0</v>
      </c>
      <c r="R9" s="232">
        <f t="shared" si="7"/>
        <v>0</v>
      </c>
      <c r="S9" s="310">
        <f t="shared" si="8"/>
        <v>8973</v>
      </c>
      <c r="T9" s="232">
        <f t="shared" si="9"/>
        <v>4.2664574566721347E-2</v>
      </c>
      <c r="U9" s="310">
        <v>2105</v>
      </c>
      <c r="V9" s="232">
        <f t="shared" si="10"/>
        <v>1.0008796329315551E-2</v>
      </c>
      <c r="W9" s="310">
        <v>14825</v>
      </c>
      <c r="X9" s="232">
        <f t="shared" si="11"/>
        <v>7.048950383947887E-2</v>
      </c>
      <c r="Y9" s="310">
        <v>3157</v>
      </c>
      <c r="Z9" s="232">
        <f t="shared" si="12"/>
        <v>1.5010817107671826E-2</v>
      </c>
      <c r="AA9" s="310">
        <v>8261</v>
      </c>
      <c r="AB9" s="232">
        <f t="shared" si="13"/>
        <v>3.9279176473385163E-2</v>
      </c>
      <c r="AC9" s="310">
        <f t="shared" si="14"/>
        <v>11418</v>
      </c>
      <c r="AD9" s="232">
        <f t="shared" si="15"/>
        <v>5.4289993581056989E-2</v>
      </c>
      <c r="AE9" s="310">
        <v>23807</v>
      </c>
      <c r="AF9" s="232">
        <f t="shared" si="16"/>
        <v>0.11319687135962722</v>
      </c>
      <c r="AG9" s="310">
        <v>0</v>
      </c>
      <c r="AH9" s="232">
        <f t="shared" si="17"/>
        <v>0</v>
      </c>
      <c r="AI9" s="310">
        <v>36203</v>
      </c>
      <c r="AJ9" s="232">
        <f t="shared" si="18"/>
        <v>0.17213703254641846</v>
      </c>
      <c r="AK9" s="310">
        <v>3675</v>
      </c>
      <c r="AL9" s="232">
        <f t="shared" si="19"/>
        <v>1.7473789316025962E-2</v>
      </c>
    </row>
    <row r="10" spans="1:38" s="73" customFormat="1" ht="14.25" customHeight="1">
      <c r="B10" s="534"/>
      <c r="C10" s="539"/>
      <c r="D10" s="171">
        <f t="shared" si="20"/>
        <v>46171</v>
      </c>
      <c r="E10" s="171" t="s">
        <v>114</v>
      </c>
      <c r="F10" s="323">
        <f t="shared" si="0"/>
        <v>188020</v>
      </c>
      <c r="G10" s="561"/>
      <c r="H10" s="562"/>
      <c r="I10" s="310">
        <v>42032</v>
      </c>
      <c r="J10" s="232">
        <f t="shared" si="2"/>
        <v>0.2235506860972237</v>
      </c>
      <c r="K10" s="310">
        <v>51213</v>
      </c>
      <c r="L10" s="232">
        <f t="shared" si="3"/>
        <v>0.27238059780874374</v>
      </c>
      <c r="M10" s="310">
        <f t="shared" si="4"/>
        <v>93245</v>
      </c>
      <c r="N10" s="232">
        <f t="shared" si="5"/>
        <v>0.49593128390596747</v>
      </c>
      <c r="O10" s="310">
        <v>7060</v>
      </c>
      <c r="P10" s="232">
        <f t="shared" si="6"/>
        <v>3.7549196893947451E-2</v>
      </c>
      <c r="Q10" s="310">
        <v>0</v>
      </c>
      <c r="R10" s="232">
        <f t="shared" si="7"/>
        <v>0</v>
      </c>
      <c r="S10" s="310">
        <f t="shared" si="8"/>
        <v>7060</v>
      </c>
      <c r="T10" s="232">
        <f t="shared" si="9"/>
        <v>3.7549196893947451E-2</v>
      </c>
      <c r="U10" s="310">
        <v>1985</v>
      </c>
      <c r="V10" s="232">
        <f t="shared" si="10"/>
        <v>1.0557387511966812E-2</v>
      </c>
      <c r="W10" s="310">
        <v>13193</v>
      </c>
      <c r="X10" s="232">
        <f t="shared" si="11"/>
        <v>7.0168067226890757E-2</v>
      </c>
      <c r="Y10" s="310">
        <v>2837</v>
      </c>
      <c r="Z10" s="232">
        <f t="shared" si="12"/>
        <v>1.5088820338261887E-2</v>
      </c>
      <c r="AA10" s="310">
        <v>8678</v>
      </c>
      <c r="AB10" s="232">
        <f t="shared" si="13"/>
        <v>4.6154664397404531E-2</v>
      </c>
      <c r="AC10" s="310">
        <f t="shared" si="14"/>
        <v>11515</v>
      </c>
      <c r="AD10" s="232">
        <f t="shared" si="15"/>
        <v>6.1243484735666417E-2</v>
      </c>
      <c r="AE10" s="310">
        <v>19178</v>
      </c>
      <c r="AF10" s="232">
        <f t="shared" si="16"/>
        <v>0.10199978725667483</v>
      </c>
      <c r="AG10" s="310">
        <v>0</v>
      </c>
      <c r="AH10" s="232">
        <f t="shared" si="17"/>
        <v>0</v>
      </c>
      <c r="AI10" s="310">
        <v>38604</v>
      </c>
      <c r="AJ10" s="232">
        <f t="shared" si="18"/>
        <v>0.20531858312945431</v>
      </c>
      <c r="AK10" s="310">
        <v>3240</v>
      </c>
      <c r="AL10" s="232">
        <f t="shared" si="19"/>
        <v>1.7232209339431974E-2</v>
      </c>
    </row>
    <row r="11" spans="1:38" s="73" customFormat="1" ht="14.25" customHeight="1">
      <c r="B11" s="534"/>
      <c r="C11" s="539"/>
      <c r="D11" s="171">
        <f t="shared" si="20"/>
        <v>46172</v>
      </c>
      <c r="E11" s="171" t="s">
        <v>115</v>
      </c>
      <c r="F11" s="323">
        <f t="shared" si="0"/>
        <v>190453</v>
      </c>
      <c r="G11" s="561"/>
      <c r="H11" s="562"/>
      <c r="I11" s="310">
        <v>38704</v>
      </c>
      <c r="J11" s="232">
        <f t="shared" si="2"/>
        <v>0.20322074212535376</v>
      </c>
      <c r="K11" s="310">
        <v>60151</v>
      </c>
      <c r="L11" s="232">
        <f t="shared" si="3"/>
        <v>0.31583120244889817</v>
      </c>
      <c r="M11" s="310">
        <f t="shared" si="4"/>
        <v>98855</v>
      </c>
      <c r="N11" s="232">
        <f t="shared" si="5"/>
        <v>0.51905194457425197</v>
      </c>
      <c r="O11" s="310">
        <v>6816</v>
      </c>
      <c r="P11" s="232">
        <f t="shared" si="6"/>
        <v>3.5788357232493059E-2</v>
      </c>
      <c r="Q11" s="310">
        <v>0</v>
      </c>
      <c r="R11" s="232">
        <f t="shared" si="7"/>
        <v>0</v>
      </c>
      <c r="S11" s="310">
        <f t="shared" si="8"/>
        <v>6816</v>
      </c>
      <c r="T11" s="232">
        <f t="shared" si="9"/>
        <v>3.5788357232493059E-2</v>
      </c>
      <c r="U11" s="310">
        <v>2226</v>
      </c>
      <c r="V11" s="232">
        <f t="shared" si="10"/>
        <v>1.1687923004625813E-2</v>
      </c>
      <c r="W11" s="310">
        <v>15440</v>
      </c>
      <c r="X11" s="232">
        <f t="shared" si="11"/>
        <v>8.1069870256703758E-2</v>
      </c>
      <c r="Y11" s="310">
        <v>3241</v>
      </c>
      <c r="Z11" s="232">
        <f t="shared" si="12"/>
        <v>1.7017321858936327E-2</v>
      </c>
      <c r="AA11" s="310">
        <v>10183</v>
      </c>
      <c r="AB11" s="232">
        <f t="shared" si="13"/>
        <v>5.346725963886103E-2</v>
      </c>
      <c r="AC11" s="310">
        <f t="shared" si="14"/>
        <v>13424</v>
      </c>
      <c r="AD11" s="232">
        <f t="shared" si="15"/>
        <v>7.0484581497797363E-2</v>
      </c>
      <c r="AE11" s="310">
        <v>20185</v>
      </c>
      <c r="AF11" s="232">
        <f t="shared" si="16"/>
        <v>0.10598415357069724</v>
      </c>
      <c r="AG11" s="310">
        <v>0</v>
      </c>
      <c r="AH11" s="232">
        <f t="shared" si="17"/>
        <v>0</v>
      </c>
      <c r="AI11" s="310">
        <v>30255</v>
      </c>
      <c r="AJ11" s="232">
        <f t="shared" si="18"/>
        <v>0.15885809097257592</v>
      </c>
      <c r="AK11" s="310">
        <v>3252</v>
      </c>
      <c r="AL11" s="232">
        <f t="shared" si="19"/>
        <v>1.7075078890854963E-2</v>
      </c>
    </row>
    <row r="12" spans="1:38" s="73" customFormat="1" ht="14.25" customHeight="1">
      <c r="B12" s="534"/>
      <c r="C12" s="540"/>
      <c r="D12" s="171">
        <f t="shared" si="20"/>
        <v>46173</v>
      </c>
      <c r="E12" s="171" t="s">
        <v>116</v>
      </c>
      <c r="F12" s="323">
        <f t="shared" si="0"/>
        <v>243554</v>
      </c>
      <c r="G12" s="561"/>
      <c r="H12" s="563"/>
      <c r="I12" s="310">
        <v>55092</v>
      </c>
      <c r="J12" s="232">
        <f t="shared" si="2"/>
        <v>0.22620034981975251</v>
      </c>
      <c r="K12" s="310">
        <v>68199</v>
      </c>
      <c r="L12" s="232">
        <f t="shared" si="3"/>
        <v>0.28001593075868186</v>
      </c>
      <c r="M12" s="310">
        <f t="shared" si="4"/>
        <v>123291</v>
      </c>
      <c r="N12" s="232">
        <f t="shared" si="5"/>
        <v>0.50621628057843437</v>
      </c>
      <c r="O12" s="310">
        <v>9377</v>
      </c>
      <c r="P12" s="232">
        <f t="shared" si="6"/>
        <v>3.8500702103024378E-2</v>
      </c>
      <c r="Q12" s="310">
        <v>0</v>
      </c>
      <c r="R12" s="232">
        <f t="shared" si="7"/>
        <v>0</v>
      </c>
      <c r="S12" s="310">
        <f t="shared" si="8"/>
        <v>9377</v>
      </c>
      <c r="T12" s="232">
        <f t="shared" si="9"/>
        <v>3.8500702103024378E-2</v>
      </c>
      <c r="U12" s="310">
        <v>2756</v>
      </c>
      <c r="V12" s="232">
        <f t="shared" si="10"/>
        <v>1.1315765702883139E-2</v>
      </c>
      <c r="W12" s="310">
        <v>16455</v>
      </c>
      <c r="X12" s="232">
        <f t="shared" si="11"/>
        <v>6.7562019100486953E-2</v>
      </c>
      <c r="Y12" s="310">
        <v>3849</v>
      </c>
      <c r="Z12" s="232">
        <f t="shared" si="12"/>
        <v>1.5803476847023656E-2</v>
      </c>
      <c r="AA12" s="310">
        <v>11732</v>
      </c>
      <c r="AB12" s="232">
        <f t="shared" si="13"/>
        <v>4.8170015684406743E-2</v>
      </c>
      <c r="AC12" s="310">
        <f t="shared" si="14"/>
        <v>15581</v>
      </c>
      <c r="AD12" s="232">
        <f t="shared" si="15"/>
        <v>6.3973492531430406E-2</v>
      </c>
      <c r="AE12" s="310">
        <v>31112</v>
      </c>
      <c r="AF12" s="232">
        <f t="shared" si="16"/>
        <v>0.12774169178087816</v>
      </c>
      <c r="AG12" s="310">
        <v>0</v>
      </c>
      <c r="AH12" s="232">
        <f t="shared" si="17"/>
        <v>0</v>
      </c>
      <c r="AI12" s="310">
        <v>34038</v>
      </c>
      <c r="AJ12" s="232">
        <f t="shared" si="18"/>
        <v>0.13975545464250227</v>
      </c>
      <c r="AK12" s="310">
        <v>10944</v>
      </c>
      <c r="AL12" s="232">
        <f t="shared" si="19"/>
        <v>4.4934593560360329E-2</v>
      </c>
    </row>
    <row r="13" spans="1:38" s="73" customFormat="1" ht="14.25" customHeight="1">
      <c r="B13" s="535"/>
      <c r="C13" s="555" t="s">
        <v>115</v>
      </c>
      <c r="D13" s="171">
        <f t="shared" si="20"/>
        <v>46174</v>
      </c>
      <c r="E13" s="171" t="s">
        <v>117</v>
      </c>
      <c r="F13" s="323">
        <f t="shared" si="0"/>
        <v>230360</v>
      </c>
      <c r="G13" s="561"/>
      <c r="H13" s="568">
        <f>SUM(F13:F43)</f>
        <v>1760864</v>
      </c>
      <c r="I13" s="310">
        <v>54096</v>
      </c>
      <c r="J13" s="232">
        <f t="shared" si="2"/>
        <v>0.234832436186838</v>
      </c>
      <c r="K13" s="310">
        <v>66223</v>
      </c>
      <c r="L13" s="232">
        <f t="shared" si="3"/>
        <v>0.28747612432714015</v>
      </c>
      <c r="M13" s="310">
        <f t="shared" si="4"/>
        <v>120319</v>
      </c>
      <c r="N13" s="232">
        <f t="shared" si="5"/>
        <v>0.52230856051397812</v>
      </c>
      <c r="O13" s="310">
        <v>9016</v>
      </c>
      <c r="P13" s="232">
        <f t="shared" si="6"/>
        <v>3.9138739364472999E-2</v>
      </c>
      <c r="Q13" s="310">
        <v>0</v>
      </c>
      <c r="R13" s="232">
        <f t="shared" si="7"/>
        <v>0</v>
      </c>
      <c r="S13" s="310">
        <f t="shared" si="8"/>
        <v>9016</v>
      </c>
      <c r="T13" s="232">
        <f t="shared" si="9"/>
        <v>3.9138739364472999E-2</v>
      </c>
      <c r="U13" s="310">
        <v>2704</v>
      </c>
      <c r="V13" s="232">
        <f t="shared" si="10"/>
        <v>1.1738148984198645E-2</v>
      </c>
      <c r="W13" s="310">
        <v>14150</v>
      </c>
      <c r="X13" s="232">
        <f t="shared" si="11"/>
        <v>6.1425594721305779E-2</v>
      </c>
      <c r="Y13" s="310">
        <v>3991</v>
      </c>
      <c r="Z13" s="232">
        <f t="shared" si="12"/>
        <v>1.7325056433408578E-2</v>
      </c>
      <c r="AA13" s="310">
        <v>11602</v>
      </c>
      <c r="AB13" s="232">
        <f t="shared" si="13"/>
        <v>5.0364646640041671E-2</v>
      </c>
      <c r="AC13" s="310">
        <f t="shared" si="14"/>
        <v>15593</v>
      </c>
      <c r="AD13" s="232">
        <f t="shared" si="15"/>
        <v>6.768970307345025E-2</v>
      </c>
      <c r="AE13" s="310">
        <v>27907</v>
      </c>
      <c r="AF13" s="232">
        <f t="shared" si="16"/>
        <v>0.12114516409098802</v>
      </c>
      <c r="AG13" s="310">
        <v>0</v>
      </c>
      <c r="AH13" s="232">
        <f t="shared" si="17"/>
        <v>0</v>
      </c>
      <c r="AI13" s="310">
        <v>29294</v>
      </c>
      <c r="AJ13" s="232">
        <f t="shared" si="18"/>
        <v>0.1271661746831047</v>
      </c>
      <c r="AK13" s="310">
        <v>11377</v>
      </c>
      <c r="AL13" s="232">
        <f t="shared" si="19"/>
        <v>4.9387914568501473E-2</v>
      </c>
    </row>
    <row r="14" spans="1:38" s="73" customFormat="1" ht="14.25" customHeight="1">
      <c r="B14" s="533">
        <f>D15+7</f>
        <v>46183</v>
      </c>
      <c r="C14" s="556"/>
      <c r="D14" s="171">
        <f t="shared" si="20"/>
        <v>46175</v>
      </c>
      <c r="E14" s="171" t="s">
        <v>118</v>
      </c>
      <c r="F14" s="323">
        <f t="shared" si="0"/>
        <v>241153</v>
      </c>
      <c r="G14" s="561">
        <f t="shared" ref="G14" si="21">SUM(F14:F20)</f>
        <v>1530504</v>
      </c>
      <c r="H14" s="562"/>
      <c r="I14" s="310">
        <v>53173</v>
      </c>
      <c r="J14" s="232">
        <f t="shared" si="2"/>
        <v>0.22049487254979205</v>
      </c>
      <c r="K14" s="310">
        <v>64036</v>
      </c>
      <c r="L14" s="232">
        <f t="shared" si="3"/>
        <v>0.26554096362060603</v>
      </c>
      <c r="M14" s="310">
        <f t="shared" si="4"/>
        <v>117209</v>
      </c>
      <c r="N14" s="232">
        <f t="shared" si="5"/>
        <v>0.48603583617039803</v>
      </c>
      <c r="O14" s="310">
        <v>8964</v>
      </c>
      <c r="P14" s="232">
        <f t="shared" si="6"/>
        <v>3.7171422292071842E-2</v>
      </c>
      <c r="Q14" s="310">
        <v>0</v>
      </c>
      <c r="R14" s="232">
        <f t="shared" si="7"/>
        <v>0</v>
      </c>
      <c r="S14" s="310">
        <f t="shared" si="8"/>
        <v>8964</v>
      </c>
      <c r="T14" s="232">
        <f t="shared" si="9"/>
        <v>3.7171422292071842E-2</v>
      </c>
      <c r="U14" s="310">
        <v>2850</v>
      </c>
      <c r="V14" s="232">
        <f t="shared" si="10"/>
        <v>1.1818223285631943E-2</v>
      </c>
      <c r="W14" s="310">
        <v>21332</v>
      </c>
      <c r="X14" s="232">
        <f t="shared" si="11"/>
        <v>8.8458364606701964E-2</v>
      </c>
      <c r="Y14" s="310">
        <v>3737</v>
      </c>
      <c r="Z14" s="232">
        <f t="shared" si="12"/>
        <v>1.5496386111721603E-2</v>
      </c>
      <c r="AA14" s="310">
        <v>10926</v>
      </c>
      <c r="AB14" s="232">
        <f t="shared" si="13"/>
        <v>4.5307336006601619E-2</v>
      </c>
      <c r="AC14" s="310">
        <f t="shared" si="14"/>
        <v>14663</v>
      </c>
      <c r="AD14" s="232">
        <f t="shared" si="15"/>
        <v>6.0803722118323224E-2</v>
      </c>
      <c r="AE14" s="310">
        <v>26610</v>
      </c>
      <c r="AF14" s="232">
        <f t="shared" si="16"/>
        <v>0.11034488478268983</v>
      </c>
      <c r="AG14" s="310">
        <v>0</v>
      </c>
      <c r="AH14" s="232">
        <f t="shared" si="17"/>
        <v>0</v>
      </c>
      <c r="AI14" s="310">
        <v>38232</v>
      </c>
      <c r="AJ14" s="232">
        <f t="shared" si="18"/>
        <v>0.15853835531799315</v>
      </c>
      <c r="AK14" s="310">
        <v>11293</v>
      </c>
      <c r="AL14" s="232">
        <f t="shared" si="19"/>
        <v>4.6829191426190013E-2</v>
      </c>
    </row>
    <row r="15" spans="1:38" s="73" customFormat="1" ht="14.25" customHeight="1">
      <c r="B15" s="534"/>
      <c r="C15" s="556"/>
      <c r="D15" s="171">
        <f t="shared" si="20"/>
        <v>46176</v>
      </c>
      <c r="E15" s="171" t="s">
        <v>112</v>
      </c>
      <c r="F15" s="323">
        <f t="shared" si="0"/>
        <v>224497</v>
      </c>
      <c r="G15" s="561"/>
      <c r="H15" s="562"/>
      <c r="I15" s="310">
        <v>52127</v>
      </c>
      <c r="J15" s="232">
        <f t="shared" si="2"/>
        <v>0.23219463957202099</v>
      </c>
      <c r="K15" s="310">
        <v>60867</v>
      </c>
      <c r="L15" s="232">
        <f t="shared" si="3"/>
        <v>0.2711261174982294</v>
      </c>
      <c r="M15" s="310">
        <f t="shared" si="4"/>
        <v>112994</v>
      </c>
      <c r="N15" s="232">
        <f t="shared" si="5"/>
        <v>0.50332075707025037</v>
      </c>
      <c r="O15" s="310">
        <v>8859</v>
      </c>
      <c r="P15" s="232">
        <f t="shared" si="6"/>
        <v>3.9461551824745984E-2</v>
      </c>
      <c r="Q15" s="310">
        <v>0</v>
      </c>
      <c r="R15" s="232">
        <f t="shared" si="7"/>
        <v>0</v>
      </c>
      <c r="S15" s="310">
        <f t="shared" si="8"/>
        <v>8859</v>
      </c>
      <c r="T15" s="232">
        <f t="shared" si="9"/>
        <v>3.9461551824745984E-2</v>
      </c>
      <c r="U15" s="310">
        <v>2406</v>
      </c>
      <c r="V15" s="232">
        <f t="shared" si="10"/>
        <v>1.07172924359791E-2</v>
      </c>
      <c r="W15" s="310">
        <v>17980</v>
      </c>
      <c r="X15" s="232">
        <f t="shared" si="11"/>
        <v>8.0090157106776486E-2</v>
      </c>
      <c r="Y15" s="310">
        <v>3360</v>
      </c>
      <c r="Z15" s="232">
        <f t="shared" si="12"/>
        <v>1.4966792429297496E-2</v>
      </c>
      <c r="AA15" s="310">
        <v>10024</v>
      </c>
      <c r="AB15" s="232">
        <f t="shared" si="13"/>
        <v>4.4650930747404199E-2</v>
      </c>
      <c r="AC15" s="310">
        <f t="shared" si="14"/>
        <v>13384</v>
      </c>
      <c r="AD15" s="232">
        <f t="shared" si="15"/>
        <v>5.9617723176701692E-2</v>
      </c>
      <c r="AE15" s="310">
        <v>24743</v>
      </c>
      <c r="AF15" s="232">
        <f t="shared" si="16"/>
        <v>0.11021528127324641</v>
      </c>
      <c r="AG15" s="310">
        <v>0</v>
      </c>
      <c r="AH15" s="232">
        <f t="shared" si="17"/>
        <v>0</v>
      </c>
      <c r="AI15" s="310">
        <v>33531</v>
      </c>
      <c r="AJ15" s="232">
        <f t="shared" si="18"/>
        <v>0.14936057051987331</v>
      </c>
      <c r="AK15" s="310">
        <v>10600</v>
      </c>
      <c r="AL15" s="232">
        <f t="shared" si="19"/>
        <v>4.7216666592426626E-2</v>
      </c>
    </row>
    <row r="16" spans="1:38" s="73" customFormat="1" ht="14.25" customHeight="1">
      <c r="B16" s="534"/>
      <c r="C16" s="556"/>
      <c r="D16" s="171">
        <f t="shared" si="20"/>
        <v>46177</v>
      </c>
      <c r="E16" s="171" t="s">
        <v>113</v>
      </c>
      <c r="F16" s="323">
        <f t="shared" si="0"/>
        <v>214546</v>
      </c>
      <c r="G16" s="561"/>
      <c r="H16" s="562"/>
      <c r="I16" s="310">
        <v>50789</v>
      </c>
      <c r="J16" s="232">
        <f t="shared" si="2"/>
        <v>0.23672778798020006</v>
      </c>
      <c r="K16" s="310">
        <v>54552</v>
      </c>
      <c r="L16" s="232">
        <f t="shared" si="3"/>
        <v>0.25426715016826229</v>
      </c>
      <c r="M16" s="310">
        <f t="shared" si="4"/>
        <v>105341</v>
      </c>
      <c r="N16" s="232">
        <f t="shared" si="5"/>
        <v>0.49099493814846235</v>
      </c>
      <c r="O16" s="310">
        <v>8651</v>
      </c>
      <c r="P16" s="232">
        <f t="shared" si="6"/>
        <v>4.0322355112656492E-2</v>
      </c>
      <c r="Q16" s="310">
        <v>0</v>
      </c>
      <c r="R16" s="232">
        <f t="shared" si="7"/>
        <v>0</v>
      </c>
      <c r="S16" s="310">
        <f t="shared" si="8"/>
        <v>8651</v>
      </c>
      <c r="T16" s="232">
        <f t="shared" si="9"/>
        <v>4.0322355112656492E-2</v>
      </c>
      <c r="U16" s="310">
        <v>2463</v>
      </c>
      <c r="V16" s="232">
        <f t="shared" si="10"/>
        <v>1.1480055559180781E-2</v>
      </c>
      <c r="W16" s="310">
        <v>18363</v>
      </c>
      <c r="X16" s="232">
        <f t="shared" si="11"/>
        <v>8.5590036635500077E-2</v>
      </c>
      <c r="Y16" s="310">
        <v>3032</v>
      </c>
      <c r="Z16" s="232">
        <f t="shared" si="12"/>
        <v>1.4132167460591202E-2</v>
      </c>
      <c r="AA16" s="310">
        <v>8088</v>
      </c>
      <c r="AB16" s="232">
        <f t="shared" si="13"/>
        <v>3.7698209241840912E-2</v>
      </c>
      <c r="AC16" s="310">
        <f t="shared" si="14"/>
        <v>11120</v>
      </c>
      <c r="AD16" s="232">
        <f t="shared" si="15"/>
        <v>5.183037670243211E-2</v>
      </c>
      <c r="AE16" s="310">
        <v>21609</v>
      </c>
      <c r="AF16" s="232">
        <f t="shared" si="16"/>
        <v>0.10071965918730715</v>
      </c>
      <c r="AG16" s="310">
        <v>0</v>
      </c>
      <c r="AH16" s="232">
        <f t="shared" si="17"/>
        <v>0</v>
      </c>
      <c r="AI16" s="310">
        <v>36680</v>
      </c>
      <c r="AJ16" s="232">
        <f t="shared" si="18"/>
        <v>0.17096566703643973</v>
      </c>
      <c r="AK16" s="310">
        <v>10319</v>
      </c>
      <c r="AL16" s="232">
        <f t="shared" si="19"/>
        <v>4.8096911618021307E-2</v>
      </c>
    </row>
    <row r="17" spans="2:38" s="73" customFormat="1" ht="14.25" customHeight="1">
      <c r="B17" s="534"/>
      <c r="C17" s="556"/>
      <c r="D17" s="171">
        <f t="shared" si="20"/>
        <v>46178</v>
      </c>
      <c r="E17" s="171" t="s">
        <v>114</v>
      </c>
      <c r="F17" s="323">
        <f t="shared" si="0"/>
        <v>177694</v>
      </c>
      <c r="G17" s="561"/>
      <c r="H17" s="562"/>
      <c r="I17" s="310">
        <v>38009</v>
      </c>
      <c r="J17" s="232">
        <f t="shared" si="2"/>
        <v>0.21390142604702467</v>
      </c>
      <c r="K17" s="310">
        <v>49507</v>
      </c>
      <c r="L17" s="232">
        <f t="shared" si="3"/>
        <v>0.27860816909968822</v>
      </c>
      <c r="M17" s="310">
        <f t="shared" si="4"/>
        <v>87516</v>
      </c>
      <c r="N17" s="232">
        <f t="shared" si="5"/>
        <v>0.49250959514671289</v>
      </c>
      <c r="O17" s="310">
        <v>6889</v>
      </c>
      <c r="P17" s="232">
        <f t="shared" si="6"/>
        <v>3.876889484169415E-2</v>
      </c>
      <c r="Q17" s="310">
        <v>0</v>
      </c>
      <c r="R17" s="232">
        <f t="shared" si="7"/>
        <v>0</v>
      </c>
      <c r="S17" s="310">
        <f t="shared" si="8"/>
        <v>6889</v>
      </c>
      <c r="T17" s="232">
        <f t="shared" si="9"/>
        <v>3.876889484169415E-2</v>
      </c>
      <c r="U17" s="310">
        <v>1912</v>
      </c>
      <c r="V17" s="232">
        <f t="shared" si="10"/>
        <v>1.076007068330951E-2</v>
      </c>
      <c r="W17" s="310">
        <v>11359</v>
      </c>
      <c r="X17" s="232">
        <f t="shared" si="11"/>
        <v>6.3924499420351846E-2</v>
      </c>
      <c r="Y17" s="310">
        <v>2583</v>
      </c>
      <c r="Z17" s="232">
        <f t="shared" si="12"/>
        <v>1.4536225196123673E-2</v>
      </c>
      <c r="AA17" s="310">
        <v>8542</v>
      </c>
      <c r="AB17" s="232">
        <f t="shared" si="13"/>
        <v>4.8071403648969578E-2</v>
      </c>
      <c r="AC17" s="310">
        <f t="shared" si="14"/>
        <v>11125</v>
      </c>
      <c r="AD17" s="232">
        <f t="shared" si="15"/>
        <v>6.2607628845093244E-2</v>
      </c>
      <c r="AE17" s="310">
        <v>16127</v>
      </c>
      <c r="AF17" s="232">
        <f t="shared" si="16"/>
        <v>9.0757144304253384E-2</v>
      </c>
      <c r="AG17" s="310">
        <v>0</v>
      </c>
      <c r="AH17" s="232">
        <f t="shared" si="17"/>
        <v>0</v>
      </c>
      <c r="AI17" s="310">
        <v>33709</v>
      </c>
      <c r="AJ17" s="232">
        <f t="shared" si="18"/>
        <v>0.18970252231364029</v>
      </c>
      <c r="AK17" s="310">
        <v>9057</v>
      </c>
      <c r="AL17" s="232">
        <f t="shared" si="19"/>
        <v>5.096964444494468E-2</v>
      </c>
    </row>
    <row r="18" spans="2:38" s="73" customFormat="1" ht="14.25" customHeight="1">
      <c r="B18" s="534"/>
      <c r="C18" s="556"/>
      <c r="D18" s="171">
        <f t="shared" si="20"/>
        <v>46179</v>
      </c>
      <c r="E18" s="171" t="s">
        <v>115</v>
      </c>
      <c r="F18" s="323">
        <f t="shared" si="0"/>
        <v>192072</v>
      </c>
      <c r="G18" s="561"/>
      <c r="H18" s="562"/>
      <c r="I18" s="310">
        <v>36167</v>
      </c>
      <c r="J18" s="232">
        <f t="shared" si="2"/>
        <v>0.18829917947436378</v>
      </c>
      <c r="K18" s="310">
        <v>58205</v>
      </c>
      <c r="L18" s="232">
        <f t="shared" si="3"/>
        <v>0.30303740264067641</v>
      </c>
      <c r="M18" s="310">
        <f t="shared" si="4"/>
        <v>94372</v>
      </c>
      <c r="N18" s="232">
        <f t="shared" si="5"/>
        <v>0.49133658211504017</v>
      </c>
      <c r="O18" s="310">
        <v>6553</v>
      </c>
      <c r="P18" s="232">
        <f t="shared" si="6"/>
        <v>3.4117414302969717E-2</v>
      </c>
      <c r="Q18" s="310">
        <v>0</v>
      </c>
      <c r="R18" s="232">
        <f t="shared" si="7"/>
        <v>0</v>
      </c>
      <c r="S18" s="310">
        <f t="shared" si="8"/>
        <v>6553</v>
      </c>
      <c r="T18" s="232">
        <f t="shared" si="9"/>
        <v>3.4117414302969717E-2</v>
      </c>
      <c r="U18" s="310">
        <v>2125</v>
      </c>
      <c r="V18" s="232">
        <f t="shared" si="10"/>
        <v>1.1063559498521388E-2</v>
      </c>
      <c r="W18" s="310">
        <v>13584</v>
      </c>
      <c r="X18" s="232">
        <f t="shared" si="11"/>
        <v>7.0723478695489186E-2</v>
      </c>
      <c r="Y18" s="310">
        <v>3345</v>
      </c>
      <c r="Z18" s="232">
        <f t="shared" si="12"/>
        <v>1.7415344245907783E-2</v>
      </c>
      <c r="AA18" s="310">
        <v>10760</v>
      </c>
      <c r="AB18" s="232">
        <f t="shared" si="13"/>
        <v>5.6020658919571829E-2</v>
      </c>
      <c r="AC18" s="310">
        <f t="shared" si="14"/>
        <v>14105</v>
      </c>
      <c r="AD18" s="232">
        <f t="shared" si="15"/>
        <v>7.3436003165479616E-2</v>
      </c>
      <c r="AE18" s="310">
        <v>19251</v>
      </c>
      <c r="AF18" s="232">
        <f t="shared" si="16"/>
        <v>0.10022803948519306</v>
      </c>
      <c r="AG18" s="310">
        <v>0</v>
      </c>
      <c r="AH18" s="232">
        <f t="shared" si="17"/>
        <v>0</v>
      </c>
      <c r="AI18" s="310">
        <v>31960</v>
      </c>
      <c r="AJ18" s="232">
        <f t="shared" si="18"/>
        <v>0.16639593485776166</v>
      </c>
      <c r="AK18" s="310">
        <v>10122</v>
      </c>
      <c r="AL18" s="232">
        <f t="shared" si="19"/>
        <v>5.2698987879545169E-2</v>
      </c>
    </row>
    <row r="19" spans="2:38" s="73" customFormat="1" ht="14.25" customHeight="1">
      <c r="B19" s="534"/>
      <c r="C19" s="556"/>
      <c r="D19" s="171">
        <f t="shared" si="20"/>
        <v>46180</v>
      </c>
      <c r="E19" s="171" t="s">
        <v>116</v>
      </c>
      <c r="F19" s="323">
        <f t="shared" si="0"/>
        <v>246810</v>
      </c>
      <c r="G19" s="561"/>
      <c r="H19" s="562"/>
      <c r="I19" s="310">
        <v>53285</v>
      </c>
      <c r="J19" s="232">
        <f t="shared" si="2"/>
        <v>0.21589481787609902</v>
      </c>
      <c r="K19" s="310">
        <v>66768</v>
      </c>
      <c r="L19" s="232">
        <f t="shared" si="3"/>
        <v>0.27052388476966088</v>
      </c>
      <c r="M19" s="310">
        <f t="shared" si="4"/>
        <v>120053</v>
      </c>
      <c r="N19" s="232">
        <f t="shared" si="5"/>
        <v>0.48641870264575987</v>
      </c>
      <c r="O19" s="310">
        <v>9093</v>
      </c>
      <c r="P19" s="232">
        <f t="shared" si="6"/>
        <v>3.6842105263157891E-2</v>
      </c>
      <c r="Q19" s="310">
        <v>0</v>
      </c>
      <c r="R19" s="232">
        <f t="shared" si="7"/>
        <v>0</v>
      </c>
      <c r="S19" s="310">
        <f t="shared" si="8"/>
        <v>9093</v>
      </c>
      <c r="T19" s="232">
        <f t="shared" si="9"/>
        <v>3.6842105263157891E-2</v>
      </c>
      <c r="U19" s="310">
        <v>3012</v>
      </c>
      <c r="V19" s="232">
        <f t="shared" si="10"/>
        <v>1.2203719460313601E-2</v>
      </c>
      <c r="W19" s="310">
        <v>19628</v>
      </c>
      <c r="X19" s="232">
        <f t="shared" si="11"/>
        <v>7.9526761476439362E-2</v>
      </c>
      <c r="Y19" s="310">
        <v>4012</v>
      </c>
      <c r="Z19" s="232">
        <f t="shared" si="12"/>
        <v>1.6255419148332725E-2</v>
      </c>
      <c r="AA19" s="310">
        <v>12716</v>
      </c>
      <c r="AB19" s="232">
        <f t="shared" si="13"/>
        <v>5.1521413232851178E-2</v>
      </c>
      <c r="AC19" s="310">
        <f t="shared" si="14"/>
        <v>16728</v>
      </c>
      <c r="AD19" s="232">
        <f t="shared" si="15"/>
        <v>6.7776832381183913E-2</v>
      </c>
      <c r="AE19" s="310">
        <v>31076</v>
      </c>
      <c r="AF19" s="232">
        <f t="shared" si="16"/>
        <v>0.1259106195048823</v>
      </c>
      <c r="AG19" s="310">
        <v>0</v>
      </c>
      <c r="AH19" s="232">
        <f t="shared" si="17"/>
        <v>0</v>
      </c>
      <c r="AI19" s="310">
        <v>35421</v>
      </c>
      <c r="AJ19" s="232">
        <f t="shared" si="18"/>
        <v>0.14351525464932538</v>
      </c>
      <c r="AK19" s="310">
        <v>11799</v>
      </c>
      <c r="AL19" s="232">
        <f t="shared" si="19"/>
        <v>4.7806004618937643E-2</v>
      </c>
    </row>
    <row r="20" spans="2:38" s="73" customFormat="1" ht="14.25" customHeight="1">
      <c r="B20" s="535"/>
      <c r="C20" s="557"/>
      <c r="D20" s="171">
        <f t="shared" si="20"/>
        <v>46181</v>
      </c>
      <c r="E20" s="171" t="s">
        <v>117</v>
      </c>
      <c r="F20" s="323">
        <f t="shared" si="0"/>
        <v>233732</v>
      </c>
      <c r="G20" s="561"/>
      <c r="H20" s="563"/>
      <c r="I20" s="310">
        <v>52794</v>
      </c>
      <c r="J20" s="232">
        <f t="shared" si="2"/>
        <v>0.22587407800386769</v>
      </c>
      <c r="K20" s="310">
        <v>65391</v>
      </c>
      <c r="L20" s="232">
        <f t="shared" si="3"/>
        <v>0.27976913730255165</v>
      </c>
      <c r="M20" s="310">
        <f t="shared" si="4"/>
        <v>118185</v>
      </c>
      <c r="N20" s="232">
        <f t="shared" si="5"/>
        <v>0.50564321530641931</v>
      </c>
      <c r="O20" s="310">
        <v>8981</v>
      </c>
      <c r="P20" s="232">
        <f t="shared" si="6"/>
        <v>3.8424349254701964E-2</v>
      </c>
      <c r="Q20" s="310">
        <v>0</v>
      </c>
      <c r="R20" s="232">
        <f t="shared" si="7"/>
        <v>0</v>
      </c>
      <c r="S20" s="310">
        <f t="shared" si="8"/>
        <v>8981</v>
      </c>
      <c r="T20" s="232">
        <f t="shared" si="9"/>
        <v>3.8424349254701964E-2</v>
      </c>
      <c r="U20" s="310">
        <v>2788</v>
      </c>
      <c r="V20" s="232">
        <f t="shared" si="10"/>
        <v>1.1928191261787005E-2</v>
      </c>
      <c r="W20" s="310">
        <v>16624</v>
      </c>
      <c r="X20" s="232">
        <f t="shared" si="11"/>
        <v>7.1124193520784487E-2</v>
      </c>
      <c r="Y20" s="310">
        <v>4198</v>
      </c>
      <c r="Z20" s="232">
        <f t="shared" si="12"/>
        <v>1.7960741361901664E-2</v>
      </c>
      <c r="AA20" s="310">
        <v>11791</v>
      </c>
      <c r="AB20" s="232">
        <f t="shared" si="13"/>
        <v>5.0446665411668062E-2</v>
      </c>
      <c r="AC20" s="310">
        <f t="shared" si="14"/>
        <v>15989</v>
      </c>
      <c r="AD20" s="232">
        <f t="shared" si="15"/>
        <v>6.8407406773569726E-2</v>
      </c>
      <c r="AE20" s="310">
        <v>28768</v>
      </c>
      <c r="AF20" s="232">
        <f t="shared" si="16"/>
        <v>0.12308113565964438</v>
      </c>
      <c r="AG20" s="310">
        <v>0</v>
      </c>
      <c r="AH20" s="232">
        <f t="shared" si="17"/>
        <v>0</v>
      </c>
      <c r="AI20" s="310">
        <v>30275</v>
      </c>
      <c r="AJ20" s="232">
        <f t="shared" si="18"/>
        <v>0.12952869097941233</v>
      </c>
      <c r="AK20" s="310">
        <v>12122</v>
      </c>
      <c r="AL20" s="232">
        <f t="shared" si="19"/>
        <v>5.1862817243680796E-2</v>
      </c>
    </row>
  </sheetData>
  <mergeCells count="41">
    <mergeCell ref="B14:B20"/>
    <mergeCell ref="G14:G20"/>
    <mergeCell ref="C13:C20"/>
    <mergeCell ref="H13:H20"/>
    <mergeCell ref="AI5:AJ5"/>
    <mergeCell ref="K5:L5"/>
    <mergeCell ref="S5:T5"/>
    <mergeCell ref="H5:H6"/>
    <mergeCell ref="F5:F6"/>
    <mergeCell ref="B3:B6"/>
    <mergeCell ref="C3:C6"/>
    <mergeCell ref="D3:E6"/>
    <mergeCell ref="O5:P5"/>
    <mergeCell ref="I5:J5"/>
    <mergeCell ref="Q5:R5"/>
    <mergeCell ref="AA5:AB5"/>
    <mergeCell ref="M5:N5"/>
    <mergeCell ref="G5:G6"/>
    <mergeCell ref="I3:AL3"/>
    <mergeCell ref="AI4:AJ4"/>
    <mergeCell ref="AK4:AL4"/>
    <mergeCell ref="O4:T4"/>
    <mergeCell ref="F3:H4"/>
    <mergeCell ref="I4:N4"/>
    <mergeCell ref="Y4:AD4"/>
    <mergeCell ref="B7:B13"/>
    <mergeCell ref="G7:G13"/>
    <mergeCell ref="C7:C12"/>
    <mergeCell ref="H7:H12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81"/>
  <sheetViews>
    <sheetView zoomScale="85" zoomScaleNormal="85" workbookViewId="0">
      <pane xSplit="13" ySplit="1" topLeftCell="N35" activePane="bottomRight" state="frozen"/>
      <selection activeCell="E31" sqref="E31"/>
      <selection pane="topRight" activeCell="E31" sqref="E31"/>
      <selection pane="bottomLeft" activeCell="E31" sqref="E31"/>
      <selection pane="bottomRight" activeCell="B42" sqref="B42:M4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5429687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8" customWidth="1"/>
    <col min="15" max="15" width="7.1796875" style="178" customWidth="1" collapsed="1"/>
    <col min="16" max="16" width="7.7265625" style="178" customWidth="1"/>
    <col min="17" max="18" width="8.7265625" style="178" customWidth="1"/>
    <col min="19" max="19" width="5.453125" style="178" customWidth="1"/>
    <col min="20" max="20" width="10.7265625" style="178" customWidth="1"/>
    <col min="21" max="21" width="7.7265625" style="179" customWidth="1"/>
    <col min="22" max="23" width="8.7265625" style="179" customWidth="1"/>
    <col min="24" max="24" width="5.453125" style="178" customWidth="1"/>
    <col min="25" max="25" width="10.7265625" style="179" customWidth="1"/>
    <col min="26" max="26" width="7.7265625" style="179" customWidth="1"/>
    <col min="27" max="28" width="8.7265625" style="179" customWidth="1"/>
    <col min="29" max="29" width="5.453125" style="178" customWidth="1"/>
    <col min="30" max="30" width="10.7265625" style="179" customWidth="1"/>
    <col min="31" max="31" width="7.7265625" style="179" customWidth="1"/>
    <col min="32" max="33" width="8.7265625" style="179" customWidth="1"/>
    <col min="34" max="34" width="5.453125" style="178" customWidth="1"/>
    <col min="35" max="35" width="10.7265625" style="179" customWidth="1"/>
    <col min="36" max="36" width="7.7265625" style="179" customWidth="1"/>
    <col min="37" max="38" width="8.7265625" style="179" customWidth="1"/>
    <col min="39" max="39" width="5.453125" style="178" customWidth="1"/>
    <col min="40" max="40" width="10.7265625" style="179" customWidth="1"/>
    <col min="41" max="41" width="7.7265625" style="179" customWidth="1"/>
    <col min="42" max="43" width="8.7265625" style="179" customWidth="1"/>
    <col min="44" max="44" width="5.453125" style="179" customWidth="1"/>
    <col min="45" max="45" width="10.7265625" style="179" customWidth="1"/>
    <col min="46" max="46" width="7.7265625" style="179" customWidth="1"/>
    <col min="47" max="48" width="8.7265625" style="179" customWidth="1"/>
    <col min="49" max="49" width="5.453125" style="179" customWidth="1"/>
    <col min="50" max="50" width="10.7265625" style="179" customWidth="1"/>
    <col min="51" max="16384" width="8.81640625" style="78"/>
  </cols>
  <sheetData>
    <row r="1" spans="1:50" ht="24.5">
      <c r="A1" s="74"/>
      <c r="B1" s="355" t="s">
        <v>683</v>
      </c>
      <c r="C1" s="175">
        <f>AVERAGE(L47)</f>
        <v>791.32419047930159</v>
      </c>
    </row>
    <row r="2" spans="1:50" ht="14.25" customHeight="1">
      <c r="B2" s="586" t="s">
        <v>638</v>
      </c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8"/>
      <c r="N2" s="591" t="s">
        <v>364</v>
      </c>
      <c r="O2" s="591" t="s">
        <v>105</v>
      </c>
      <c r="P2" s="593">
        <v>46168</v>
      </c>
      <c r="Q2" s="594"/>
      <c r="R2" s="594"/>
      <c r="S2" s="594"/>
      <c r="T2" s="594"/>
      <c r="U2" s="595">
        <v>46169</v>
      </c>
      <c r="V2" s="596"/>
      <c r="W2" s="596"/>
      <c r="X2" s="596"/>
      <c r="Y2" s="596"/>
      <c r="Z2" s="593">
        <v>46170</v>
      </c>
      <c r="AA2" s="594"/>
      <c r="AB2" s="594"/>
      <c r="AC2" s="594"/>
      <c r="AD2" s="594"/>
      <c r="AE2" s="595">
        <v>46171</v>
      </c>
      <c r="AF2" s="596"/>
      <c r="AG2" s="596"/>
      <c r="AH2" s="596"/>
      <c r="AI2" s="596"/>
      <c r="AJ2" s="577">
        <v>46172</v>
      </c>
      <c r="AK2" s="578"/>
      <c r="AL2" s="578"/>
      <c r="AM2" s="578"/>
      <c r="AN2" s="579"/>
      <c r="AO2" s="595">
        <v>46173</v>
      </c>
      <c r="AP2" s="596"/>
      <c r="AQ2" s="596"/>
      <c r="AR2" s="596"/>
      <c r="AS2" s="596"/>
      <c r="AT2" s="577">
        <v>46174</v>
      </c>
      <c r="AU2" s="578"/>
      <c r="AV2" s="578"/>
      <c r="AW2" s="578"/>
      <c r="AX2" s="579"/>
    </row>
    <row r="3" spans="1:50" ht="14.25" customHeight="1"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90"/>
      <c r="N3" s="592"/>
      <c r="O3" s="592"/>
      <c r="P3" s="580">
        <v>46168</v>
      </c>
      <c r="Q3" s="580"/>
      <c r="R3" s="580"/>
      <c r="S3" s="580"/>
      <c r="T3" s="580"/>
      <c r="U3" s="581">
        <v>46169</v>
      </c>
      <c r="V3" s="581"/>
      <c r="W3" s="581"/>
      <c r="X3" s="581"/>
      <c r="Y3" s="581"/>
      <c r="Z3" s="580">
        <v>46170</v>
      </c>
      <c r="AA3" s="580"/>
      <c r="AB3" s="580"/>
      <c r="AC3" s="580"/>
      <c r="AD3" s="580"/>
      <c r="AE3" s="581">
        <v>46171</v>
      </c>
      <c r="AF3" s="581"/>
      <c r="AG3" s="581"/>
      <c r="AH3" s="581"/>
      <c r="AI3" s="581"/>
      <c r="AJ3" s="582">
        <v>46172</v>
      </c>
      <c r="AK3" s="583"/>
      <c r="AL3" s="583"/>
      <c r="AM3" s="583"/>
      <c r="AN3" s="584"/>
      <c r="AO3" s="581">
        <v>46173</v>
      </c>
      <c r="AP3" s="581"/>
      <c r="AQ3" s="581"/>
      <c r="AR3" s="581"/>
      <c r="AS3" s="581"/>
      <c r="AT3" s="582">
        <v>46174</v>
      </c>
      <c r="AU3" s="583"/>
      <c r="AV3" s="583"/>
      <c r="AW3" s="583"/>
      <c r="AX3" s="584"/>
    </row>
    <row r="4" spans="1:50" ht="14.25" customHeight="1">
      <c r="B4" s="572" t="s">
        <v>162</v>
      </c>
      <c r="C4" s="572" t="s">
        <v>157</v>
      </c>
      <c r="D4" s="572"/>
      <c r="E4" s="572" t="s">
        <v>158</v>
      </c>
      <c r="F4" s="572"/>
      <c r="G4" s="572"/>
      <c r="H4" s="572" t="s">
        <v>163</v>
      </c>
      <c r="I4" s="576" t="s">
        <v>365</v>
      </c>
      <c r="J4" s="576"/>
      <c r="K4" s="576"/>
      <c r="L4" s="576" t="s">
        <v>163</v>
      </c>
      <c r="M4" s="576" t="s">
        <v>165</v>
      </c>
      <c r="N4" s="585"/>
      <c r="O4" s="575" t="s">
        <v>164</v>
      </c>
      <c r="P4" s="575" t="s">
        <v>160</v>
      </c>
      <c r="Q4" s="575"/>
      <c r="R4" s="575"/>
      <c r="S4" s="575"/>
      <c r="T4" s="575" t="s">
        <v>163</v>
      </c>
      <c r="U4" s="575" t="s">
        <v>160</v>
      </c>
      <c r="V4" s="575"/>
      <c r="W4" s="575"/>
      <c r="X4" s="575"/>
      <c r="Y4" s="575" t="s">
        <v>163</v>
      </c>
      <c r="Z4" s="575" t="s">
        <v>160</v>
      </c>
      <c r="AA4" s="575"/>
      <c r="AB4" s="575"/>
      <c r="AC4" s="575"/>
      <c r="AD4" s="575" t="s">
        <v>163</v>
      </c>
      <c r="AE4" s="575" t="s">
        <v>160</v>
      </c>
      <c r="AF4" s="575"/>
      <c r="AG4" s="575"/>
      <c r="AH4" s="575"/>
      <c r="AI4" s="575" t="s">
        <v>163</v>
      </c>
      <c r="AJ4" s="575" t="s">
        <v>160</v>
      </c>
      <c r="AK4" s="575"/>
      <c r="AL4" s="575"/>
      <c r="AM4" s="575"/>
      <c r="AN4" s="575" t="s">
        <v>163</v>
      </c>
      <c r="AO4" s="575" t="s">
        <v>160</v>
      </c>
      <c r="AP4" s="575"/>
      <c r="AQ4" s="575"/>
      <c r="AR4" s="575"/>
      <c r="AS4" s="575" t="s">
        <v>163</v>
      </c>
      <c r="AT4" s="575" t="s">
        <v>160</v>
      </c>
      <c r="AU4" s="575"/>
      <c r="AV4" s="575"/>
      <c r="AW4" s="575"/>
      <c r="AX4" s="575" t="s">
        <v>163</v>
      </c>
    </row>
    <row r="5" spans="1:50" ht="14.25" customHeight="1">
      <c r="B5" s="572"/>
      <c r="C5" s="572"/>
      <c r="D5" s="572"/>
      <c r="E5" s="572" t="s">
        <v>366</v>
      </c>
      <c r="F5" s="572"/>
      <c r="G5" s="572"/>
      <c r="H5" s="572"/>
      <c r="I5" s="576" t="s">
        <v>366</v>
      </c>
      <c r="J5" s="576"/>
      <c r="K5" s="576"/>
      <c r="L5" s="576"/>
      <c r="M5" s="576"/>
      <c r="N5" s="585"/>
      <c r="O5" s="575"/>
      <c r="P5" s="575" t="s">
        <v>367</v>
      </c>
      <c r="Q5" s="575"/>
      <c r="R5" s="575"/>
      <c r="S5" s="575"/>
      <c r="T5" s="575"/>
      <c r="U5" s="575" t="s">
        <v>367</v>
      </c>
      <c r="V5" s="575"/>
      <c r="W5" s="575"/>
      <c r="X5" s="575"/>
      <c r="Y5" s="575"/>
      <c r="Z5" s="575" t="s">
        <v>367</v>
      </c>
      <c r="AA5" s="575"/>
      <c r="AB5" s="575"/>
      <c r="AC5" s="575"/>
      <c r="AD5" s="575"/>
      <c r="AE5" s="575" t="s">
        <v>367</v>
      </c>
      <c r="AF5" s="575"/>
      <c r="AG5" s="575"/>
      <c r="AH5" s="575"/>
      <c r="AI5" s="575"/>
      <c r="AJ5" s="575" t="s">
        <v>367</v>
      </c>
      <c r="AK5" s="575"/>
      <c r="AL5" s="575"/>
      <c r="AM5" s="575"/>
      <c r="AN5" s="575"/>
      <c r="AO5" s="575" t="s">
        <v>367</v>
      </c>
      <c r="AP5" s="575"/>
      <c r="AQ5" s="575"/>
      <c r="AR5" s="575"/>
      <c r="AS5" s="575"/>
      <c r="AT5" s="575" t="s">
        <v>367</v>
      </c>
      <c r="AU5" s="575"/>
      <c r="AV5" s="575"/>
      <c r="AW5" s="575"/>
      <c r="AX5" s="575"/>
    </row>
    <row r="6" spans="1:50" ht="14.25" customHeight="1">
      <c r="A6" s="177"/>
      <c r="B6" s="572"/>
      <c r="C6" s="572"/>
      <c r="D6" s="572"/>
      <c r="E6" s="180" t="s">
        <v>159</v>
      </c>
      <c r="F6" s="180" t="s">
        <v>368</v>
      </c>
      <c r="G6" s="180" t="s">
        <v>161</v>
      </c>
      <c r="H6" s="572"/>
      <c r="I6" s="181" t="s">
        <v>159</v>
      </c>
      <c r="J6" s="181" t="s">
        <v>368</v>
      </c>
      <c r="K6" s="181" t="s">
        <v>161</v>
      </c>
      <c r="L6" s="576"/>
      <c r="M6" s="576"/>
      <c r="N6" s="585"/>
      <c r="O6" s="575"/>
      <c r="P6" s="182" t="s">
        <v>159</v>
      </c>
      <c r="Q6" s="182" t="s">
        <v>368</v>
      </c>
      <c r="R6" s="182" t="s">
        <v>161</v>
      </c>
      <c r="S6" s="182" t="s">
        <v>165</v>
      </c>
      <c r="T6" s="575"/>
      <c r="U6" s="182" t="s">
        <v>159</v>
      </c>
      <c r="V6" s="182" t="s">
        <v>368</v>
      </c>
      <c r="W6" s="182" t="s">
        <v>161</v>
      </c>
      <c r="X6" s="182" t="s">
        <v>165</v>
      </c>
      <c r="Y6" s="575"/>
      <c r="Z6" s="182" t="s">
        <v>159</v>
      </c>
      <c r="AA6" s="182" t="s">
        <v>368</v>
      </c>
      <c r="AB6" s="182" t="s">
        <v>161</v>
      </c>
      <c r="AC6" s="182" t="s">
        <v>165</v>
      </c>
      <c r="AD6" s="575"/>
      <c r="AE6" s="182" t="s">
        <v>159</v>
      </c>
      <c r="AF6" s="182" t="s">
        <v>368</v>
      </c>
      <c r="AG6" s="182" t="s">
        <v>161</v>
      </c>
      <c r="AH6" s="182" t="s">
        <v>165</v>
      </c>
      <c r="AI6" s="575"/>
      <c r="AJ6" s="182" t="s">
        <v>159</v>
      </c>
      <c r="AK6" s="182" t="s">
        <v>368</v>
      </c>
      <c r="AL6" s="182" t="s">
        <v>161</v>
      </c>
      <c r="AM6" s="182" t="s">
        <v>165</v>
      </c>
      <c r="AN6" s="575"/>
      <c r="AO6" s="182" t="s">
        <v>159</v>
      </c>
      <c r="AP6" s="182" t="s">
        <v>368</v>
      </c>
      <c r="AQ6" s="182" t="s">
        <v>161</v>
      </c>
      <c r="AR6" s="182" t="s">
        <v>165</v>
      </c>
      <c r="AS6" s="575"/>
      <c r="AT6" s="182" t="s">
        <v>159</v>
      </c>
      <c r="AU6" s="182" t="s">
        <v>368</v>
      </c>
      <c r="AV6" s="182" t="s">
        <v>161</v>
      </c>
      <c r="AW6" s="182" t="s">
        <v>165</v>
      </c>
      <c r="AX6" s="575"/>
    </row>
    <row r="7" spans="1:50" ht="14.25" customHeight="1">
      <c r="B7" s="572" t="s">
        <v>369</v>
      </c>
      <c r="C7" s="180">
        <v>1</v>
      </c>
      <c r="D7" s="183" t="s">
        <v>394</v>
      </c>
      <c r="E7" s="184">
        <v>4</v>
      </c>
      <c r="F7" s="180">
        <v>3600</v>
      </c>
      <c r="G7" s="185">
        <f>F7/E7</f>
        <v>900</v>
      </c>
      <c r="H7" s="573">
        <f>AVERAGE(G7:G41)</f>
        <v>882.55656108597293</v>
      </c>
      <c r="I7" s="186">
        <f>AVERAGE(P7,U7,Z7,AE7,AJ7,AO7,AT7)</f>
        <v>4</v>
      </c>
      <c r="J7" s="186">
        <f>AVERAGE(Q7,V7,AA7,AF7,AK7,AP7,AU7)</f>
        <v>3185.8100992169043</v>
      </c>
      <c r="K7" s="187">
        <f>AVERAGE(R7,W7,AB7,AG7,AL7,AQ7,AV7)</f>
        <v>796.45252480422607</v>
      </c>
      <c r="L7" s="574">
        <f>IFERROR(AVERAGE(K7:K41),"-")</f>
        <v>786.32217224098804</v>
      </c>
      <c r="M7" s="186">
        <f>RANK(K7, K$7:$K$41)</f>
        <v>19</v>
      </c>
      <c r="N7" s="585"/>
      <c r="O7" s="575"/>
      <c r="P7" s="188">
        <v>4</v>
      </c>
      <c r="Q7" s="188">
        <v>3186.4786706454752</v>
      </c>
      <c r="R7" s="185">
        <f t="shared" ref="R7:R40" si="0">IFERROR(Q7/P7,"")</f>
        <v>796.61966766136879</v>
      </c>
      <c r="S7" s="182">
        <f>RANK(R7, R$7:R$41)</f>
        <v>17</v>
      </c>
      <c r="T7" s="571">
        <f>AVERAGE(R7:R41)</f>
        <v>786.09927288078825</v>
      </c>
      <c r="U7" s="188">
        <v>4</v>
      </c>
      <c r="V7" s="188">
        <v>3185.3986706454752</v>
      </c>
      <c r="W7" s="185">
        <f t="shared" ref="W7:W40" si="1">IFERROR(V7/U7,"")</f>
        <v>796.34966766136881</v>
      </c>
      <c r="X7" s="182">
        <f>RANK(W7, W$7:W$41)</f>
        <v>18</v>
      </c>
      <c r="Y7" s="571">
        <f>AVERAGE(W7:W41)</f>
        <v>786.19113186708887</v>
      </c>
      <c r="Z7" s="188">
        <v>4</v>
      </c>
      <c r="AA7" s="188">
        <v>3185.7586706454749</v>
      </c>
      <c r="AB7" s="185">
        <f>IFERROR(AA7/Z7,"")</f>
        <v>796.43966766136873</v>
      </c>
      <c r="AC7" s="182">
        <f>RANK(AB7, AB$7:AB$41)</f>
        <v>19</v>
      </c>
      <c r="AD7" s="571">
        <f>AVERAGE(AB7:AB41)</f>
        <v>786.25654564929414</v>
      </c>
      <c r="AE7" s="188">
        <v>4</v>
      </c>
      <c r="AF7" s="188">
        <v>3184.678670645475</v>
      </c>
      <c r="AG7" s="185">
        <f>IFERROR(AF7/AE7,"")</f>
        <v>796.16966766136875</v>
      </c>
      <c r="AH7" s="182">
        <f>RANK(AG7, AG$7:AG$41)</f>
        <v>19</v>
      </c>
      <c r="AI7" s="571">
        <f>AVERAGE(AG7:AG41)</f>
        <v>786.31662483481432</v>
      </c>
      <c r="AJ7" s="188">
        <v>4</v>
      </c>
      <c r="AK7" s="188">
        <v>3185.3986706454752</v>
      </c>
      <c r="AL7" s="185">
        <f>IFERROR(AK7/AJ7,"")</f>
        <v>796.34966766136881</v>
      </c>
      <c r="AM7" s="182">
        <f>RANK(AL7, AL$7:AL$41)</f>
        <v>19</v>
      </c>
      <c r="AN7" s="571">
        <f>AVERAGE(AL7:AL41)</f>
        <v>790.95199998228486</v>
      </c>
      <c r="AO7" s="188">
        <v>4</v>
      </c>
      <c r="AP7" s="188">
        <v>3186.4786706454752</v>
      </c>
      <c r="AQ7" s="185">
        <f>IFERROR(AP7/AO7,"")</f>
        <v>796.61966766136879</v>
      </c>
      <c r="AR7" s="182">
        <f>RANK(AQ7, AQ$7:AQ$41)</f>
        <v>19</v>
      </c>
      <c r="AS7" s="571">
        <f>AVERAGE(AQ7:AQ41)</f>
        <v>791.01215332512595</v>
      </c>
      <c r="AT7" s="188">
        <v>4</v>
      </c>
      <c r="AU7" s="188">
        <v>3186.4786706454752</v>
      </c>
      <c r="AV7" s="185">
        <f>IFERROR(AU7/AT7,"")</f>
        <v>796.61966766136879</v>
      </c>
      <c r="AW7" s="182">
        <f>RANK(AV7, AV$7:AV$41)</f>
        <v>19</v>
      </c>
      <c r="AX7" s="571">
        <f>AVERAGE(AV7:AV41)</f>
        <v>791.04099225119944</v>
      </c>
    </row>
    <row r="8" spans="1:50" ht="14.25" customHeight="1">
      <c r="B8" s="572"/>
      <c r="C8" s="180">
        <v>2</v>
      </c>
      <c r="D8" s="183" t="s">
        <v>392</v>
      </c>
      <c r="E8" s="184">
        <v>3</v>
      </c>
      <c r="F8" s="180">
        <v>3600</v>
      </c>
      <c r="G8" s="185">
        <f t="shared" ref="G8:G27" si="2">F8/E8</f>
        <v>1200</v>
      </c>
      <c r="H8" s="573"/>
      <c r="I8" s="186">
        <f t="shared" ref="I8:K37" si="3">AVERAGE(P8,U8,Z8,AE8,AJ8,AO8,AT8)</f>
        <v>3</v>
      </c>
      <c r="J8" s="186">
        <f t="shared" si="3"/>
        <v>3185.3526635797725</v>
      </c>
      <c r="K8" s="187">
        <f t="shared" si="3"/>
        <v>1061.7842211932577</v>
      </c>
      <c r="L8" s="574"/>
      <c r="M8" s="186">
        <f>RANK(K8, K$7:$K$41)</f>
        <v>7</v>
      </c>
      <c r="N8" s="585"/>
      <c r="O8" s="575"/>
      <c r="P8" s="188">
        <v>3</v>
      </c>
      <c r="Q8" s="188">
        <v>3185.0440921512018</v>
      </c>
      <c r="R8" s="185">
        <f t="shared" si="0"/>
        <v>1061.6813640504006</v>
      </c>
      <c r="S8" s="182">
        <f t="shared" ref="S8:S40" si="4">RANK(R8, R$7:R$41)</f>
        <v>7</v>
      </c>
      <c r="T8" s="571"/>
      <c r="U8" s="188">
        <v>3</v>
      </c>
      <c r="V8" s="188">
        <v>3183.6040921512017</v>
      </c>
      <c r="W8" s="185">
        <f t="shared" si="1"/>
        <v>1061.2013640504006</v>
      </c>
      <c r="X8" s="182">
        <f t="shared" ref="X8:X40" si="5">RANK(W8, W$7:W$41)</f>
        <v>7</v>
      </c>
      <c r="Y8" s="571"/>
      <c r="Z8" s="188">
        <v>3</v>
      </c>
      <c r="AA8" s="188">
        <v>3185.4040921512014</v>
      </c>
      <c r="AB8" s="185">
        <f t="shared" ref="AB8:AB40" si="6">IFERROR(AA8/Z8,"")</f>
        <v>1061.8013640504005</v>
      </c>
      <c r="AC8" s="182">
        <f t="shared" ref="AC8:AC40" si="7">RANK(AB8, AB$7:AB$41)</f>
        <v>7</v>
      </c>
      <c r="AD8" s="571"/>
      <c r="AE8" s="188">
        <v>3</v>
      </c>
      <c r="AF8" s="188">
        <v>3186.8440921512019</v>
      </c>
      <c r="AG8" s="185">
        <f t="shared" ref="AG8:AG40" si="8">IFERROR(AF8/AE8,"")</f>
        <v>1062.2813640504007</v>
      </c>
      <c r="AH8" s="182">
        <f t="shared" ref="AH8:AH40" si="9">RANK(AG8, AG$7:AG$41)</f>
        <v>7</v>
      </c>
      <c r="AI8" s="571"/>
      <c r="AJ8" s="188">
        <v>3</v>
      </c>
      <c r="AK8" s="188">
        <v>3186.1240921512017</v>
      </c>
      <c r="AL8" s="185">
        <f t="shared" ref="AL8:AL40" si="10">IFERROR(AK8/AJ8,"")</f>
        <v>1062.0413640504005</v>
      </c>
      <c r="AM8" s="182">
        <f t="shared" ref="AM8:AM40" si="11">RANK(AL8, AL$7:AL$41)</f>
        <v>7</v>
      </c>
      <c r="AN8" s="571"/>
      <c r="AO8" s="188">
        <v>3</v>
      </c>
      <c r="AP8" s="188">
        <v>3186.1240921512017</v>
      </c>
      <c r="AQ8" s="185">
        <f t="shared" ref="AQ8:AQ40" si="12">IFERROR(AP8/AO8,"")</f>
        <v>1062.0413640504005</v>
      </c>
      <c r="AR8" s="182">
        <f t="shared" ref="AR8:AR18" si="13">RANK(AQ8, AQ$7:AQ$41)</f>
        <v>7</v>
      </c>
      <c r="AS8" s="571"/>
      <c r="AT8" s="188">
        <v>3</v>
      </c>
      <c r="AU8" s="188">
        <v>3184.3240921512015</v>
      </c>
      <c r="AV8" s="185">
        <f t="shared" ref="AV8:AV40" si="14">IFERROR(AU8/AT8,"")</f>
        <v>1061.4413640504006</v>
      </c>
      <c r="AW8" s="182">
        <f t="shared" ref="AW8:AW18" si="15">RANK(AV8, AV$7:AV$41)</f>
        <v>7</v>
      </c>
      <c r="AX8" s="571"/>
    </row>
    <row r="9" spans="1:50" ht="14.25" customHeight="1">
      <c r="B9" s="572"/>
      <c r="C9" s="180">
        <v>3</v>
      </c>
      <c r="D9" s="183" t="s">
        <v>393</v>
      </c>
      <c r="E9" s="184">
        <v>5</v>
      </c>
      <c r="F9" s="180">
        <v>3600</v>
      </c>
      <c r="G9" s="185">
        <f t="shared" si="2"/>
        <v>720</v>
      </c>
      <c r="H9" s="573"/>
      <c r="I9" s="186">
        <f t="shared" si="3"/>
        <v>5</v>
      </c>
      <c r="J9" s="186">
        <f t="shared" si="3"/>
        <v>3192.3072562407651</v>
      </c>
      <c r="K9" s="187">
        <f t="shared" si="3"/>
        <v>638.46145124815303</v>
      </c>
      <c r="L9" s="574"/>
      <c r="M9" s="186">
        <f>RANK(K9, K$7:$K$41)</f>
        <v>22</v>
      </c>
      <c r="N9" s="585"/>
      <c r="O9" s="575"/>
      <c r="P9" s="188">
        <v>5</v>
      </c>
      <c r="Q9" s="188">
        <v>3191.1758276693363</v>
      </c>
      <c r="R9" s="185">
        <f t="shared" si="0"/>
        <v>638.2351655338673</v>
      </c>
      <c r="S9" s="182">
        <f t="shared" si="4"/>
        <v>22</v>
      </c>
      <c r="T9" s="571"/>
      <c r="U9" s="188">
        <v>5</v>
      </c>
      <c r="V9" s="188">
        <v>3190.8158276693366</v>
      </c>
      <c r="W9" s="185">
        <f t="shared" si="1"/>
        <v>638.1631655338673</v>
      </c>
      <c r="X9" s="182">
        <f t="shared" si="5"/>
        <v>23</v>
      </c>
      <c r="Y9" s="571"/>
      <c r="Z9" s="188">
        <v>5</v>
      </c>
      <c r="AA9" s="188">
        <v>3191.8958276693361</v>
      </c>
      <c r="AB9" s="185">
        <f t="shared" si="6"/>
        <v>638.37916553386719</v>
      </c>
      <c r="AC9" s="182">
        <f t="shared" si="7"/>
        <v>22</v>
      </c>
      <c r="AD9" s="571"/>
      <c r="AE9" s="188">
        <v>5</v>
      </c>
      <c r="AF9" s="188">
        <v>3191.5358276693369</v>
      </c>
      <c r="AG9" s="185">
        <f t="shared" si="8"/>
        <v>638.30716553386742</v>
      </c>
      <c r="AH9" s="182">
        <f t="shared" si="9"/>
        <v>22</v>
      </c>
      <c r="AI9" s="571"/>
      <c r="AJ9" s="188">
        <v>5</v>
      </c>
      <c r="AK9" s="188">
        <v>3192.9758276693365</v>
      </c>
      <c r="AL9" s="185">
        <f t="shared" si="10"/>
        <v>638.59516553386732</v>
      </c>
      <c r="AM9" s="182">
        <f t="shared" si="11"/>
        <v>22</v>
      </c>
      <c r="AN9" s="571"/>
      <c r="AO9" s="188">
        <v>5</v>
      </c>
      <c r="AP9" s="188">
        <v>3193.6958276693363</v>
      </c>
      <c r="AQ9" s="185">
        <f t="shared" si="12"/>
        <v>638.73916553386721</v>
      </c>
      <c r="AR9" s="182">
        <f t="shared" si="13"/>
        <v>22</v>
      </c>
      <c r="AS9" s="571"/>
      <c r="AT9" s="188">
        <v>5</v>
      </c>
      <c r="AU9" s="188">
        <v>3194.0558276693364</v>
      </c>
      <c r="AV9" s="185">
        <f t="shared" si="14"/>
        <v>638.81116553386732</v>
      </c>
      <c r="AW9" s="182">
        <f t="shared" si="15"/>
        <v>22</v>
      </c>
      <c r="AX9" s="571"/>
    </row>
    <row r="10" spans="1:50" ht="14.25" customHeight="1">
      <c r="B10" s="572"/>
      <c r="C10" s="180">
        <v>4</v>
      </c>
      <c r="D10" s="183" t="s">
        <v>229</v>
      </c>
      <c r="E10" s="184">
        <v>5</v>
      </c>
      <c r="F10" s="180">
        <v>3300</v>
      </c>
      <c r="G10" s="185">
        <f t="shared" si="2"/>
        <v>660</v>
      </c>
      <c r="H10" s="573"/>
      <c r="I10" s="186">
        <f t="shared" si="3"/>
        <v>5</v>
      </c>
      <c r="J10" s="186">
        <f t="shared" si="3"/>
        <v>2979.1422326015995</v>
      </c>
      <c r="K10" s="187">
        <f t="shared" si="3"/>
        <v>595.82844652031986</v>
      </c>
      <c r="L10" s="574"/>
      <c r="M10" s="186">
        <f>RANK(K10, K$7:$K$41)</f>
        <v>29</v>
      </c>
      <c r="N10" s="585"/>
      <c r="O10" s="575"/>
      <c r="P10" s="188">
        <v>5</v>
      </c>
      <c r="Q10" s="188">
        <v>2979.7550897444571</v>
      </c>
      <c r="R10" s="185">
        <f t="shared" si="0"/>
        <v>595.95101794889138</v>
      </c>
      <c r="S10" s="182">
        <f t="shared" si="4"/>
        <v>29</v>
      </c>
      <c r="T10" s="571"/>
      <c r="U10" s="188">
        <v>5</v>
      </c>
      <c r="V10" s="188">
        <v>2978.7650897444573</v>
      </c>
      <c r="W10" s="185">
        <f t="shared" si="1"/>
        <v>595.75301794889151</v>
      </c>
      <c r="X10" s="182">
        <f t="shared" si="5"/>
        <v>29</v>
      </c>
      <c r="Y10" s="571"/>
      <c r="Z10" s="188">
        <v>5</v>
      </c>
      <c r="AA10" s="188">
        <v>2978.7650897444569</v>
      </c>
      <c r="AB10" s="185">
        <f t="shared" si="6"/>
        <v>595.7530179488914</v>
      </c>
      <c r="AC10" s="182">
        <f t="shared" si="7"/>
        <v>29</v>
      </c>
      <c r="AD10" s="571"/>
      <c r="AE10" s="188">
        <v>5</v>
      </c>
      <c r="AF10" s="188">
        <v>2979.0950897444568</v>
      </c>
      <c r="AG10" s="185">
        <f t="shared" si="8"/>
        <v>595.81901794889131</v>
      </c>
      <c r="AH10" s="182">
        <f t="shared" si="9"/>
        <v>29</v>
      </c>
      <c r="AI10" s="571"/>
      <c r="AJ10" s="188">
        <v>5</v>
      </c>
      <c r="AK10" s="188">
        <v>2978.7650897444569</v>
      </c>
      <c r="AL10" s="185">
        <f t="shared" si="10"/>
        <v>595.7530179488914</v>
      </c>
      <c r="AM10" s="182">
        <f t="shared" si="11"/>
        <v>28</v>
      </c>
      <c r="AN10" s="571"/>
      <c r="AO10" s="188">
        <v>5</v>
      </c>
      <c r="AP10" s="188">
        <v>2979.7550897444571</v>
      </c>
      <c r="AQ10" s="185">
        <f t="shared" si="12"/>
        <v>595.95101794889138</v>
      </c>
      <c r="AR10" s="182">
        <f t="shared" si="13"/>
        <v>28</v>
      </c>
      <c r="AS10" s="571"/>
      <c r="AT10" s="188">
        <v>5</v>
      </c>
      <c r="AU10" s="188">
        <v>2979.0950897444573</v>
      </c>
      <c r="AV10" s="185">
        <f t="shared" si="14"/>
        <v>595.81901794889143</v>
      </c>
      <c r="AW10" s="182">
        <f t="shared" si="15"/>
        <v>28</v>
      </c>
      <c r="AX10" s="571"/>
    </row>
    <row r="11" spans="1:50" ht="14.25" customHeight="1">
      <c r="B11" s="572"/>
      <c r="C11" s="180">
        <v>5</v>
      </c>
      <c r="D11" s="183" t="s">
        <v>389</v>
      </c>
      <c r="E11" s="184">
        <v>3</v>
      </c>
      <c r="F11" s="180">
        <v>3600</v>
      </c>
      <c r="G11" s="185">
        <f t="shared" si="2"/>
        <v>1200</v>
      </c>
      <c r="H11" s="573"/>
      <c r="I11" s="186">
        <f t="shared" si="3"/>
        <v>3</v>
      </c>
      <c r="J11" s="186">
        <f t="shared" si="3"/>
        <v>3189.2725721602874</v>
      </c>
      <c r="K11" s="187">
        <f t="shared" si="3"/>
        <v>1063.0908573867623</v>
      </c>
      <c r="L11" s="574"/>
      <c r="M11" s="186">
        <f>RANK(K11, K$7:$K$41)</f>
        <v>6</v>
      </c>
      <c r="N11" s="585"/>
      <c r="O11" s="575"/>
      <c r="P11" s="188">
        <v>3</v>
      </c>
      <c r="Q11" s="188">
        <v>3190.198286446001</v>
      </c>
      <c r="R11" s="185">
        <f t="shared" si="0"/>
        <v>1063.3994288153337</v>
      </c>
      <c r="S11" s="182">
        <f t="shared" si="4"/>
        <v>4</v>
      </c>
      <c r="T11" s="571"/>
      <c r="U11" s="188">
        <v>3</v>
      </c>
      <c r="V11" s="188">
        <v>3188.3982864460017</v>
      </c>
      <c r="W11" s="185">
        <f t="shared" si="1"/>
        <v>1062.7994288153338</v>
      </c>
      <c r="X11" s="182">
        <f t="shared" si="5"/>
        <v>5</v>
      </c>
      <c r="Y11" s="571"/>
      <c r="Z11" s="188">
        <v>3</v>
      </c>
      <c r="AA11" s="188">
        <v>3188.0382864460021</v>
      </c>
      <c r="AB11" s="185">
        <f t="shared" si="6"/>
        <v>1062.6794288153339</v>
      </c>
      <c r="AC11" s="182">
        <f t="shared" si="7"/>
        <v>6</v>
      </c>
      <c r="AD11" s="571"/>
      <c r="AE11" s="188">
        <v>3</v>
      </c>
      <c r="AF11" s="188">
        <v>3189.8382864460023</v>
      </c>
      <c r="AG11" s="185">
        <f t="shared" si="8"/>
        <v>1063.2794288153341</v>
      </c>
      <c r="AH11" s="182">
        <f t="shared" si="9"/>
        <v>5</v>
      </c>
      <c r="AI11" s="571"/>
      <c r="AJ11" s="188">
        <v>3</v>
      </c>
      <c r="AK11" s="188">
        <v>3189.1182864460015</v>
      </c>
      <c r="AL11" s="185">
        <f t="shared" si="10"/>
        <v>1063.0394288153338</v>
      </c>
      <c r="AM11" s="182">
        <f t="shared" si="11"/>
        <v>6</v>
      </c>
      <c r="AN11" s="571"/>
      <c r="AO11" s="188">
        <v>3</v>
      </c>
      <c r="AP11" s="188">
        <v>3189.1182864460015</v>
      </c>
      <c r="AQ11" s="185">
        <f t="shared" si="12"/>
        <v>1063.0394288153338</v>
      </c>
      <c r="AR11" s="182">
        <f t="shared" si="13"/>
        <v>6</v>
      </c>
      <c r="AS11" s="571"/>
      <c r="AT11" s="188">
        <v>3</v>
      </c>
      <c r="AU11" s="188">
        <v>3190.1982864460015</v>
      </c>
      <c r="AV11" s="185">
        <f t="shared" si="14"/>
        <v>1063.3994288153337</v>
      </c>
      <c r="AW11" s="182">
        <f t="shared" si="15"/>
        <v>6</v>
      </c>
      <c r="AX11" s="571"/>
    </row>
    <row r="12" spans="1:50" ht="14.25" customHeight="1">
      <c r="B12" s="572"/>
      <c r="C12" s="180">
        <v>6</v>
      </c>
      <c r="D12" s="183" t="s">
        <v>339</v>
      </c>
      <c r="E12" s="184">
        <v>4</v>
      </c>
      <c r="F12" s="180">
        <v>3600</v>
      </c>
      <c r="G12" s="185">
        <f t="shared" si="2"/>
        <v>900</v>
      </c>
      <c r="H12" s="573"/>
      <c r="I12" s="186">
        <f t="shared" si="3"/>
        <v>4</v>
      </c>
      <c r="J12" s="186">
        <f t="shared" si="3"/>
        <v>3188.3657142857169</v>
      </c>
      <c r="K12" s="187">
        <f t="shared" si="3"/>
        <v>797.09142857142922</v>
      </c>
      <c r="L12" s="574"/>
      <c r="M12" s="186">
        <f>RANK(K12, K$7:$K$41)</f>
        <v>17</v>
      </c>
      <c r="N12" s="585"/>
      <c r="O12" s="575"/>
      <c r="P12" s="188">
        <v>4</v>
      </c>
      <c r="Q12" s="188">
        <v>3186.0000000000027</v>
      </c>
      <c r="R12" s="185">
        <f t="shared" si="0"/>
        <v>796.50000000000068</v>
      </c>
      <c r="S12" s="182">
        <f t="shared" si="4"/>
        <v>18</v>
      </c>
      <c r="T12" s="571"/>
      <c r="U12" s="188">
        <v>4</v>
      </c>
      <c r="V12" s="188">
        <v>3186.3600000000033</v>
      </c>
      <c r="W12" s="185">
        <f t="shared" si="1"/>
        <v>796.59000000000083</v>
      </c>
      <c r="X12" s="182">
        <f t="shared" si="5"/>
        <v>17</v>
      </c>
      <c r="Y12" s="571"/>
      <c r="Z12" s="188">
        <v>4</v>
      </c>
      <c r="AA12" s="188">
        <v>3187.4400000000032</v>
      </c>
      <c r="AB12" s="185">
        <f t="shared" si="6"/>
        <v>796.86000000000081</v>
      </c>
      <c r="AC12" s="182">
        <f t="shared" si="7"/>
        <v>17</v>
      </c>
      <c r="AD12" s="571"/>
      <c r="AE12" s="188">
        <v>4</v>
      </c>
      <c r="AF12" s="188">
        <v>3188.160000000003</v>
      </c>
      <c r="AG12" s="185">
        <f t="shared" si="8"/>
        <v>797.04000000000076</v>
      </c>
      <c r="AH12" s="182">
        <f t="shared" si="9"/>
        <v>17</v>
      </c>
      <c r="AI12" s="571"/>
      <c r="AJ12" s="188">
        <v>4</v>
      </c>
      <c r="AK12" s="188">
        <v>3189.240000000003</v>
      </c>
      <c r="AL12" s="185">
        <f t="shared" si="10"/>
        <v>797.31000000000074</v>
      </c>
      <c r="AM12" s="182">
        <f t="shared" si="11"/>
        <v>17</v>
      </c>
      <c r="AN12" s="571"/>
      <c r="AO12" s="188">
        <v>4</v>
      </c>
      <c r="AP12" s="188">
        <v>3189.9600000000028</v>
      </c>
      <c r="AQ12" s="185">
        <f t="shared" si="12"/>
        <v>797.49000000000069</v>
      </c>
      <c r="AR12" s="182">
        <f t="shared" si="13"/>
        <v>18</v>
      </c>
      <c r="AS12" s="571"/>
      <c r="AT12" s="188">
        <v>4</v>
      </c>
      <c r="AU12" s="188">
        <v>3191.4000000000028</v>
      </c>
      <c r="AV12" s="185">
        <f t="shared" si="14"/>
        <v>797.8500000000007</v>
      </c>
      <c r="AW12" s="182">
        <f t="shared" si="15"/>
        <v>17</v>
      </c>
      <c r="AX12" s="571"/>
    </row>
    <row r="13" spans="1:50" ht="14.25" customHeight="1">
      <c r="B13" s="572"/>
      <c r="C13" s="180">
        <v>7</v>
      </c>
      <c r="D13" s="183" t="s">
        <v>391</v>
      </c>
      <c r="E13" s="184">
        <v>3</v>
      </c>
      <c r="F13" s="180">
        <v>3600</v>
      </c>
      <c r="G13" s="185">
        <f t="shared" si="2"/>
        <v>1200</v>
      </c>
      <c r="H13" s="573"/>
      <c r="I13" s="186">
        <f t="shared" si="3"/>
        <v>3</v>
      </c>
      <c r="J13" s="186">
        <f t="shared" si="3"/>
        <v>3192.5916216428864</v>
      </c>
      <c r="K13" s="187">
        <f t="shared" si="3"/>
        <v>1064.1972072142955</v>
      </c>
      <c r="L13" s="574"/>
      <c r="M13" s="186">
        <f>RANK(K13, K$7:$K$41)</f>
        <v>3</v>
      </c>
      <c r="N13" s="585"/>
      <c r="O13" s="575"/>
      <c r="P13" s="188">
        <v>3</v>
      </c>
      <c r="Q13" s="188">
        <v>3191.6659073571732</v>
      </c>
      <c r="R13" s="185">
        <f t="shared" si="0"/>
        <v>1063.8886357857243</v>
      </c>
      <c r="S13" s="182">
        <f t="shared" si="4"/>
        <v>3</v>
      </c>
      <c r="T13" s="571"/>
      <c r="U13" s="188">
        <v>3</v>
      </c>
      <c r="V13" s="188">
        <v>3192.7459073571722</v>
      </c>
      <c r="W13" s="185">
        <f t="shared" si="1"/>
        <v>1064.248635785724</v>
      </c>
      <c r="X13" s="182">
        <f t="shared" si="5"/>
        <v>3</v>
      </c>
      <c r="Y13" s="571"/>
      <c r="Z13" s="188">
        <v>3</v>
      </c>
      <c r="AA13" s="188">
        <v>3193.1059073571719</v>
      </c>
      <c r="AB13" s="185">
        <f t="shared" si="6"/>
        <v>1064.3686357857239</v>
      </c>
      <c r="AC13" s="182">
        <f t="shared" si="7"/>
        <v>3</v>
      </c>
      <c r="AD13" s="571"/>
      <c r="AE13" s="188">
        <v>3</v>
      </c>
      <c r="AF13" s="188">
        <v>3192.0259073571724</v>
      </c>
      <c r="AG13" s="185">
        <f t="shared" si="8"/>
        <v>1064.0086357857242</v>
      </c>
      <c r="AH13" s="182">
        <f t="shared" si="9"/>
        <v>3</v>
      </c>
      <c r="AI13" s="571"/>
      <c r="AJ13" s="188">
        <v>3</v>
      </c>
      <c r="AK13" s="188">
        <v>3192.0259073571724</v>
      </c>
      <c r="AL13" s="185">
        <f t="shared" si="10"/>
        <v>1064.0086357857242</v>
      </c>
      <c r="AM13" s="182">
        <f t="shared" si="11"/>
        <v>3</v>
      </c>
      <c r="AN13" s="571"/>
      <c r="AO13" s="188">
        <v>3</v>
      </c>
      <c r="AP13" s="188">
        <v>3193.1059073571723</v>
      </c>
      <c r="AQ13" s="185">
        <f t="shared" si="12"/>
        <v>1064.3686357857241</v>
      </c>
      <c r="AR13" s="182">
        <f t="shared" si="13"/>
        <v>3</v>
      </c>
      <c r="AS13" s="571"/>
      <c r="AT13" s="188">
        <v>3</v>
      </c>
      <c r="AU13" s="188">
        <v>3193.4659073571729</v>
      </c>
      <c r="AV13" s="185">
        <f t="shared" si="14"/>
        <v>1064.4886357857242</v>
      </c>
      <c r="AW13" s="182">
        <f t="shared" si="15"/>
        <v>3</v>
      </c>
      <c r="AX13" s="571"/>
    </row>
    <row r="14" spans="1:50" ht="14.25" customHeight="1">
      <c r="B14" s="572"/>
      <c r="C14" s="180">
        <v>8</v>
      </c>
      <c r="D14" s="183" t="s">
        <v>390</v>
      </c>
      <c r="E14" s="184">
        <v>5</v>
      </c>
      <c r="F14" s="180">
        <v>3600</v>
      </c>
      <c r="G14" s="185">
        <f t="shared" si="2"/>
        <v>720</v>
      </c>
      <c r="H14" s="573"/>
      <c r="I14" s="186">
        <f t="shared" si="3"/>
        <v>5</v>
      </c>
      <c r="J14" s="186">
        <f t="shared" si="3"/>
        <v>3184.9020141427168</v>
      </c>
      <c r="K14" s="187">
        <f t="shared" si="3"/>
        <v>636.98040282854333</v>
      </c>
      <c r="L14" s="574"/>
      <c r="M14" s="186">
        <f>RANK(K14, K$7:$K$41)</f>
        <v>25</v>
      </c>
      <c r="N14" s="585"/>
      <c r="O14" s="575"/>
      <c r="P14" s="188">
        <v>5</v>
      </c>
      <c r="Q14" s="188">
        <v>3184.1820141427161</v>
      </c>
      <c r="R14" s="185">
        <f t="shared" si="0"/>
        <v>636.83640282854321</v>
      </c>
      <c r="S14" s="182">
        <f t="shared" si="4"/>
        <v>28</v>
      </c>
      <c r="T14" s="571"/>
      <c r="U14" s="188">
        <v>5</v>
      </c>
      <c r="V14" s="188">
        <v>3184.1820141427165</v>
      </c>
      <c r="W14" s="185">
        <f t="shared" si="1"/>
        <v>636.83640282854333</v>
      </c>
      <c r="X14" s="182">
        <f t="shared" si="5"/>
        <v>26</v>
      </c>
      <c r="Y14" s="571"/>
      <c r="Z14" s="188">
        <v>5</v>
      </c>
      <c r="AA14" s="188">
        <v>3184.182014142717</v>
      </c>
      <c r="AB14" s="185">
        <f t="shared" si="6"/>
        <v>636.83640282854344</v>
      </c>
      <c r="AC14" s="182">
        <f t="shared" si="7"/>
        <v>26</v>
      </c>
      <c r="AD14" s="571"/>
      <c r="AE14" s="188">
        <v>5</v>
      </c>
      <c r="AF14" s="188">
        <v>3184.182014142717</v>
      </c>
      <c r="AG14" s="185">
        <f t="shared" si="8"/>
        <v>636.83640282854344</v>
      </c>
      <c r="AH14" s="182">
        <f t="shared" si="9"/>
        <v>26</v>
      </c>
      <c r="AI14" s="571"/>
      <c r="AJ14" s="188">
        <v>5</v>
      </c>
      <c r="AK14" s="188">
        <v>3185.2620141427169</v>
      </c>
      <c r="AL14" s="185">
        <f t="shared" si="10"/>
        <v>637.05240282854334</v>
      </c>
      <c r="AM14" s="182">
        <f t="shared" si="11"/>
        <v>25</v>
      </c>
      <c r="AN14" s="571"/>
      <c r="AO14" s="188">
        <v>5</v>
      </c>
      <c r="AP14" s="188">
        <v>3185.6220141427166</v>
      </c>
      <c r="AQ14" s="185">
        <f t="shared" si="12"/>
        <v>637.12440282854334</v>
      </c>
      <c r="AR14" s="182">
        <f t="shared" si="13"/>
        <v>26</v>
      </c>
      <c r="AS14" s="571"/>
      <c r="AT14" s="188">
        <v>5</v>
      </c>
      <c r="AU14" s="188">
        <v>3186.7020141427165</v>
      </c>
      <c r="AV14" s="185">
        <f t="shared" si="14"/>
        <v>637.34040282854335</v>
      </c>
      <c r="AW14" s="182">
        <f t="shared" si="15"/>
        <v>26</v>
      </c>
      <c r="AX14" s="571"/>
    </row>
    <row r="15" spans="1:50" ht="14.25" customHeight="1">
      <c r="B15" s="572"/>
      <c r="C15" s="180">
        <v>9</v>
      </c>
      <c r="D15" s="183" t="s">
        <v>388</v>
      </c>
      <c r="E15" s="184">
        <v>5</v>
      </c>
      <c r="F15" s="180">
        <v>3600</v>
      </c>
      <c r="G15" s="185">
        <f t="shared" si="2"/>
        <v>720</v>
      </c>
      <c r="H15" s="573"/>
      <c r="I15" s="186">
        <f t="shared" si="3"/>
        <v>5</v>
      </c>
      <c r="J15" s="186">
        <f t="shared" si="3"/>
        <v>3184.6861858974808</v>
      </c>
      <c r="K15" s="187">
        <f t="shared" si="3"/>
        <v>636.93723717949604</v>
      </c>
      <c r="L15" s="574"/>
      <c r="M15" s="186">
        <f>RANK(K15, K$7:$K$41)</f>
        <v>26</v>
      </c>
      <c r="N15" s="585"/>
      <c r="O15" s="575"/>
      <c r="P15" s="188">
        <v>5</v>
      </c>
      <c r="Q15" s="188">
        <v>3184.2233287546237</v>
      </c>
      <c r="R15" s="185">
        <f t="shared" si="0"/>
        <v>636.84466575092472</v>
      </c>
      <c r="S15" s="182">
        <f t="shared" si="4"/>
        <v>27</v>
      </c>
      <c r="T15" s="571"/>
      <c r="U15" s="188">
        <v>5</v>
      </c>
      <c r="V15" s="188">
        <v>3182.7833287546232</v>
      </c>
      <c r="W15" s="185">
        <f t="shared" si="1"/>
        <v>636.55666575092459</v>
      </c>
      <c r="X15" s="182">
        <f t="shared" si="5"/>
        <v>28</v>
      </c>
      <c r="Y15" s="571"/>
      <c r="Z15" s="188">
        <v>5</v>
      </c>
      <c r="AA15" s="188">
        <v>3183.503328754623</v>
      </c>
      <c r="AB15" s="185">
        <f t="shared" si="6"/>
        <v>636.7006657509246</v>
      </c>
      <c r="AC15" s="182">
        <f t="shared" si="7"/>
        <v>27</v>
      </c>
      <c r="AD15" s="571"/>
      <c r="AE15" s="188">
        <v>5</v>
      </c>
      <c r="AF15" s="188">
        <v>3184.9433287546231</v>
      </c>
      <c r="AG15" s="185">
        <f t="shared" si="8"/>
        <v>636.98866575092461</v>
      </c>
      <c r="AH15" s="182">
        <f t="shared" si="9"/>
        <v>25</v>
      </c>
      <c r="AI15" s="571"/>
      <c r="AJ15" s="188">
        <v>5</v>
      </c>
      <c r="AK15" s="188">
        <v>3184.9433287546231</v>
      </c>
      <c r="AL15" s="185">
        <f t="shared" si="10"/>
        <v>636.98866575092461</v>
      </c>
      <c r="AM15" s="182">
        <f t="shared" si="11"/>
        <v>26</v>
      </c>
      <c r="AN15" s="571"/>
      <c r="AO15" s="188">
        <v>5</v>
      </c>
      <c r="AP15" s="188">
        <v>3185.6633287546229</v>
      </c>
      <c r="AQ15" s="185">
        <f t="shared" si="12"/>
        <v>637.13266575092462</v>
      </c>
      <c r="AR15" s="182">
        <f t="shared" si="13"/>
        <v>25</v>
      </c>
      <c r="AS15" s="571"/>
      <c r="AT15" s="188">
        <v>5</v>
      </c>
      <c r="AU15" s="188">
        <v>3186.7433287546228</v>
      </c>
      <c r="AV15" s="185">
        <f t="shared" si="14"/>
        <v>637.34866575092451</v>
      </c>
      <c r="AW15" s="182">
        <f t="shared" si="15"/>
        <v>25</v>
      </c>
      <c r="AX15" s="571"/>
    </row>
    <row r="16" spans="1:50" ht="14.25" customHeight="1">
      <c r="B16" s="572"/>
      <c r="C16" s="180">
        <v>10</v>
      </c>
      <c r="D16" s="183" t="s">
        <v>228</v>
      </c>
      <c r="E16" s="184">
        <v>3</v>
      </c>
      <c r="F16" s="180">
        <v>3000</v>
      </c>
      <c r="G16" s="185">
        <f t="shared" si="2"/>
        <v>1000</v>
      </c>
      <c r="H16" s="573"/>
      <c r="I16" s="186">
        <f t="shared" si="3"/>
        <v>3</v>
      </c>
      <c r="J16" s="186">
        <f t="shared" si="3"/>
        <v>2714.2100337544757</v>
      </c>
      <c r="K16" s="187">
        <f t="shared" si="3"/>
        <v>904.73667791815865</v>
      </c>
      <c r="L16" s="574"/>
      <c r="M16" s="186">
        <f>RANK(K16, K$7:$K$41)</f>
        <v>13</v>
      </c>
      <c r="N16" s="585"/>
      <c r="O16" s="575"/>
      <c r="P16" s="188">
        <v>3</v>
      </c>
      <c r="Q16" s="188">
        <v>2713.3100337544761</v>
      </c>
      <c r="R16" s="185">
        <f t="shared" si="0"/>
        <v>904.43667791815869</v>
      </c>
      <c r="S16" s="182">
        <f t="shared" si="4"/>
        <v>13</v>
      </c>
      <c r="T16" s="571"/>
      <c r="U16" s="188">
        <v>3</v>
      </c>
      <c r="V16" s="188">
        <v>2714.2100337544753</v>
      </c>
      <c r="W16" s="185">
        <f t="shared" si="1"/>
        <v>904.73667791815842</v>
      </c>
      <c r="X16" s="182">
        <f t="shared" si="5"/>
        <v>14</v>
      </c>
      <c r="Y16" s="571"/>
      <c r="Z16" s="188">
        <v>3</v>
      </c>
      <c r="AA16" s="188">
        <v>2715.4100337544755</v>
      </c>
      <c r="AB16" s="185">
        <f t="shared" si="6"/>
        <v>905.13667791815851</v>
      </c>
      <c r="AC16" s="182">
        <f t="shared" si="7"/>
        <v>13</v>
      </c>
      <c r="AD16" s="571"/>
      <c r="AE16" s="188">
        <v>3</v>
      </c>
      <c r="AF16" s="188">
        <v>2714.5100337544759</v>
      </c>
      <c r="AG16" s="185">
        <f t="shared" si="8"/>
        <v>904.83667791815867</v>
      </c>
      <c r="AH16" s="182">
        <f t="shared" si="9"/>
        <v>13</v>
      </c>
      <c r="AI16" s="571"/>
      <c r="AJ16" s="188">
        <v>3</v>
      </c>
      <c r="AK16" s="188">
        <v>2714.5100337544759</v>
      </c>
      <c r="AL16" s="185">
        <f t="shared" si="10"/>
        <v>904.83667791815867</v>
      </c>
      <c r="AM16" s="182">
        <f t="shared" si="11"/>
        <v>13</v>
      </c>
      <c r="AN16" s="571"/>
      <c r="AO16" s="188">
        <v>3</v>
      </c>
      <c r="AP16" s="188">
        <v>2714.5100337544754</v>
      </c>
      <c r="AQ16" s="185">
        <f t="shared" si="12"/>
        <v>904.83667791815844</v>
      </c>
      <c r="AR16" s="182">
        <f t="shared" si="13"/>
        <v>13</v>
      </c>
      <c r="AS16" s="571"/>
      <c r="AT16" s="188">
        <v>3</v>
      </c>
      <c r="AU16" s="188">
        <v>2713.0100337544764</v>
      </c>
      <c r="AV16" s="185">
        <f t="shared" si="14"/>
        <v>904.33667791815878</v>
      </c>
      <c r="AW16" s="182">
        <f t="shared" si="15"/>
        <v>14</v>
      </c>
      <c r="AX16" s="571"/>
    </row>
    <row r="17" spans="2:50" ht="14.25" customHeight="1">
      <c r="B17" s="572"/>
      <c r="C17" s="180">
        <v>11</v>
      </c>
      <c r="D17" s="183" t="s">
        <v>441</v>
      </c>
      <c r="E17" s="184">
        <v>12</v>
      </c>
      <c r="F17" s="180">
        <v>3600</v>
      </c>
      <c r="G17" s="185">
        <f t="shared" si="2"/>
        <v>300</v>
      </c>
      <c r="H17" s="573"/>
      <c r="I17" s="186">
        <f t="shared" si="3"/>
        <v>12</v>
      </c>
      <c r="J17" s="186">
        <f t="shared" si="3"/>
        <v>3114.7349047418725</v>
      </c>
      <c r="K17" s="187">
        <f t="shared" si="3"/>
        <v>259.56124206182267</v>
      </c>
      <c r="L17" s="574"/>
      <c r="M17" s="186">
        <f>RANK(K17, K$7:$K$41)</f>
        <v>32</v>
      </c>
      <c r="N17" s="585"/>
      <c r="O17" s="575"/>
      <c r="P17" s="188">
        <v>12</v>
      </c>
      <c r="Q17" s="188">
        <v>3116.1234761704432</v>
      </c>
      <c r="R17" s="185">
        <f t="shared" si="0"/>
        <v>259.67695634753693</v>
      </c>
      <c r="S17" s="182">
        <f t="shared" si="4"/>
        <v>32</v>
      </c>
      <c r="T17" s="571"/>
      <c r="U17" s="188">
        <v>12</v>
      </c>
      <c r="V17" s="188">
        <v>3114.6834761704436</v>
      </c>
      <c r="W17" s="185">
        <f t="shared" si="1"/>
        <v>259.55695634753698</v>
      </c>
      <c r="X17" s="182">
        <f t="shared" si="5"/>
        <v>32</v>
      </c>
      <c r="Y17" s="571"/>
      <c r="Z17" s="188">
        <v>12</v>
      </c>
      <c r="AA17" s="188">
        <v>3113.9634761704438</v>
      </c>
      <c r="AB17" s="185">
        <f t="shared" si="6"/>
        <v>259.49695634753698</v>
      </c>
      <c r="AC17" s="182">
        <f t="shared" si="7"/>
        <v>32</v>
      </c>
      <c r="AD17" s="571"/>
      <c r="AE17" s="188">
        <v>12</v>
      </c>
      <c r="AF17" s="188">
        <v>3113.9634761704438</v>
      </c>
      <c r="AG17" s="185">
        <f t="shared" si="8"/>
        <v>259.49695634753698</v>
      </c>
      <c r="AH17" s="182">
        <f t="shared" si="9"/>
        <v>33</v>
      </c>
      <c r="AI17" s="571"/>
      <c r="AJ17" s="188">
        <v>12</v>
      </c>
      <c r="AK17" s="188">
        <v>3115.0434761704437</v>
      </c>
      <c r="AL17" s="185">
        <f t="shared" si="10"/>
        <v>259.58695634753695</v>
      </c>
      <c r="AM17" s="182">
        <f t="shared" si="11"/>
        <v>31</v>
      </c>
      <c r="AN17" s="571"/>
      <c r="AO17" s="188">
        <v>12</v>
      </c>
      <c r="AP17" s="188">
        <v>3114.6834761704436</v>
      </c>
      <c r="AQ17" s="185">
        <f t="shared" si="12"/>
        <v>259.55695634753698</v>
      </c>
      <c r="AR17" s="182">
        <f t="shared" si="13"/>
        <v>31</v>
      </c>
      <c r="AS17" s="571"/>
      <c r="AT17" s="188">
        <v>12</v>
      </c>
      <c r="AU17" s="188">
        <v>3114.6834761704445</v>
      </c>
      <c r="AV17" s="185">
        <f t="shared" si="14"/>
        <v>259.55695634753704</v>
      </c>
      <c r="AW17" s="182">
        <f t="shared" si="15"/>
        <v>31</v>
      </c>
      <c r="AX17" s="571"/>
    </row>
    <row r="18" spans="2:50" ht="14.25" customHeight="1">
      <c r="B18" s="572"/>
      <c r="C18" s="180">
        <v>12</v>
      </c>
      <c r="D18" s="183" t="s">
        <v>459</v>
      </c>
      <c r="E18" s="184">
        <v>3</v>
      </c>
      <c r="F18" s="180">
        <v>3300</v>
      </c>
      <c r="G18" s="185">
        <f t="shared" si="2"/>
        <v>1100</v>
      </c>
      <c r="H18" s="573"/>
      <c r="I18" s="186">
        <f t="shared" si="3"/>
        <v>3</v>
      </c>
      <c r="J18" s="186">
        <f t="shared" si="3"/>
        <v>2986.5659934179539</v>
      </c>
      <c r="K18" s="187">
        <f t="shared" si="3"/>
        <v>995.52199780598471</v>
      </c>
      <c r="L18" s="574"/>
      <c r="M18" s="186">
        <f>RANK(K18, K$7:$K$41)</f>
        <v>11</v>
      </c>
      <c r="N18" s="585"/>
      <c r="O18" s="575"/>
      <c r="P18" s="188">
        <v>3</v>
      </c>
      <c r="Q18" s="188">
        <v>2982.3762667393962</v>
      </c>
      <c r="R18" s="185">
        <f t="shared" si="0"/>
        <v>994.1254222464654</v>
      </c>
      <c r="S18" s="182">
        <f t="shared" si="4"/>
        <v>11</v>
      </c>
      <c r="T18" s="571"/>
      <c r="U18" s="188">
        <v>3</v>
      </c>
      <c r="V18" s="188">
        <v>2985.9442811977146</v>
      </c>
      <c r="W18" s="185">
        <f t="shared" si="1"/>
        <v>995.31476039923825</v>
      </c>
      <c r="X18" s="182">
        <f t="shared" si="5"/>
        <v>11</v>
      </c>
      <c r="Y18" s="571"/>
      <c r="Z18" s="188">
        <v>3</v>
      </c>
      <c r="AA18" s="188">
        <v>2987.2642811977139</v>
      </c>
      <c r="AB18" s="185">
        <f t="shared" si="6"/>
        <v>995.75476039923797</v>
      </c>
      <c r="AC18" s="182">
        <f t="shared" si="7"/>
        <v>10</v>
      </c>
      <c r="AD18" s="571"/>
      <c r="AE18" s="188">
        <v>3</v>
      </c>
      <c r="AF18" s="188">
        <v>2987.5942811977134</v>
      </c>
      <c r="AG18" s="185">
        <f t="shared" si="8"/>
        <v>995.86476039923775</v>
      </c>
      <c r="AH18" s="182">
        <f t="shared" si="9"/>
        <v>10</v>
      </c>
      <c r="AI18" s="571"/>
      <c r="AJ18" s="188">
        <v>3</v>
      </c>
      <c r="AK18" s="188">
        <v>2988.5842811977132</v>
      </c>
      <c r="AL18" s="185">
        <f t="shared" si="10"/>
        <v>996.19476039923768</v>
      </c>
      <c r="AM18" s="182">
        <f t="shared" si="11"/>
        <v>11</v>
      </c>
      <c r="AN18" s="571"/>
      <c r="AO18" s="188">
        <v>3</v>
      </c>
      <c r="AP18" s="188">
        <v>2987.5942811977129</v>
      </c>
      <c r="AQ18" s="185">
        <f t="shared" si="12"/>
        <v>995.86476039923764</v>
      </c>
      <c r="AR18" s="182">
        <f t="shared" si="13"/>
        <v>11</v>
      </c>
      <c r="AS18" s="571"/>
      <c r="AT18" s="188">
        <v>3</v>
      </c>
      <c r="AU18" s="188">
        <v>2986.6042811977136</v>
      </c>
      <c r="AV18" s="185">
        <f t="shared" si="14"/>
        <v>995.53476039923783</v>
      </c>
      <c r="AW18" s="182">
        <f t="shared" si="15"/>
        <v>11</v>
      </c>
      <c r="AX18" s="571"/>
    </row>
    <row r="19" spans="2:50" ht="14.25" customHeight="1">
      <c r="B19" s="572"/>
      <c r="C19" s="180">
        <v>13</v>
      </c>
      <c r="D19" s="183" t="s">
        <v>532</v>
      </c>
      <c r="E19" s="184">
        <v>5</v>
      </c>
      <c r="F19" s="180">
        <v>3600</v>
      </c>
      <c r="G19" s="185">
        <f t="shared" si="2"/>
        <v>720</v>
      </c>
      <c r="H19" s="573"/>
      <c r="I19" s="186">
        <f t="shared" si="3"/>
        <v>5</v>
      </c>
      <c r="J19" s="186">
        <f t="shared" si="3"/>
        <v>3183.5760533891998</v>
      </c>
      <c r="K19" s="187">
        <f t="shared" si="3"/>
        <v>636.71521067783999</v>
      </c>
      <c r="L19" s="574"/>
      <c r="M19" s="186">
        <f>RANK(K19, K$7:$K$41)</f>
        <v>28</v>
      </c>
      <c r="N19" s="585"/>
      <c r="O19" s="575"/>
      <c r="P19" s="188">
        <v>5</v>
      </c>
      <c r="Q19" s="188">
        <v>3185.0160533891994</v>
      </c>
      <c r="R19" s="185">
        <f t="shared" si="0"/>
        <v>637.00321067783989</v>
      </c>
      <c r="S19" s="182">
        <f t="shared" si="4"/>
        <v>25</v>
      </c>
      <c r="T19" s="571"/>
      <c r="U19" s="188">
        <v>5</v>
      </c>
      <c r="V19" s="188">
        <v>3183.5760533891994</v>
      </c>
      <c r="W19" s="185">
        <f t="shared" si="1"/>
        <v>636.71521067783988</v>
      </c>
      <c r="X19" s="182">
        <f t="shared" si="5"/>
        <v>27</v>
      </c>
      <c r="Y19" s="571"/>
      <c r="Z19" s="188">
        <v>5</v>
      </c>
      <c r="AA19" s="188">
        <v>3182.1360533892002</v>
      </c>
      <c r="AB19" s="185">
        <f t="shared" si="6"/>
        <v>636.42721067784009</v>
      </c>
      <c r="AC19" s="182">
        <f t="shared" si="7"/>
        <v>28</v>
      </c>
      <c r="AD19" s="571"/>
      <c r="AE19" s="188">
        <v>5</v>
      </c>
      <c r="AF19" s="188">
        <v>3183.5760533892003</v>
      </c>
      <c r="AG19" s="185">
        <f t="shared" si="8"/>
        <v>636.7152106778401</v>
      </c>
      <c r="AH19" s="182">
        <f t="shared" si="9"/>
        <v>28</v>
      </c>
      <c r="AI19" s="571"/>
      <c r="AJ19" s="188"/>
      <c r="AK19" s="188"/>
      <c r="AL19" s="185"/>
      <c r="AM19" s="182"/>
      <c r="AN19" s="571"/>
      <c r="AO19" s="188"/>
      <c r="AP19" s="188"/>
      <c r="AQ19" s="185"/>
      <c r="AR19" s="182"/>
      <c r="AS19" s="571"/>
      <c r="AT19" s="188"/>
      <c r="AU19" s="188"/>
      <c r="AV19" s="185"/>
      <c r="AW19" s="182"/>
      <c r="AX19" s="571"/>
    </row>
    <row r="20" spans="2:50" ht="14.25" customHeight="1">
      <c r="B20" s="572"/>
      <c r="C20" s="180">
        <v>14</v>
      </c>
      <c r="D20" s="183" t="s">
        <v>542</v>
      </c>
      <c r="E20" s="184">
        <v>3</v>
      </c>
      <c r="F20" s="180">
        <v>3600</v>
      </c>
      <c r="G20" s="185">
        <f t="shared" si="2"/>
        <v>1200</v>
      </c>
      <c r="H20" s="573"/>
      <c r="I20" s="186">
        <f t="shared" si="3"/>
        <v>3</v>
      </c>
      <c r="J20" s="186">
        <f t="shared" si="3"/>
        <v>3183.3109735129751</v>
      </c>
      <c r="K20" s="187">
        <f t="shared" si="3"/>
        <v>1061.1036578376584</v>
      </c>
      <c r="L20" s="574"/>
      <c r="M20" s="186">
        <f>RANK(K20, K$7:$K$41)</f>
        <v>8</v>
      </c>
      <c r="N20" s="585"/>
      <c r="O20" s="575"/>
      <c r="P20" s="188">
        <v>3</v>
      </c>
      <c r="Q20" s="188">
        <v>3182.6424020844033</v>
      </c>
      <c r="R20" s="185">
        <f t="shared" si="0"/>
        <v>1060.8808006948011</v>
      </c>
      <c r="S20" s="182">
        <f t="shared" si="4"/>
        <v>8</v>
      </c>
      <c r="T20" s="571"/>
      <c r="U20" s="188">
        <v>3</v>
      </c>
      <c r="V20" s="188">
        <v>3182.6424020844033</v>
      </c>
      <c r="W20" s="185">
        <f t="shared" si="1"/>
        <v>1060.8808006948011</v>
      </c>
      <c r="X20" s="182">
        <f t="shared" si="5"/>
        <v>8</v>
      </c>
      <c r="Y20" s="571"/>
      <c r="Z20" s="188">
        <v>3</v>
      </c>
      <c r="AA20" s="188">
        <v>3181.2024020844037</v>
      </c>
      <c r="AB20" s="185">
        <f t="shared" si="6"/>
        <v>1060.4008006948013</v>
      </c>
      <c r="AC20" s="182">
        <f t="shared" si="7"/>
        <v>8</v>
      </c>
      <c r="AD20" s="571"/>
      <c r="AE20" s="188">
        <v>3</v>
      </c>
      <c r="AF20" s="188">
        <v>3183.0024020844039</v>
      </c>
      <c r="AG20" s="185">
        <f t="shared" si="8"/>
        <v>1061.0008006948012</v>
      </c>
      <c r="AH20" s="182">
        <f t="shared" si="9"/>
        <v>8</v>
      </c>
      <c r="AI20" s="571"/>
      <c r="AJ20" s="188">
        <v>3</v>
      </c>
      <c r="AK20" s="188">
        <v>3184.442402084404</v>
      </c>
      <c r="AL20" s="185">
        <f t="shared" si="10"/>
        <v>1061.4808006948012</v>
      </c>
      <c r="AM20" s="182">
        <f t="shared" si="11"/>
        <v>8</v>
      </c>
      <c r="AN20" s="571"/>
      <c r="AO20" s="188">
        <v>3</v>
      </c>
      <c r="AP20" s="188">
        <v>3185.1624020844029</v>
      </c>
      <c r="AQ20" s="185">
        <f t="shared" si="12"/>
        <v>1061.720800694801</v>
      </c>
      <c r="AR20" s="182">
        <f t="shared" ref="AR20:AR40" si="16">RANK(AQ20, AQ$7:AQ$41)</f>
        <v>8</v>
      </c>
      <c r="AS20" s="571"/>
      <c r="AT20" s="188">
        <v>3</v>
      </c>
      <c r="AU20" s="188">
        <v>3184.0824020844034</v>
      </c>
      <c r="AV20" s="185">
        <f t="shared" si="14"/>
        <v>1061.3608006948011</v>
      </c>
      <c r="AW20" s="182">
        <f t="shared" ref="AW20:AW40" si="17">RANK(AV20, AV$7:AV$41)</f>
        <v>8</v>
      </c>
      <c r="AX20" s="571"/>
    </row>
    <row r="21" spans="2:50" ht="14.25" customHeight="1">
      <c r="B21" s="572"/>
      <c r="C21" s="180">
        <v>15</v>
      </c>
      <c r="D21" s="183" t="s">
        <v>533</v>
      </c>
      <c r="E21" s="184">
        <v>5</v>
      </c>
      <c r="F21" s="180">
        <v>3600</v>
      </c>
      <c r="G21" s="185">
        <f t="shared" si="2"/>
        <v>720</v>
      </c>
      <c r="H21" s="573"/>
      <c r="I21" s="186">
        <f t="shared" si="3"/>
        <v>5</v>
      </c>
      <c r="J21" s="186">
        <f t="shared" si="3"/>
        <v>3184.1704314078329</v>
      </c>
      <c r="K21" s="187">
        <f t="shared" si="3"/>
        <v>636.83408628156656</v>
      </c>
      <c r="L21" s="574"/>
      <c r="M21" s="186">
        <f>RANK(K21, K$7:$K$41)</f>
        <v>27</v>
      </c>
      <c r="N21" s="585"/>
      <c r="O21" s="575"/>
      <c r="P21" s="188">
        <v>5</v>
      </c>
      <c r="Q21" s="188">
        <v>3184.3247171221187</v>
      </c>
      <c r="R21" s="185">
        <f t="shared" si="0"/>
        <v>636.8649434244237</v>
      </c>
      <c r="S21" s="182">
        <f t="shared" si="4"/>
        <v>26</v>
      </c>
      <c r="T21" s="571"/>
      <c r="U21" s="188">
        <v>5</v>
      </c>
      <c r="V21" s="188">
        <v>3185.7647171221183</v>
      </c>
      <c r="W21" s="185">
        <f t="shared" si="1"/>
        <v>637.15294342442371</v>
      </c>
      <c r="X21" s="182">
        <f t="shared" si="5"/>
        <v>25</v>
      </c>
      <c r="Y21" s="571"/>
      <c r="Z21" s="188">
        <v>5</v>
      </c>
      <c r="AA21" s="188">
        <v>3184.3247171221187</v>
      </c>
      <c r="AB21" s="185">
        <f t="shared" si="6"/>
        <v>636.8649434244237</v>
      </c>
      <c r="AC21" s="182">
        <f t="shared" si="7"/>
        <v>25</v>
      </c>
      <c r="AD21" s="571"/>
      <c r="AE21" s="188">
        <v>5</v>
      </c>
      <c r="AF21" s="188">
        <v>3183.9647171221177</v>
      </c>
      <c r="AG21" s="185">
        <f t="shared" si="8"/>
        <v>636.79294342442358</v>
      </c>
      <c r="AH21" s="182">
        <f t="shared" si="9"/>
        <v>27</v>
      </c>
      <c r="AI21" s="571"/>
      <c r="AJ21" s="188">
        <v>5</v>
      </c>
      <c r="AK21" s="188">
        <v>3182.8847171221182</v>
      </c>
      <c r="AL21" s="185">
        <f t="shared" si="10"/>
        <v>636.57694342442369</v>
      </c>
      <c r="AM21" s="182">
        <f t="shared" si="11"/>
        <v>27</v>
      </c>
      <c r="AN21" s="571"/>
      <c r="AO21" s="188">
        <v>5</v>
      </c>
      <c r="AP21" s="188">
        <v>3184.3247171221183</v>
      </c>
      <c r="AQ21" s="185">
        <f t="shared" si="12"/>
        <v>636.8649434244237</v>
      </c>
      <c r="AR21" s="182">
        <f t="shared" si="16"/>
        <v>27</v>
      </c>
      <c r="AS21" s="571"/>
      <c r="AT21" s="188">
        <v>5</v>
      </c>
      <c r="AU21" s="188">
        <v>3183.6047171221185</v>
      </c>
      <c r="AV21" s="185">
        <f t="shared" si="14"/>
        <v>636.72094342442369</v>
      </c>
      <c r="AW21" s="182">
        <f t="shared" si="17"/>
        <v>27</v>
      </c>
      <c r="AX21" s="571"/>
    </row>
    <row r="22" spans="2:50" ht="14.25" customHeight="1">
      <c r="B22" s="572"/>
      <c r="C22" s="180">
        <v>16</v>
      </c>
      <c r="D22" s="183" t="s">
        <v>615</v>
      </c>
      <c r="E22" s="184">
        <v>3</v>
      </c>
      <c r="F22" s="180">
        <v>3600</v>
      </c>
      <c r="G22" s="185">
        <f t="shared" si="2"/>
        <v>1200</v>
      </c>
      <c r="H22" s="573"/>
      <c r="I22" s="186">
        <f t="shared" si="3"/>
        <v>3</v>
      </c>
      <c r="J22" s="186">
        <f t="shared" si="3"/>
        <v>3190.1522678836695</v>
      </c>
      <c r="K22" s="187">
        <f t="shared" si="3"/>
        <v>1063.3840892945566</v>
      </c>
      <c r="L22" s="574"/>
      <c r="M22" s="186">
        <f>RANK(K22, K$7:$K$41)</f>
        <v>5</v>
      </c>
      <c r="N22" s="585"/>
      <c r="O22" s="575"/>
      <c r="P22" s="188">
        <v>3</v>
      </c>
      <c r="Q22" s="188">
        <v>3189.2779821693844</v>
      </c>
      <c r="R22" s="185">
        <f t="shared" si="0"/>
        <v>1063.0926607231281</v>
      </c>
      <c r="S22" s="182">
        <f t="shared" si="4"/>
        <v>5</v>
      </c>
      <c r="T22" s="571"/>
      <c r="U22" s="188">
        <v>3</v>
      </c>
      <c r="V22" s="188">
        <v>3190.3579821693843</v>
      </c>
      <c r="W22" s="185">
        <f t="shared" si="1"/>
        <v>1063.452660723128</v>
      </c>
      <c r="X22" s="182">
        <f t="shared" si="5"/>
        <v>4</v>
      </c>
      <c r="Y22" s="571"/>
      <c r="Z22" s="188">
        <v>3</v>
      </c>
      <c r="AA22" s="188">
        <v>3189.637982169384</v>
      </c>
      <c r="AB22" s="185">
        <f t="shared" si="6"/>
        <v>1063.212660723128</v>
      </c>
      <c r="AC22" s="182">
        <f t="shared" si="7"/>
        <v>4</v>
      </c>
      <c r="AD22" s="571"/>
      <c r="AE22" s="188">
        <v>3</v>
      </c>
      <c r="AF22" s="188">
        <v>3189.2779821693844</v>
      </c>
      <c r="AG22" s="185">
        <f t="shared" si="8"/>
        <v>1063.0926607231281</v>
      </c>
      <c r="AH22" s="182">
        <f t="shared" si="9"/>
        <v>6</v>
      </c>
      <c r="AI22" s="571"/>
      <c r="AJ22" s="188">
        <v>3</v>
      </c>
      <c r="AK22" s="188">
        <v>3190.3579821693843</v>
      </c>
      <c r="AL22" s="185">
        <f t="shared" si="10"/>
        <v>1063.452660723128</v>
      </c>
      <c r="AM22" s="182">
        <f t="shared" si="11"/>
        <v>5</v>
      </c>
      <c r="AN22" s="571"/>
      <c r="AO22" s="188">
        <v>3</v>
      </c>
      <c r="AP22" s="188">
        <v>3190.3579821693838</v>
      </c>
      <c r="AQ22" s="185">
        <f t="shared" si="12"/>
        <v>1063.452660723128</v>
      </c>
      <c r="AR22" s="182">
        <f t="shared" si="16"/>
        <v>5</v>
      </c>
      <c r="AS22" s="571"/>
      <c r="AT22" s="188">
        <v>3</v>
      </c>
      <c r="AU22" s="188">
        <v>3191.7979821693834</v>
      </c>
      <c r="AV22" s="185">
        <f t="shared" si="14"/>
        <v>1063.9326607231278</v>
      </c>
      <c r="AW22" s="182">
        <f t="shared" si="17"/>
        <v>5</v>
      </c>
      <c r="AX22" s="571"/>
    </row>
    <row r="23" spans="2:50" ht="14.25" customHeight="1">
      <c r="B23" s="572"/>
      <c r="C23" s="180">
        <v>17</v>
      </c>
      <c r="D23" s="183" t="s">
        <v>595</v>
      </c>
      <c r="E23" s="184">
        <v>3</v>
      </c>
      <c r="F23" s="180">
        <v>3300</v>
      </c>
      <c r="G23" s="185">
        <f t="shared" si="2"/>
        <v>1100</v>
      </c>
      <c r="H23" s="573"/>
      <c r="I23" s="186">
        <f t="shared" si="3"/>
        <v>3</v>
      </c>
      <c r="J23" s="186">
        <f t="shared" si="3"/>
        <v>2977.7045397572278</v>
      </c>
      <c r="K23" s="187">
        <f t="shared" si="3"/>
        <v>992.5681799190761</v>
      </c>
      <c r="L23" s="574"/>
      <c r="M23" s="186">
        <f>RANK(K23, K$7:$K$41)</f>
        <v>12</v>
      </c>
      <c r="N23" s="585"/>
      <c r="O23" s="575"/>
      <c r="P23" s="188">
        <v>3</v>
      </c>
      <c r="Q23" s="188">
        <v>2977.8931111857987</v>
      </c>
      <c r="R23" s="185">
        <f t="shared" si="0"/>
        <v>992.63103706193294</v>
      </c>
      <c r="S23" s="182">
        <f t="shared" si="4"/>
        <v>12</v>
      </c>
      <c r="T23" s="571"/>
      <c r="U23" s="188">
        <v>3</v>
      </c>
      <c r="V23" s="188">
        <v>2978.883111185799</v>
      </c>
      <c r="W23" s="185">
        <f t="shared" si="1"/>
        <v>992.96103706193298</v>
      </c>
      <c r="X23" s="182">
        <f t="shared" si="5"/>
        <v>12</v>
      </c>
      <c r="Y23" s="571"/>
      <c r="Z23" s="188">
        <v>3</v>
      </c>
      <c r="AA23" s="188">
        <v>2978.2231111857991</v>
      </c>
      <c r="AB23" s="185">
        <f t="shared" si="6"/>
        <v>992.74103706193307</v>
      </c>
      <c r="AC23" s="182">
        <f t="shared" si="7"/>
        <v>12</v>
      </c>
      <c r="AD23" s="571"/>
      <c r="AE23" s="188">
        <v>3</v>
      </c>
      <c r="AF23" s="188">
        <v>2978.5531111857995</v>
      </c>
      <c r="AG23" s="185">
        <f t="shared" si="8"/>
        <v>992.8510370619332</v>
      </c>
      <c r="AH23" s="182">
        <f t="shared" si="9"/>
        <v>12</v>
      </c>
      <c r="AI23" s="571"/>
      <c r="AJ23" s="188">
        <v>3</v>
      </c>
      <c r="AK23" s="188">
        <v>2977.2331111857998</v>
      </c>
      <c r="AL23" s="185">
        <f t="shared" si="10"/>
        <v>992.41103706193326</v>
      </c>
      <c r="AM23" s="182">
        <f t="shared" si="11"/>
        <v>12</v>
      </c>
      <c r="AN23" s="571"/>
      <c r="AO23" s="188">
        <v>3</v>
      </c>
      <c r="AP23" s="188">
        <v>2976.2431111858</v>
      </c>
      <c r="AQ23" s="185">
        <f t="shared" si="12"/>
        <v>992.08103706193333</v>
      </c>
      <c r="AR23" s="182">
        <f t="shared" si="16"/>
        <v>12</v>
      </c>
      <c r="AS23" s="571"/>
      <c r="AT23" s="188">
        <v>3</v>
      </c>
      <c r="AU23" s="188">
        <v>2976.9031111857998</v>
      </c>
      <c r="AV23" s="185">
        <f t="shared" si="14"/>
        <v>992.30103706193324</v>
      </c>
      <c r="AW23" s="182">
        <f t="shared" si="17"/>
        <v>12</v>
      </c>
      <c r="AX23" s="571"/>
    </row>
    <row r="24" spans="2:50" ht="14.25" customHeight="1">
      <c r="B24" s="572"/>
      <c r="C24" s="180">
        <v>18</v>
      </c>
      <c r="D24" s="183" t="s">
        <v>401</v>
      </c>
      <c r="E24" s="184">
        <v>5</v>
      </c>
      <c r="F24" s="180">
        <v>3600</v>
      </c>
      <c r="G24" s="185">
        <f t="shared" si="2"/>
        <v>720</v>
      </c>
      <c r="H24" s="573"/>
      <c r="I24" s="186">
        <f t="shared" si="3"/>
        <v>5</v>
      </c>
      <c r="J24" s="186">
        <f t="shared" si="3"/>
        <v>3188.776468800027</v>
      </c>
      <c r="K24" s="187">
        <f t="shared" si="3"/>
        <v>637.75529376000543</v>
      </c>
      <c r="L24" s="574"/>
      <c r="M24" s="186">
        <f>RANK(K24, K$7:$K$41)</f>
        <v>24</v>
      </c>
      <c r="N24" s="585"/>
      <c r="O24" s="575"/>
      <c r="P24" s="188">
        <v>5</v>
      </c>
      <c r="Q24" s="188">
        <v>3188.4678973714563</v>
      </c>
      <c r="R24" s="185">
        <f t="shared" si="0"/>
        <v>637.69357947429125</v>
      </c>
      <c r="S24" s="182">
        <f t="shared" si="4"/>
        <v>24</v>
      </c>
      <c r="T24" s="571"/>
      <c r="U24" s="188">
        <v>5</v>
      </c>
      <c r="V24" s="188">
        <v>3187.0278973714562</v>
      </c>
      <c r="W24" s="185">
        <f t="shared" si="1"/>
        <v>637.40557947429124</v>
      </c>
      <c r="X24" s="182">
        <f t="shared" si="5"/>
        <v>24</v>
      </c>
      <c r="Y24" s="571"/>
      <c r="Z24" s="188">
        <v>5</v>
      </c>
      <c r="AA24" s="188">
        <v>3188.4678973714563</v>
      </c>
      <c r="AB24" s="185">
        <f t="shared" si="6"/>
        <v>637.69357947429125</v>
      </c>
      <c r="AC24" s="182">
        <f t="shared" si="7"/>
        <v>24</v>
      </c>
      <c r="AD24" s="571"/>
      <c r="AE24" s="188">
        <v>5</v>
      </c>
      <c r="AF24" s="188">
        <v>3187.747897371456</v>
      </c>
      <c r="AG24" s="185">
        <f t="shared" si="8"/>
        <v>637.54957947429125</v>
      </c>
      <c r="AH24" s="182">
        <f t="shared" si="9"/>
        <v>24</v>
      </c>
      <c r="AI24" s="571"/>
      <c r="AJ24" s="188">
        <v>5</v>
      </c>
      <c r="AK24" s="188">
        <v>3188.827897371455</v>
      </c>
      <c r="AL24" s="185">
        <f t="shared" si="10"/>
        <v>637.76557947429103</v>
      </c>
      <c r="AM24" s="182">
        <f t="shared" si="11"/>
        <v>24</v>
      </c>
      <c r="AN24" s="571"/>
      <c r="AO24" s="188">
        <v>5</v>
      </c>
      <c r="AP24" s="188">
        <v>3190.2678973714551</v>
      </c>
      <c r="AQ24" s="185">
        <f t="shared" si="12"/>
        <v>638.05357947429104</v>
      </c>
      <c r="AR24" s="182">
        <f t="shared" si="16"/>
        <v>23</v>
      </c>
      <c r="AS24" s="571"/>
      <c r="AT24" s="188">
        <v>5</v>
      </c>
      <c r="AU24" s="188">
        <v>3190.6278973714552</v>
      </c>
      <c r="AV24" s="185">
        <f t="shared" si="14"/>
        <v>638.12557947429104</v>
      </c>
      <c r="AW24" s="182">
        <f t="shared" si="17"/>
        <v>23</v>
      </c>
      <c r="AX24" s="571"/>
    </row>
    <row r="25" spans="2:50" ht="14.25" customHeight="1">
      <c r="B25" s="572"/>
      <c r="C25" s="180">
        <v>19</v>
      </c>
      <c r="D25" s="183" t="s">
        <v>400</v>
      </c>
      <c r="E25" s="184">
        <v>3</v>
      </c>
      <c r="F25" s="180">
        <v>3600</v>
      </c>
      <c r="G25" s="185">
        <f t="shared" si="2"/>
        <v>1200</v>
      </c>
      <c r="H25" s="573"/>
      <c r="I25" s="186">
        <f t="shared" si="3"/>
        <v>3</v>
      </c>
      <c r="J25" s="186">
        <f t="shared" si="3"/>
        <v>3180.753184551661</v>
      </c>
      <c r="K25" s="187">
        <f t="shared" si="3"/>
        <v>1060.2510615172203</v>
      </c>
      <c r="L25" s="574"/>
      <c r="M25" s="186">
        <f>RANK(K25, K$7:$K$41)</f>
        <v>9</v>
      </c>
      <c r="N25" s="585"/>
      <c r="O25" s="575"/>
      <c r="P25" s="188">
        <v>3</v>
      </c>
      <c r="Q25" s="188">
        <v>3180.444484645167</v>
      </c>
      <c r="R25" s="185">
        <f t="shared" si="0"/>
        <v>1060.148161548389</v>
      </c>
      <c r="S25" s="182">
        <f t="shared" si="4"/>
        <v>9</v>
      </c>
      <c r="T25" s="571"/>
      <c r="U25" s="188">
        <v>3</v>
      </c>
      <c r="V25" s="188">
        <v>3180.8044846451667</v>
      </c>
      <c r="W25" s="185">
        <f t="shared" si="1"/>
        <v>1060.2681615483889</v>
      </c>
      <c r="X25" s="182">
        <f t="shared" si="5"/>
        <v>9</v>
      </c>
      <c r="Y25" s="571"/>
      <c r="Z25" s="188">
        <v>3</v>
      </c>
      <c r="AA25" s="188">
        <v>3179.3644846451671</v>
      </c>
      <c r="AB25" s="185">
        <f t="shared" si="6"/>
        <v>1059.7881615483891</v>
      </c>
      <c r="AC25" s="182">
        <f t="shared" si="7"/>
        <v>9</v>
      </c>
      <c r="AD25" s="571"/>
      <c r="AE25" s="188">
        <v>3</v>
      </c>
      <c r="AF25" s="188">
        <v>3179.7244846451667</v>
      </c>
      <c r="AG25" s="185">
        <f t="shared" si="8"/>
        <v>1059.908161548389</v>
      </c>
      <c r="AH25" s="182">
        <f t="shared" si="9"/>
        <v>9</v>
      </c>
      <c r="AI25" s="571"/>
      <c r="AJ25" s="188">
        <v>3</v>
      </c>
      <c r="AK25" s="188">
        <v>3181.1653839906257</v>
      </c>
      <c r="AL25" s="185">
        <f t="shared" si="10"/>
        <v>1060.3884613302087</v>
      </c>
      <c r="AM25" s="182">
        <f t="shared" si="11"/>
        <v>9</v>
      </c>
      <c r="AN25" s="571"/>
      <c r="AO25" s="188">
        <v>3</v>
      </c>
      <c r="AP25" s="188">
        <v>3181.1644846451663</v>
      </c>
      <c r="AQ25" s="185">
        <f t="shared" si="12"/>
        <v>1060.3881615483888</v>
      </c>
      <c r="AR25" s="182">
        <f t="shared" si="16"/>
        <v>9</v>
      </c>
      <c r="AS25" s="571"/>
      <c r="AT25" s="188">
        <v>3</v>
      </c>
      <c r="AU25" s="188">
        <v>3182.6044846451659</v>
      </c>
      <c r="AV25" s="185">
        <f t="shared" si="14"/>
        <v>1060.8681615483886</v>
      </c>
      <c r="AW25" s="182">
        <f t="shared" si="17"/>
        <v>9</v>
      </c>
      <c r="AX25" s="571"/>
    </row>
    <row r="26" spans="2:50" ht="14.25" customHeight="1">
      <c r="B26" s="572"/>
      <c r="C26" s="180">
        <v>20</v>
      </c>
      <c r="D26" s="183" t="s">
        <v>402</v>
      </c>
      <c r="E26" s="184">
        <v>4</v>
      </c>
      <c r="F26" s="180">
        <v>3600</v>
      </c>
      <c r="G26" s="185">
        <f t="shared" si="2"/>
        <v>900</v>
      </c>
      <c r="H26" s="573"/>
      <c r="I26" s="186">
        <f t="shared" si="3"/>
        <v>4</v>
      </c>
      <c r="J26" s="186">
        <f t="shared" si="3"/>
        <v>3187.4419556192338</v>
      </c>
      <c r="K26" s="187">
        <f t="shared" si="3"/>
        <v>796.86048890480845</v>
      </c>
      <c r="L26" s="574"/>
      <c r="M26" s="186">
        <f>RANK(K26, K$7:$K$41)</f>
        <v>18</v>
      </c>
      <c r="N26" s="585"/>
      <c r="O26" s="575"/>
      <c r="P26" s="188">
        <v>4</v>
      </c>
      <c r="Q26" s="188">
        <v>3183.6876699049476</v>
      </c>
      <c r="R26" s="185">
        <f t="shared" si="0"/>
        <v>795.9219174762369</v>
      </c>
      <c r="S26" s="182">
        <f t="shared" si="4"/>
        <v>19</v>
      </c>
      <c r="T26" s="571"/>
      <c r="U26" s="188">
        <v>4</v>
      </c>
      <c r="V26" s="188">
        <v>3185.1276699049477</v>
      </c>
      <c r="W26" s="185">
        <f t="shared" si="1"/>
        <v>796.28191747623691</v>
      </c>
      <c r="X26" s="182">
        <f t="shared" si="5"/>
        <v>19</v>
      </c>
      <c r="Y26" s="571"/>
      <c r="Z26" s="188">
        <v>4</v>
      </c>
      <c r="AA26" s="188">
        <v>3186.5676699049477</v>
      </c>
      <c r="AB26" s="185">
        <f t="shared" si="6"/>
        <v>796.64191747623693</v>
      </c>
      <c r="AC26" s="182">
        <f t="shared" si="7"/>
        <v>18</v>
      </c>
      <c r="AD26" s="571"/>
      <c r="AE26" s="188">
        <v>4</v>
      </c>
      <c r="AF26" s="188">
        <v>3187.6476699049481</v>
      </c>
      <c r="AG26" s="185">
        <f t="shared" si="8"/>
        <v>796.91191747623702</v>
      </c>
      <c r="AH26" s="182">
        <f t="shared" si="9"/>
        <v>18</v>
      </c>
      <c r="AI26" s="571"/>
      <c r="AJ26" s="188">
        <v>4</v>
      </c>
      <c r="AK26" s="188">
        <v>3189.0876699049477</v>
      </c>
      <c r="AL26" s="185">
        <f t="shared" si="10"/>
        <v>797.27191747623692</v>
      </c>
      <c r="AM26" s="182">
        <f t="shared" si="11"/>
        <v>18</v>
      </c>
      <c r="AN26" s="571"/>
      <c r="AO26" s="188">
        <v>4</v>
      </c>
      <c r="AP26" s="188">
        <v>3190.1676699049476</v>
      </c>
      <c r="AQ26" s="185">
        <f t="shared" si="12"/>
        <v>797.5419174762369</v>
      </c>
      <c r="AR26" s="182">
        <f t="shared" si="16"/>
        <v>17</v>
      </c>
      <c r="AS26" s="571"/>
      <c r="AT26" s="188">
        <v>4</v>
      </c>
      <c r="AU26" s="188">
        <v>3189.8076699049479</v>
      </c>
      <c r="AV26" s="185">
        <f t="shared" si="14"/>
        <v>797.45191747623699</v>
      </c>
      <c r="AW26" s="182">
        <f t="shared" si="17"/>
        <v>18</v>
      </c>
      <c r="AX26" s="571"/>
    </row>
    <row r="27" spans="2:50" ht="14.25" customHeight="1">
      <c r="B27" s="572"/>
      <c r="C27" s="180">
        <v>21</v>
      </c>
      <c r="D27" s="183" t="s">
        <v>344</v>
      </c>
      <c r="E27" s="184">
        <v>5</v>
      </c>
      <c r="F27" s="180">
        <v>3300</v>
      </c>
      <c r="G27" s="185">
        <f t="shared" si="2"/>
        <v>660</v>
      </c>
      <c r="H27" s="573"/>
      <c r="I27" s="186">
        <f t="shared" si="3"/>
        <v>5</v>
      </c>
      <c r="J27" s="186">
        <f t="shared" si="3"/>
        <v>2976.873801579578</v>
      </c>
      <c r="K27" s="187">
        <f t="shared" si="3"/>
        <v>595.37476031591552</v>
      </c>
      <c r="L27" s="574"/>
      <c r="M27" s="186">
        <f>RANK(K27, K$7:$K$41)</f>
        <v>30</v>
      </c>
      <c r="N27" s="585"/>
      <c r="O27" s="575"/>
      <c r="P27" s="188">
        <v>5</v>
      </c>
      <c r="Q27" s="188">
        <v>2976.3247543400767</v>
      </c>
      <c r="R27" s="185">
        <f t="shared" si="0"/>
        <v>595.26495086801538</v>
      </c>
      <c r="S27" s="182">
        <f t="shared" si="4"/>
        <v>30</v>
      </c>
      <c r="T27" s="571"/>
      <c r="U27" s="188">
        <v>5</v>
      </c>
      <c r="V27" s="188">
        <v>2976.9847543400765</v>
      </c>
      <c r="W27" s="185">
        <f t="shared" si="1"/>
        <v>595.39695086801532</v>
      </c>
      <c r="X27" s="182">
        <f t="shared" si="5"/>
        <v>30</v>
      </c>
      <c r="Y27" s="571"/>
      <c r="Z27" s="188">
        <v>5</v>
      </c>
      <c r="AA27" s="188">
        <v>2977.6447543400768</v>
      </c>
      <c r="AB27" s="185">
        <f t="shared" si="6"/>
        <v>595.52895086801539</v>
      </c>
      <c r="AC27" s="182">
        <f t="shared" si="7"/>
        <v>30</v>
      </c>
      <c r="AD27" s="571"/>
      <c r="AE27" s="188">
        <v>5</v>
      </c>
      <c r="AF27" s="188">
        <v>2975.9947543400776</v>
      </c>
      <c r="AG27" s="185">
        <f t="shared" si="8"/>
        <v>595.19895086801557</v>
      </c>
      <c r="AH27" s="182">
        <f t="shared" si="9"/>
        <v>30</v>
      </c>
      <c r="AI27" s="571"/>
      <c r="AJ27" s="188">
        <v>5</v>
      </c>
      <c r="AK27" s="188">
        <v>2975.0047543400779</v>
      </c>
      <c r="AL27" s="185">
        <f t="shared" si="10"/>
        <v>595.00095086801559</v>
      </c>
      <c r="AM27" s="182">
        <f t="shared" si="11"/>
        <v>29</v>
      </c>
      <c r="AN27" s="571"/>
      <c r="AO27" s="188">
        <v>5</v>
      </c>
      <c r="AP27" s="188">
        <v>2978.8362467388079</v>
      </c>
      <c r="AQ27" s="185">
        <f t="shared" si="12"/>
        <v>595.76724934776155</v>
      </c>
      <c r="AR27" s="182">
        <f t="shared" si="16"/>
        <v>29</v>
      </c>
      <c r="AS27" s="571"/>
      <c r="AT27" s="188">
        <v>5</v>
      </c>
      <c r="AU27" s="188">
        <v>2977.3265926178501</v>
      </c>
      <c r="AV27" s="185">
        <f t="shared" si="14"/>
        <v>595.46531852356998</v>
      </c>
      <c r="AW27" s="182">
        <f t="shared" si="17"/>
        <v>29</v>
      </c>
      <c r="AX27" s="571"/>
    </row>
    <row r="28" spans="2:50" ht="14.25" customHeight="1">
      <c r="B28" s="572"/>
      <c r="C28" s="180">
        <v>22</v>
      </c>
      <c r="D28" s="183" t="s">
        <v>396</v>
      </c>
      <c r="E28" s="184">
        <v>3</v>
      </c>
      <c r="F28" s="180">
        <v>3600</v>
      </c>
      <c r="G28" s="185">
        <f>F28/E28</f>
        <v>1200</v>
      </c>
      <c r="H28" s="573"/>
      <c r="I28" s="186">
        <f t="shared" si="3"/>
        <v>3</v>
      </c>
      <c r="J28" s="186">
        <f t="shared" si="3"/>
        <v>3190.5805466218089</v>
      </c>
      <c r="K28" s="187">
        <f t="shared" si="3"/>
        <v>1063.5268488739362</v>
      </c>
      <c r="L28" s="574"/>
      <c r="M28" s="186">
        <f>RANK(K28, K$7:$K$41)</f>
        <v>4</v>
      </c>
      <c r="N28" s="585"/>
      <c r="O28" s="575"/>
      <c r="P28" s="188">
        <v>3</v>
      </c>
      <c r="Q28" s="188">
        <v>3189.2434037646672</v>
      </c>
      <c r="R28" s="185">
        <f t="shared" si="0"/>
        <v>1063.0811345882223</v>
      </c>
      <c r="S28" s="182">
        <f t="shared" si="4"/>
        <v>6</v>
      </c>
      <c r="T28" s="571"/>
      <c r="U28" s="188">
        <v>3</v>
      </c>
      <c r="V28" s="188">
        <v>3188.1634037646672</v>
      </c>
      <c r="W28" s="185">
        <f t="shared" si="1"/>
        <v>1062.7211345882224</v>
      </c>
      <c r="X28" s="182">
        <f t="shared" si="5"/>
        <v>6</v>
      </c>
      <c r="Y28" s="571"/>
      <c r="Z28" s="188">
        <v>3</v>
      </c>
      <c r="AA28" s="188">
        <v>3189.6034037646668</v>
      </c>
      <c r="AB28" s="185">
        <f t="shared" si="6"/>
        <v>1063.2011345882222</v>
      </c>
      <c r="AC28" s="182">
        <f t="shared" si="7"/>
        <v>5</v>
      </c>
      <c r="AD28" s="571"/>
      <c r="AE28" s="188">
        <v>3</v>
      </c>
      <c r="AF28" s="188">
        <v>3190.6834037646659</v>
      </c>
      <c r="AG28" s="185">
        <f t="shared" si="8"/>
        <v>1063.5611345882219</v>
      </c>
      <c r="AH28" s="182">
        <f t="shared" si="9"/>
        <v>4</v>
      </c>
      <c r="AI28" s="571"/>
      <c r="AJ28" s="188">
        <v>3</v>
      </c>
      <c r="AK28" s="188">
        <v>3191.4034037646652</v>
      </c>
      <c r="AL28" s="185">
        <f t="shared" si="10"/>
        <v>1063.8011345882217</v>
      </c>
      <c r="AM28" s="182">
        <f t="shared" si="11"/>
        <v>4</v>
      </c>
      <c r="AN28" s="571"/>
      <c r="AO28" s="188">
        <v>3</v>
      </c>
      <c r="AP28" s="188">
        <v>3192.1234037646655</v>
      </c>
      <c r="AQ28" s="185">
        <f t="shared" si="12"/>
        <v>1064.0411345882219</v>
      </c>
      <c r="AR28" s="182">
        <f t="shared" si="16"/>
        <v>4</v>
      </c>
      <c r="AS28" s="571"/>
      <c r="AT28" s="188">
        <v>3</v>
      </c>
      <c r="AU28" s="188">
        <v>3192.8434037646657</v>
      </c>
      <c r="AV28" s="185">
        <f t="shared" si="14"/>
        <v>1064.2811345882219</v>
      </c>
      <c r="AW28" s="182">
        <f t="shared" si="17"/>
        <v>4</v>
      </c>
      <c r="AX28" s="571"/>
    </row>
    <row r="29" spans="2:50" ht="14.25" customHeight="1">
      <c r="B29" s="572"/>
      <c r="C29" s="180">
        <v>23</v>
      </c>
      <c r="D29" s="183" t="s">
        <v>521</v>
      </c>
      <c r="E29" s="184">
        <v>4</v>
      </c>
      <c r="F29" s="180">
        <v>3600</v>
      </c>
      <c r="G29" s="185">
        <f t="shared" ref="G29:G40" si="18">F29/E29</f>
        <v>900</v>
      </c>
      <c r="H29" s="573"/>
      <c r="I29" s="186">
        <f t="shared" si="3"/>
        <v>4</v>
      </c>
      <c r="J29" s="186">
        <f t="shared" si="3"/>
        <v>3194.2285714285695</v>
      </c>
      <c r="K29" s="187">
        <f t="shared" si="3"/>
        <v>798.55714285714237</v>
      </c>
      <c r="L29" s="574"/>
      <c r="M29" s="186">
        <f>RANK(K29, K$7:$K$41)</f>
        <v>16</v>
      </c>
      <c r="N29" s="585"/>
      <c r="O29" s="575"/>
      <c r="P29" s="188">
        <v>4</v>
      </c>
      <c r="Q29" s="188">
        <v>3193.9199999999992</v>
      </c>
      <c r="R29" s="185">
        <f t="shared" si="0"/>
        <v>798.47999999999979</v>
      </c>
      <c r="S29" s="182">
        <f t="shared" si="4"/>
        <v>16</v>
      </c>
      <c r="T29" s="571"/>
      <c r="U29" s="188">
        <v>4</v>
      </c>
      <c r="V29" s="188">
        <v>3193.5599999999986</v>
      </c>
      <c r="W29" s="185">
        <f t="shared" si="1"/>
        <v>798.38999999999965</v>
      </c>
      <c r="X29" s="182">
        <f t="shared" si="5"/>
        <v>16</v>
      </c>
      <c r="Y29" s="571"/>
      <c r="Z29" s="188">
        <v>4</v>
      </c>
      <c r="AA29" s="188">
        <v>3194.6399999999985</v>
      </c>
      <c r="AB29" s="185">
        <f t="shared" si="6"/>
        <v>798.65999999999963</v>
      </c>
      <c r="AC29" s="182">
        <f t="shared" si="7"/>
        <v>16</v>
      </c>
      <c r="AD29" s="571"/>
      <c r="AE29" s="188">
        <v>4</v>
      </c>
      <c r="AF29" s="188">
        <v>3194.9999999999986</v>
      </c>
      <c r="AG29" s="185">
        <f t="shared" si="8"/>
        <v>798.74999999999966</v>
      </c>
      <c r="AH29" s="182">
        <f t="shared" si="9"/>
        <v>16</v>
      </c>
      <c r="AI29" s="571"/>
      <c r="AJ29" s="188">
        <v>4</v>
      </c>
      <c r="AK29" s="188">
        <v>3194.6399999999985</v>
      </c>
      <c r="AL29" s="185">
        <f t="shared" si="10"/>
        <v>798.65999999999963</v>
      </c>
      <c r="AM29" s="182">
        <f t="shared" si="11"/>
        <v>16</v>
      </c>
      <c r="AN29" s="571"/>
      <c r="AO29" s="188">
        <v>4</v>
      </c>
      <c r="AP29" s="188">
        <v>3194.2799999999988</v>
      </c>
      <c r="AQ29" s="185">
        <f t="shared" si="12"/>
        <v>798.56999999999971</v>
      </c>
      <c r="AR29" s="182">
        <f t="shared" si="16"/>
        <v>16</v>
      </c>
      <c r="AS29" s="571"/>
      <c r="AT29" s="188">
        <v>4</v>
      </c>
      <c r="AU29" s="188">
        <v>3193.5599999999986</v>
      </c>
      <c r="AV29" s="185">
        <f t="shared" si="14"/>
        <v>798.38999999999965</v>
      </c>
      <c r="AW29" s="182">
        <f t="shared" si="17"/>
        <v>16</v>
      </c>
      <c r="AX29" s="571"/>
    </row>
    <row r="30" spans="2:50" ht="14.25" customHeight="1">
      <c r="B30" s="572"/>
      <c r="C30" s="180">
        <v>24</v>
      </c>
      <c r="D30" s="183" t="s">
        <v>399</v>
      </c>
      <c r="E30" s="184">
        <v>3</v>
      </c>
      <c r="F30" s="180">
        <v>3600</v>
      </c>
      <c r="G30" s="185">
        <f t="shared" si="18"/>
        <v>1200</v>
      </c>
      <c r="H30" s="573"/>
      <c r="I30" s="186">
        <f t="shared" si="3"/>
        <v>3</v>
      </c>
      <c r="J30" s="186">
        <f t="shared" si="3"/>
        <v>3193.7446312300958</v>
      </c>
      <c r="K30" s="187">
        <f t="shared" si="3"/>
        <v>1064.5815437433653</v>
      </c>
      <c r="L30" s="574"/>
      <c r="M30" s="186">
        <f>RANK(K30, K$7:$K$41)</f>
        <v>2</v>
      </c>
      <c r="N30" s="585"/>
      <c r="O30" s="575"/>
      <c r="P30" s="188">
        <v>3</v>
      </c>
      <c r="Q30" s="188">
        <v>3192.7160598015244</v>
      </c>
      <c r="R30" s="185">
        <f t="shared" si="0"/>
        <v>1064.2386866005081</v>
      </c>
      <c r="S30" s="182">
        <f t="shared" si="4"/>
        <v>2</v>
      </c>
      <c r="T30" s="571"/>
      <c r="U30" s="188">
        <v>3</v>
      </c>
      <c r="V30" s="188">
        <v>3193.7960598015243</v>
      </c>
      <c r="W30" s="185">
        <f t="shared" si="1"/>
        <v>1064.598686600508</v>
      </c>
      <c r="X30" s="182">
        <f t="shared" si="5"/>
        <v>2</v>
      </c>
      <c r="Y30" s="571"/>
      <c r="Z30" s="188">
        <v>3</v>
      </c>
      <c r="AA30" s="188">
        <v>3193.4360598015255</v>
      </c>
      <c r="AB30" s="185">
        <f t="shared" si="6"/>
        <v>1064.4786866005086</v>
      </c>
      <c r="AC30" s="182">
        <f t="shared" si="7"/>
        <v>2</v>
      </c>
      <c r="AD30" s="571"/>
      <c r="AE30" s="188">
        <v>3</v>
      </c>
      <c r="AF30" s="188">
        <v>3193.7960598015243</v>
      </c>
      <c r="AG30" s="185">
        <f t="shared" si="8"/>
        <v>1064.598686600508</v>
      </c>
      <c r="AH30" s="182">
        <f t="shared" si="9"/>
        <v>2</v>
      </c>
      <c r="AI30" s="571"/>
      <c r="AJ30" s="188">
        <v>3</v>
      </c>
      <c r="AK30" s="188">
        <v>3194.156059801524</v>
      </c>
      <c r="AL30" s="185">
        <f t="shared" si="10"/>
        <v>1064.7186866005079</v>
      </c>
      <c r="AM30" s="182">
        <f t="shared" si="11"/>
        <v>2</v>
      </c>
      <c r="AN30" s="571"/>
      <c r="AO30" s="188">
        <v>3</v>
      </c>
      <c r="AP30" s="188">
        <v>3193.4360598015237</v>
      </c>
      <c r="AQ30" s="185">
        <f t="shared" si="12"/>
        <v>1064.4786866005079</v>
      </c>
      <c r="AR30" s="182">
        <f t="shared" si="16"/>
        <v>2</v>
      </c>
      <c r="AS30" s="571"/>
      <c r="AT30" s="188">
        <v>3</v>
      </c>
      <c r="AU30" s="188">
        <v>3194.8760598015242</v>
      </c>
      <c r="AV30" s="185">
        <f t="shared" si="14"/>
        <v>1064.9586866005081</v>
      </c>
      <c r="AW30" s="182">
        <f t="shared" si="17"/>
        <v>2</v>
      </c>
      <c r="AX30" s="571"/>
    </row>
    <row r="31" spans="2:50" ht="14.25" customHeight="1">
      <c r="B31" s="572"/>
      <c r="C31" s="180">
        <v>25</v>
      </c>
      <c r="D31" s="183" t="s">
        <v>398</v>
      </c>
      <c r="E31" s="184">
        <v>5</v>
      </c>
      <c r="F31" s="180">
        <v>3600</v>
      </c>
      <c r="G31" s="185">
        <f t="shared" si="18"/>
        <v>720</v>
      </c>
      <c r="H31" s="573"/>
      <c r="I31" s="186">
        <f t="shared" si="3"/>
        <v>5</v>
      </c>
      <c r="J31" s="186">
        <f t="shared" si="3"/>
        <v>3195.8974918322197</v>
      </c>
      <c r="K31" s="187">
        <f t="shared" si="3"/>
        <v>639.17949836644402</v>
      </c>
      <c r="L31" s="574"/>
      <c r="M31" s="186">
        <f>RANK(K31, K$7:$K$41)</f>
        <v>21</v>
      </c>
      <c r="N31" s="585"/>
      <c r="O31" s="575"/>
      <c r="P31" s="188">
        <v>5</v>
      </c>
      <c r="Q31" s="188">
        <v>3193.7374918322203</v>
      </c>
      <c r="R31" s="185">
        <f t="shared" si="0"/>
        <v>638.74749836644401</v>
      </c>
      <c r="S31" s="182">
        <f t="shared" si="4"/>
        <v>21</v>
      </c>
      <c r="T31" s="571"/>
      <c r="U31" s="188">
        <v>5</v>
      </c>
      <c r="V31" s="188">
        <v>3193.7374918322203</v>
      </c>
      <c r="W31" s="185">
        <f t="shared" si="1"/>
        <v>638.74749836644401</v>
      </c>
      <c r="X31" s="182">
        <f t="shared" si="5"/>
        <v>21</v>
      </c>
      <c r="Y31" s="571"/>
      <c r="Z31" s="188">
        <v>5</v>
      </c>
      <c r="AA31" s="188">
        <v>3195.1774918322199</v>
      </c>
      <c r="AB31" s="185">
        <f t="shared" si="6"/>
        <v>639.03549836644402</v>
      </c>
      <c r="AC31" s="182">
        <f t="shared" si="7"/>
        <v>21</v>
      </c>
      <c r="AD31" s="571"/>
      <c r="AE31" s="188">
        <v>5</v>
      </c>
      <c r="AF31" s="188">
        <v>3196.9774918322196</v>
      </c>
      <c r="AG31" s="185">
        <f t="shared" si="8"/>
        <v>639.39549836644392</v>
      </c>
      <c r="AH31" s="182">
        <f t="shared" si="9"/>
        <v>21</v>
      </c>
      <c r="AI31" s="571"/>
      <c r="AJ31" s="188">
        <v>5</v>
      </c>
      <c r="AK31" s="188">
        <v>3196.6174918322199</v>
      </c>
      <c r="AL31" s="185">
        <f t="shared" si="10"/>
        <v>639.32349836644403</v>
      </c>
      <c r="AM31" s="182">
        <f t="shared" si="11"/>
        <v>21</v>
      </c>
      <c r="AN31" s="571"/>
      <c r="AO31" s="188">
        <v>5</v>
      </c>
      <c r="AP31" s="188">
        <v>3197.6974918322203</v>
      </c>
      <c r="AQ31" s="185">
        <f t="shared" si="12"/>
        <v>639.53949836644404</v>
      </c>
      <c r="AR31" s="182">
        <f t="shared" si="16"/>
        <v>21</v>
      </c>
      <c r="AS31" s="571"/>
      <c r="AT31" s="188">
        <v>5</v>
      </c>
      <c r="AU31" s="188">
        <v>3197.3374918322197</v>
      </c>
      <c r="AV31" s="185">
        <f t="shared" si="14"/>
        <v>639.46749836644392</v>
      </c>
      <c r="AW31" s="182">
        <f t="shared" si="17"/>
        <v>21</v>
      </c>
      <c r="AX31" s="571"/>
    </row>
    <row r="32" spans="2:50" ht="14.25" customHeight="1">
      <c r="B32" s="572"/>
      <c r="C32" s="180">
        <v>26</v>
      </c>
      <c r="D32" s="183" t="s">
        <v>395</v>
      </c>
      <c r="E32" s="184">
        <v>5</v>
      </c>
      <c r="F32" s="180">
        <v>3600</v>
      </c>
      <c r="G32" s="185">
        <f t="shared" si="18"/>
        <v>720</v>
      </c>
      <c r="H32" s="573"/>
      <c r="I32" s="186">
        <f t="shared" si="3"/>
        <v>5</v>
      </c>
      <c r="J32" s="186">
        <f t="shared" si="3"/>
        <v>3189.5974939230978</v>
      </c>
      <c r="K32" s="187">
        <f t="shared" si="3"/>
        <v>637.91949878461969</v>
      </c>
      <c r="L32" s="574"/>
      <c r="M32" s="186">
        <f>RANK(K32, K$7:$K$41)</f>
        <v>23</v>
      </c>
      <c r="N32" s="585"/>
      <c r="O32" s="575"/>
      <c r="P32" s="188">
        <v>5</v>
      </c>
      <c r="Q32" s="188">
        <v>3190.1117796373846</v>
      </c>
      <c r="R32" s="185">
        <f t="shared" si="0"/>
        <v>638.02235592747695</v>
      </c>
      <c r="S32" s="182">
        <f t="shared" si="4"/>
        <v>23</v>
      </c>
      <c r="T32" s="571"/>
      <c r="U32" s="188">
        <v>5</v>
      </c>
      <c r="V32" s="188">
        <v>3190.831779637384</v>
      </c>
      <c r="W32" s="185">
        <f t="shared" si="1"/>
        <v>638.16635592747684</v>
      </c>
      <c r="X32" s="182">
        <f t="shared" si="5"/>
        <v>22</v>
      </c>
      <c r="Y32" s="571"/>
      <c r="Z32" s="188">
        <v>5</v>
      </c>
      <c r="AA32" s="188">
        <v>3189.7517796373841</v>
      </c>
      <c r="AB32" s="185">
        <f t="shared" si="6"/>
        <v>637.95035592747683</v>
      </c>
      <c r="AC32" s="182">
        <f t="shared" si="7"/>
        <v>23</v>
      </c>
      <c r="AD32" s="571"/>
      <c r="AE32" s="188">
        <v>5</v>
      </c>
      <c r="AF32" s="188">
        <v>3189.0317796373838</v>
      </c>
      <c r="AG32" s="185">
        <f t="shared" si="8"/>
        <v>637.80635592747672</v>
      </c>
      <c r="AH32" s="182">
        <f t="shared" si="9"/>
        <v>23</v>
      </c>
      <c r="AI32" s="571"/>
      <c r="AJ32" s="188">
        <v>5</v>
      </c>
      <c r="AK32" s="188">
        <v>3189.3917796373844</v>
      </c>
      <c r="AL32" s="185">
        <f t="shared" si="10"/>
        <v>637.87835592747683</v>
      </c>
      <c r="AM32" s="182">
        <f t="shared" si="11"/>
        <v>23</v>
      </c>
      <c r="AN32" s="571"/>
      <c r="AO32" s="188">
        <v>5</v>
      </c>
      <c r="AP32" s="188">
        <v>3189.3917796373839</v>
      </c>
      <c r="AQ32" s="185">
        <f t="shared" si="12"/>
        <v>637.87835592747683</v>
      </c>
      <c r="AR32" s="182">
        <f t="shared" si="16"/>
        <v>24</v>
      </c>
      <c r="AS32" s="571"/>
      <c r="AT32" s="188">
        <v>5</v>
      </c>
      <c r="AU32" s="188">
        <v>3188.6717796373832</v>
      </c>
      <c r="AV32" s="185">
        <f t="shared" si="14"/>
        <v>637.7343559274766</v>
      </c>
      <c r="AW32" s="182">
        <f t="shared" si="17"/>
        <v>24</v>
      </c>
      <c r="AX32" s="571"/>
    </row>
    <row r="33" spans="1:50" ht="14.25" customHeight="1">
      <c r="B33" s="572"/>
      <c r="C33" s="180">
        <v>27</v>
      </c>
      <c r="D33" s="183" t="s">
        <v>397</v>
      </c>
      <c r="E33" s="184">
        <v>3</v>
      </c>
      <c r="F33" s="180">
        <v>3000</v>
      </c>
      <c r="G33" s="185">
        <f t="shared" si="18"/>
        <v>1000</v>
      </c>
      <c r="H33" s="573"/>
      <c r="I33" s="186">
        <f t="shared" si="3"/>
        <v>3</v>
      </c>
      <c r="J33" s="186">
        <f t="shared" si="3"/>
        <v>2712.6910898004367</v>
      </c>
      <c r="K33" s="187">
        <f t="shared" si="3"/>
        <v>904.23036326681211</v>
      </c>
      <c r="L33" s="574"/>
      <c r="M33" s="186">
        <f>RANK(K33, K$7:$K$41)</f>
        <v>15</v>
      </c>
      <c r="N33" s="585"/>
      <c r="O33" s="575"/>
      <c r="P33" s="188">
        <v>3</v>
      </c>
      <c r="Q33" s="188">
        <v>2711.1417673468291</v>
      </c>
      <c r="R33" s="185">
        <f t="shared" si="0"/>
        <v>903.71392244894298</v>
      </c>
      <c r="S33" s="182">
        <f t="shared" si="4"/>
        <v>15</v>
      </c>
      <c r="T33" s="571"/>
      <c r="U33" s="188">
        <v>3</v>
      </c>
      <c r="V33" s="188">
        <v>2713.2926002604036</v>
      </c>
      <c r="W33" s="185">
        <f t="shared" si="1"/>
        <v>904.43086675346785</v>
      </c>
      <c r="X33" s="182">
        <f t="shared" si="5"/>
        <v>15</v>
      </c>
      <c r="Y33" s="571"/>
      <c r="Z33" s="188">
        <v>3</v>
      </c>
      <c r="AA33" s="188">
        <v>2714.2606521991652</v>
      </c>
      <c r="AB33" s="185">
        <f t="shared" si="6"/>
        <v>904.75355073305502</v>
      </c>
      <c r="AC33" s="182">
        <f t="shared" si="7"/>
        <v>15</v>
      </c>
      <c r="AD33" s="571"/>
      <c r="AE33" s="188">
        <v>3</v>
      </c>
      <c r="AF33" s="188">
        <v>2713.3606521991651</v>
      </c>
      <c r="AG33" s="185">
        <f t="shared" si="8"/>
        <v>904.45355073305507</v>
      </c>
      <c r="AH33" s="182">
        <f t="shared" si="9"/>
        <v>14</v>
      </c>
      <c r="AI33" s="571"/>
      <c r="AJ33" s="188">
        <v>3</v>
      </c>
      <c r="AK33" s="188">
        <v>2712.4606521991645</v>
      </c>
      <c r="AL33" s="185">
        <f t="shared" si="10"/>
        <v>904.15355073305489</v>
      </c>
      <c r="AM33" s="182">
        <f t="shared" si="11"/>
        <v>15</v>
      </c>
      <c r="AN33" s="571"/>
      <c r="AO33" s="188">
        <v>3</v>
      </c>
      <c r="AP33" s="188">
        <v>2711.8606521991646</v>
      </c>
      <c r="AQ33" s="185">
        <f t="shared" si="12"/>
        <v>903.95355073305484</v>
      </c>
      <c r="AR33" s="182">
        <f t="shared" si="16"/>
        <v>15</v>
      </c>
      <c r="AS33" s="571"/>
      <c r="AT33" s="188">
        <v>3</v>
      </c>
      <c r="AU33" s="188">
        <v>2712.4606521991645</v>
      </c>
      <c r="AV33" s="185">
        <f t="shared" si="14"/>
        <v>904.15355073305489</v>
      </c>
      <c r="AW33" s="182">
        <f t="shared" si="17"/>
        <v>15</v>
      </c>
      <c r="AX33" s="571"/>
    </row>
    <row r="34" spans="1:50" ht="14.25" customHeight="1">
      <c r="B34" s="572"/>
      <c r="C34" s="180">
        <v>28</v>
      </c>
      <c r="D34" s="183" t="s">
        <v>436</v>
      </c>
      <c r="E34" s="184">
        <v>3</v>
      </c>
      <c r="F34" s="180">
        <v>3600</v>
      </c>
      <c r="G34" s="185">
        <f t="shared" si="18"/>
        <v>1200</v>
      </c>
      <c r="H34" s="573"/>
      <c r="I34" s="186">
        <f t="shared" si="3"/>
        <v>3</v>
      </c>
      <c r="J34" s="186">
        <f t="shared" si="3"/>
        <v>3199.0937792936334</v>
      </c>
      <c r="K34" s="187">
        <f t="shared" si="3"/>
        <v>1066.3645930978778</v>
      </c>
      <c r="L34" s="574"/>
      <c r="M34" s="186">
        <f>RANK(K34, K$7:$K$41)</f>
        <v>1</v>
      </c>
      <c r="N34" s="585"/>
      <c r="O34" s="575"/>
      <c r="P34" s="188">
        <v>3</v>
      </c>
      <c r="Q34" s="188">
        <v>3196.5223507222054</v>
      </c>
      <c r="R34" s="185">
        <f t="shared" si="0"/>
        <v>1065.5074502407351</v>
      </c>
      <c r="S34" s="182">
        <f t="shared" si="4"/>
        <v>1</v>
      </c>
      <c r="T34" s="571"/>
      <c r="U34" s="188">
        <v>3</v>
      </c>
      <c r="V34" s="188">
        <v>3197.962350722205</v>
      </c>
      <c r="W34" s="185">
        <f t="shared" si="1"/>
        <v>1065.9874502407349</v>
      </c>
      <c r="X34" s="182">
        <f t="shared" si="5"/>
        <v>1</v>
      </c>
      <c r="Y34" s="571"/>
      <c r="Z34" s="188">
        <v>3</v>
      </c>
      <c r="AA34" s="188">
        <v>3199.402350722205</v>
      </c>
      <c r="AB34" s="185">
        <f t="shared" si="6"/>
        <v>1066.4674502407349</v>
      </c>
      <c r="AC34" s="182">
        <f t="shared" si="7"/>
        <v>1</v>
      </c>
      <c r="AD34" s="571"/>
      <c r="AE34" s="188">
        <v>3</v>
      </c>
      <c r="AF34" s="188">
        <v>3199.7623507222042</v>
      </c>
      <c r="AG34" s="185">
        <f t="shared" si="8"/>
        <v>1066.5874502407348</v>
      </c>
      <c r="AH34" s="182">
        <f t="shared" si="9"/>
        <v>1</v>
      </c>
      <c r="AI34" s="571"/>
      <c r="AJ34" s="188">
        <v>3</v>
      </c>
      <c r="AK34" s="188">
        <v>3200.1223507222039</v>
      </c>
      <c r="AL34" s="185">
        <f t="shared" si="10"/>
        <v>1066.7074502407347</v>
      </c>
      <c r="AM34" s="182">
        <f t="shared" si="11"/>
        <v>1</v>
      </c>
      <c r="AN34" s="571"/>
      <c r="AO34" s="188">
        <v>3</v>
      </c>
      <c r="AP34" s="188">
        <v>3200.482350722204</v>
      </c>
      <c r="AQ34" s="185">
        <f t="shared" si="12"/>
        <v>1066.8274502407346</v>
      </c>
      <c r="AR34" s="182">
        <f t="shared" si="16"/>
        <v>1</v>
      </c>
      <c r="AS34" s="571"/>
      <c r="AT34" s="188">
        <v>3</v>
      </c>
      <c r="AU34" s="188">
        <v>3199.4023507222046</v>
      </c>
      <c r="AV34" s="185">
        <f t="shared" si="14"/>
        <v>1066.4674502407349</v>
      </c>
      <c r="AW34" s="182">
        <f t="shared" si="17"/>
        <v>1</v>
      </c>
      <c r="AX34" s="571"/>
    </row>
    <row r="35" spans="1:50" ht="14.25" customHeight="1">
      <c r="B35" s="572"/>
      <c r="C35" s="180">
        <v>29</v>
      </c>
      <c r="D35" s="183" t="s">
        <v>442</v>
      </c>
      <c r="E35" s="184">
        <v>4</v>
      </c>
      <c r="F35" s="180">
        <v>3000</v>
      </c>
      <c r="G35" s="185">
        <f t="shared" si="18"/>
        <v>750</v>
      </c>
      <c r="H35" s="573"/>
      <c r="I35" s="186">
        <f t="shared" si="3"/>
        <v>4</v>
      </c>
      <c r="J35" s="186">
        <f t="shared" si="3"/>
        <v>2707.4617286196308</v>
      </c>
      <c r="K35" s="187">
        <f t="shared" si="3"/>
        <v>676.86543215490769</v>
      </c>
      <c r="L35" s="574"/>
      <c r="M35" s="186">
        <f>RANK(K35, K$7:$K$41)</f>
        <v>20</v>
      </c>
      <c r="N35" s="585"/>
      <c r="O35" s="575"/>
      <c r="P35" s="188">
        <v>4</v>
      </c>
      <c r="Q35" s="188">
        <v>2705.0198985605498</v>
      </c>
      <c r="R35" s="185">
        <f t="shared" si="0"/>
        <v>676.25497464013745</v>
      </c>
      <c r="S35" s="182">
        <f t="shared" si="4"/>
        <v>20</v>
      </c>
      <c r="T35" s="571"/>
      <c r="U35" s="188">
        <v>4</v>
      </c>
      <c r="V35" s="188">
        <v>2706.2198985605496</v>
      </c>
      <c r="W35" s="185">
        <f t="shared" si="1"/>
        <v>676.5549746401374</v>
      </c>
      <c r="X35" s="182">
        <f t="shared" si="5"/>
        <v>20</v>
      </c>
      <c r="Y35" s="571"/>
      <c r="Z35" s="188">
        <v>4</v>
      </c>
      <c r="AA35" s="188">
        <v>2706.8198985605495</v>
      </c>
      <c r="AB35" s="185">
        <f t="shared" si="6"/>
        <v>676.70497464013738</v>
      </c>
      <c r="AC35" s="182">
        <f t="shared" si="7"/>
        <v>20</v>
      </c>
      <c r="AD35" s="571"/>
      <c r="AE35" s="188">
        <v>4</v>
      </c>
      <c r="AF35" s="188">
        <v>2707.7198985605501</v>
      </c>
      <c r="AG35" s="185">
        <f t="shared" si="8"/>
        <v>676.92997464013752</v>
      </c>
      <c r="AH35" s="182">
        <f t="shared" si="9"/>
        <v>20</v>
      </c>
      <c r="AI35" s="571"/>
      <c r="AJ35" s="188">
        <v>4</v>
      </c>
      <c r="AK35" s="188">
        <v>2707.9175020317398</v>
      </c>
      <c r="AL35" s="185">
        <f t="shared" si="10"/>
        <v>676.97937550793495</v>
      </c>
      <c r="AM35" s="182">
        <f t="shared" si="11"/>
        <v>20</v>
      </c>
      <c r="AN35" s="571"/>
      <c r="AO35" s="188">
        <v>4</v>
      </c>
      <c r="AP35" s="188">
        <v>2709.1175020317396</v>
      </c>
      <c r="AQ35" s="185">
        <f t="shared" si="12"/>
        <v>677.2793755079349</v>
      </c>
      <c r="AR35" s="182">
        <f t="shared" si="16"/>
        <v>20</v>
      </c>
      <c r="AS35" s="571"/>
      <c r="AT35" s="188">
        <v>4</v>
      </c>
      <c r="AU35" s="188">
        <v>2709.4175020317398</v>
      </c>
      <c r="AV35" s="185">
        <f t="shared" si="14"/>
        <v>677.35437550793495</v>
      </c>
      <c r="AW35" s="182">
        <f t="shared" si="17"/>
        <v>20</v>
      </c>
      <c r="AX35" s="571"/>
    </row>
    <row r="36" spans="1:50" ht="14.25" customHeight="1">
      <c r="B36" s="572"/>
      <c r="C36" s="180">
        <v>30</v>
      </c>
      <c r="D36" s="183" t="s">
        <v>509</v>
      </c>
      <c r="E36" s="184">
        <v>5</v>
      </c>
      <c r="F36" s="180">
        <v>3000</v>
      </c>
      <c r="G36" s="185">
        <f t="shared" si="18"/>
        <v>600</v>
      </c>
      <c r="H36" s="573"/>
      <c r="I36" s="186">
        <f t="shared" si="3"/>
        <v>5</v>
      </c>
      <c r="J36" s="186">
        <f t="shared" si="3"/>
        <v>2707.7365084199596</v>
      </c>
      <c r="K36" s="187">
        <f t="shared" si="3"/>
        <v>541.5473016839918</v>
      </c>
      <c r="L36" s="574"/>
      <c r="M36" s="186">
        <f>RANK(K36, K$7:$K$41)</f>
        <v>31</v>
      </c>
      <c r="N36" s="585"/>
      <c r="O36" s="575"/>
      <c r="P36" s="188">
        <v>5</v>
      </c>
      <c r="Q36" s="188">
        <v>2706.2917481826262</v>
      </c>
      <c r="R36" s="185">
        <f t="shared" si="0"/>
        <v>541.25834963652528</v>
      </c>
      <c r="S36" s="182">
        <f t="shared" si="4"/>
        <v>31</v>
      </c>
      <c r="T36" s="571"/>
      <c r="U36" s="188">
        <v>5</v>
      </c>
      <c r="V36" s="188">
        <v>2706.8917481826256</v>
      </c>
      <c r="W36" s="185">
        <f t="shared" si="1"/>
        <v>541.37834963652517</v>
      </c>
      <c r="X36" s="182">
        <f t="shared" si="5"/>
        <v>31</v>
      </c>
      <c r="Y36" s="571"/>
      <c r="Z36" s="188">
        <v>5</v>
      </c>
      <c r="AA36" s="188">
        <v>2706.8917481826261</v>
      </c>
      <c r="AB36" s="185">
        <f t="shared" si="6"/>
        <v>541.37834963652517</v>
      </c>
      <c r="AC36" s="182">
        <f t="shared" si="7"/>
        <v>31</v>
      </c>
      <c r="AD36" s="571"/>
      <c r="AE36" s="188">
        <v>5</v>
      </c>
      <c r="AF36" s="188">
        <v>2707.7917481826257</v>
      </c>
      <c r="AG36" s="185">
        <f t="shared" si="8"/>
        <v>541.55834963652512</v>
      </c>
      <c r="AH36" s="182">
        <f t="shared" si="9"/>
        <v>31</v>
      </c>
      <c r="AI36" s="571"/>
      <c r="AJ36" s="188">
        <v>5</v>
      </c>
      <c r="AK36" s="188">
        <v>2708.3917481826247</v>
      </c>
      <c r="AL36" s="185">
        <f t="shared" si="10"/>
        <v>541.6783496365249</v>
      </c>
      <c r="AM36" s="182">
        <f t="shared" si="11"/>
        <v>30</v>
      </c>
      <c r="AN36" s="571"/>
      <c r="AO36" s="188">
        <v>5</v>
      </c>
      <c r="AP36" s="188">
        <v>2708.6484090132944</v>
      </c>
      <c r="AQ36" s="185">
        <f t="shared" si="12"/>
        <v>541.72968180265889</v>
      </c>
      <c r="AR36" s="182">
        <f t="shared" si="16"/>
        <v>30</v>
      </c>
      <c r="AS36" s="571"/>
      <c r="AT36" s="188">
        <v>5</v>
      </c>
      <c r="AU36" s="188">
        <v>2709.2484090132939</v>
      </c>
      <c r="AV36" s="185">
        <f t="shared" si="14"/>
        <v>541.84968180265878</v>
      </c>
      <c r="AW36" s="182">
        <f t="shared" si="17"/>
        <v>30</v>
      </c>
      <c r="AX36" s="571"/>
    </row>
    <row r="37" spans="1:50" ht="14.25" customHeight="1">
      <c r="B37" s="572"/>
      <c r="C37" s="180">
        <v>31</v>
      </c>
      <c r="D37" s="183" t="s">
        <v>522</v>
      </c>
      <c r="E37" s="180">
        <v>3</v>
      </c>
      <c r="F37" s="180">
        <v>3300</v>
      </c>
      <c r="G37" s="185">
        <f t="shared" si="18"/>
        <v>1100</v>
      </c>
      <c r="H37" s="573"/>
      <c r="I37" s="186">
        <f t="shared" si="3"/>
        <v>3</v>
      </c>
      <c r="J37" s="186">
        <f t="shared" si="3"/>
        <v>2987.0371016186496</v>
      </c>
      <c r="K37" s="187">
        <f t="shared" si="3"/>
        <v>995.67903387288322</v>
      </c>
      <c r="L37" s="574"/>
      <c r="M37" s="186">
        <f>RANK(K37, K$7:$K$41)</f>
        <v>10</v>
      </c>
      <c r="N37" s="585"/>
      <c r="O37" s="575"/>
      <c r="P37" s="188">
        <v>3</v>
      </c>
      <c r="Q37" s="188">
        <v>2985.5808047833393</v>
      </c>
      <c r="R37" s="185">
        <f t="shared" si="0"/>
        <v>995.19360159444648</v>
      </c>
      <c r="S37" s="182">
        <f t="shared" si="4"/>
        <v>10</v>
      </c>
      <c r="T37" s="571"/>
      <c r="U37" s="188">
        <v>3</v>
      </c>
      <c r="V37" s="188">
        <v>2986.57080478334</v>
      </c>
      <c r="W37" s="185">
        <f t="shared" si="1"/>
        <v>995.52360159444663</v>
      </c>
      <c r="X37" s="182">
        <f t="shared" si="5"/>
        <v>10</v>
      </c>
      <c r="Y37" s="571"/>
      <c r="Z37" s="188">
        <v>3</v>
      </c>
      <c r="AA37" s="188">
        <v>2985.2508047833398</v>
      </c>
      <c r="AB37" s="185">
        <f t="shared" si="6"/>
        <v>995.08360159444658</v>
      </c>
      <c r="AC37" s="182">
        <f t="shared" si="7"/>
        <v>11</v>
      </c>
      <c r="AD37" s="571"/>
      <c r="AE37" s="188">
        <v>3</v>
      </c>
      <c r="AF37" s="188">
        <v>2985.2508047833398</v>
      </c>
      <c r="AG37" s="185">
        <f t="shared" si="8"/>
        <v>995.08360159444658</v>
      </c>
      <c r="AH37" s="182">
        <f t="shared" si="9"/>
        <v>11</v>
      </c>
      <c r="AI37" s="571"/>
      <c r="AJ37" s="188">
        <v>3</v>
      </c>
      <c r="AK37" s="188">
        <v>2989.4188307323966</v>
      </c>
      <c r="AL37" s="185">
        <f t="shared" si="10"/>
        <v>996.47294357746557</v>
      </c>
      <c r="AM37" s="182">
        <f t="shared" si="11"/>
        <v>10</v>
      </c>
      <c r="AN37" s="571"/>
      <c r="AO37" s="188">
        <v>3</v>
      </c>
      <c r="AP37" s="188">
        <v>2988.0988307323964</v>
      </c>
      <c r="AQ37" s="185">
        <f t="shared" si="12"/>
        <v>996.03294357746552</v>
      </c>
      <c r="AR37" s="182">
        <f t="shared" si="16"/>
        <v>10</v>
      </c>
      <c r="AS37" s="571"/>
      <c r="AT37" s="188">
        <v>3</v>
      </c>
      <c r="AU37" s="188">
        <v>2989.0888307323962</v>
      </c>
      <c r="AV37" s="185">
        <f t="shared" si="14"/>
        <v>996.36294357746544</v>
      </c>
      <c r="AW37" s="182">
        <f t="shared" si="17"/>
        <v>10</v>
      </c>
      <c r="AX37" s="571"/>
    </row>
    <row r="38" spans="1:50" ht="14.25" customHeight="1">
      <c r="B38" s="572"/>
      <c r="C38" s="180">
        <v>32</v>
      </c>
      <c r="D38" s="183" t="s">
        <v>486</v>
      </c>
      <c r="E38" s="180">
        <v>13</v>
      </c>
      <c r="F38" s="180">
        <v>3600</v>
      </c>
      <c r="G38" s="185">
        <f t="shared" si="18"/>
        <v>276.92307692307691</v>
      </c>
      <c r="H38" s="573"/>
      <c r="I38" s="186">
        <f t="shared" ref="I38:K40" si="19">AVERAGE(P38,U38,Z38,AE38,AJ38,AO38,AT38)</f>
        <v>13</v>
      </c>
      <c r="J38" s="186">
        <f t="shared" si="19"/>
        <v>3262.6305663935286</v>
      </c>
      <c r="K38" s="187">
        <f t="shared" si="19"/>
        <v>250.97158203027143</v>
      </c>
      <c r="L38" s="574"/>
      <c r="M38" s="186">
        <f>RANK(K38, K$7:$K$41)</f>
        <v>34</v>
      </c>
      <c r="N38" s="585"/>
      <c r="O38" s="575"/>
      <c r="P38" s="188">
        <v>13</v>
      </c>
      <c r="Q38" s="188">
        <v>3264.6732855803812</v>
      </c>
      <c r="R38" s="185">
        <f t="shared" si="0"/>
        <v>251.12871427541393</v>
      </c>
      <c r="S38" s="182">
        <f t="shared" si="4"/>
        <v>34</v>
      </c>
      <c r="T38" s="571"/>
      <c r="U38" s="188">
        <v>13</v>
      </c>
      <c r="V38" s="188">
        <v>3263.5932855803812</v>
      </c>
      <c r="W38" s="185">
        <f t="shared" si="1"/>
        <v>251.04563735233702</v>
      </c>
      <c r="X38" s="182">
        <f t="shared" si="5"/>
        <v>34</v>
      </c>
      <c r="Y38" s="571"/>
      <c r="Z38" s="188">
        <v>13</v>
      </c>
      <c r="AA38" s="188">
        <v>3264.3132855803815</v>
      </c>
      <c r="AB38" s="185">
        <f t="shared" si="6"/>
        <v>251.10102196772166</v>
      </c>
      <c r="AC38" s="182">
        <f t="shared" si="7"/>
        <v>34</v>
      </c>
      <c r="AD38" s="571"/>
      <c r="AE38" s="188">
        <v>13</v>
      </c>
      <c r="AF38" s="188">
        <v>3264.6732855803821</v>
      </c>
      <c r="AG38" s="185">
        <f t="shared" si="8"/>
        <v>251.12871427541401</v>
      </c>
      <c r="AH38" s="182">
        <f t="shared" si="9"/>
        <v>34</v>
      </c>
      <c r="AI38" s="571"/>
      <c r="AJ38" s="188">
        <v>13</v>
      </c>
      <c r="AK38" s="188">
        <v>3263.5932855803831</v>
      </c>
      <c r="AL38" s="185">
        <f t="shared" si="10"/>
        <v>251.04563735233717</v>
      </c>
      <c r="AM38" s="182">
        <f t="shared" si="11"/>
        <v>33</v>
      </c>
      <c r="AN38" s="571"/>
      <c r="AO38" s="188">
        <v>13</v>
      </c>
      <c r="AP38" s="188">
        <v>3259.1437684263956</v>
      </c>
      <c r="AQ38" s="185">
        <f t="shared" si="12"/>
        <v>250.70336680203042</v>
      </c>
      <c r="AR38" s="182">
        <f t="shared" si="16"/>
        <v>33</v>
      </c>
      <c r="AS38" s="571"/>
      <c r="AT38" s="188">
        <v>13</v>
      </c>
      <c r="AU38" s="188">
        <v>3258.4237684263958</v>
      </c>
      <c r="AV38" s="185">
        <f t="shared" si="14"/>
        <v>250.64798218664583</v>
      </c>
      <c r="AW38" s="182">
        <f t="shared" si="17"/>
        <v>33</v>
      </c>
      <c r="AX38" s="571"/>
    </row>
    <row r="39" spans="1:50" ht="14.25" customHeight="1">
      <c r="B39" s="572"/>
      <c r="C39" s="180">
        <v>33</v>
      </c>
      <c r="D39" s="183" t="s">
        <v>345</v>
      </c>
      <c r="E39" s="180">
        <v>3</v>
      </c>
      <c r="F39" s="180">
        <v>3000</v>
      </c>
      <c r="G39" s="185">
        <f t="shared" si="18"/>
        <v>1000</v>
      </c>
      <c r="H39" s="573"/>
      <c r="I39" s="186">
        <f t="shared" si="19"/>
        <v>3</v>
      </c>
      <c r="J39" s="186">
        <f t="shared" si="19"/>
        <v>2713.5250361065096</v>
      </c>
      <c r="K39" s="187">
        <f t="shared" si="19"/>
        <v>904.50834536883656</v>
      </c>
      <c r="L39" s="574"/>
      <c r="M39" s="186">
        <f>RANK(K39, K$7:$K$41)</f>
        <v>14</v>
      </c>
      <c r="N39" s="585"/>
      <c r="O39" s="575"/>
      <c r="P39" s="188">
        <v>3</v>
      </c>
      <c r="Q39" s="188">
        <v>2713.2250361065089</v>
      </c>
      <c r="R39" s="185">
        <f t="shared" si="0"/>
        <v>904.40834536883631</v>
      </c>
      <c r="S39" s="182">
        <f t="shared" si="4"/>
        <v>14</v>
      </c>
      <c r="T39" s="571"/>
      <c r="U39" s="188">
        <v>3</v>
      </c>
      <c r="V39" s="188">
        <v>2714.4250361065087</v>
      </c>
      <c r="W39" s="185">
        <f t="shared" si="1"/>
        <v>904.80834536883629</v>
      </c>
      <c r="X39" s="182">
        <f t="shared" si="5"/>
        <v>13</v>
      </c>
      <c r="Y39" s="571"/>
      <c r="Z39" s="188">
        <v>3</v>
      </c>
      <c r="AA39" s="188">
        <v>2714.7250361065089</v>
      </c>
      <c r="AB39" s="185">
        <f t="shared" si="6"/>
        <v>904.90834536883631</v>
      </c>
      <c r="AC39" s="182">
        <f t="shared" si="7"/>
        <v>14</v>
      </c>
      <c r="AD39" s="571"/>
      <c r="AE39" s="188">
        <v>3</v>
      </c>
      <c r="AF39" s="188">
        <v>2713.2250361065098</v>
      </c>
      <c r="AG39" s="185">
        <f t="shared" si="8"/>
        <v>904.40834536883665</v>
      </c>
      <c r="AH39" s="182">
        <f t="shared" si="9"/>
        <v>15</v>
      </c>
      <c r="AI39" s="571"/>
      <c r="AJ39" s="188">
        <v>3</v>
      </c>
      <c r="AK39" s="188">
        <v>2712.9250361065101</v>
      </c>
      <c r="AL39" s="185">
        <f t="shared" si="10"/>
        <v>904.30834536883674</v>
      </c>
      <c r="AM39" s="182">
        <f t="shared" si="11"/>
        <v>14</v>
      </c>
      <c r="AN39" s="571"/>
      <c r="AO39" s="188">
        <v>3</v>
      </c>
      <c r="AP39" s="188">
        <v>2712.6250361065104</v>
      </c>
      <c r="AQ39" s="185">
        <f t="shared" si="12"/>
        <v>904.20834536883683</v>
      </c>
      <c r="AR39" s="182">
        <f t="shared" si="16"/>
        <v>14</v>
      </c>
      <c r="AS39" s="571"/>
      <c r="AT39" s="188">
        <v>3</v>
      </c>
      <c r="AU39" s="188">
        <v>2713.5250361065109</v>
      </c>
      <c r="AV39" s="185">
        <f t="shared" si="14"/>
        <v>904.50834536883701</v>
      </c>
      <c r="AW39" s="182">
        <f t="shared" si="17"/>
        <v>13</v>
      </c>
      <c r="AX39" s="571"/>
    </row>
    <row r="40" spans="1:50" ht="14.25" customHeight="1">
      <c r="B40" s="572"/>
      <c r="C40" s="180">
        <v>34</v>
      </c>
      <c r="D40" s="183" t="s">
        <v>438</v>
      </c>
      <c r="E40" s="180">
        <v>12</v>
      </c>
      <c r="F40" s="180">
        <v>3600</v>
      </c>
      <c r="G40" s="185">
        <f t="shared" si="18"/>
        <v>300</v>
      </c>
      <c r="H40" s="573"/>
      <c r="I40" s="186">
        <f t="shared" si="19"/>
        <v>12</v>
      </c>
      <c r="J40" s="186">
        <f t="shared" si="19"/>
        <v>3114.3857862169289</v>
      </c>
      <c r="K40" s="187">
        <f t="shared" si="19"/>
        <v>259.5321488514108</v>
      </c>
      <c r="L40" s="574"/>
      <c r="M40" s="186">
        <f>RANK(K40, K$7:$K$41)</f>
        <v>33</v>
      </c>
      <c r="N40" s="585"/>
      <c r="O40" s="575"/>
      <c r="P40" s="188">
        <v>12</v>
      </c>
      <c r="Q40" s="188">
        <v>3115.7229290740715</v>
      </c>
      <c r="R40" s="185">
        <f t="shared" si="0"/>
        <v>259.64357742283931</v>
      </c>
      <c r="S40" s="182">
        <f t="shared" si="4"/>
        <v>33</v>
      </c>
      <c r="T40" s="571"/>
      <c r="U40" s="188">
        <v>12</v>
      </c>
      <c r="V40" s="188">
        <v>3114.2829290740715</v>
      </c>
      <c r="W40" s="185">
        <f t="shared" si="1"/>
        <v>259.52357742283931</v>
      </c>
      <c r="X40" s="182">
        <f t="shared" si="5"/>
        <v>33</v>
      </c>
      <c r="Y40" s="571"/>
      <c r="Z40" s="188">
        <v>12</v>
      </c>
      <c r="AA40" s="188">
        <v>3113.9229290740718</v>
      </c>
      <c r="AB40" s="185">
        <f t="shared" si="6"/>
        <v>259.49357742283934</v>
      </c>
      <c r="AC40" s="182">
        <f t="shared" si="7"/>
        <v>33</v>
      </c>
      <c r="AD40" s="571"/>
      <c r="AE40" s="188">
        <v>12</v>
      </c>
      <c r="AF40" s="188">
        <v>3114.6429290740725</v>
      </c>
      <c r="AG40" s="185">
        <f t="shared" si="8"/>
        <v>259.5535774228394</v>
      </c>
      <c r="AH40" s="182">
        <f t="shared" si="9"/>
        <v>32</v>
      </c>
      <c r="AI40" s="571"/>
      <c r="AJ40" s="188">
        <v>12</v>
      </c>
      <c r="AK40" s="188">
        <v>3115.0029290740727</v>
      </c>
      <c r="AL40" s="185">
        <f t="shared" si="10"/>
        <v>259.58357742283937</v>
      </c>
      <c r="AM40" s="182">
        <f t="shared" si="11"/>
        <v>32</v>
      </c>
      <c r="AN40" s="571"/>
      <c r="AO40" s="188">
        <v>12</v>
      </c>
      <c r="AP40" s="188">
        <v>3114.2829290740724</v>
      </c>
      <c r="AQ40" s="185">
        <f t="shared" si="12"/>
        <v>259.52357742283937</v>
      </c>
      <c r="AR40" s="182">
        <f t="shared" si="16"/>
        <v>32</v>
      </c>
      <c r="AS40" s="571"/>
      <c r="AT40" s="188">
        <v>12</v>
      </c>
      <c r="AU40" s="188">
        <v>3112.8429290740723</v>
      </c>
      <c r="AV40" s="185">
        <f t="shared" si="14"/>
        <v>259.40357742283936</v>
      </c>
      <c r="AW40" s="182">
        <f t="shared" si="17"/>
        <v>32</v>
      </c>
      <c r="AX40" s="571"/>
    </row>
    <row r="41" spans="1:50" ht="14.25" customHeight="1">
      <c r="B41" s="572"/>
      <c r="C41" s="180">
        <v>35</v>
      </c>
      <c r="D41" s="183"/>
      <c r="E41" s="180"/>
      <c r="F41" s="180"/>
      <c r="G41" s="185"/>
      <c r="H41" s="573"/>
      <c r="I41" s="186"/>
      <c r="J41" s="186"/>
      <c r="K41" s="187"/>
      <c r="L41" s="574"/>
      <c r="M41" s="186"/>
      <c r="N41" s="585"/>
      <c r="O41" s="575"/>
      <c r="P41" s="188"/>
      <c r="Q41" s="188"/>
      <c r="R41" s="185"/>
      <c r="S41" s="182"/>
      <c r="T41" s="571"/>
      <c r="U41" s="188"/>
      <c r="V41" s="188"/>
      <c r="W41" s="185"/>
      <c r="X41" s="182"/>
      <c r="Y41" s="571"/>
      <c r="Z41" s="188"/>
      <c r="AA41" s="188"/>
      <c r="AB41" s="185"/>
      <c r="AC41" s="182"/>
      <c r="AD41" s="571"/>
      <c r="AE41" s="188"/>
      <c r="AF41" s="188"/>
      <c r="AG41" s="185"/>
      <c r="AH41" s="182"/>
      <c r="AI41" s="571"/>
      <c r="AJ41" s="188"/>
      <c r="AK41" s="188"/>
      <c r="AL41" s="185"/>
      <c r="AM41" s="182"/>
      <c r="AN41" s="571"/>
      <c r="AO41" s="188"/>
      <c r="AP41" s="188"/>
      <c r="AQ41" s="185"/>
      <c r="AR41" s="182"/>
      <c r="AS41" s="571"/>
      <c r="AT41" s="188"/>
      <c r="AU41" s="188"/>
      <c r="AV41" s="185"/>
      <c r="AW41" s="182"/>
      <c r="AX41" s="571"/>
    </row>
    <row r="42" spans="1:50" ht="14.25" customHeight="1">
      <c r="B42" s="597" t="s">
        <v>684</v>
      </c>
      <c r="C42" s="587"/>
      <c r="D42" s="587"/>
      <c r="E42" s="587"/>
      <c r="F42" s="587"/>
      <c r="G42" s="587"/>
      <c r="H42" s="587"/>
      <c r="I42" s="587"/>
      <c r="J42" s="587"/>
      <c r="K42" s="587"/>
      <c r="L42" s="587"/>
      <c r="M42" s="588"/>
      <c r="N42" s="591" t="s">
        <v>364</v>
      </c>
      <c r="O42" s="591" t="s">
        <v>105</v>
      </c>
      <c r="P42" s="593">
        <v>46175</v>
      </c>
      <c r="Q42" s="594"/>
      <c r="R42" s="594"/>
      <c r="S42" s="594"/>
      <c r="T42" s="594"/>
      <c r="U42" s="595">
        <v>46176</v>
      </c>
      <c r="V42" s="596"/>
      <c r="W42" s="596"/>
      <c r="X42" s="596"/>
      <c r="Y42" s="596"/>
      <c r="Z42" s="593">
        <v>46177</v>
      </c>
      <c r="AA42" s="594"/>
      <c r="AB42" s="594"/>
      <c r="AC42" s="594"/>
      <c r="AD42" s="594"/>
      <c r="AE42" s="595">
        <v>46178</v>
      </c>
      <c r="AF42" s="596"/>
      <c r="AG42" s="596"/>
      <c r="AH42" s="596"/>
      <c r="AI42" s="596"/>
      <c r="AJ42" s="577">
        <v>46179</v>
      </c>
      <c r="AK42" s="578"/>
      <c r="AL42" s="578"/>
      <c r="AM42" s="578"/>
      <c r="AN42" s="579"/>
      <c r="AO42" s="595">
        <v>46180</v>
      </c>
      <c r="AP42" s="596"/>
      <c r="AQ42" s="596"/>
      <c r="AR42" s="596"/>
      <c r="AS42" s="596"/>
      <c r="AT42" s="577">
        <v>46181</v>
      </c>
      <c r="AU42" s="578"/>
      <c r="AV42" s="578"/>
      <c r="AW42" s="578"/>
      <c r="AX42" s="579"/>
    </row>
    <row r="43" spans="1:50" ht="14.25" customHeight="1">
      <c r="B43" s="589"/>
      <c r="C43" s="589"/>
      <c r="D43" s="589"/>
      <c r="E43" s="589"/>
      <c r="F43" s="589"/>
      <c r="G43" s="589"/>
      <c r="H43" s="589"/>
      <c r="I43" s="589"/>
      <c r="J43" s="589"/>
      <c r="K43" s="589"/>
      <c r="L43" s="589"/>
      <c r="M43" s="590"/>
      <c r="N43" s="592"/>
      <c r="O43" s="592"/>
      <c r="P43" s="580">
        <v>46175</v>
      </c>
      <c r="Q43" s="580"/>
      <c r="R43" s="580"/>
      <c r="S43" s="580"/>
      <c r="T43" s="580"/>
      <c r="U43" s="581">
        <v>46176</v>
      </c>
      <c r="V43" s="581"/>
      <c r="W43" s="581"/>
      <c r="X43" s="581"/>
      <c r="Y43" s="581"/>
      <c r="Z43" s="580">
        <v>46177</v>
      </c>
      <c r="AA43" s="580"/>
      <c r="AB43" s="580"/>
      <c r="AC43" s="580"/>
      <c r="AD43" s="580"/>
      <c r="AE43" s="581">
        <v>46178</v>
      </c>
      <c r="AF43" s="581"/>
      <c r="AG43" s="581"/>
      <c r="AH43" s="581"/>
      <c r="AI43" s="581"/>
      <c r="AJ43" s="582">
        <v>46179</v>
      </c>
      <c r="AK43" s="583"/>
      <c r="AL43" s="583"/>
      <c r="AM43" s="583"/>
      <c r="AN43" s="584"/>
      <c r="AO43" s="581">
        <v>46180</v>
      </c>
      <c r="AP43" s="581"/>
      <c r="AQ43" s="581"/>
      <c r="AR43" s="581"/>
      <c r="AS43" s="581"/>
      <c r="AT43" s="582">
        <v>46181</v>
      </c>
      <c r="AU43" s="583"/>
      <c r="AV43" s="583"/>
      <c r="AW43" s="583"/>
      <c r="AX43" s="584"/>
    </row>
    <row r="44" spans="1:50" ht="14.25" customHeight="1">
      <c r="B44" s="572" t="s">
        <v>162</v>
      </c>
      <c r="C44" s="572" t="s">
        <v>157</v>
      </c>
      <c r="D44" s="572"/>
      <c r="E44" s="572" t="s">
        <v>158</v>
      </c>
      <c r="F44" s="572"/>
      <c r="G44" s="572"/>
      <c r="H44" s="572" t="s">
        <v>163</v>
      </c>
      <c r="I44" s="576" t="s">
        <v>365</v>
      </c>
      <c r="J44" s="576"/>
      <c r="K44" s="576"/>
      <c r="L44" s="576" t="s">
        <v>163</v>
      </c>
      <c r="M44" s="576" t="s">
        <v>165</v>
      </c>
      <c r="N44" s="585"/>
      <c r="O44" s="575" t="s">
        <v>164</v>
      </c>
      <c r="P44" s="575" t="s">
        <v>160</v>
      </c>
      <c r="Q44" s="575"/>
      <c r="R44" s="575"/>
      <c r="S44" s="575"/>
      <c r="T44" s="575" t="s">
        <v>163</v>
      </c>
      <c r="U44" s="575" t="s">
        <v>160</v>
      </c>
      <c r="V44" s="575"/>
      <c r="W44" s="575"/>
      <c r="X44" s="575"/>
      <c r="Y44" s="575" t="s">
        <v>163</v>
      </c>
      <c r="Z44" s="575" t="s">
        <v>160</v>
      </c>
      <c r="AA44" s="575"/>
      <c r="AB44" s="575"/>
      <c r="AC44" s="575"/>
      <c r="AD44" s="575" t="s">
        <v>163</v>
      </c>
      <c r="AE44" s="575" t="s">
        <v>160</v>
      </c>
      <c r="AF44" s="575"/>
      <c r="AG44" s="575"/>
      <c r="AH44" s="575"/>
      <c r="AI44" s="575" t="s">
        <v>163</v>
      </c>
      <c r="AJ44" s="575" t="s">
        <v>160</v>
      </c>
      <c r="AK44" s="575"/>
      <c r="AL44" s="575"/>
      <c r="AM44" s="575"/>
      <c r="AN44" s="575" t="s">
        <v>163</v>
      </c>
      <c r="AO44" s="575" t="s">
        <v>160</v>
      </c>
      <c r="AP44" s="575"/>
      <c r="AQ44" s="575"/>
      <c r="AR44" s="575"/>
      <c r="AS44" s="575" t="s">
        <v>163</v>
      </c>
      <c r="AT44" s="575" t="s">
        <v>160</v>
      </c>
      <c r="AU44" s="575"/>
      <c r="AV44" s="575"/>
      <c r="AW44" s="575"/>
      <c r="AX44" s="575" t="s">
        <v>163</v>
      </c>
    </row>
    <row r="45" spans="1:50" ht="14.25" customHeight="1">
      <c r="B45" s="572"/>
      <c r="C45" s="572"/>
      <c r="D45" s="572"/>
      <c r="E45" s="572" t="s">
        <v>366</v>
      </c>
      <c r="F45" s="572"/>
      <c r="G45" s="572"/>
      <c r="H45" s="572"/>
      <c r="I45" s="576" t="s">
        <v>366</v>
      </c>
      <c r="J45" s="576"/>
      <c r="K45" s="576"/>
      <c r="L45" s="576"/>
      <c r="M45" s="576"/>
      <c r="N45" s="585"/>
      <c r="O45" s="575"/>
      <c r="P45" s="575" t="s">
        <v>367</v>
      </c>
      <c r="Q45" s="575"/>
      <c r="R45" s="575"/>
      <c r="S45" s="575"/>
      <c r="T45" s="575"/>
      <c r="U45" s="575" t="s">
        <v>367</v>
      </c>
      <c r="V45" s="575"/>
      <c r="W45" s="575"/>
      <c r="X45" s="575"/>
      <c r="Y45" s="575"/>
      <c r="Z45" s="575" t="s">
        <v>367</v>
      </c>
      <c r="AA45" s="575"/>
      <c r="AB45" s="575"/>
      <c r="AC45" s="575"/>
      <c r="AD45" s="575"/>
      <c r="AE45" s="575" t="s">
        <v>367</v>
      </c>
      <c r="AF45" s="575"/>
      <c r="AG45" s="575"/>
      <c r="AH45" s="575"/>
      <c r="AI45" s="575"/>
      <c r="AJ45" s="575" t="s">
        <v>367</v>
      </c>
      <c r="AK45" s="575"/>
      <c r="AL45" s="575"/>
      <c r="AM45" s="575"/>
      <c r="AN45" s="575"/>
      <c r="AO45" s="575" t="s">
        <v>367</v>
      </c>
      <c r="AP45" s="575"/>
      <c r="AQ45" s="575"/>
      <c r="AR45" s="575"/>
      <c r="AS45" s="575"/>
      <c r="AT45" s="575" t="s">
        <v>367</v>
      </c>
      <c r="AU45" s="575"/>
      <c r="AV45" s="575"/>
      <c r="AW45" s="575"/>
      <c r="AX45" s="575"/>
    </row>
    <row r="46" spans="1:50" ht="14.25" customHeight="1">
      <c r="A46" s="177"/>
      <c r="B46" s="572"/>
      <c r="C46" s="572"/>
      <c r="D46" s="572"/>
      <c r="E46" s="180" t="s">
        <v>159</v>
      </c>
      <c r="F46" s="180" t="s">
        <v>368</v>
      </c>
      <c r="G46" s="180" t="s">
        <v>161</v>
      </c>
      <c r="H46" s="572"/>
      <c r="I46" s="181" t="s">
        <v>159</v>
      </c>
      <c r="J46" s="181" t="s">
        <v>368</v>
      </c>
      <c r="K46" s="181" t="s">
        <v>161</v>
      </c>
      <c r="L46" s="576"/>
      <c r="M46" s="576"/>
      <c r="N46" s="585"/>
      <c r="O46" s="575"/>
      <c r="P46" s="182" t="s">
        <v>159</v>
      </c>
      <c r="Q46" s="182" t="s">
        <v>368</v>
      </c>
      <c r="R46" s="182" t="s">
        <v>161</v>
      </c>
      <c r="S46" s="182" t="s">
        <v>165</v>
      </c>
      <c r="T46" s="575"/>
      <c r="U46" s="182" t="s">
        <v>159</v>
      </c>
      <c r="V46" s="182" t="s">
        <v>368</v>
      </c>
      <c r="W46" s="182" t="s">
        <v>161</v>
      </c>
      <c r="X46" s="182" t="s">
        <v>165</v>
      </c>
      <c r="Y46" s="575"/>
      <c r="Z46" s="182" t="s">
        <v>159</v>
      </c>
      <c r="AA46" s="182" t="s">
        <v>368</v>
      </c>
      <c r="AB46" s="182" t="s">
        <v>161</v>
      </c>
      <c r="AC46" s="182" t="s">
        <v>165</v>
      </c>
      <c r="AD46" s="575"/>
      <c r="AE46" s="182" t="s">
        <v>159</v>
      </c>
      <c r="AF46" s="182" t="s">
        <v>368</v>
      </c>
      <c r="AG46" s="182" t="s">
        <v>161</v>
      </c>
      <c r="AH46" s="182" t="s">
        <v>165</v>
      </c>
      <c r="AI46" s="575"/>
      <c r="AJ46" s="182" t="s">
        <v>159</v>
      </c>
      <c r="AK46" s="182" t="s">
        <v>368</v>
      </c>
      <c r="AL46" s="182" t="s">
        <v>161</v>
      </c>
      <c r="AM46" s="182" t="s">
        <v>165</v>
      </c>
      <c r="AN46" s="575"/>
      <c r="AO46" s="182" t="s">
        <v>159</v>
      </c>
      <c r="AP46" s="182" t="s">
        <v>368</v>
      </c>
      <c r="AQ46" s="182" t="s">
        <v>161</v>
      </c>
      <c r="AR46" s="182" t="s">
        <v>165</v>
      </c>
      <c r="AS46" s="575"/>
      <c r="AT46" s="182" t="s">
        <v>159</v>
      </c>
      <c r="AU46" s="182" t="s">
        <v>368</v>
      </c>
      <c r="AV46" s="182" t="s">
        <v>161</v>
      </c>
      <c r="AW46" s="182" t="s">
        <v>165</v>
      </c>
      <c r="AX46" s="575"/>
    </row>
    <row r="47" spans="1:50" ht="14.25" customHeight="1">
      <c r="B47" s="572" t="s">
        <v>369</v>
      </c>
      <c r="C47" s="180">
        <v>1</v>
      </c>
      <c r="D47" s="183" t="s">
        <v>394</v>
      </c>
      <c r="E47" s="184">
        <v>4</v>
      </c>
      <c r="F47" s="180">
        <v>3600</v>
      </c>
      <c r="G47" s="185">
        <f>F47/E47</f>
        <v>900</v>
      </c>
      <c r="H47" s="573">
        <f>AVERAGE(G47:G81)</f>
        <v>887.48251748251755</v>
      </c>
      <c r="I47" s="186">
        <f>AVERAGE(P47,U47,Z47,AE47,AJ47,AO47,AT47)</f>
        <v>4</v>
      </c>
      <c r="J47" s="186">
        <f>AVERAGE(Q47,V47,AA47,AF47,AK47,AP47,AU47)</f>
        <v>3188.9472420740462</v>
      </c>
      <c r="K47" s="187">
        <f>AVERAGE(R47,W47,AB47,AG47,AL47,AQ47,AV47)</f>
        <v>797.23681051851156</v>
      </c>
      <c r="L47" s="574">
        <f>IFERROR(AVERAGE(K47:K81),"-")</f>
        <v>791.32419047930159</v>
      </c>
      <c r="M47" s="186">
        <f>RANK(K47, K$47:$K$81)</f>
        <v>19</v>
      </c>
      <c r="N47" s="585"/>
      <c r="O47" s="575"/>
      <c r="P47" s="188">
        <v>4</v>
      </c>
      <c r="Q47" s="188">
        <v>3187.5586706454751</v>
      </c>
      <c r="R47" s="185">
        <f t="shared" ref="R47:R79" si="20">IFERROR(Q47/P47,"")</f>
        <v>796.88966766136878</v>
      </c>
      <c r="S47" s="182">
        <f>RANK(R47, R$47:R$81)</f>
        <v>19</v>
      </c>
      <c r="T47" s="571">
        <f>AVERAGE(R47:R81)</f>
        <v>791.16702022322727</v>
      </c>
      <c r="U47" s="188">
        <v>4</v>
      </c>
      <c r="V47" s="188">
        <v>3188.638670645475</v>
      </c>
      <c r="W47" s="185">
        <f t="shared" ref="W47:W79" si="21">IFERROR(V47/U47,"")</f>
        <v>797.15966766136876</v>
      </c>
      <c r="X47" s="182">
        <f>RANK(W47, W$47:W$81)</f>
        <v>19</v>
      </c>
      <c r="Y47" s="571">
        <f>AVERAGE(W47:W81)</f>
        <v>791.32485285154166</v>
      </c>
      <c r="Z47" s="188">
        <v>4</v>
      </c>
      <c r="AA47" s="188">
        <v>3190.4386706454743</v>
      </c>
      <c r="AB47" s="185">
        <f>IFERROR(AA47/Z47,"")</f>
        <v>797.60966766136858</v>
      </c>
      <c r="AC47" s="182">
        <f>RANK(AB47, AB$47:AB$81)</f>
        <v>19</v>
      </c>
      <c r="AD47" s="571">
        <f>AVERAGE(AB47:AB81)</f>
        <v>791.32066870235758</v>
      </c>
      <c r="AE47" s="188">
        <v>4</v>
      </c>
      <c r="AF47" s="188">
        <v>3189.3586706454753</v>
      </c>
      <c r="AG47" s="185">
        <f>IFERROR(AF47/AE47,"")</f>
        <v>797.33966766136882</v>
      </c>
      <c r="AH47" s="182">
        <f>RANK(AG47, AG$47:AG$81)</f>
        <v>19</v>
      </c>
      <c r="AI47" s="571">
        <f>AVERAGE(AG47:AG81)</f>
        <v>791.30482021750936</v>
      </c>
      <c r="AJ47" s="188">
        <v>4</v>
      </c>
      <c r="AK47" s="188">
        <v>3187.9186706454752</v>
      </c>
      <c r="AL47" s="185">
        <f>IFERROR(AK47/AJ47,"")</f>
        <v>796.97966766136881</v>
      </c>
      <c r="AM47" s="182">
        <f>RANK(AL47, AL$47:AL$81)</f>
        <v>19</v>
      </c>
      <c r="AN47" s="571">
        <f>AVERAGE(AL47:AL81)</f>
        <v>791.31934055399825</v>
      </c>
      <c r="AO47" s="188">
        <v>4</v>
      </c>
      <c r="AP47" s="188">
        <v>3189.3586706454753</v>
      </c>
      <c r="AQ47" s="185">
        <f>IFERROR(AP47/AO47,"")</f>
        <v>797.33966766136882</v>
      </c>
      <c r="AR47" s="182">
        <f>RANK(AQ47, AQ$47:AQ$81)</f>
        <v>18</v>
      </c>
      <c r="AS47" s="571">
        <f>AVERAGE(AQ47:AQ81)</f>
        <v>791.38401193632239</v>
      </c>
      <c r="AT47" s="188">
        <v>4</v>
      </c>
      <c r="AU47" s="188">
        <v>3189.3586706454748</v>
      </c>
      <c r="AV47" s="185">
        <f>IFERROR(AU47/AT47,"")</f>
        <v>797.33966766136871</v>
      </c>
      <c r="AW47" s="182">
        <f>RANK(AV47, AV$47:AV$81)</f>
        <v>18</v>
      </c>
      <c r="AX47" s="571">
        <f>AVERAGE(AV47:AV81)</f>
        <v>791.44861887015611</v>
      </c>
    </row>
    <row r="48" spans="1:50" ht="14.25" customHeight="1">
      <c r="B48" s="572"/>
      <c r="C48" s="180">
        <v>2</v>
      </c>
      <c r="D48" s="183" t="s">
        <v>392</v>
      </c>
      <c r="E48" s="184">
        <v>3</v>
      </c>
      <c r="F48" s="180">
        <v>3600</v>
      </c>
      <c r="G48" s="185">
        <f t="shared" ref="G48:G67" si="22">F48/E48</f>
        <v>1200</v>
      </c>
      <c r="H48" s="573"/>
      <c r="I48" s="186">
        <f t="shared" ref="I48:K77" si="23">AVERAGE(P48,U48,Z48,AE48,AJ48,AO48,AT48)</f>
        <v>3</v>
      </c>
      <c r="J48" s="186">
        <f t="shared" si="23"/>
        <v>3186.5869492940587</v>
      </c>
      <c r="K48" s="187">
        <f t="shared" si="23"/>
        <v>1062.1956497646863</v>
      </c>
      <c r="L48" s="574"/>
      <c r="M48" s="186">
        <f>RANK(K48, K$47:$K$81)</f>
        <v>8</v>
      </c>
      <c r="N48" s="585"/>
      <c r="O48" s="575"/>
      <c r="P48" s="188">
        <v>3</v>
      </c>
      <c r="Q48" s="188">
        <v>3185.4040921512014</v>
      </c>
      <c r="R48" s="185">
        <f t="shared" si="20"/>
        <v>1061.8013640504005</v>
      </c>
      <c r="S48" s="182">
        <f t="shared" ref="S48:S79" si="24">RANK(R48, R$47:R$81)</f>
        <v>7</v>
      </c>
      <c r="T48" s="571"/>
      <c r="U48" s="188">
        <v>3</v>
      </c>
      <c r="V48" s="188">
        <v>3186.4840921512014</v>
      </c>
      <c r="W48" s="185">
        <f t="shared" si="21"/>
        <v>1062.1613640504004</v>
      </c>
      <c r="X48" s="182">
        <f t="shared" ref="X48:X79" si="25">RANK(W48, W$47:W$81)</f>
        <v>8</v>
      </c>
      <c r="Y48" s="571"/>
      <c r="Z48" s="188">
        <v>3</v>
      </c>
      <c r="AA48" s="188">
        <v>3185.0440921512009</v>
      </c>
      <c r="AB48" s="185">
        <f t="shared" ref="AB48:AB79" si="26">IFERROR(AA48/Z48,"")</f>
        <v>1061.6813640504004</v>
      </c>
      <c r="AC48" s="182">
        <f t="shared" ref="AC48:AC79" si="27">RANK(AB48, AB$47:AB$81)</f>
        <v>8</v>
      </c>
      <c r="AD48" s="571"/>
      <c r="AE48" s="188">
        <v>3</v>
      </c>
      <c r="AF48" s="188">
        <v>3186.1240921512012</v>
      </c>
      <c r="AG48" s="185">
        <f t="shared" ref="AG48:AG79" si="28">IFERROR(AF48/AE48,"")</f>
        <v>1062.0413640504005</v>
      </c>
      <c r="AH48" s="182">
        <f t="shared" ref="AH48:AH79" si="29">RANK(AG48, AG$47:AG$81)</f>
        <v>8</v>
      </c>
      <c r="AI48" s="571"/>
      <c r="AJ48" s="188">
        <v>3</v>
      </c>
      <c r="AK48" s="188">
        <v>3186.8440921512015</v>
      </c>
      <c r="AL48" s="185">
        <f t="shared" ref="AL48:AL79" si="30">IFERROR(AK48/AJ48,"")</f>
        <v>1062.2813640504005</v>
      </c>
      <c r="AM48" s="182">
        <f t="shared" ref="AM48:AM79" si="31">RANK(AL48, AL$47:AL$81)</f>
        <v>8</v>
      </c>
      <c r="AN48" s="571"/>
      <c r="AO48" s="188">
        <v>3</v>
      </c>
      <c r="AP48" s="188">
        <v>3188.6440921512012</v>
      </c>
      <c r="AQ48" s="185">
        <f t="shared" ref="AQ48:AQ79" si="32">IFERROR(AP48/AO48,"")</f>
        <v>1062.8813640504004</v>
      </c>
      <c r="AR48" s="182">
        <f t="shared" ref="AR48:AR79" si="33">RANK(AQ48, AQ$47:AQ$81)</f>
        <v>8</v>
      </c>
      <c r="AS48" s="571"/>
      <c r="AT48" s="188">
        <v>3</v>
      </c>
      <c r="AU48" s="188">
        <v>3187.5640921512022</v>
      </c>
      <c r="AV48" s="185">
        <f t="shared" ref="AV48:AV79" si="34">IFERROR(AU48/AT48,"")</f>
        <v>1062.5213640504007</v>
      </c>
      <c r="AW48" s="182">
        <f t="shared" ref="AW48:AW79" si="35">RANK(AV48, AV$47:AV$81)</f>
        <v>8</v>
      </c>
      <c r="AX48" s="571"/>
    </row>
    <row r="49" spans="2:50" ht="14.25" customHeight="1">
      <c r="B49" s="572"/>
      <c r="C49" s="180">
        <v>3</v>
      </c>
      <c r="D49" s="183" t="s">
        <v>393</v>
      </c>
      <c r="E49" s="184">
        <v>5</v>
      </c>
      <c r="F49" s="180">
        <v>3600</v>
      </c>
      <c r="G49" s="185">
        <f t="shared" si="22"/>
        <v>720</v>
      </c>
      <c r="H49" s="573"/>
      <c r="I49" s="186">
        <f t="shared" si="23"/>
        <v>5</v>
      </c>
      <c r="J49" s="186">
        <f t="shared" si="23"/>
        <v>3193.1815419550503</v>
      </c>
      <c r="K49" s="187">
        <f t="shared" si="23"/>
        <v>638.63630839101006</v>
      </c>
      <c r="L49" s="574"/>
      <c r="M49" s="186">
        <f>RANK(K49, K$47:$K$81)</f>
        <v>22</v>
      </c>
      <c r="N49" s="585"/>
      <c r="O49" s="575"/>
      <c r="P49" s="188">
        <v>5</v>
      </c>
      <c r="Q49" s="188">
        <v>3195.1358276693354</v>
      </c>
      <c r="R49" s="185">
        <f t="shared" si="20"/>
        <v>639.02716553386711</v>
      </c>
      <c r="S49" s="182">
        <f t="shared" si="24"/>
        <v>22</v>
      </c>
      <c r="T49" s="571"/>
      <c r="U49" s="188">
        <v>5</v>
      </c>
      <c r="V49" s="188">
        <v>3193.3358276693352</v>
      </c>
      <c r="W49" s="185">
        <f t="shared" si="21"/>
        <v>638.66716553386709</v>
      </c>
      <c r="X49" s="182">
        <f t="shared" si="25"/>
        <v>22</v>
      </c>
      <c r="Y49" s="571"/>
      <c r="Z49" s="188">
        <v>5</v>
      </c>
      <c r="AA49" s="188">
        <v>3192.2558276693353</v>
      </c>
      <c r="AB49" s="185">
        <f t="shared" si="26"/>
        <v>638.45116553386708</v>
      </c>
      <c r="AC49" s="182">
        <f t="shared" si="27"/>
        <v>22</v>
      </c>
      <c r="AD49" s="571"/>
      <c r="AE49" s="188">
        <v>5</v>
      </c>
      <c r="AF49" s="188">
        <v>3192.9758276693365</v>
      </c>
      <c r="AG49" s="185">
        <f t="shared" si="28"/>
        <v>638.59516553386732</v>
      </c>
      <c r="AH49" s="182">
        <f t="shared" si="29"/>
        <v>23</v>
      </c>
      <c r="AI49" s="571"/>
      <c r="AJ49" s="188">
        <v>5</v>
      </c>
      <c r="AK49" s="188">
        <v>3192.6158276693363</v>
      </c>
      <c r="AL49" s="185">
        <f t="shared" si="30"/>
        <v>638.52316553386731</v>
      </c>
      <c r="AM49" s="182">
        <f t="shared" si="31"/>
        <v>23</v>
      </c>
      <c r="AN49" s="571"/>
      <c r="AO49" s="188">
        <v>5</v>
      </c>
      <c r="AP49" s="188">
        <v>3192.9758276693365</v>
      </c>
      <c r="AQ49" s="185">
        <f t="shared" si="32"/>
        <v>638.59516553386732</v>
      </c>
      <c r="AR49" s="182">
        <f t="shared" si="33"/>
        <v>23</v>
      </c>
      <c r="AS49" s="571"/>
      <c r="AT49" s="188">
        <v>5</v>
      </c>
      <c r="AU49" s="188">
        <v>3192.9758276693365</v>
      </c>
      <c r="AV49" s="185">
        <f t="shared" si="34"/>
        <v>638.59516553386732</v>
      </c>
      <c r="AW49" s="182">
        <f t="shared" si="35"/>
        <v>23</v>
      </c>
      <c r="AX49" s="571"/>
    </row>
    <row r="50" spans="2:50" ht="14.25" customHeight="1">
      <c r="B50" s="572"/>
      <c r="C50" s="180">
        <v>4</v>
      </c>
      <c r="D50" s="183" t="s">
        <v>229</v>
      </c>
      <c r="E50" s="184">
        <v>5</v>
      </c>
      <c r="F50" s="180">
        <v>3300</v>
      </c>
      <c r="G50" s="185">
        <f t="shared" si="22"/>
        <v>660</v>
      </c>
      <c r="H50" s="573"/>
      <c r="I50" s="186">
        <f t="shared" si="23"/>
        <v>5</v>
      </c>
      <c r="J50" s="186">
        <f t="shared" si="23"/>
        <v>2980.556518315886</v>
      </c>
      <c r="K50" s="187">
        <f t="shared" si="23"/>
        <v>596.11130366317718</v>
      </c>
      <c r="L50" s="574"/>
      <c r="M50" s="186">
        <f>RANK(K50, K$47:$K$81)</f>
        <v>28</v>
      </c>
      <c r="N50" s="585"/>
      <c r="O50" s="575"/>
      <c r="P50" s="188">
        <v>5</v>
      </c>
      <c r="Q50" s="188">
        <v>2979.4250897444572</v>
      </c>
      <c r="R50" s="185">
        <f t="shared" si="20"/>
        <v>595.88501794889146</v>
      </c>
      <c r="S50" s="182">
        <f t="shared" si="24"/>
        <v>28</v>
      </c>
      <c r="T50" s="571"/>
      <c r="U50" s="188">
        <v>5</v>
      </c>
      <c r="V50" s="188">
        <v>2979.4250897444576</v>
      </c>
      <c r="W50" s="185">
        <f t="shared" si="21"/>
        <v>595.88501794889157</v>
      </c>
      <c r="X50" s="182">
        <f t="shared" si="25"/>
        <v>28</v>
      </c>
      <c r="Y50" s="571"/>
      <c r="Z50" s="188">
        <v>5</v>
      </c>
      <c r="AA50" s="188">
        <v>2980.7450897444578</v>
      </c>
      <c r="AB50" s="185">
        <f t="shared" si="26"/>
        <v>596.14901794889158</v>
      </c>
      <c r="AC50" s="182">
        <f t="shared" si="27"/>
        <v>28</v>
      </c>
      <c r="AD50" s="571"/>
      <c r="AE50" s="188">
        <v>5</v>
      </c>
      <c r="AF50" s="188">
        <v>2980.7450897444573</v>
      </c>
      <c r="AG50" s="185">
        <f t="shared" si="28"/>
        <v>596.14901794889147</v>
      </c>
      <c r="AH50" s="182">
        <f t="shared" si="29"/>
        <v>28</v>
      </c>
      <c r="AI50" s="571"/>
      <c r="AJ50" s="188">
        <v>5</v>
      </c>
      <c r="AK50" s="188">
        <v>2982.0650897444571</v>
      </c>
      <c r="AL50" s="185">
        <f t="shared" si="30"/>
        <v>596.41301794889137</v>
      </c>
      <c r="AM50" s="182">
        <f t="shared" si="31"/>
        <v>28</v>
      </c>
      <c r="AN50" s="571"/>
      <c r="AO50" s="188">
        <v>5</v>
      </c>
      <c r="AP50" s="188">
        <v>2981.4050897444567</v>
      </c>
      <c r="AQ50" s="185">
        <f t="shared" si="32"/>
        <v>596.2810179488913</v>
      </c>
      <c r="AR50" s="182">
        <f t="shared" si="33"/>
        <v>28</v>
      </c>
      <c r="AS50" s="571"/>
      <c r="AT50" s="188">
        <v>5</v>
      </c>
      <c r="AU50" s="188">
        <v>2980.085089744457</v>
      </c>
      <c r="AV50" s="185">
        <f t="shared" si="34"/>
        <v>596.01701794889141</v>
      </c>
      <c r="AW50" s="182">
        <f t="shared" si="35"/>
        <v>29</v>
      </c>
      <c r="AX50" s="571"/>
    </row>
    <row r="51" spans="2:50" ht="14.25" customHeight="1">
      <c r="B51" s="572"/>
      <c r="C51" s="180">
        <v>5</v>
      </c>
      <c r="D51" s="183" t="s">
        <v>389</v>
      </c>
      <c r="E51" s="184">
        <v>3</v>
      </c>
      <c r="F51" s="180">
        <v>3600</v>
      </c>
      <c r="G51" s="185">
        <f t="shared" si="22"/>
        <v>1200</v>
      </c>
      <c r="H51" s="573"/>
      <c r="I51" s="186">
        <f t="shared" si="23"/>
        <v>3</v>
      </c>
      <c r="J51" s="186">
        <f t="shared" si="23"/>
        <v>3192.8211435888584</v>
      </c>
      <c r="K51" s="187">
        <f t="shared" si="23"/>
        <v>1064.2737145296194</v>
      </c>
      <c r="L51" s="574"/>
      <c r="M51" s="186">
        <f>RANK(K51, K$47:$K$81)</f>
        <v>6</v>
      </c>
      <c r="N51" s="585"/>
      <c r="O51" s="575"/>
      <c r="P51" s="188">
        <v>3</v>
      </c>
      <c r="Q51" s="188">
        <v>3191.9982864460012</v>
      </c>
      <c r="R51" s="185">
        <f t="shared" si="20"/>
        <v>1063.9994288153337</v>
      </c>
      <c r="S51" s="182">
        <f t="shared" si="24"/>
        <v>6</v>
      </c>
      <c r="T51" s="571"/>
      <c r="U51" s="188">
        <v>3</v>
      </c>
      <c r="V51" s="188">
        <v>3193.0782864460016</v>
      </c>
      <c r="W51" s="185">
        <f t="shared" si="21"/>
        <v>1064.3594288153338</v>
      </c>
      <c r="X51" s="182">
        <f t="shared" si="25"/>
        <v>5</v>
      </c>
      <c r="Y51" s="571"/>
      <c r="Z51" s="188">
        <v>3</v>
      </c>
      <c r="AA51" s="188">
        <v>3193.4382864460013</v>
      </c>
      <c r="AB51" s="185">
        <f t="shared" si="26"/>
        <v>1064.4794288153337</v>
      </c>
      <c r="AC51" s="182">
        <f t="shared" si="27"/>
        <v>5</v>
      </c>
      <c r="AD51" s="571"/>
      <c r="AE51" s="188">
        <v>3</v>
      </c>
      <c r="AF51" s="188">
        <v>3192.3582864460013</v>
      </c>
      <c r="AG51" s="185">
        <f t="shared" si="28"/>
        <v>1064.1194288153338</v>
      </c>
      <c r="AH51" s="182">
        <f t="shared" si="29"/>
        <v>6</v>
      </c>
      <c r="AI51" s="571"/>
      <c r="AJ51" s="188">
        <v>3</v>
      </c>
      <c r="AK51" s="188">
        <v>3193.4382864460013</v>
      </c>
      <c r="AL51" s="185">
        <f t="shared" si="30"/>
        <v>1064.4794288153337</v>
      </c>
      <c r="AM51" s="182">
        <f t="shared" si="31"/>
        <v>5</v>
      </c>
      <c r="AN51" s="571"/>
      <c r="AO51" s="188">
        <v>3</v>
      </c>
      <c r="AP51" s="188">
        <v>3192.3582864460009</v>
      </c>
      <c r="AQ51" s="185">
        <f t="shared" si="32"/>
        <v>1064.1194288153335</v>
      </c>
      <c r="AR51" s="182">
        <f t="shared" si="33"/>
        <v>6</v>
      </c>
      <c r="AS51" s="571"/>
      <c r="AT51" s="188">
        <v>3</v>
      </c>
      <c r="AU51" s="188">
        <v>3193.0782864460007</v>
      </c>
      <c r="AV51" s="185">
        <f t="shared" si="34"/>
        <v>1064.3594288153336</v>
      </c>
      <c r="AW51" s="182">
        <f t="shared" si="35"/>
        <v>6</v>
      </c>
      <c r="AX51" s="571"/>
    </row>
    <row r="52" spans="2:50" ht="14.25" customHeight="1">
      <c r="B52" s="572"/>
      <c r="C52" s="180">
        <v>6</v>
      </c>
      <c r="D52" s="183" t="s">
        <v>339</v>
      </c>
      <c r="E52" s="184">
        <v>4</v>
      </c>
      <c r="F52" s="180">
        <v>3600</v>
      </c>
      <c r="G52" s="185">
        <f t="shared" si="22"/>
        <v>900</v>
      </c>
      <c r="H52" s="573"/>
      <c r="I52" s="186">
        <f t="shared" si="23"/>
        <v>4</v>
      </c>
      <c r="J52" s="186">
        <f t="shared" si="23"/>
        <v>3192.1200000000026</v>
      </c>
      <c r="K52" s="187">
        <f t="shared" si="23"/>
        <v>798.03000000000065</v>
      </c>
      <c r="L52" s="574"/>
      <c r="M52" s="186">
        <f>RANK(K52, K$47:$K$81)</f>
        <v>17</v>
      </c>
      <c r="N52" s="585"/>
      <c r="O52" s="575"/>
      <c r="P52" s="188">
        <v>4</v>
      </c>
      <c r="Q52" s="188">
        <v>3190.3200000000029</v>
      </c>
      <c r="R52" s="185">
        <f t="shared" si="20"/>
        <v>797.58000000000072</v>
      </c>
      <c r="S52" s="182">
        <f t="shared" si="24"/>
        <v>18</v>
      </c>
      <c r="T52" s="571"/>
      <c r="U52" s="188">
        <v>4</v>
      </c>
      <c r="V52" s="188">
        <v>3190.3200000000033</v>
      </c>
      <c r="W52" s="185">
        <f t="shared" si="21"/>
        <v>797.58000000000084</v>
      </c>
      <c r="X52" s="182">
        <f t="shared" si="25"/>
        <v>17</v>
      </c>
      <c r="Y52" s="571"/>
      <c r="Z52" s="188">
        <v>4</v>
      </c>
      <c r="AA52" s="188">
        <v>3191.4000000000028</v>
      </c>
      <c r="AB52" s="185">
        <f t="shared" si="26"/>
        <v>797.8500000000007</v>
      </c>
      <c r="AC52" s="182">
        <f t="shared" si="27"/>
        <v>17</v>
      </c>
      <c r="AD52" s="571"/>
      <c r="AE52" s="188">
        <v>4</v>
      </c>
      <c r="AF52" s="188">
        <v>3193.2000000000021</v>
      </c>
      <c r="AG52" s="185">
        <f t="shared" si="28"/>
        <v>798.30000000000052</v>
      </c>
      <c r="AH52" s="182">
        <f t="shared" si="29"/>
        <v>17</v>
      </c>
      <c r="AI52" s="571"/>
      <c r="AJ52" s="188">
        <v>4</v>
      </c>
      <c r="AK52" s="188">
        <v>3193.9200000000019</v>
      </c>
      <c r="AL52" s="185">
        <f t="shared" si="30"/>
        <v>798.48000000000047</v>
      </c>
      <c r="AM52" s="182">
        <f t="shared" si="31"/>
        <v>16</v>
      </c>
      <c r="AN52" s="571"/>
      <c r="AO52" s="188">
        <v>4</v>
      </c>
      <c r="AP52" s="188">
        <v>3193.2000000000025</v>
      </c>
      <c r="AQ52" s="185">
        <f t="shared" si="32"/>
        <v>798.30000000000064</v>
      </c>
      <c r="AR52" s="182">
        <f t="shared" si="33"/>
        <v>16</v>
      </c>
      <c r="AS52" s="571"/>
      <c r="AT52" s="188">
        <v>4</v>
      </c>
      <c r="AU52" s="188">
        <v>3192.4800000000018</v>
      </c>
      <c r="AV52" s="185">
        <f t="shared" si="34"/>
        <v>798.12000000000046</v>
      </c>
      <c r="AW52" s="182">
        <f t="shared" si="35"/>
        <v>17</v>
      </c>
      <c r="AX52" s="571"/>
    </row>
    <row r="53" spans="2:50" ht="14.25" customHeight="1">
      <c r="B53" s="572"/>
      <c r="C53" s="180">
        <v>7</v>
      </c>
      <c r="D53" s="183" t="s">
        <v>391</v>
      </c>
      <c r="E53" s="184">
        <v>3</v>
      </c>
      <c r="F53" s="180">
        <v>3600</v>
      </c>
      <c r="G53" s="185">
        <f t="shared" si="22"/>
        <v>1200</v>
      </c>
      <c r="H53" s="573"/>
      <c r="I53" s="186">
        <f t="shared" si="23"/>
        <v>3</v>
      </c>
      <c r="J53" s="186">
        <f t="shared" si="23"/>
        <v>3194.751621642888</v>
      </c>
      <c r="K53" s="187">
        <f t="shared" si="23"/>
        <v>1064.917207214296</v>
      </c>
      <c r="L53" s="574"/>
      <c r="M53" s="186">
        <f>RANK(K53, K$47:$K$81)</f>
        <v>3</v>
      </c>
      <c r="N53" s="585"/>
      <c r="O53" s="575"/>
      <c r="P53" s="188">
        <v>3</v>
      </c>
      <c r="Q53" s="188">
        <v>3194.5459073571728</v>
      </c>
      <c r="R53" s="185">
        <f t="shared" si="20"/>
        <v>1064.8486357857244</v>
      </c>
      <c r="S53" s="182">
        <f t="shared" si="24"/>
        <v>3</v>
      </c>
      <c r="T53" s="571"/>
      <c r="U53" s="188">
        <v>3</v>
      </c>
      <c r="V53" s="188">
        <v>3195.2659073571735</v>
      </c>
      <c r="W53" s="185">
        <f t="shared" si="21"/>
        <v>1065.0886357857246</v>
      </c>
      <c r="X53" s="182">
        <f t="shared" si="25"/>
        <v>4</v>
      </c>
      <c r="Y53" s="571"/>
      <c r="Z53" s="188">
        <v>3</v>
      </c>
      <c r="AA53" s="188">
        <v>3195.6259073571737</v>
      </c>
      <c r="AB53" s="185">
        <f t="shared" si="26"/>
        <v>1065.2086357857245</v>
      </c>
      <c r="AC53" s="182">
        <f t="shared" si="27"/>
        <v>2</v>
      </c>
      <c r="AD53" s="571"/>
      <c r="AE53" s="188">
        <v>3</v>
      </c>
      <c r="AF53" s="188">
        <v>3195.265907357174</v>
      </c>
      <c r="AG53" s="185">
        <f t="shared" si="28"/>
        <v>1065.0886357857246</v>
      </c>
      <c r="AH53" s="182">
        <f t="shared" si="29"/>
        <v>3</v>
      </c>
      <c r="AI53" s="571"/>
      <c r="AJ53" s="188">
        <v>3</v>
      </c>
      <c r="AK53" s="188">
        <v>3194.1859073571736</v>
      </c>
      <c r="AL53" s="185">
        <f t="shared" si="30"/>
        <v>1064.7286357857245</v>
      </c>
      <c r="AM53" s="182">
        <f t="shared" si="31"/>
        <v>4</v>
      </c>
      <c r="AN53" s="571"/>
      <c r="AO53" s="188">
        <v>3</v>
      </c>
      <c r="AP53" s="188">
        <v>3193.8259073571735</v>
      </c>
      <c r="AQ53" s="185">
        <f t="shared" si="32"/>
        <v>1064.6086357857246</v>
      </c>
      <c r="AR53" s="182">
        <f t="shared" si="33"/>
        <v>4</v>
      </c>
      <c r="AS53" s="571"/>
      <c r="AT53" s="188">
        <v>3</v>
      </c>
      <c r="AU53" s="188">
        <v>3194.5459073571733</v>
      </c>
      <c r="AV53" s="185">
        <f t="shared" si="34"/>
        <v>1064.8486357857244</v>
      </c>
      <c r="AW53" s="182">
        <f t="shared" si="35"/>
        <v>4</v>
      </c>
      <c r="AX53" s="571"/>
    </row>
    <row r="54" spans="2:50" ht="14.25" customHeight="1">
      <c r="B54" s="572"/>
      <c r="C54" s="180">
        <v>8</v>
      </c>
      <c r="D54" s="183" t="s">
        <v>390</v>
      </c>
      <c r="E54" s="184">
        <v>5</v>
      </c>
      <c r="F54" s="180">
        <v>3600</v>
      </c>
      <c r="G54" s="185">
        <f t="shared" si="22"/>
        <v>720</v>
      </c>
      <c r="H54" s="573"/>
      <c r="I54" s="186">
        <f t="shared" si="23"/>
        <v>5</v>
      </c>
      <c r="J54" s="186">
        <f t="shared" si="23"/>
        <v>3186.0334427141456</v>
      </c>
      <c r="K54" s="187">
        <f t="shared" si="23"/>
        <v>637.20668854282917</v>
      </c>
      <c r="L54" s="574"/>
      <c r="M54" s="186">
        <f>RANK(K54, K$47:$K$81)</f>
        <v>27</v>
      </c>
      <c r="N54" s="585"/>
      <c r="O54" s="575"/>
      <c r="P54" s="188">
        <v>5</v>
      </c>
      <c r="Q54" s="188">
        <v>3187.0620141427166</v>
      </c>
      <c r="R54" s="185">
        <f t="shared" si="20"/>
        <v>637.41240282854335</v>
      </c>
      <c r="S54" s="182">
        <f t="shared" si="24"/>
        <v>25</v>
      </c>
      <c r="T54" s="571"/>
      <c r="U54" s="188">
        <v>5</v>
      </c>
      <c r="V54" s="188">
        <v>3188.1420141427166</v>
      </c>
      <c r="W54" s="185">
        <f t="shared" si="21"/>
        <v>637.62840282854336</v>
      </c>
      <c r="X54" s="182">
        <f t="shared" si="25"/>
        <v>27</v>
      </c>
      <c r="Y54" s="571"/>
      <c r="Z54" s="188">
        <v>5</v>
      </c>
      <c r="AA54" s="188">
        <v>3186.3420141427168</v>
      </c>
      <c r="AB54" s="185">
        <f t="shared" si="26"/>
        <v>637.26840282854334</v>
      </c>
      <c r="AC54" s="182">
        <f t="shared" si="27"/>
        <v>27</v>
      </c>
      <c r="AD54" s="571"/>
      <c r="AE54" s="188">
        <v>5</v>
      </c>
      <c r="AF54" s="188">
        <v>3185.622014142717</v>
      </c>
      <c r="AG54" s="185">
        <f t="shared" si="28"/>
        <v>637.12440282854345</v>
      </c>
      <c r="AH54" s="182">
        <f t="shared" si="29"/>
        <v>27</v>
      </c>
      <c r="AI54" s="571"/>
      <c r="AJ54" s="188">
        <v>5</v>
      </c>
      <c r="AK54" s="188">
        <v>3184.9020141427168</v>
      </c>
      <c r="AL54" s="185">
        <f t="shared" si="30"/>
        <v>636.98040282854333</v>
      </c>
      <c r="AM54" s="182">
        <f t="shared" si="31"/>
        <v>27</v>
      </c>
      <c r="AN54" s="571"/>
      <c r="AO54" s="188">
        <v>5</v>
      </c>
      <c r="AP54" s="188">
        <v>3185.2620141427169</v>
      </c>
      <c r="AQ54" s="185">
        <f t="shared" si="32"/>
        <v>637.05240282854334</v>
      </c>
      <c r="AR54" s="182">
        <f t="shared" si="33"/>
        <v>27</v>
      </c>
      <c r="AS54" s="571"/>
      <c r="AT54" s="188">
        <v>5</v>
      </c>
      <c r="AU54" s="188">
        <v>3184.9020141427163</v>
      </c>
      <c r="AV54" s="185">
        <f t="shared" si="34"/>
        <v>636.98040282854322</v>
      </c>
      <c r="AW54" s="182">
        <f t="shared" si="35"/>
        <v>27</v>
      </c>
      <c r="AX54" s="571"/>
    </row>
    <row r="55" spans="2:50" ht="14.25" customHeight="1">
      <c r="B55" s="572"/>
      <c r="C55" s="180">
        <v>9</v>
      </c>
      <c r="D55" s="183" t="s">
        <v>388</v>
      </c>
      <c r="E55" s="184">
        <v>5</v>
      </c>
      <c r="F55" s="180">
        <v>3600</v>
      </c>
      <c r="G55" s="185">
        <f t="shared" si="22"/>
        <v>720</v>
      </c>
      <c r="H55" s="573"/>
      <c r="I55" s="186">
        <f t="shared" si="23"/>
        <v>5</v>
      </c>
      <c r="J55" s="186">
        <f t="shared" si="23"/>
        <v>3189.6233287546229</v>
      </c>
      <c r="K55" s="187">
        <f t="shared" si="23"/>
        <v>637.92466575092465</v>
      </c>
      <c r="L55" s="574"/>
      <c r="M55" s="186">
        <f>RANK(K55, K$47:$K$81)</f>
        <v>26</v>
      </c>
      <c r="N55" s="585"/>
      <c r="O55" s="575"/>
      <c r="P55" s="188">
        <v>5</v>
      </c>
      <c r="Q55" s="188">
        <v>3186.7433287546223</v>
      </c>
      <c r="R55" s="185">
        <f t="shared" si="20"/>
        <v>637.34866575092451</v>
      </c>
      <c r="S55" s="182">
        <f t="shared" si="24"/>
        <v>26</v>
      </c>
      <c r="T55" s="571"/>
      <c r="U55" s="188">
        <v>5</v>
      </c>
      <c r="V55" s="188">
        <v>3188.1833287546224</v>
      </c>
      <c r="W55" s="185">
        <f t="shared" si="21"/>
        <v>637.63666575092452</v>
      </c>
      <c r="X55" s="182">
        <f t="shared" si="25"/>
        <v>26</v>
      </c>
      <c r="Y55" s="571"/>
      <c r="Z55" s="188">
        <v>5</v>
      </c>
      <c r="AA55" s="188">
        <v>3189.6233287546224</v>
      </c>
      <c r="AB55" s="185">
        <f t="shared" si="26"/>
        <v>637.92466575092453</v>
      </c>
      <c r="AC55" s="182">
        <f t="shared" si="27"/>
        <v>26</v>
      </c>
      <c r="AD55" s="571"/>
      <c r="AE55" s="188">
        <v>5</v>
      </c>
      <c r="AF55" s="188">
        <v>3189.9833287546226</v>
      </c>
      <c r="AG55" s="185">
        <f t="shared" si="28"/>
        <v>637.99666575092454</v>
      </c>
      <c r="AH55" s="182">
        <f t="shared" si="29"/>
        <v>26</v>
      </c>
      <c r="AI55" s="571"/>
      <c r="AJ55" s="188">
        <v>5</v>
      </c>
      <c r="AK55" s="188">
        <v>3191.0633287546229</v>
      </c>
      <c r="AL55" s="185">
        <f t="shared" si="30"/>
        <v>638.21266575092454</v>
      </c>
      <c r="AM55" s="182">
        <f t="shared" si="31"/>
        <v>24</v>
      </c>
      <c r="AN55" s="571"/>
      <c r="AO55" s="188">
        <v>5</v>
      </c>
      <c r="AP55" s="188">
        <v>3191.7833287546227</v>
      </c>
      <c r="AQ55" s="185">
        <f t="shared" si="32"/>
        <v>638.35666575092455</v>
      </c>
      <c r="AR55" s="182">
        <f t="shared" si="33"/>
        <v>24</v>
      </c>
      <c r="AS55" s="571"/>
      <c r="AT55" s="188">
        <v>5</v>
      </c>
      <c r="AU55" s="188">
        <v>3189.9833287546235</v>
      </c>
      <c r="AV55" s="185">
        <f t="shared" si="34"/>
        <v>637.99666575092465</v>
      </c>
      <c r="AW55" s="182">
        <f t="shared" si="35"/>
        <v>26</v>
      </c>
      <c r="AX55" s="571"/>
    </row>
    <row r="56" spans="2:50" ht="14.25" customHeight="1">
      <c r="B56" s="572"/>
      <c r="C56" s="180">
        <v>10</v>
      </c>
      <c r="D56" s="183" t="s">
        <v>228</v>
      </c>
      <c r="E56" s="184">
        <v>3</v>
      </c>
      <c r="F56" s="180">
        <v>3000</v>
      </c>
      <c r="G56" s="185">
        <f t="shared" si="22"/>
        <v>1000</v>
      </c>
      <c r="H56" s="573"/>
      <c r="I56" s="186">
        <f t="shared" si="23"/>
        <v>3</v>
      </c>
      <c r="J56" s="186">
        <f t="shared" si="23"/>
        <v>2713.952890897333</v>
      </c>
      <c r="K56" s="187">
        <f t="shared" si="23"/>
        <v>904.65096363244436</v>
      </c>
      <c r="L56" s="574"/>
      <c r="M56" s="186">
        <f>RANK(K56, K$47:$K$81)</f>
        <v>14</v>
      </c>
      <c r="N56" s="585"/>
      <c r="O56" s="575"/>
      <c r="P56" s="188">
        <v>3</v>
      </c>
      <c r="Q56" s="188">
        <v>2712.410033754476</v>
      </c>
      <c r="R56" s="185">
        <f t="shared" si="20"/>
        <v>904.13667791815863</v>
      </c>
      <c r="S56" s="182">
        <f t="shared" si="24"/>
        <v>15</v>
      </c>
      <c r="T56" s="571"/>
      <c r="U56" s="188">
        <v>3</v>
      </c>
      <c r="V56" s="188">
        <v>2713.3100337544761</v>
      </c>
      <c r="W56" s="185">
        <f t="shared" si="21"/>
        <v>904.43667791815869</v>
      </c>
      <c r="X56" s="182">
        <f t="shared" si="25"/>
        <v>15</v>
      </c>
      <c r="Y56" s="571"/>
      <c r="Z56" s="188">
        <v>3</v>
      </c>
      <c r="AA56" s="188">
        <v>2713.6100337544763</v>
      </c>
      <c r="AB56" s="185">
        <f t="shared" si="26"/>
        <v>904.53667791815872</v>
      </c>
      <c r="AC56" s="182">
        <f t="shared" si="27"/>
        <v>14</v>
      </c>
      <c r="AD56" s="571"/>
      <c r="AE56" s="188">
        <v>3</v>
      </c>
      <c r="AF56" s="188">
        <v>2713.6100337544763</v>
      </c>
      <c r="AG56" s="185">
        <f t="shared" si="28"/>
        <v>904.53667791815872</v>
      </c>
      <c r="AH56" s="182">
        <f t="shared" si="29"/>
        <v>14</v>
      </c>
      <c r="AI56" s="571"/>
      <c r="AJ56" s="188">
        <v>3</v>
      </c>
      <c r="AK56" s="188">
        <v>2714.2100337544762</v>
      </c>
      <c r="AL56" s="185">
        <f t="shared" si="30"/>
        <v>904.73667791815876</v>
      </c>
      <c r="AM56" s="182">
        <f t="shared" si="31"/>
        <v>14</v>
      </c>
      <c r="AN56" s="571"/>
      <c r="AO56" s="188">
        <v>3</v>
      </c>
      <c r="AP56" s="188">
        <v>2714.5100337544764</v>
      </c>
      <c r="AQ56" s="185">
        <f t="shared" si="32"/>
        <v>904.83667791815878</v>
      </c>
      <c r="AR56" s="182">
        <f t="shared" si="33"/>
        <v>14</v>
      </c>
      <c r="AS56" s="571"/>
      <c r="AT56" s="188">
        <v>3</v>
      </c>
      <c r="AU56" s="188">
        <v>2716.0100337544773</v>
      </c>
      <c r="AV56" s="185">
        <f t="shared" si="34"/>
        <v>905.33667791815913</v>
      </c>
      <c r="AW56" s="182">
        <f t="shared" si="35"/>
        <v>13</v>
      </c>
      <c r="AX56" s="571"/>
    </row>
    <row r="57" spans="2:50" ht="14.25" customHeight="1">
      <c r="B57" s="572"/>
      <c r="C57" s="180">
        <v>11</v>
      </c>
      <c r="D57" s="183" t="s">
        <v>441</v>
      </c>
      <c r="E57" s="184">
        <v>12</v>
      </c>
      <c r="F57" s="180">
        <v>3600</v>
      </c>
      <c r="G57" s="185">
        <f t="shared" si="22"/>
        <v>300</v>
      </c>
      <c r="H57" s="573"/>
      <c r="I57" s="186">
        <f t="shared" si="23"/>
        <v>12</v>
      </c>
      <c r="J57" s="186">
        <f t="shared" si="23"/>
        <v>3111.9063333133008</v>
      </c>
      <c r="K57" s="187">
        <f t="shared" si="23"/>
        <v>259.3255277761084</v>
      </c>
      <c r="L57" s="574"/>
      <c r="M57" s="186">
        <f>RANK(K57, K$47:$K$81)</f>
        <v>32</v>
      </c>
      <c r="N57" s="585"/>
      <c r="O57" s="575"/>
      <c r="P57" s="188">
        <v>12</v>
      </c>
      <c r="Q57" s="188">
        <v>3114.3234761704439</v>
      </c>
      <c r="R57" s="185">
        <f t="shared" si="20"/>
        <v>259.52695634753701</v>
      </c>
      <c r="S57" s="182">
        <f t="shared" si="24"/>
        <v>31</v>
      </c>
      <c r="T57" s="571"/>
      <c r="U57" s="188">
        <v>12</v>
      </c>
      <c r="V57" s="188">
        <v>3112.8834761704443</v>
      </c>
      <c r="W57" s="185">
        <f t="shared" si="21"/>
        <v>259.406956347537</v>
      </c>
      <c r="X57" s="182">
        <f t="shared" si="25"/>
        <v>31</v>
      </c>
      <c r="Y57" s="571"/>
      <c r="Z57" s="188">
        <v>12</v>
      </c>
      <c r="AA57" s="188">
        <v>3111.0834761704436</v>
      </c>
      <c r="AB57" s="185">
        <f t="shared" si="26"/>
        <v>259.25695634753697</v>
      </c>
      <c r="AC57" s="182">
        <f t="shared" si="27"/>
        <v>32</v>
      </c>
      <c r="AD57" s="571"/>
      <c r="AE57" s="188">
        <v>12</v>
      </c>
      <c r="AF57" s="188">
        <v>3111.0834761704436</v>
      </c>
      <c r="AG57" s="185">
        <f t="shared" si="28"/>
        <v>259.25695634753697</v>
      </c>
      <c r="AH57" s="182">
        <f t="shared" si="29"/>
        <v>32</v>
      </c>
      <c r="AI57" s="571"/>
      <c r="AJ57" s="188">
        <v>12</v>
      </c>
      <c r="AK57" s="188">
        <v>3110.0034761704433</v>
      </c>
      <c r="AL57" s="185">
        <f t="shared" si="30"/>
        <v>259.16695634753694</v>
      </c>
      <c r="AM57" s="182">
        <f t="shared" si="31"/>
        <v>32</v>
      </c>
      <c r="AN57" s="571"/>
      <c r="AO57" s="188">
        <v>12</v>
      </c>
      <c r="AP57" s="188">
        <v>3111.803476170443</v>
      </c>
      <c r="AQ57" s="185">
        <f t="shared" si="32"/>
        <v>259.31695634753692</v>
      </c>
      <c r="AR57" s="182">
        <f t="shared" si="33"/>
        <v>32</v>
      </c>
      <c r="AS57" s="571"/>
      <c r="AT57" s="188">
        <v>12</v>
      </c>
      <c r="AU57" s="188">
        <v>3112.1634761704431</v>
      </c>
      <c r="AV57" s="185">
        <f t="shared" si="34"/>
        <v>259.34695634753695</v>
      </c>
      <c r="AW57" s="182">
        <f t="shared" si="35"/>
        <v>32</v>
      </c>
      <c r="AX57" s="571"/>
    </row>
    <row r="58" spans="2:50" ht="14.25" customHeight="1">
      <c r="B58" s="572"/>
      <c r="C58" s="180">
        <v>12</v>
      </c>
      <c r="D58" s="183" t="s">
        <v>459</v>
      </c>
      <c r="E58" s="184">
        <v>3</v>
      </c>
      <c r="F58" s="180">
        <v>3300</v>
      </c>
      <c r="G58" s="185">
        <f t="shared" si="22"/>
        <v>1100</v>
      </c>
      <c r="H58" s="573"/>
      <c r="I58" s="186">
        <f t="shared" si="23"/>
        <v>3</v>
      </c>
      <c r="J58" s="186">
        <f t="shared" si="23"/>
        <v>2986.604281197714</v>
      </c>
      <c r="K58" s="187">
        <f t="shared" si="23"/>
        <v>995.53476039923794</v>
      </c>
      <c r="L58" s="574"/>
      <c r="M58" s="186">
        <f>RANK(K58, K$47:$K$81)</f>
        <v>11</v>
      </c>
      <c r="N58" s="585"/>
      <c r="O58" s="575"/>
      <c r="P58" s="188">
        <v>3</v>
      </c>
      <c r="Q58" s="188">
        <v>2986.2742811977141</v>
      </c>
      <c r="R58" s="185">
        <f t="shared" si="20"/>
        <v>995.42476039923804</v>
      </c>
      <c r="S58" s="182">
        <f t="shared" si="24"/>
        <v>11</v>
      </c>
      <c r="T58" s="571"/>
      <c r="U58" s="188">
        <v>3</v>
      </c>
      <c r="V58" s="188">
        <v>2985.6142811977138</v>
      </c>
      <c r="W58" s="185">
        <f t="shared" si="21"/>
        <v>995.2047603992379</v>
      </c>
      <c r="X58" s="182">
        <f t="shared" si="25"/>
        <v>11</v>
      </c>
      <c r="Y58" s="571"/>
      <c r="Z58" s="188">
        <v>3</v>
      </c>
      <c r="AA58" s="188">
        <v>2984.954281197714</v>
      </c>
      <c r="AB58" s="185">
        <f t="shared" si="26"/>
        <v>994.98476039923798</v>
      </c>
      <c r="AC58" s="182">
        <f t="shared" si="27"/>
        <v>11</v>
      </c>
      <c r="AD58" s="571"/>
      <c r="AE58" s="188">
        <v>3</v>
      </c>
      <c r="AF58" s="188">
        <v>2986.2742811977141</v>
      </c>
      <c r="AG58" s="185">
        <f t="shared" si="28"/>
        <v>995.42476039923804</v>
      </c>
      <c r="AH58" s="182">
        <f t="shared" si="29"/>
        <v>11</v>
      </c>
      <c r="AI58" s="571"/>
      <c r="AJ58" s="188">
        <v>3</v>
      </c>
      <c r="AK58" s="188">
        <v>2987.2642811977144</v>
      </c>
      <c r="AL58" s="185">
        <f t="shared" si="30"/>
        <v>995.75476039923808</v>
      </c>
      <c r="AM58" s="182">
        <f t="shared" si="31"/>
        <v>11</v>
      </c>
      <c r="AN58" s="571"/>
      <c r="AO58" s="188">
        <v>3</v>
      </c>
      <c r="AP58" s="188">
        <v>2987.2642811977144</v>
      </c>
      <c r="AQ58" s="185">
        <f t="shared" si="32"/>
        <v>995.75476039923808</v>
      </c>
      <c r="AR58" s="182">
        <f t="shared" si="33"/>
        <v>11</v>
      </c>
      <c r="AS58" s="571"/>
      <c r="AT58" s="188">
        <v>3</v>
      </c>
      <c r="AU58" s="188">
        <v>2988.5842811977136</v>
      </c>
      <c r="AV58" s="185">
        <f t="shared" si="34"/>
        <v>996.19476039923791</v>
      </c>
      <c r="AW58" s="182">
        <f t="shared" si="35"/>
        <v>11</v>
      </c>
      <c r="AX58" s="571"/>
    </row>
    <row r="59" spans="2:50" ht="14.25" customHeight="1">
      <c r="B59" s="572"/>
      <c r="C59" s="180">
        <v>13</v>
      </c>
      <c r="D59" s="183" t="s">
        <v>542</v>
      </c>
      <c r="E59" s="184">
        <v>3</v>
      </c>
      <c r="F59" s="180">
        <v>3600</v>
      </c>
      <c r="G59" s="185">
        <f t="shared" si="22"/>
        <v>1200</v>
      </c>
      <c r="H59" s="573"/>
      <c r="I59" s="186">
        <f t="shared" si="23"/>
        <v>3</v>
      </c>
      <c r="J59" s="186">
        <f t="shared" si="23"/>
        <v>3189.059396823548</v>
      </c>
      <c r="K59" s="187">
        <f t="shared" si="23"/>
        <v>1063.0197989411829</v>
      </c>
      <c r="L59" s="574"/>
      <c r="M59" s="186">
        <f>RANK(K59, K$47:$K$81)</f>
        <v>7</v>
      </c>
      <c r="N59" s="585"/>
      <c r="O59" s="575"/>
      <c r="P59" s="188">
        <v>3</v>
      </c>
      <c r="Q59" s="188">
        <v>3184.8024020844032</v>
      </c>
      <c r="R59" s="185">
        <f t="shared" si="20"/>
        <v>1061.6008006948011</v>
      </c>
      <c r="S59" s="182">
        <f t="shared" si="24"/>
        <v>8</v>
      </c>
      <c r="T59" s="571"/>
      <c r="U59" s="188">
        <v>3</v>
      </c>
      <c r="V59" s="188">
        <v>3189.2288959467392</v>
      </c>
      <c r="W59" s="185">
        <f t="shared" si="21"/>
        <v>1063.0762986489131</v>
      </c>
      <c r="X59" s="182">
        <f t="shared" si="25"/>
        <v>7</v>
      </c>
      <c r="Y59" s="571"/>
      <c r="Z59" s="188">
        <v>3</v>
      </c>
      <c r="AA59" s="188">
        <v>3189.948895946739</v>
      </c>
      <c r="AB59" s="185">
        <f t="shared" si="26"/>
        <v>1063.3162986489131</v>
      </c>
      <c r="AC59" s="182">
        <f t="shared" si="27"/>
        <v>7</v>
      </c>
      <c r="AD59" s="571"/>
      <c r="AE59" s="188">
        <v>3</v>
      </c>
      <c r="AF59" s="188">
        <v>3189.948895946739</v>
      </c>
      <c r="AG59" s="185">
        <f t="shared" si="28"/>
        <v>1063.3162986489131</v>
      </c>
      <c r="AH59" s="182">
        <f t="shared" si="29"/>
        <v>7</v>
      </c>
      <c r="AI59" s="571"/>
      <c r="AJ59" s="188">
        <v>3</v>
      </c>
      <c r="AK59" s="188">
        <v>3188.5088959467394</v>
      </c>
      <c r="AL59" s="185">
        <f t="shared" si="30"/>
        <v>1062.836298648913</v>
      </c>
      <c r="AM59" s="182">
        <f t="shared" si="31"/>
        <v>7</v>
      </c>
      <c r="AN59" s="571"/>
      <c r="AO59" s="188">
        <v>3</v>
      </c>
      <c r="AP59" s="188">
        <v>3190.3088959467391</v>
      </c>
      <c r="AQ59" s="185">
        <f t="shared" si="32"/>
        <v>1063.436298648913</v>
      </c>
      <c r="AR59" s="182">
        <f t="shared" si="33"/>
        <v>7</v>
      </c>
      <c r="AS59" s="571"/>
      <c r="AT59" s="188">
        <v>3</v>
      </c>
      <c r="AU59" s="188">
        <v>3190.6688959467388</v>
      </c>
      <c r="AV59" s="185">
        <f t="shared" si="34"/>
        <v>1063.5562986489128</v>
      </c>
      <c r="AW59" s="182">
        <f t="shared" si="35"/>
        <v>7</v>
      </c>
      <c r="AX59" s="571"/>
    </row>
    <row r="60" spans="2:50" ht="14.25" customHeight="1">
      <c r="B60" s="572"/>
      <c r="C60" s="180">
        <v>14</v>
      </c>
      <c r="D60" s="183" t="s">
        <v>533</v>
      </c>
      <c r="E60" s="184">
        <v>5</v>
      </c>
      <c r="F60" s="180">
        <v>3600</v>
      </c>
      <c r="G60" s="185">
        <f t="shared" si="22"/>
        <v>720</v>
      </c>
      <c r="H60" s="573"/>
      <c r="I60" s="186">
        <f t="shared" si="23"/>
        <v>5</v>
      </c>
      <c r="J60" s="186">
        <f t="shared" si="23"/>
        <v>3191.9416591473955</v>
      </c>
      <c r="K60" s="187">
        <f t="shared" si="23"/>
        <v>638.38833182947906</v>
      </c>
      <c r="L60" s="574"/>
      <c r="M60" s="186">
        <f>RANK(K60, K$47:$K$81)</f>
        <v>23</v>
      </c>
      <c r="N60" s="585"/>
      <c r="O60" s="575"/>
      <c r="P60" s="188">
        <v>5</v>
      </c>
      <c r="Q60" s="188">
        <v>3182.5247171221181</v>
      </c>
      <c r="R60" s="185">
        <f t="shared" si="20"/>
        <v>636.50494342442357</v>
      </c>
      <c r="S60" s="182">
        <f t="shared" si="24"/>
        <v>27</v>
      </c>
      <c r="T60" s="571"/>
      <c r="U60" s="188">
        <v>5</v>
      </c>
      <c r="V60" s="188">
        <v>3190.8711494849413</v>
      </c>
      <c r="W60" s="185">
        <f t="shared" si="21"/>
        <v>638.17422989698821</v>
      </c>
      <c r="X60" s="182">
        <f t="shared" si="25"/>
        <v>24</v>
      </c>
      <c r="Y60" s="571"/>
      <c r="Z60" s="188">
        <v>5</v>
      </c>
      <c r="AA60" s="188">
        <v>3191.9511494849412</v>
      </c>
      <c r="AB60" s="185">
        <f t="shared" si="26"/>
        <v>638.39022989698822</v>
      </c>
      <c r="AC60" s="182">
        <f t="shared" si="27"/>
        <v>23</v>
      </c>
      <c r="AD60" s="571"/>
      <c r="AE60" s="188">
        <v>5</v>
      </c>
      <c r="AF60" s="188">
        <v>3193.3911494849413</v>
      </c>
      <c r="AG60" s="185">
        <f t="shared" si="28"/>
        <v>638.67822989698823</v>
      </c>
      <c r="AH60" s="182">
        <f t="shared" si="29"/>
        <v>22</v>
      </c>
      <c r="AI60" s="571"/>
      <c r="AJ60" s="188">
        <v>5</v>
      </c>
      <c r="AK60" s="188">
        <v>3193.7511494849414</v>
      </c>
      <c r="AL60" s="185">
        <f t="shared" si="30"/>
        <v>638.75022989698823</v>
      </c>
      <c r="AM60" s="182">
        <f t="shared" si="31"/>
        <v>22</v>
      </c>
      <c r="AN60" s="571"/>
      <c r="AO60" s="188">
        <v>5</v>
      </c>
      <c r="AP60" s="188">
        <v>3195.191149484941</v>
      </c>
      <c r="AQ60" s="185">
        <f t="shared" si="32"/>
        <v>639.03822989698824</v>
      </c>
      <c r="AR60" s="182">
        <f t="shared" si="33"/>
        <v>22</v>
      </c>
      <c r="AS60" s="571"/>
      <c r="AT60" s="188">
        <v>5</v>
      </c>
      <c r="AU60" s="188">
        <v>3195.9111494849412</v>
      </c>
      <c r="AV60" s="185">
        <f t="shared" si="34"/>
        <v>639.18222989698825</v>
      </c>
      <c r="AW60" s="182">
        <f t="shared" si="35"/>
        <v>22</v>
      </c>
      <c r="AX60" s="571"/>
    </row>
    <row r="61" spans="2:50" ht="14.25" customHeight="1">
      <c r="B61" s="572"/>
      <c r="C61" s="180">
        <v>15</v>
      </c>
      <c r="D61" s="183" t="s">
        <v>615</v>
      </c>
      <c r="E61" s="184">
        <v>3</v>
      </c>
      <c r="F61" s="180">
        <v>3600</v>
      </c>
      <c r="G61" s="185">
        <f t="shared" si="22"/>
        <v>1200</v>
      </c>
      <c r="H61" s="573"/>
      <c r="I61" s="186">
        <f t="shared" si="23"/>
        <v>3</v>
      </c>
      <c r="J61" s="186">
        <f t="shared" si="23"/>
        <v>3194.4208393122403</v>
      </c>
      <c r="K61" s="187">
        <f t="shared" si="23"/>
        <v>1064.8069464374137</v>
      </c>
      <c r="L61" s="574"/>
      <c r="M61" s="186">
        <f>RANK(K61, K$47:$K$81)</f>
        <v>4</v>
      </c>
      <c r="N61" s="585"/>
      <c r="O61" s="575"/>
      <c r="P61" s="188">
        <v>3</v>
      </c>
      <c r="Q61" s="188">
        <v>3193.237982169383</v>
      </c>
      <c r="R61" s="185">
        <f t="shared" si="20"/>
        <v>1064.4126607231276</v>
      </c>
      <c r="S61" s="182">
        <f t="shared" si="24"/>
        <v>5</v>
      </c>
      <c r="T61" s="571"/>
      <c r="U61" s="188">
        <v>3</v>
      </c>
      <c r="V61" s="188">
        <v>3192.8779821693834</v>
      </c>
      <c r="W61" s="185">
        <f t="shared" si="21"/>
        <v>1064.2926607231277</v>
      </c>
      <c r="X61" s="182">
        <f t="shared" si="25"/>
        <v>6</v>
      </c>
      <c r="Y61" s="571"/>
      <c r="Z61" s="188">
        <v>3</v>
      </c>
      <c r="AA61" s="188">
        <v>3192.8779821693829</v>
      </c>
      <c r="AB61" s="185">
        <f t="shared" si="26"/>
        <v>1064.2926607231277</v>
      </c>
      <c r="AC61" s="182">
        <f t="shared" si="27"/>
        <v>6</v>
      </c>
      <c r="AD61" s="571"/>
      <c r="AE61" s="188">
        <v>3</v>
      </c>
      <c r="AF61" s="188">
        <v>3193.9579821693833</v>
      </c>
      <c r="AG61" s="185">
        <f t="shared" si="28"/>
        <v>1064.6526607231278</v>
      </c>
      <c r="AH61" s="182">
        <f t="shared" si="29"/>
        <v>4</v>
      </c>
      <c r="AI61" s="571"/>
      <c r="AJ61" s="188">
        <v>3</v>
      </c>
      <c r="AK61" s="188">
        <v>3195.0379821693837</v>
      </c>
      <c r="AL61" s="185">
        <f t="shared" si="30"/>
        <v>1065.012660723128</v>
      </c>
      <c r="AM61" s="182">
        <f t="shared" si="31"/>
        <v>3</v>
      </c>
      <c r="AN61" s="571"/>
      <c r="AO61" s="188">
        <v>3</v>
      </c>
      <c r="AP61" s="188">
        <v>3196.4779821693837</v>
      </c>
      <c r="AQ61" s="185">
        <f t="shared" si="32"/>
        <v>1065.492660723128</v>
      </c>
      <c r="AR61" s="182">
        <f t="shared" si="33"/>
        <v>3</v>
      </c>
      <c r="AS61" s="571"/>
      <c r="AT61" s="188">
        <v>3</v>
      </c>
      <c r="AU61" s="188">
        <v>3196.4779821693842</v>
      </c>
      <c r="AV61" s="185">
        <f t="shared" si="34"/>
        <v>1065.492660723128</v>
      </c>
      <c r="AW61" s="182">
        <f t="shared" si="35"/>
        <v>2</v>
      </c>
      <c r="AX61" s="571"/>
    </row>
    <row r="62" spans="2:50" ht="14.25" customHeight="1">
      <c r="B62" s="572"/>
      <c r="C62" s="180">
        <v>16</v>
      </c>
      <c r="D62" s="183" t="s">
        <v>595</v>
      </c>
      <c r="E62" s="184">
        <v>3</v>
      </c>
      <c r="F62" s="180">
        <v>3300</v>
      </c>
      <c r="G62" s="185">
        <f t="shared" si="22"/>
        <v>1100</v>
      </c>
      <c r="H62" s="573"/>
      <c r="I62" s="186">
        <f t="shared" si="23"/>
        <v>3</v>
      </c>
      <c r="J62" s="186">
        <f t="shared" si="23"/>
        <v>2977.1388254715139</v>
      </c>
      <c r="K62" s="187">
        <f t="shared" si="23"/>
        <v>992.37960849050455</v>
      </c>
      <c r="L62" s="574"/>
      <c r="M62" s="186">
        <f>RANK(K62, K$47:$K$81)</f>
        <v>12</v>
      </c>
      <c r="N62" s="585"/>
      <c r="O62" s="575"/>
      <c r="P62" s="188">
        <v>3</v>
      </c>
      <c r="Q62" s="188">
        <v>2976.2431111858004</v>
      </c>
      <c r="R62" s="185">
        <f t="shared" si="20"/>
        <v>992.08103706193344</v>
      </c>
      <c r="S62" s="182">
        <f t="shared" si="24"/>
        <v>12</v>
      </c>
      <c r="T62" s="571"/>
      <c r="U62" s="188">
        <v>3</v>
      </c>
      <c r="V62" s="188">
        <v>2976.9031111857998</v>
      </c>
      <c r="W62" s="185">
        <f t="shared" si="21"/>
        <v>992.30103706193324</v>
      </c>
      <c r="X62" s="182">
        <f t="shared" si="25"/>
        <v>12</v>
      </c>
      <c r="Y62" s="571"/>
      <c r="Z62" s="188">
        <v>3</v>
      </c>
      <c r="AA62" s="188">
        <v>2978.2231111857996</v>
      </c>
      <c r="AB62" s="185">
        <f t="shared" si="26"/>
        <v>992.74103706193318</v>
      </c>
      <c r="AC62" s="182">
        <f t="shared" si="27"/>
        <v>12</v>
      </c>
      <c r="AD62" s="571"/>
      <c r="AE62" s="188">
        <v>3</v>
      </c>
      <c r="AF62" s="188">
        <v>2976.9031111857994</v>
      </c>
      <c r="AG62" s="185">
        <f t="shared" si="28"/>
        <v>992.30103706193313</v>
      </c>
      <c r="AH62" s="182">
        <f t="shared" si="29"/>
        <v>12</v>
      </c>
      <c r="AI62" s="571"/>
      <c r="AJ62" s="188">
        <v>3</v>
      </c>
      <c r="AK62" s="188">
        <v>2978.5531111857995</v>
      </c>
      <c r="AL62" s="185">
        <f t="shared" si="30"/>
        <v>992.8510370619332</v>
      </c>
      <c r="AM62" s="182">
        <f t="shared" si="31"/>
        <v>12</v>
      </c>
      <c r="AN62" s="571"/>
      <c r="AO62" s="188">
        <v>3</v>
      </c>
      <c r="AP62" s="188">
        <v>2976.9031111857994</v>
      </c>
      <c r="AQ62" s="185">
        <f t="shared" si="32"/>
        <v>992.30103706193313</v>
      </c>
      <c r="AR62" s="182">
        <f t="shared" si="33"/>
        <v>12</v>
      </c>
      <c r="AS62" s="571"/>
      <c r="AT62" s="188">
        <v>3</v>
      </c>
      <c r="AU62" s="188">
        <v>2976.2431111858</v>
      </c>
      <c r="AV62" s="185">
        <f t="shared" si="34"/>
        <v>992.08103706193333</v>
      </c>
      <c r="AW62" s="182">
        <f t="shared" si="35"/>
        <v>12</v>
      </c>
      <c r="AX62" s="571"/>
    </row>
    <row r="63" spans="2:50" ht="14.25" customHeight="1">
      <c r="B63" s="572"/>
      <c r="C63" s="180">
        <v>17</v>
      </c>
      <c r="D63" s="183" t="s">
        <v>401</v>
      </c>
      <c r="E63" s="184">
        <v>5</v>
      </c>
      <c r="F63" s="180">
        <v>3600</v>
      </c>
      <c r="G63" s="185">
        <f t="shared" si="22"/>
        <v>720</v>
      </c>
      <c r="H63" s="573"/>
      <c r="I63" s="186">
        <f t="shared" si="23"/>
        <v>5</v>
      </c>
      <c r="J63" s="186">
        <f t="shared" si="23"/>
        <v>3190.8850402285971</v>
      </c>
      <c r="K63" s="187">
        <f t="shared" si="23"/>
        <v>638.17700804571939</v>
      </c>
      <c r="L63" s="574"/>
      <c r="M63" s="186">
        <f>RANK(K63, K$47:$K$81)</f>
        <v>24</v>
      </c>
      <c r="N63" s="585"/>
      <c r="O63" s="575"/>
      <c r="P63" s="188">
        <v>5</v>
      </c>
      <c r="Q63" s="188">
        <v>3190.9878973714553</v>
      </c>
      <c r="R63" s="185">
        <f t="shared" si="20"/>
        <v>638.19757947429105</v>
      </c>
      <c r="S63" s="182">
        <f t="shared" si="24"/>
        <v>23</v>
      </c>
      <c r="T63" s="571"/>
      <c r="U63" s="188">
        <v>5</v>
      </c>
      <c r="V63" s="188">
        <v>3190.9878973714553</v>
      </c>
      <c r="W63" s="185">
        <f t="shared" si="21"/>
        <v>638.19757947429105</v>
      </c>
      <c r="X63" s="182">
        <f t="shared" si="25"/>
        <v>23</v>
      </c>
      <c r="Y63" s="571"/>
      <c r="Z63" s="188">
        <v>5</v>
      </c>
      <c r="AA63" s="188">
        <v>3190.9878973714549</v>
      </c>
      <c r="AB63" s="185">
        <f t="shared" si="26"/>
        <v>638.19757947429093</v>
      </c>
      <c r="AC63" s="182">
        <f t="shared" si="27"/>
        <v>24</v>
      </c>
      <c r="AD63" s="571"/>
      <c r="AE63" s="188">
        <v>5</v>
      </c>
      <c r="AF63" s="188">
        <v>3190.6278973714552</v>
      </c>
      <c r="AG63" s="185">
        <f t="shared" si="28"/>
        <v>638.12557947429104</v>
      </c>
      <c r="AH63" s="182">
        <f t="shared" si="29"/>
        <v>24</v>
      </c>
      <c r="AI63" s="571"/>
      <c r="AJ63" s="188">
        <v>5</v>
      </c>
      <c r="AK63" s="188">
        <v>3190.2678973714546</v>
      </c>
      <c r="AL63" s="185">
        <f t="shared" si="30"/>
        <v>638.05357947429093</v>
      </c>
      <c r="AM63" s="182">
        <f t="shared" si="31"/>
        <v>25</v>
      </c>
      <c r="AN63" s="571"/>
      <c r="AO63" s="188">
        <v>5</v>
      </c>
      <c r="AP63" s="188">
        <v>3190.6278973714543</v>
      </c>
      <c r="AQ63" s="185">
        <f t="shared" si="32"/>
        <v>638.12557947429082</v>
      </c>
      <c r="AR63" s="182">
        <f t="shared" si="33"/>
        <v>25</v>
      </c>
      <c r="AS63" s="571"/>
      <c r="AT63" s="188">
        <v>5</v>
      </c>
      <c r="AU63" s="188">
        <v>3191.7078973714533</v>
      </c>
      <c r="AV63" s="185">
        <f t="shared" si="34"/>
        <v>638.34157947429071</v>
      </c>
      <c r="AW63" s="182">
        <f t="shared" si="35"/>
        <v>24</v>
      </c>
      <c r="AX63" s="571"/>
    </row>
    <row r="64" spans="2:50" ht="14.25" customHeight="1">
      <c r="B64" s="572"/>
      <c r="C64" s="180">
        <v>18</v>
      </c>
      <c r="D64" s="183" t="s">
        <v>400</v>
      </c>
      <c r="E64" s="184">
        <v>3</v>
      </c>
      <c r="F64" s="180">
        <v>3600</v>
      </c>
      <c r="G64" s="185">
        <f t="shared" si="22"/>
        <v>1200</v>
      </c>
      <c r="H64" s="573"/>
      <c r="I64" s="186">
        <f t="shared" si="23"/>
        <v>3</v>
      </c>
      <c r="J64" s="186">
        <f t="shared" si="23"/>
        <v>3183.0356857479151</v>
      </c>
      <c r="K64" s="187">
        <f t="shared" si="23"/>
        <v>1061.0118952493051</v>
      </c>
      <c r="L64" s="574"/>
      <c r="M64" s="186">
        <f>RANK(K64, K$47:$K$81)</f>
        <v>9</v>
      </c>
      <c r="N64" s="585"/>
      <c r="O64" s="575"/>
      <c r="P64" s="188">
        <v>3</v>
      </c>
      <c r="Q64" s="188">
        <v>3184.0444846451655</v>
      </c>
      <c r="R64" s="185">
        <f t="shared" si="20"/>
        <v>1061.3481615483886</v>
      </c>
      <c r="S64" s="182">
        <f t="shared" si="24"/>
        <v>9</v>
      </c>
      <c r="T64" s="571"/>
      <c r="U64" s="188">
        <v>3</v>
      </c>
      <c r="V64" s="188">
        <v>3184.7644846451649</v>
      </c>
      <c r="W64" s="185">
        <f t="shared" si="21"/>
        <v>1061.5881615483884</v>
      </c>
      <c r="X64" s="182">
        <f t="shared" si="25"/>
        <v>9</v>
      </c>
      <c r="Y64" s="571"/>
      <c r="Z64" s="188">
        <v>3</v>
      </c>
      <c r="AA64" s="188">
        <v>3184.0444846451651</v>
      </c>
      <c r="AB64" s="185">
        <f t="shared" si="26"/>
        <v>1061.3481615483884</v>
      </c>
      <c r="AC64" s="182">
        <f t="shared" si="27"/>
        <v>9</v>
      </c>
      <c r="AD64" s="571"/>
      <c r="AE64" s="188">
        <v>3</v>
      </c>
      <c r="AF64" s="188">
        <v>3182.2444846451654</v>
      </c>
      <c r="AG64" s="185">
        <f t="shared" si="28"/>
        <v>1060.7481615483885</v>
      </c>
      <c r="AH64" s="182">
        <f t="shared" si="29"/>
        <v>9</v>
      </c>
      <c r="AI64" s="571"/>
      <c r="AJ64" s="188">
        <v>3</v>
      </c>
      <c r="AK64" s="188">
        <v>3181.1644846451654</v>
      </c>
      <c r="AL64" s="185">
        <f t="shared" si="30"/>
        <v>1060.3881615483886</v>
      </c>
      <c r="AM64" s="182">
        <f t="shared" si="31"/>
        <v>9</v>
      </c>
      <c r="AN64" s="571"/>
      <c r="AO64" s="188">
        <v>3</v>
      </c>
      <c r="AP64" s="188">
        <v>3180.084484645165</v>
      </c>
      <c r="AQ64" s="185">
        <f t="shared" si="32"/>
        <v>1060.0281615483884</v>
      </c>
      <c r="AR64" s="182">
        <f t="shared" si="33"/>
        <v>9</v>
      </c>
      <c r="AS64" s="571"/>
      <c r="AT64" s="188">
        <v>3</v>
      </c>
      <c r="AU64" s="188">
        <v>3184.9028923644164</v>
      </c>
      <c r="AV64" s="185">
        <f t="shared" si="34"/>
        <v>1061.6342974548054</v>
      </c>
      <c r="AW64" s="182">
        <f t="shared" si="35"/>
        <v>9</v>
      </c>
      <c r="AX64" s="571"/>
    </row>
    <row r="65" spans="2:50" ht="14.25" customHeight="1">
      <c r="B65" s="572"/>
      <c r="C65" s="180">
        <v>19</v>
      </c>
      <c r="D65" s="183" t="s">
        <v>402</v>
      </c>
      <c r="E65" s="184">
        <v>4</v>
      </c>
      <c r="F65" s="180">
        <v>3600</v>
      </c>
      <c r="G65" s="185">
        <f t="shared" si="22"/>
        <v>900</v>
      </c>
      <c r="H65" s="573"/>
      <c r="I65" s="186">
        <f t="shared" si="23"/>
        <v>4</v>
      </c>
      <c r="J65" s="186">
        <f t="shared" si="23"/>
        <v>3189.7562413335195</v>
      </c>
      <c r="K65" s="187">
        <f t="shared" si="23"/>
        <v>797.43906033337987</v>
      </c>
      <c r="L65" s="574"/>
      <c r="M65" s="186">
        <f>RANK(K65, K$47:$K$81)</f>
        <v>18</v>
      </c>
      <c r="N65" s="585"/>
      <c r="O65" s="575"/>
      <c r="P65" s="188">
        <v>4</v>
      </c>
      <c r="Q65" s="188">
        <v>3191.2476699049475</v>
      </c>
      <c r="R65" s="185">
        <f t="shared" si="20"/>
        <v>797.81191747623689</v>
      </c>
      <c r="S65" s="182">
        <f t="shared" si="24"/>
        <v>17</v>
      </c>
      <c r="T65" s="571"/>
      <c r="U65" s="188">
        <v>4</v>
      </c>
      <c r="V65" s="188">
        <v>3189.4476699049474</v>
      </c>
      <c r="W65" s="185">
        <f t="shared" si="21"/>
        <v>797.36191747623684</v>
      </c>
      <c r="X65" s="182">
        <f t="shared" si="25"/>
        <v>18</v>
      </c>
      <c r="Y65" s="571"/>
      <c r="Z65" s="188">
        <v>4</v>
      </c>
      <c r="AA65" s="188">
        <v>3190.5276699049473</v>
      </c>
      <c r="AB65" s="185">
        <f t="shared" si="26"/>
        <v>797.63191747623682</v>
      </c>
      <c r="AC65" s="182">
        <f t="shared" si="27"/>
        <v>18</v>
      </c>
      <c r="AD65" s="571"/>
      <c r="AE65" s="188">
        <v>4</v>
      </c>
      <c r="AF65" s="188">
        <v>3190.5276699049482</v>
      </c>
      <c r="AG65" s="185">
        <f t="shared" si="28"/>
        <v>797.63191747623705</v>
      </c>
      <c r="AH65" s="182">
        <f t="shared" si="29"/>
        <v>18</v>
      </c>
      <c r="AI65" s="571"/>
      <c r="AJ65" s="188">
        <v>4</v>
      </c>
      <c r="AK65" s="188">
        <v>3189.0876699049486</v>
      </c>
      <c r="AL65" s="185">
        <f t="shared" si="30"/>
        <v>797.27191747623715</v>
      </c>
      <c r="AM65" s="182">
        <f t="shared" si="31"/>
        <v>18</v>
      </c>
      <c r="AN65" s="571"/>
      <c r="AO65" s="188">
        <v>4</v>
      </c>
      <c r="AP65" s="188">
        <v>3188.3676699049493</v>
      </c>
      <c r="AQ65" s="185">
        <f t="shared" si="32"/>
        <v>797.09191747623731</v>
      </c>
      <c r="AR65" s="182">
        <f t="shared" si="33"/>
        <v>19</v>
      </c>
      <c r="AS65" s="571"/>
      <c r="AT65" s="188">
        <v>4</v>
      </c>
      <c r="AU65" s="188">
        <v>3189.0876699049486</v>
      </c>
      <c r="AV65" s="185">
        <f t="shared" si="34"/>
        <v>797.27191747623715</v>
      </c>
      <c r="AW65" s="182">
        <f t="shared" si="35"/>
        <v>19</v>
      </c>
      <c r="AX65" s="571"/>
    </row>
    <row r="66" spans="2:50" ht="14.25" customHeight="1">
      <c r="B66" s="572"/>
      <c r="C66" s="180">
        <v>20</v>
      </c>
      <c r="D66" s="183" t="s">
        <v>344</v>
      </c>
      <c r="E66" s="184">
        <v>5</v>
      </c>
      <c r="F66" s="180">
        <v>3300</v>
      </c>
      <c r="G66" s="185">
        <f t="shared" si="22"/>
        <v>660</v>
      </c>
      <c r="H66" s="573"/>
      <c r="I66" s="186">
        <f t="shared" si="23"/>
        <v>5</v>
      </c>
      <c r="J66" s="186">
        <f t="shared" si="23"/>
        <v>2979.2918303610886</v>
      </c>
      <c r="K66" s="187">
        <f t="shared" si="23"/>
        <v>595.85836607221756</v>
      </c>
      <c r="L66" s="574"/>
      <c r="M66" s="186">
        <f>RANK(K66, K$47:$K$81)</f>
        <v>29</v>
      </c>
      <c r="N66" s="585"/>
      <c r="O66" s="575"/>
      <c r="P66" s="188">
        <v>5</v>
      </c>
      <c r="Q66" s="188">
        <v>2978.9765926178497</v>
      </c>
      <c r="R66" s="185">
        <f t="shared" si="20"/>
        <v>595.7953185235699</v>
      </c>
      <c r="S66" s="182">
        <f t="shared" si="24"/>
        <v>29</v>
      </c>
      <c r="T66" s="571"/>
      <c r="U66" s="188">
        <v>5</v>
      </c>
      <c r="V66" s="188">
        <v>2977.98659261785</v>
      </c>
      <c r="W66" s="185">
        <f t="shared" si="21"/>
        <v>595.59731852357004</v>
      </c>
      <c r="X66" s="182">
        <f t="shared" si="25"/>
        <v>29</v>
      </c>
      <c r="Y66" s="571"/>
      <c r="Z66" s="188">
        <v>5</v>
      </c>
      <c r="AA66" s="188">
        <v>2977.98659261785</v>
      </c>
      <c r="AB66" s="185">
        <f t="shared" si="26"/>
        <v>595.59731852357004</v>
      </c>
      <c r="AC66" s="182">
        <f t="shared" si="27"/>
        <v>29</v>
      </c>
      <c r="AD66" s="571"/>
      <c r="AE66" s="188">
        <v>5</v>
      </c>
      <c r="AF66" s="188">
        <v>2976.6665926178503</v>
      </c>
      <c r="AG66" s="185">
        <f t="shared" si="28"/>
        <v>595.33331852357003</v>
      </c>
      <c r="AH66" s="182">
        <f t="shared" si="29"/>
        <v>29</v>
      </c>
      <c r="AI66" s="571"/>
      <c r="AJ66" s="188">
        <v>5</v>
      </c>
      <c r="AK66" s="188">
        <v>2981.7536019847366</v>
      </c>
      <c r="AL66" s="185">
        <f t="shared" si="30"/>
        <v>596.35072039694728</v>
      </c>
      <c r="AM66" s="182">
        <f t="shared" si="31"/>
        <v>29</v>
      </c>
      <c r="AN66" s="571"/>
      <c r="AO66" s="188">
        <v>5</v>
      </c>
      <c r="AP66" s="188">
        <v>2980.9724569912532</v>
      </c>
      <c r="AQ66" s="185">
        <f t="shared" si="32"/>
        <v>596.19449139825065</v>
      </c>
      <c r="AR66" s="182">
        <f t="shared" si="33"/>
        <v>29</v>
      </c>
      <c r="AS66" s="571"/>
      <c r="AT66" s="188">
        <v>5</v>
      </c>
      <c r="AU66" s="188">
        <v>2980.7003830802269</v>
      </c>
      <c r="AV66" s="185">
        <f t="shared" si="34"/>
        <v>596.14007661604535</v>
      </c>
      <c r="AW66" s="182">
        <f t="shared" si="35"/>
        <v>28</v>
      </c>
      <c r="AX66" s="571"/>
    </row>
    <row r="67" spans="2:50" ht="14.25" customHeight="1">
      <c r="B67" s="572"/>
      <c r="C67" s="180">
        <v>21</v>
      </c>
      <c r="D67" s="183" t="s">
        <v>396</v>
      </c>
      <c r="E67" s="184">
        <v>3</v>
      </c>
      <c r="F67" s="180">
        <v>3600</v>
      </c>
      <c r="G67" s="185">
        <f t="shared" si="22"/>
        <v>1200</v>
      </c>
      <c r="H67" s="573"/>
      <c r="I67" s="186">
        <f t="shared" si="23"/>
        <v>3</v>
      </c>
      <c r="J67" s="186">
        <f t="shared" si="23"/>
        <v>3194.0262609075221</v>
      </c>
      <c r="K67" s="187">
        <f t="shared" si="23"/>
        <v>1064.6754203025075</v>
      </c>
      <c r="L67" s="574"/>
      <c r="M67" s="186">
        <f>RANK(K67, K$47:$K$81)</f>
        <v>5</v>
      </c>
      <c r="N67" s="585"/>
      <c r="O67" s="575"/>
      <c r="P67" s="188">
        <v>3</v>
      </c>
      <c r="Q67" s="188">
        <v>3193.9234037646656</v>
      </c>
      <c r="R67" s="185">
        <f t="shared" si="20"/>
        <v>1064.6411345882218</v>
      </c>
      <c r="S67" s="182">
        <f t="shared" si="24"/>
        <v>4</v>
      </c>
      <c r="T67" s="571"/>
      <c r="U67" s="188">
        <v>3</v>
      </c>
      <c r="V67" s="188">
        <v>3195.3634037646652</v>
      </c>
      <c r="W67" s="185">
        <f t="shared" si="21"/>
        <v>1065.1211345882218</v>
      </c>
      <c r="X67" s="182">
        <f t="shared" si="25"/>
        <v>3</v>
      </c>
      <c r="Y67" s="571"/>
      <c r="Z67" s="188">
        <v>3</v>
      </c>
      <c r="AA67" s="188">
        <v>3195.0034037646656</v>
      </c>
      <c r="AB67" s="185">
        <f t="shared" si="26"/>
        <v>1065.0011345882219</v>
      </c>
      <c r="AC67" s="182">
        <f t="shared" si="27"/>
        <v>4</v>
      </c>
      <c r="AD67" s="571"/>
      <c r="AE67" s="188">
        <v>3</v>
      </c>
      <c r="AF67" s="188">
        <v>3193.563403764666</v>
      </c>
      <c r="AG67" s="185">
        <f t="shared" si="28"/>
        <v>1064.5211345882219</v>
      </c>
      <c r="AH67" s="182">
        <f t="shared" si="29"/>
        <v>5</v>
      </c>
      <c r="AI67" s="571"/>
      <c r="AJ67" s="188">
        <v>3</v>
      </c>
      <c r="AK67" s="188">
        <v>3192.8434037646657</v>
      </c>
      <c r="AL67" s="185">
        <f t="shared" si="30"/>
        <v>1064.2811345882219</v>
      </c>
      <c r="AM67" s="182">
        <f t="shared" si="31"/>
        <v>6</v>
      </c>
      <c r="AN67" s="571"/>
      <c r="AO67" s="188">
        <v>3</v>
      </c>
      <c r="AP67" s="188">
        <v>3193.2034037646645</v>
      </c>
      <c r="AQ67" s="185">
        <f t="shared" si="32"/>
        <v>1064.4011345882216</v>
      </c>
      <c r="AR67" s="182">
        <f t="shared" si="33"/>
        <v>5</v>
      </c>
      <c r="AS67" s="571"/>
      <c r="AT67" s="188">
        <v>3</v>
      </c>
      <c r="AU67" s="188">
        <v>3194.2834037646644</v>
      </c>
      <c r="AV67" s="185">
        <f t="shared" si="34"/>
        <v>1064.7611345882215</v>
      </c>
      <c r="AW67" s="182">
        <f t="shared" si="35"/>
        <v>5</v>
      </c>
      <c r="AX67" s="571"/>
    </row>
    <row r="68" spans="2:50" ht="14.25" customHeight="1">
      <c r="B68" s="572"/>
      <c r="C68" s="180">
        <v>22</v>
      </c>
      <c r="D68" s="183" t="s">
        <v>521</v>
      </c>
      <c r="E68" s="184">
        <v>4</v>
      </c>
      <c r="F68" s="180">
        <v>3600</v>
      </c>
      <c r="G68" s="185">
        <f>F68/E68</f>
        <v>900</v>
      </c>
      <c r="H68" s="573"/>
      <c r="I68" s="186">
        <f t="shared" si="23"/>
        <v>4</v>
      </c>
      <c r="J68" s="186">
        <f t="shared" si="23"/>
        <v>3193.662857142855</v>
      </c>
      <c r="K68" s="187">
        <f t="shared" si="23"/>
        <v>798.41571428571376</v>
      </c>
      <c r="L68" s="574"/>
      <c r="M68" s="186">
        <f>RANK(K68, K$47:$K$81)</f>
        <v>16</v>
      </c>
      <c r="N68" s="585"/>
      <c r="O68" s="575"/>
      <c r="P68" s="188">
        <v>4</v>
      </c>
      <c r="Q68" s="188">
        <v>3192.8399999999983</v>
      </c>
      <c r="R68" s="185">
        <f t="shared" si="20"/>
        <v>798.20999999999958</v>
      </c>
      <c r="S68" s="182">
        <f t="shared" si="24"/>
        <v>16</v>
      </c>
      <c r="T68" s="571"/>
      <c r="U68" s="188">
        <v>4</v>
      </c>
      <c r="V68" s="188">
        <v>3193.5599999999986</v>
      </c>
      <c r="W68" s="185">
        <f t="shared" si="21"/>
        <v>798.38999999999965</v>
      </c>
      <c r="X68" s="182">
        <f t="shared" si="25"/>
        <v>16</v>
      </c>
      <c r="Y68" s="571"/>
      <c r="Z68" s="188">
        <v>4</v>
      </c>
      <c r="AA68" s="188">
        <v>3194.6399999999985</v>
      </c>
      <c r="AB68" s="185">
        <f t="shared" si="26"/>
        <v>798.65999999999963</v>
      </c>
      <c r="AC68" s="182">
        <f t="shared" si="27"/>
        <v>16</v>
      </c>
      <c r="AD68" s="571"/>
      <c r="AE68" s="188">
        <v>4</v>
      </c>
      <c r="AF68" s="188">
        <v>3194.9999999999986</v>
      </c>
      <c r="AG68" s="185">
        <f t="shared" si="28"/>
        <v>798.74999999999966</v>
      </c>
      <c r="AH68" s="182">
        <f t="shared" si="29"/>
        <v>16</v>
      </c>
      <c r="AI68" s="571"/>
      <c r="AJ68" s="188">
        <v>4</v>
      </c>
      <c r="AK68" s="188">
        <v>3193.5599999999986</v>
      </c>
      <c r="AL68" s="185">
        <f t="shared" si="30"/>
        <v>798.38999999999965</v>
      </c>
      <c r="AM68" s="182">
        <f t="shared" si="31"/>
        <v>17</v>
      </c>
      <c r="AN68" s="571"/>
      <c r="AO68" s="188">
        <v>4</v>
      </c>
      <c r="AP68" s="188">
        <v>3192.4799999999977</v>
      </c>
      <c r="AQ68" s="185">
        <f t="shared" si="32"/>
        <v>798.11999999999944</v>
      </c>
      <c r="AR68" s="182">
        <f t="shared" si="33"/>
        <v>17</v>
      </c>
      <c r="AS68" s="571"/>
      <c r="AT68" s="188">
        <v>4</v>
      </c>
      <c r="AU68" s="188">
        <v>3193.5599999999977</v>
      </c>
      <c r="AV68" s="185">
        <f t="shared" si="34"/>
        <v>798.38999999999942</v>
      </c>
      <c r="AW68" s="182">
        <f t="shared" si="35"/>
        <v>16</v>
      </c>
      <c r="AX68" s="571"/>
    </row>
    <row r="69" spans="2:50" ht="14.25" customHeight="1">
      <c r="B69" s="572"/>
      <c r="C69" s="180">
        <v>23</v>
      </c>
      <c r="D69" s="183" t="s">
        <v>399</v>
      </c>
      <c r="E69" s="184">
        <v>3</v>
      </c>
      <c r="F69" s="180">
        <v>3600</v>
      </c>
      <c r="G69" s="185">
        <f t="shared" ref="G69:G79" si="36">F69/E69</f>
        <v>1200</v>
      </c>
      <c r="H69" s="573"/>
      <c r="I69" s="186">
        <f t="shared" si="23"/>
        <v>3</v>
      </c>
      <c r="J69" s="186">
        <f t="shared" si="23"/>
        <v>3196.3674883729523</v>
      </c>
      <c r="K69" s="187">
        <f t="shared" si="23"/>
        <v>1065.4558294576509</v>
      </c>
      <c r="L69" s="574"/>
      <c r="M69" s="186">
        <f>RANK(K69, K$47:$K$81)</f>
        <v>2</v>
      </c>
      <c r="N69" s="585"/>
      <c r="O69" s="575"/>
      <c r="P69" s="188">
        <v>3</v>
      </c>
      <c r="Q69" s="188">
        <v>3195.5960598015236</v>
      </c>
      <c r="R69" s="185">
        <f t="shared" si="20"/>
        <v>1065.1986866005079</v>
      </c>
      <c r="S69" s="182">
        <f t="shared" si="24"/>
        <v>2</v>
      </c>
      <c r="T69" s="571"/>
      <c r="U69" s="188">
        <v>3</v>
      </c>
      <c r="V69" s="188">
        <v>3196.6760598015244</v>
      </c>
      <c r="W69" s="185">
        <f t="shared" si="21"/>
        <v>1065.5586866005081</v>
      </c>
      <c r="X69" s="182">
        <f t="shared" si="25"/>
        <v>2</v>
      </c>
      <c r="Y69" s="571"/>
      <c r="Z69" s="188">
        <v>3</v>
      </c>
      <c r="AA69" s="188">
        <v>3195.2360598015243</v>
      </c>
      <c r="AB69" s="185">
        <f t="shared" si="26"/>
        <v>1065.078686600508</v>
      </c>
      <c r="AC69" s="182">
        <f t="shared" si="27"/>
        <v>3</v>
      </c>
      <c r="AD69" s="571"/>
      <c r="AE69" s="188">
        <v>3</v>
      </c>
      <c r="AF69" s="188">
        <v>3196.3160598015238</v>
      </c>
      <c r="AG69" s="185">
        <f t="shared" si="28"/>
        <v>1065.4386866005079</v>
      </c>
      <c r="AH69" s="182">
        <f t="shared" si="29"/>
        <v>2</v>
      </c>
      <c r="AI69" s="571"/>
      <c r="AJ69" s="188">
        <v>3</v>
      </c>
      <c r="AK69" s="188">
        <v>3198.1160598015244</v>
      </c>
      <c r="AL69" s="185">
        <f t="shared" si="30"/>
        <v>1066.0386866005081</v>
      </c>
      <c r="AM69" s="182">
        <f t="shared" si="31"/>
        <v>1</v>
      </c>
      <c r="AN69" s="571"/>
      <c r="AO69" s="188">
        <v>3</v>
      </c>
      <c r="AP69" s="188">
        <v>3197.0360598015245</v>
      </c>
      <c r="AQ69" s="185">
        <f t="shared" si="32"/>
        <v>1065.6786866005082</v>
      </c>
      <c r="AR69" s="182">
        <f t="shared" si="33"/>
        <v>2</v>
      </c>
      <c r="AS69" s="571"/>
      <c r="AT69" s="188">
        <v>3</v>
      </c>
      <c r="AU69" s="188">
        <v>3195.596059801524</v>
      </c>
      <c r="AV69" s="185">
        <f t="shared" si="34"/>
        <v>1065.1986866005079</v>
      </c>
      <c r="AW69" s="182">
        <f t="shared" si="35"/>
        <v>3</v>
      </c>
      <c r="AX69" s="571"/>
    </row>
    <row r="70" spans="2:50" ht="14.25" customHeight="1">
      <c r="B70" s="572"/>
      <c r="C70" s="180">
        <v>24</v>
      </c>
      <c r="D70" s="183" t="s">
        <v>398</v>
      </c>
      <c r="E70" s="184">
        <v>5</v>
      </c>
      <c r="F70" s="180">
        <v>3600</v>
      </c>
      <c r="G70" s="185">
        <f t="shared" si="36"/>
        <v>720</v>
      </c>
      <c r="H70" s="573"/>
      <c r="I70" s="186">
        <f t="shared" si="23"/>
        <v>5</v>
      </c>
      <c r="J70" s="186">
        <f t="shared" si="23"/>
        <v>3198.6746346893624</v>
      </c>
      <c r="K70" s="187">
        <f t="shared" si="23"/>
        <v>639.7349269378725</v>
      </c>
      <c r="L70" s="574"/>
      <c r="M70" s="186">
        <f>RANK(K70, K$47:$K$81)</f>
        <v>21</v>
      </c>
      <c r="N70" s="585"/>
      <c r="O70" s="575"/>
      <c r="P70" s="188">
        <v>5</v>
      </c>
      <c r="Q70" s="188">
        <v>3198.4174918322196</v>
      </c>
      <c r="R70" s="185">
        <f t="shared" si="20"/>
        <v>639.68349836644393</v>
      </c>
      <c r="S70" s="182">
        <f t="shared" si="24"/>
        <v>21</v>
      </c>
      <c r="T70" s="571"/>
      <c r="U70" s="188">
        <v>5</v>
      </c>
      <c r="V70" s="188">
        <v>3199.137491832219</v>
      </c>
      <c r="W70" s="185">
        <f t="shared" si="21"/>
        <v>639.82749836644382</v>
      </c>
      <c r="X70" s="182">
        <f t="shared" si="25"/>
        <v>21</v>
      </c>
      <c r="Y70" s="571"/>
      <c r="Z70" s="188">
        <v>5</v>
      </c>
      <c r="AA70" s="188">
        <v>3197.6974918322194</v>
      </c>
      <c r="AB70" s="185">
        <f t="shared" si="26"/>
        <v>639.53949836644392</v>
      </c>
      <c r="AC70" s="182">
        <f t="shared" si="27"/>
        <v>21</v>
      </c>
      <c r="AD70" s="571"/>
      <c r="AE70" s="188">
        <v>5</v>
      </c>
      <c r="AF70" s="188">
        <v>3197.3374918322197</v>
      </c>
      <c r="AG70" s="185">
        <f t="shared" si="28"/>
        <v>639.46749836644392</v>
      </c>
      <c r="AH70" s="182">
        <f t="shared" si="29"/>
        <v>21</v>
      </c>
      <c r="AI70" s="571"/>
      <c r="AJ70" s="188">
        <v>5</v>
      </c>
      <c r="AK70" s="188">
        <v>3198.7774918322193</v>
      </c>
      <c r="AL70" s="185">
        <f t="shared" si="30"/>
        <v>639.75549836644382</v>
      </c>
      <c r="AM70" s="182">
        <f t="shared" si="31"/>
        <v>21</v>
      </c>
      <c r="AN70" s="571"/>
      <c r="AO70" s="188">
        <v>5</v>
      </c>
      <c r="AP70" s="188">
        <v>3199.8574918322192</v>
      </c>
      <c r="AQ70" s="185">
        <f t="shared" si="32"/>
        <v>639.97149836644383</v>
      </c>
      <c r="AR70" s="182">
        <f t="shared" si="33"/>
        <v>21</v>
      </c>
      <c r="AS70" s="571"/>
      <c r="AT70" s="188">
        <v>5</v>
      </c>
      <c r="AU70" s="188">
        <v>3199.4974918322187</v>
      </c>
      <c r="AV70" s="185">
        <f t="shared" si="34"/>
        <v>639.89949836644371</v>
      </c>
      <c r="AW70" s="182">
        <f t="shared" si="35"/>
        <v>21</v>
      </c>
      <c r="AX70" s="571"/>
    </row>
    <row r="71" spans="2:50" ht="14.25" customHeight="1">
      <c r="B71" s="572"/>
      <c r="C71" s="180">
        <v>25</v>
      </c>
      <c r="D71" s="183" t="s">
        <v>395</v>
      </c>
      <c r="E71" s="184">
        <v>5</v>
      </c>
      <c r="F71" s="180">
        <v>3600</v>
      </c>
      <c r="G71" s="185">
        <f t="shared" si="36"/>
        <v>720</v>
      </c>
      <c r="H71" s="573"/>
      <c r="I71" s="186">
        <f t="shared" si="23"/>
        <v>5</v>
      </c>
      <c r="J71" s="186">
        <f t="shared" si="23"/>
        <v>3190.26606535167</v>
      </c>
      <c r="K71" s="187">
        <f t="shared" si="23"/>
        <v>638.0532130703341</v>
      </c>
      <c r="L71" s="574"/>
      <c r="M71" s="186">
        <f>RANK(K71, K$47:$K$81)</f>
        <v>25</v>
      </c>
      <c r="N71" s="585"/>
      <c r="O71" s="575"/>
      <c r="P71" s="188">
        <v>5</v>
      </c>
      <c r="Q71" s="188">
        <v>3189.7517796373836</v>
      </c>
      <c r="R71" s="185">
        <f t="shared" si="20"/>
        <v>637.95035592747672</v>
      </c>
      <c r="S71" s="182">
        <f t="shared" si="24"/>
        <v>24</v>
      </c>
      <c r="T71" s="571"/>
      <c r="U71" s="188">
        <v>5</v>
      </c>
      <c r="V71" s="188">
        <v>3190.831779637384</v>
      </c>
      <c r="W71" s="185">
        <f t="shared" si="21"/>
        <v>638.16635592747684</v>
      </c>
      <c r="X71" s="182">
        <f t="shared" si="25"/>
        <v>25</v>
      </c>
      <c r="Y71" s="571"/>
      <c r="Z71" s="188">
        <v>5</v>
      </c>
      <c r="AA71" s="188">
        <v>3190.1117796373846</v>
      </c>
      <c r="AB71" s="185">
        <f t="shared" si="26"/>
        <v>638.02235592747695</v>
      </c>
      <c r="AC71" s="182">
        <f t="shared" si="27"/>
        <v>25</v>
      </c>
      <c r="AD71" s="571"/>
      <c r="AE71" s="188">
        <v>5</v>
      </c>
      <c r="AF71" s="188">
        <v>3190.1117796373846</v>
      </c>
      <c r="AG71" s="185">
        <f t="shared" si="28"/>
        <v>638.02235592747695</v>
      </c>
      <c r="AH71" s="182">
        <f t="shared" si="29"/>
        <v>25</v>
      </c>
      <c r="AI71" s="571"/>
      <c r="AJ71" s="188">
        <v>5</v>
      </c>
      <c r="AK71" s="188">
        <v>3189.0317796373852</v>
      </c>
      <c r="AL71" s="185">
        <f t="shared" si="30"/>
        <v>637.80635592747706</v>
      </c>
      <c r="AM71" s="182">
        <f t="shared" si="31"/>
        <v>26</v>
      </c>
      <c r="AN71" s="571"/>
      <c r="AO71" s="188">
        <v>5</v>
      </c>
      <c r="AP71" s="188">
        <v>3190.4717796373852</v>
      </c>
      <c r="AQ71" s="185">
        <f t="shared" si="32"/>
        <v>638.09435592747707</v>
      </c>
      <c r="AR71" s="182">
        <f t="shared" si="33"/>
        <v>26</v>
      </c>
      <c r="AS71" s="571"/>
      <c r="AT71" s="188">
        <v>5</v>
      </c>
      <c r="AU71" s="188">
        <v>3191.5517796373847</v>
      </c>
      <c r="AV71" s="185">
        <f t="shared" si="34"/>
        <v>638.31035592747696</v>
      </c>
      <c r="AW71" s="182">
        <f t="shared" si="35"/>
        <v>25</v>
      </c>
      <c r="AX71" s="571"/>
    </row>
    <row r="72" spans="2:50" ht="14.25" customHeight="1">
      <c r="B72" s="572"/>
      <c r="C72" s="180">
        <v>26</v>
      </c>
      <c r="D72" s="183" t="s">
        <v>397</v>
      </c>
      <c r="E72" s="184">
        <v>3</v>
      </c>
      <c r="F72" s="180">
        <v>3000</v>
      </c>
      <c r="G72" s="185">
        <f t="shared" si="36"/>
        <v>1000</v>
      </c>
      <c r="H72" s="573"/>
      <c r="I72" s="186">
        <f t="shared" si="23"/>
        <v>3</v>
      </c>
      <c r="J72" s="186">
        <f t="shared" si="23"/>
        <v>2712.9749379134505</v>
      </c>
      <c r="K72" s="187">
        <f t="shared" si="23"/>
        <v>904.32497930448346</v>
      </c>
      <c r="L72" s="574"/>
      <c r="M72" s="186">
        <f>RANK(K72, K$47:$K$81)</f>
        <v>15</v>
      </c>
      <c r="N72" s="585"/>
      <c r="O72" s="575"/>
      <c r="P72" s="188">
        <v>3</v>
      </c>
      <c r="Q72" s="188">
        <v>2713.6606521991648</v>
      </c>
      <c r="R72" s="185">
        <f t="shared" si="20"/>
        <v>904.55355073305498</v>
      </c>
      <c r="S72" s="182">
        <f t="shared" si="24"/>
        <v>14</v>
      </c>
      <c r="T72" s="571"/>
      <c r="U72" s="188">
        <v>3</v>
      </c>
      <c r="V72" s="188">
        <v>2713.3606521991651</v>
      </c>
      <c r="W72" s="185">
        <f t="shared" si="21"/>
        <v>904.45355073305507</v>
      </c>
      <c r="X72" s="182">
        <f t="shared" si="25"/>
        <v>14</v>
      </c>
      <c r="Y72" s="571"/>
      <c r="Z72" s="188">
        <v>3</v>
      </c>
      <c r="AA72" s="188">
        <v>2712.1606521991653</v>
      </c>
      <c r="AB72" s="185">
        <f t="shared" si="26"/>
        <v>904.05355073305509</v>
      </c>
      <c r="AC72" s="182">
        <f t="shared" si="27"/>
        <v>15</v>
      </c>
      <c r="AD72" s="571"/>
      <c r="AE72" s="188">
        <v>3</v>
      </c>
      <c r="AF72" s="188">
        <v>2712.7606521991647</v>
      </c>
      <c r="AG72" s="185">
        <f t="shared" si="28"/>
        <v>904.25355073305491</v>
      </c>
      <c r="AH72" s="182">
        <f t="shared" si="29"/>
        <v>15</v>
      </c>
      <c r="AI72" s="571"/>
      <c r="AJ72" s="188">
        <v>3</v>
      </c>
      <c r="AK72" s="188">
        <v>2712.1606521991644</v>
      </c>
      <c r="AL72" s="185">
        <f t="shared" si="30"/>
        <v>904.05355073305475</v>
      </c>
      <c r="AM72" s="182">
        <f t="shared" si="31"/>
        <v>15</v>
      </c>
      <c r="AN72" s="571"/>
      <c r="AO72" s="188">
        <v>3</v>
      </c>
      <c r="AP72" s="188">
        <v>2713.3606521991642</v>
      </c>
      <c r="AQ72" s="185">
        <f t="shared" si="32"/>
        <v>904.45355073305473</v>
      </c>
      <c r="AR72" s="182">
        <f t="shared" si="33"/>
        <v>15</v>
      </c>
      <c r="AS72" s="571"/>
      <c r="AT72" s="188">
        <v>3</v>
      </c>
      <c r="AU72" s="188">
        <v>2713.3606521991642</v>
      </c>
      <c r="AV72" s="185">
        <f t="shared" si="34"/>
        <v>904.45355073305473</v>
      </c>
      <c r="AW72" s="182">
        <f t="shared" si="35"/>
        <v>15</v>
      </c>
      <c r="AX72" s="571"/>
    </row>
    <row r="73" spans="2:50" ht="14.25" customHeight="1">
      <c r="B73" s="572"/>
      <c r="C73" s="180">
        <v>27</v>
      </c>
      <c r="D73" s="183" t="s">
        <v>436</v>
      </c>
      <c r="E73" s="184">
        <v>3</v>
      </c>
      <c r="F73" s="180">
        <v>3600</v>
      </c>
      <c r="G73" s="185">
        <f t="shared" si="36"/>
        <v>1200</v>
      </c>
      <c r="H73" s="573"/>
      <c r="I73" s="186">
        <f t="shared" si="23"/>
        <v>3</v>
      </c>
      <c r="J73" s="186">
        <f t="shared" si="23"/>
        <v>3197.6023507222039</v>
      </c>
      <c r="K73" s="187">
        <f t="shared" si="23"/>
        <v>1065.8674502407346</v>
      </c>
      <c r="L73" s="574"/>
      <c r="M73" s="186">
        <f>RANK(K73, K$47:$K$81)</f>
        <v>1</v>
      </c>
      <c r="N73" s="585"/>
      <c r="O73" s="575"/>
      <c r="P73" s="188">
        <v>3</v>
      </c>
      <c r="Q73" s="188">
        <v>3199.4023507222041</v>
      </c>
      <c r="R73" s="185">
        <f t="shared" si="20"/>
        <v>1066.4674502407347</v>
      </c>
      <c r="S73" s="182">
        <f t="shared" si="24"/>
        <v>1</v>
      </c>
      <c r="T73" s="571"/>
      <c r="U73" s="188">
        <v>3</v>
      </c>
      <c r="V73" s="188">
        <v>3197.9623507222041</v>
      </c>
      <c r="W73" s="185">
        <f t="shared" si="21"/>
        <v>1065.9874502407347</v>
      </c>
      <c r="X73" s="182">
        <f t="shared" si="25"/>
        <v>1</v>
      </c>
      <c r="Y73" s="571"/>
      <c r="Z73" s="188">
        <v>3</v>
      </c>
      <c r="AA73" s="188">
        <v>3197.9623507222041</v>
      </c>
      <c r="AB73" s="185">
        <f t="shared" si="26"/>
        <v>1065.9874502407347</v>
      </c>
      <c r="AC73" s="182">
        <f t="shared" si="27"/>
        <v>1</v>
      </c>
      <c r="AD73" s="571"/>
      <c r="AE73" s="188">
        <v>3</v>
      </c>
      <c r="AF73" s="188">
        <v>3197.2423507222034</v>
      </c>
      <c r="AG73" s="185">
        <f t="shared" si="28"/>
        <v>1065.7474502407345</v>
      </c>
      <c r="AH73" s="182">
        <f t="shared" si="29"/>
        <v>1</v>
      </c>
      <c r="AI73" s="571"/>
      <c r="AJ73" s="188">
        <v>3</v>
      </c>
      <c r="AK73" s="188">
        <v>3195.4423507222036</v>
      </c>
      <c r="AL73" s="185">
        <f t="shared" si="30"/>
        <v>1065.1474502407345</v>
      </c>
      <c r="AM73" s="182">
        <f t="shared" si="31"/>
        <v>2</v>
      </c>
      <c r="AN73" s="571"/>
      <c r="AO73" s="188">
        <v>3</v>
      </c>
      <c r="AP73" s="188">
        <v>3197.2423507222034</v>
      </c>
      <c r="AQ73" s="185">
        <f t="shared" si="32"/>
        <v>1065.7474502407345</v>
      </c>
      <c r="AR73" s="182">
        <f t="shared" si="33"/>
        <v>1</v>
      </c>
      <c r="AS73" s="571"/>
      <c r="AT73" s="188">
        <v>3</v>
      </c>
      <c r="AU73" s="188">
        <v>3197.9623507222032</v>
      </c>
      <c r="AV73" s="185">
        <f t="shared" si="34"/>
        <v>1065.9874502407345</v>
      </c>
      <c r="AW73" s="182">
        <f t="shared" si="35"/>
        <v>1</v>
      </c>
      <c r="AX73" s="571"/>
    </row>
    <row r="74" spans="2:50" ht="14.25" customHeight="1">
      <c r="B74" s="572"/>
      <c r="C74" s="180">
        <v>28</v>
      </c>
      <c r="D74" s="183" t="s">
        <v>442</v>
      </c>
      <c r="E74" s="184">
        <v>4</v>
      </c>
      <c r="F74" s="180">
        <v>3000</v>
      </c>
      <c r="G74" s="185">
        <f t="shared" si="36"/>
        <v>750</v>
      </c>
      <c r="H74" s="573"/>
      <c r="I74" s="186">
        <f t="shared" si="23"/>
        <v>4</v>
      </c>
      <c r="J74" s="186">
        <f t="shared" si="23"/>
        <v>2707.6175020317391</v>
      </c>
      <c r="K74" s="187">
        <f t="shared" si="23"/>
        <v>676.90437550793479</v>
      </c>
      <c r="L74" s="574"/>
      <c r="M74" s="186">
        <f>RANK(K74, K$47:$K$81)</f>
        <v>20</v>
      </c>
      <c r="N74" s="585"/>
      <c r="O74" s="575"/>
      <c r="P74" s="188">
        <v>4</v>
      </c>
      <c r="Q74" s="188">
        <v>2708.8175020317399</v>
      </c>
      <c r="R74" s="185">
        <f t="shared" si="20"/>
        <v>677.20437550793497</v>
      </c>
      <c r="S74" s="182">
        <f t="shared" si="24"/>
        <v>20</v>
      </c>
      <c r="T74" s="571"/>
      <c r="U74" s="188">
        <v>4</v>
      </c>
      <c r="V74" s="188">
        <v>2708.8175020317399</v>
      </c>
      <c r="W74" s="185">
        <f t="shared" si="21"/>
        <v>677.20437550793497</v>
      </c>
      <c r="X74" s="182">
        <f t="shared" si="25"/>
        <v>20</v>
      </c>
      <c r="Y74" s="571"/>
      <c r="Z74" s="188">
        <v>4</v>
      </c>
      <c r="AA74" s="188">
        <v>2708.5175020317397</v>
      </c>
      <c r="AB74" s="185">
        <f t="shared" si="26"/>
        <v>677.12937550793492</v>
      </c>
      <c r="AC74" s="182">
        <f t="shared" si="27"/>
        <v>20</v>
      </c>
      <c r="AD74" s="571"/>
      <c r="AE74" s="188">
        <v>4</v>
      </c>
      <c r="AF74" s="188">
        <v>2707.6175020317391</v>
      </c>
      <c r="AG74" s="185">
        <f t="shared" si="28"/>
        <v>676.90437550793479</v>
      </c>
      <c r="AH74" s="182">
        <f t="shared" si="29"/>
        <v>20</v>
      </c>
      <c r="AI74" s="571"/>
      <c r="AJ74" s="188">
        <v>4</v>
      </c>
      <c r="AK74" s="188">
        <v>2706.7175020317391</v>
      </c>
      <c r="AL74" s="185">
        <f t="shared" si="30"/>
        <v>676.67937550793476</v>
      </c>
      <c r="AM74" s="182">
        <f t="shared" si="31"/>
        <v>20</v>
      </c>
      <c r="AN74" s="571"/>
      <c r="AO74" s="188">
        <v>4</v>
      </c>
      <c r="AP74" s="188">
        <v>2707.0175020317392</v>
      </c>
      <c r="AQ74" s="185">
        <f t="shared" si="32"/>
        <v>676.75437550793481</v>
      </c>
      <c r="AR74" s="182">
        <f t="shared" si="33"/>
        <v>20</v>
      </c>
      <c r="AS74" s="571"/>
      <c r="AT74" s="188">
        <v>4</v>
      </c>
      <c r="AU74" s="188">
        <v>2705.8175020317394</v>
      </c>
      <c r="AV74" s="185">
        <f t="shared" si="34"/>
        <v>676.45437550793486</v>
      </c>
      <c r="AW74" s="182">
        <f t="shared" si="35"/>
        <v>20</v>
      </c>
      <c r="AX74" s="571"/>
    </row>
    <row r="75" spans="2:50" ht="14.25" customHeight="1">
      <c r="B75" s="572"/>
      <c r="C75" s="180">
        <v>29</v>
      </c>
      <c r="D75" s="183" t="s">
        <v>509</v>
      </c>
      <c r="E75" s="184">
        <v>5</v>
      </c>
      <c r="F75" s="180">
        <v>3000</v>
      </c>
      <c r="G75" s="185">
        <f t="shared" si="36"/>
        <v>600</v>
      </c>
      <c r="H75" s="573"/>
      <c r="I75" s="186">
        <f t="shared" si="23"/>
        <v>5</v>
      </c>
      <c r="J75" s="186">
        <f t="shared" si="23"/>
        <v>2707.191266156151</v>
      </c>
      <c r="K75" s="187">
        <f t="shared" si="23"/>
        <v>541.43825323123019</v>
      </c>
      <c r="L75" s="574"/>
      <c r="M75" s="186">
        <f>RANK(K75, K$47:$K$81)</f>
        <v>30</v>
      </c>
      <c r="N75" s="585"/>
      <c r="O75" s="575"/>
      <c r="P75" s="188">
        <v>5</v>
      </c>
      <c r="Q75" s="188">
        <v>2708.9484090132946</v>
      </c>
      <c r="R75" s="185">
        <f t="shared" si="20"/>
        <v>541.78968180265895</v>
      </c>
      <c r="S75" s="182">
        <f t="shared" si="24"/>
        <v>30</v>
      </c>
      <c r="T75" s="571"/>
      <c r="U75" s="188">
        <v>5</v>
      </c>
      <c r="V75" s="188">
        <v>2708.6484090132944</v>
      </c>
      <c r="W75" s="185">
        <f t="shared" si="21"/>
        <v>541.72968180265889</v>
      </c>
      <c r="X75" s="182">
        <f t="shared" si="25"/>
        <v>30</v>
      </c>
      <c r="Y75" s="571"/>
      <c r="Z75" s="188">
        <v>5</v>
      </c>
      <c r="AA75" s="188">
        <v>2707.4484090132946</v>
      </c>
      <c r="AB75" s="185">
        <f t="shared" si="26"/>
        <v>541.48968180265888</v>
      </c>
      <c r="AC75" s="182">
        <f t="shared" si="27"/>
        <v>30</v>
      </c>
      <c r="AD75" s="571"/>
      <c r="AE75" s="188">
        <v>5</v>
      </c>
      <c r="AF75" s="188">
        <v>2705.9484090132942</v>
      </c>
      <c r="AG75" s="185">
        <f t="shared" si="28"/>
        <v>541.18968180265881</v>
      </c>
      <c r="AH75" s="182">
        <f t="shared" si="29"/>
        <v>30</v>
      </c>
      <c r="AI75" s="571"/>
      <c r="AJ75" s="188">
        <v>5</v>
      </c>
      <c r="AK75" s="188">
        <v>2706.8484090132938</v>
      </c>
      <c r="AL75" s="185">
        <f t="shared" si="30"/>
        <v>541.36968180265876</v>
      </c>
      <c r="AM75" s="182">
        <f t="shared" si="31"/>
        <v>30</v>
      </c>
      <c r="AN75" s="571"/>
      <c r="AO75" s="188">
        <v>5</v>
      </c>
      <c r="AP75" s="188">
        <v>2706.5484090132941</v>
      </c>
      <c r="AQ75" s="185">
        <f t="shared" si="32"/>
        <v>541.30968180265882</v>
      </c>
      <c r="AR75" s="182">
        <f t="shared" si="33"/>
        <v>30</v>
      </c>
      <c r="AS75" s="571"/>
      <c r="AT75" s="188">
        <v>5</v>
      </c>
      <c r="AU75" s="188">
        <v>2705.9484090132937</v>
      </c>
      <c r="AV75" s="185">
        <f t="shared" si="34"/>
        <v>541.1896818026587</v>
      </c>
      <c r="AW75" s="182">
        <f t="shared" si="35"/>
        <v>30</v>
      </c>
      <c r="AX75" s="571"/>
    </row>
    <row r="76" spans="2:50" ht="14.25" customHeight="1">
      <c r="B76" s="572"/>
      <c r="C76" s="180">
        <v>30</v>
      </c>
      <c r="D76" s="183" t="s">
        <v>522</v>
      </c>
      <c r="E76" s="184">
        <v>3</v>
      </c>
      <c r="F76" s="180">
        <v>3300</v>
      </c>
      <c r="G76" s="185">
        <f t="shared" si="36"/>
        <v>1100</v>
      </c>
      <c r="H76" s="573"/>
      <c r="I76" s="186">
        <f t="shared" si="23"/>
        <v>3</v>
      </c>
      <c r="J76" s="186">
        <f t="shared" si="23"/>
        <v>2990.1731164466823</v>
      </c>
      <c r="K76" s="187">
        <f t="shared" si="23"/>
        <v>996.72437214889396</v>
      </c>
      <c r="L76" s="574"/>
      <c r="M76" s="186">
        <f>RANK(K76, K$47:$K$81)</f>
        <v>10</v>
      </c>
      <c r="N76" s="585"/>
      <c r="O76" s="575"/>
      <c r="P76" s="188">
        <v>3</v>
      </c>
      <c r="Q76" s="188">
        <v>2989.4188307323966</v>
      </c>
      <c r="R76" s="185">
        <f t="shared" si="20"/>
        <v>996.47294357746557</v>
      </c>
      <c r="S76" s="182">
        <f t="shared" si="24"/>
        <v>10</v>
      </c>
      <c r="T76" s="571"/>
      <c r="U76" s="188">
        <v>3</v>
      </c>
      <c r="V76" s="188">
        <v>2990.4088307323964</v>
      </c>
      <c r="W76" s="185">
        <f t="shared" si="21"/>
        <v>996.8029435774655</v>
      </c>
      <c r="X76" s="182">
        <f t="shared" si="25"/>
        <v>10</v>
      </c>
      <c r="Y76" s="571"/>
      <c r="Z76" s="188">
        <v>3</v>
      </c>
      <c r="AA76" s="188">
        <v>2990.0788307323965</v>
      </c>
      <c r="AB76" s="185">
        <f t="shared" si="26"/>
        <v>996.69294357746548</v>
      </c>
      <c r="AC76" s="182">
        <f t="shared" si="27"/>
        <v>10</v>
      </c>
      <c r="AD76" s="571"/>
      <c r="AE76" s="188">
        <v>3</v>
      </c>
      <c r="AF76" s="188">
        <v>2991.0688307323967</v>
      </c>
      <c r="AG76" s="185">
        <f t="shared" si="28"/>
        <v>997.02294357746553</v>
      </c>
      <c r="AH76" s="182">
        <f t="shared" si="29"/>
        <v>10</v>
      </c>
      <c r="AI76" s="571"/>
      <c r="AJ76" s="188">
        <v>3</v>
      </c>
      <c r="AK76" s="188">
        <v>2990.4088307323964</v>
      </c>
      <c r="AL76" s="185">
        <f t="shared" si="30"/>
        <v>996.8029435774655</v>
      </c>
      <c r="AM76" s="182">
        <f t="shared" si="31"/>
        <v>10</v>
      </c>
      <c r="AN76" s="571"/>
      <c r="AO76" s="188">
        <v>3</v>
      </c>
      <c r="AP76" s="188">
        <v>2990.4088307323959</v>
      </c>
      <c r="AQ76" s="185">
        <f t="shared" si="32"/>
        <v>996.80294357746527</v>
      </c>
      <c r="AR76" s="182">
        <f t="shared" si="33"/>
        <v>10</v>
      </c>
      <c r="AS76" s="571"/>
      <c r="AT76" s="188">
        <v>3</v>
      </c>
      <c r="AU76" s="188">
        <v>2989.4188307323966</v>
      </c>
      <c r="AV76" s="185">
        <f t="shared" si="34"/>
        <v>996.47294357746557</v>
      </c>
      <c r="AW76" s="182">
        <f t="shared" si="35"/>
        <v>10</v>
      </c>
      <c r="AX76" s="571"/>
    </row>
    <row r="77" spans="2:50" ht="14.25" customHeight="1">
      <c r="B77" s="572"/>
      <c r="C77" s="180">
        <v>31</v>
      </c>
      <c r="D77" s="183" t="s">
        <v>486</v>
      </c>
      <c r="E77" s="180">
        <v>13</v>
      </c>
      <c r="F77" s="180">
        <v>3600</v>
      </c>
      <c r="G77" s="185">
        <f t="shared" si="36"/>
        <v>276.92307692307691</v>
      </c>
      <c r="H77" s="573"/>
      <c r="I77" s="186">
        <f t="shared" si="23"/>
        <v>13</v>
      </c>
      <c r="J77" s="186">
        <f t="shared" si="23"/>
        <v>3257.6523398549684</v>
      </c>
      <c r="K77" s="187">
        <f t="shared" si="23"/>
        <v>250.5886415273053</v>
      </c>
      <c r="L77" s="574"/>
      <c r="M77" s="186">
        <f>RANK(K77, K$47:$K$81)</f>
        <v>33</v>
      </c>
      <c r="N77" s="585"/>
      <c r="O77" s="575"/>
      <c r="P77" s="188">
        <v>13</v>
      </c>
      <c r="Q77" s="188">
        <v>3257.3437684263968</v>
      </c>
      <c r="R77" s="185">
        <f t="shared" si="20"/>
        <v>250.56490526356899</v>
      </c>
      <c r="S77" s="182">
        <f t="shared" si="24"/>
        <v>33</v>
      </c>
      <c r="T77" s="571"/>
      <c r="U77" s="188">
        <v>13</v>
      </c>
      <c r="V77" s="188">
        <v>3257.7037684263969</v>
      </c>
      <c r="W77" s="185">
        <f t="shared" si="21"/>
        <v>250.59259757126131</v>
      </c>
      <c r="X77" s="182">
        <f t="shared" si="25"/>
        <v>33</v>
      </c>
      <c r="Y77" s="571"/>
      <c r="Z77" s="188">
        <v>13</v>
      </c>
      <c r="AA77" s="188">
        <v>3256.6237684263965</v>
      </c>
      <c r="AB77" s="185">
        <f t="shared" si="26"/>
        <v>250.50952064818435</v>
      </c>
      <c r="AC77" s="182">
        <f t="shared" si="27"/>
        <v>33</v>
      </c>
      <c r="AD77" s="571"/>
      <c r="AE77" s="188">
        <v>13</v>
      </c>
      <c r="AF77" s="188">
        <v>3256.623768426397</v>
      </c>
      <c r="AG77" s="185">
        <f t="shared" si="28"/>
        <v>250.50952064818438</v>
      </c>
      <c r="AH77" s="182">
        <f t="shared" si="29"/>
        <v>33</v>
      </c>
      <c r="AI77" s="571"/>
      <c r="AJ77" s="188">
        <v>13</v>
      </c>
      <c r="AK77" s="188">
        <v>3258.063768426397</v>
      </c>
      <c r="AL77" s="185">
        <f t="shared" si="30"/>
        <v>250.62028987895363</v>
      </c>
      <c r="AM77" s="182">
        <f t="shared" si="31"/>
        <v>33</v>
      </c>
      <c r="AN77" s="571"/>
      <c r="AO77" s="188">
        <v>13</v>
      </c>
      <c r="AP77" s="188">
        <v>3258.7837684263977</v>
      </c>
      <c r="AQ77" s="185">
        <f t="shared" si="32"/>
        <v>250.6756744943383</v>
      </c>
      <c r="AR77" s="182">
        <f t="shared" si="33"/>
        <v>33</v>
      </c>
      <c r="AS77" s="571"/>
      <c r="AT77" s="188">
        <v>13</v>
      </c>
      <c r="AU77" s="188">
        <v>3258.4237684263985</v>
      </c>
      <c r="AV77" s="185">
        <f t="shared" si="34"/>
        <v>250.64798218664603</v>
      </c>
      <c r="AW77" s="182">
        <f t="shared" si="35"/>
        <v>33</v>
      </c>
      <c r="AX77" s="571"/>
    </row>
    <row r="78" spans="2:50" ht="14.25" customHeight="1">
      <c r="B78" s="572"/>
      <c r="C78" s="180">
        <v>32</v>
      </c>
      <c r="D78" s="183" t="s">
        <v>345</v>
      </c>
      <c r="E78" s="180">
        <v>3</v>
      </c>
      <c r="F78" s="180">
        <v>3000</v>
      </c>
      <c r="G78" s="185">
        <f t="shared" si="36"/>
        <v>1000</v>
      </c>
      <c r="H78" s="573"/>
      <c r="I78" s="186">
        <f t="shared" ref="I78:K79" si="37">AVERAGE(P78,U78,Z78,AE78,AJ78,AO78,AT78)</f>
        <v>3</v>
      </c>
      <c r="J78" s="186">
        <f t="shared" si="37"/>
        <v>2714.8964646779395</v>
      </c>
      <c r="K78" s="187">
        <f t="shared" si="37"/>
        <v>904.96548822597993</v>
      </c>
      <c r="L78" s="574"/>
      <c r="M78" s="186">
        <f>RANK(K78, K$47:$K$81)</f>
        <v>13</v>
      </c>
      <c r="N78" s="585"/>
      <c r="O78" s="575"/>
      <c r="P78" s="188">
        <v>3</v>
      </c>
      <c r="Q78" s="188">
        <v>2714.1250361065113</v>
      </c>
      <c r="R78" s="185">
        <f t="shared" si="20"/>
        <v>904.70834536883706</v>
      </c>
      <c r="S78" s="182">
        <f t="shared" si="24"/>
        <v>13</v>
      </c>
      <c r="T78" s="571"/>
      <c r="U78" s="188">
        <v>3</v>
      </c>
      <c r="V78" s="188">
        <v>2714.1250361065113</v>
      </c>
      <c r="W78" s="185">
        <f t="shared" si="21"/>
        <v>904.70834536883706</v>
      </c>
      <c r="X78" s="182">
        <f t="shared" si="25"/>
        <v>13</v>
      </c>
      <c r="Y78" s="571"/>
      <c r="Z78" s="188">
        <v>3</v>
      </c>
      <c r="AA78" s="188">
        <v>2715.0250361065109</v>
      </c>
      <c r="AB78" s="185">
        <f t="shared" si="26"/>
        <v>905.00834536883701</v>
      </c>
      <c r="AC78" s="182">
        <f t="shared" si="27"/>
        <v>13</v>
      </c>
      <c r="AD78" s="571"/>
      <c r="AE78" s="188">
        <v>3</v>
      </c>
      <c r="AF78" s="188">
        <v>2715.0250361065109</v>
      </c>
      <c r="AG78" s="185">
        <f t="shared" si="28"/>
        <v>905.00834536883701</v>
      </c>
      <c r="AH78" s="182">
        <f t="shared" si="29"/>
        <v>13</v>
      </c>
      <c r="AI78" s="571"/>
      <c r="AJ78" s="188">
        <v>3</v>
      </c>
      <c r="AK78" s="188">
        <v>2714.7250361065112</v>
      </c>
      <c r="AL78" s="185">
        <f t="shared" si="30"/>
        <v>904.9083453688371</v>
      </c>
      <c r="AM78" s="182">
        <f t="shared" si="31"/>
        <v>13</v>
      </c>
      <c r="AN78" s="571"/>
      <c r="AO78" s="188">
        <v>3</v>
      </c>
      <c r="AP78" s="188">
        <v>2715.3250361065111</v>
      </c>
      <c r="AQ78" s="185">
        <f t="shared" si="32"/>
        <v>905.10834536883704</v>
      </c>
      <c r="AR78" s="182">
        <f t="shared" si="33"/>
        <v>13</v>
      </c>
      <c r="AS78" s="571"/>
      <c r="AT78" s="188">
        <v>3</v>
      </c>
      <c r="AU78" s="188">
        <v>2715.9250361065106</v>
      </c>
      <c r="AV78" s="185">
        <f t="shared" si="34"/>
        <v>905.30834536883685</v>
      </c>
      <c r="AW78" s="182">
        <f t="shared" si="35"/>
        <v>14</v>
      </c>
      <c r="AX78" s="571"/>
    </row>
    <row r="79" spans="2:50" ht="14.25" customHeight="1">
      <c r="B79" s="572"/>
      <c r="C79" s="180">
        <v>33</v>
      </c>
      <c r="D79" s="183" t="s">
        <v>438</v>
      </c>
      <c r="E79" s="180">
        <v>12</v>
      </c>
      <c r="F79" s="180">
        <v>3600</v>
      </c>
      <c r="G79" s="185">
        <f t="shared" si="36"/>
        <v>300</v>
      </c>
      <c r="H79" s="573"/>
      <c r="I79" s="186">
        <f t="shared" si="37"/>
        <v>12</v>
      </c>
      <c r="J79" s="186">
        <f t="shared" si="37"/>
        <v>3113.1000719312165</v>
      </c>
      <c r="K79" s="187">
        <f t="shared" si="37"/>
        <v>259.42500599426802</v>
      </c>
      <c r="L79" s="574"/>
      <c r="M79" s="186">
        <f>RANK(K79, K$47:$K$81)</f>
        <v>31</v>
      </c>
      <c r="N79" s="585"/>
      <c r="O79" s="575"/>
      <c r="P79" s="188">
        <v>12</v>
      </c>
      <c r="Q79" s="188">
        <v>3113.2029290740725</v>
      </c>
      <c r="R79" s="185">
        <f t="shared" si="20"/>
        <v>259.43357742283939</v>
      </c>
      <c r="S79" s="182">
        <f t="shared" si="24"/>
        <v>32</v>
      </c>
      <c r="T79" s="571"/>
      <c r="U79" s="188">
        <v>12</v>
      </c>
      <c r="V79" s="188">
        <v>3112.4829290740731</v>
      </c>
      <c r="W79" s="185">
        <f t="shared" si="21"/>
        <v>259.37357742283945</v>
      </c>
      <c r="X79" s="182">
        <f t="shared" si="25"/>
        <v>32</v>
      </c>
      <c r="Y79" s="571"/>
      <c r="Z79" s="188">
        <v>12</v>
      </c>
      <c r="AA79" s="188">
        <v>3113.9229290740736</v>
      </c>
      <c r="AB79" s="185">
        <f t="shared" si="26"/>
        <v>259.49357742283945</v>
      </c>
      <c r="AC79" s="182">
        <f t="shared" si="27"/>
        <v>31</v>
      </c>
      <c r="AD79" s="571"/>
      <c r="AE79" s="188">
        <v>12</v>
      </c>
      <c r="AF79" s="188">
        <v>3113.5629290740735</v>
      </c>
      <c r="AG79" s="185">
        <f t="shared" si="28"/>
        <v>259.46357742283948</v>
      </c>
      <c r="AH79" s="182">
        <f t="shared" si="29"/>
        <v>31</v>
      </c>
      <c r="AI79" s="571"/>
      <c r="AJ79" s="188">
        <v>12</v>
      </c>
      <c r="AK79" s="188">
        <v>3113.2029290740738</v>
      </c>
      <c r="AL79" s="185">
        <f t="shared" si="30"/>
        <v>259.43357742283951</v>
      </c>
      <c r="AM79" s="182">
        <f t="shared" si="31"/>
        <v>31</v>
      </c>
      <c r="AN79" s="571"/>
      <c r="AO79" s="188">
        <v>12</v>
      </c>
      <c r="AP79" s="188">
        <v>3112.8429290740737</v>
      </c>
      <c r="AQ79" s="185">
        <f t="shared" si="32"/>
        <v>259.40357742283948</v>
      </c>
      <c r="AR79" s="182">
        <f t="shared" si="33"/>
        <v>31</v>
      </c>
      <c r="AS79" s="571"/>
      <c r="AT79" s="188">
        <v>12</v>
      </c>
      <c r="AU79" s="188">
        <v>3112.4829290740731</v>
      </c>
      <c r="AV79" s="185">
        <f t="shared" si="34"/>
        <v>259.37357742283945</v>
      </c>
      <c r="AW79" s="182">
        <f t="shared" si="35"/>
        <v>31</v>
      </c>
      <c r="AX79" s="571"/>
    </row>
    <row r="80" spans="2:50" ht="14.25" customHeight="1">
      <c r="B80" s="572"/>
      <c r="C80" s="180">
        <v>34</v>
      </c>
      <c r="D80" s="183"/>
      <c r="E80" s="180"/>
      <c r="F80" s="180"/>
      <c r="G80" s="185"/>
      <c r="H80" s="573"/>
      <c r="I80" s="186"/>
      <c r="J80" s="186"/>
      <c r="K80" s="187"/>
      <c r="L80" s="574"/>
      <c r="M80" s="186"/>
      <c r="N80" s="585"/>
      <c r="O80" s="575"/>
      <c r="P80" s="188"/>
      <c r="Q80" s="188"/>
      <c r="R80" s="185"/>
      <c r="S80" s="182"/>
      <c r="T80" s="571"/>
      <c r="U80" s="188"/>
      <c r="V80" s="188"/>
      <c r="W80" s="185"/>
      <c r="X80" s="182"/>
      <c r="Y80" s="571"/>
      <c r="Z80" s="188"/>
      <c r="AA80" s="188"/>
      <c r="AB80" s="185"/>
      <c r="AC80" s="182"/>
      <c r="AD80" s="571"/>
      <c r="AE80" s="188"/>
      <c r="AF80" s="188"/>
      <c r="AG80" s="185"/>
      <c r="AH80" s="182"/>
      <c r="AI80" s="571"/>
      <c r="AJ80" s="188"/>
      <c r="AK80" s="188"/>
      <c r="AL80" s="185"/>
      <c r="AM80" s="182"/>
      <c r="AN80" s="571"/>
      <c r="AO80" s="188"/>
      <c r="AP80" s="188"/>
      <c r="AQ80" s="185"/>
      <c r="AR80" s="182"/>
      <c r="AS80" s="571"/>
      <c r="AT80" s="188"/>
      <c r="AU80" s="188"/>
      <c r="AV80" s="185"/>
      <c r="AW80" s="182"/>
      <c r="AX80" s="571"/>
    </row>
    <row r="81" spans="2:50" ht="14.25" customHeight="1">
      <c r="B81" s="572"/>
      <c r="C81" s="180">
        <v>35</v>
      </c>
      <c r="D81" s="183"/>
      <c r="E81" s="180"/>
      <c r="F81" s="180"/>
      <c r="G81" s="185"/>
      <c r="H81" s="573"/>
      <c r="I81" s="186"/>
      <c r="J81" s="186"/>
      <c r="K81" s="187"/>
      <c r="L81" s="574"/>
      <c r="M81" s="186"/>
      <c r="N81" s="585"/>
      <c r="O81" s="575"/>
      <c r="P81" s="188"/>
      <c r="Q81" s="188"/>
      <c r="R81" s="185"/>
      <c r="S81" s="182"/>
      <c r="T81" s="571"/>
      <c r="U81" s="188"/>
      <c r="V81" s="188"/>
      <c r="W81" s="185"/>
      <c r="X81" s="182"/>
      <c r="Y81" s="571"/>
      <c r="Z81" s="188"/>
      <c r="AA81" s="188"/>
      <c r="AB81" s="185"/>
      <c r="AC81" s="182"/>
      <c r="AD81" s="571"/>
      <c r="AE81" s="188"/>
      <c r="AF81" s="188"/>
      <c r="AG81" s="185"/>
      <c r="AH81" s="182"/>
      <c r="AI81" s="571"/>
      <c r="AJ81" s="188"/>
      <c r="AK81" s="188"/>
      <c r="AL81" s="185"/>
      <c r="AM81" s="182"/>
      <c r="AN81" s="571"/>
      <c r="AO81" s="188"/>
      <c r="AP81" s="188"/>
      <c r="AQ81" s="185"/>
      <c r="AR81" s="182"/>
      <c r="AS81" s="571"/>
      <c r="AT81" s="188"/>
      <c r="AU81" s="188"/>
      <c r="AV81" s="185"/>
      <c r="AW81" s="182"/>
      <c r="AX81" s="571"/>
    </row>
  </sheetData>
  <mergeCells count="118"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81"/>
    <mergeCell ref="O44:O8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81"/>
    <mergeCell ref="B47:B81"/>
    <mergeCell ref="H47:H81"/>
    <mergeCell ref="L47:L81"/>
    <mergeCell ref="T47:T81"/>
    <mergeCell ref="Y47:Y81"/>
    <mergeCell ref="AD47:AD81"/>
    <mergeCell ref="AI47:AI81"/>
    <mergeCell ref="AN47:AN81"/>
    <mergeCell ref="AS47:AS81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41"/>
    <mergeCell ref="O4:O4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41"/>
    <mergeCell ref="B7:B41"/>
    <mergeCell ref="H7:H41"/>
    <mergeCell ref="L7:L41"/>
    <mergeCell ref="T7:T41"/>
    <mergeCell ref="Y7:Y41"/>
    <mergeCell ref="AD7:AD41"/>
    <mergeCell ref="AI7:AI41"/>
    <mergeCell ref="AN7:AN41"/>
    <mergeCell ref="AS7:AS4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rgb="FFFFFFCC"/>
  </sheetPr>
  <dimension ref="A1:AX41"/>
  <sheetViews>
    <sheetView zoomScaleNormal="100" workbookViewId="0">
      <pane xSplit="13" ySplit="1" topLeftCell="N2" activePane="bottomRight" state="frozen"/>
      <selection activeCell="E31" sqref="E31"/>
      <selection pane="topRight" activeCell="E31" sqref="E31"/>
      <selection pane="bottomLeft" activeCell="E31" sqref="E31"/>
      <selection pane="bottomRight" activeCell="B22" sqref="B22:M2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55" t="s">
        <v>683</v>
      </c>
      <c r="C1" s="175">
        <f>AVERAGE(L27)</f>
        <v>298.03263700552321</v>
      </c>
    </row>
    <row r="2" spans="1:50" ht="14.25" customHeight="1">
      <c r="B2" s="586" t="s">
        <v>638</v>
      </c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8"/>
      <c r="N2" s="606" t="s">
        <v>364</v>
      </c>
      <c r="O2" s="606" t="s">
        <v>105</v>
      </c>
      <c r="P2" s="608">
        <v>46168</v>
      </c>
      <c r="Q2" s="609"/>
      <c r="R2" s="609"/>
      <c r="S2" s="609"/>
      <c r="T2" s="609"/>
      <c r="U2" s="610">
        <v>46169</v>
      </c>
      <c r="V2" s="611"/>
      <c r="W2" s="611"/>
      <c r="X2" s="611"/>
      <c r="Y2" s="611"/>
      <c r="Z2" s="608">
        <v>46170</v>
      </c>
      <c r="AA2" s="609"/>
      <c r="AB2" s="609"/>
      <c r="AC2" s="609"/>
      <c r="AD2" s="609"/>
      <c r="AE2" s="610">
        <v>46171</v>
      </c>
      <c r="AF2" s="611"/>
      <c r="AG2" s="611"/>
      <c r="AH2" s="611"/>
      <c r="AI2" s="611"/>
      <c r="AJ2" s="598">
        <v>46172</v>
      </c>
      <c r="AK2" s="599"/>
      <c r="AL2" s="599"/>
      <c r="AM2" s="599"/>
      <c r="AN2" s="600"/>
      <c r="AO2" s="610">
        <v>46173</v>
      </c>
      <c r="AP2" s="611"/>
      <c r="AQ2" s="611"/>
      <c r="AR2" s="611"/>
      <c r="AS2" s="611"/>
      <c r="AT2" s="598">
        <v>46174</v>
      </c>
      <c r="AU2" s="599"/>
      <c r="AV2" s="599"/>
      <c r="AW2" s="599"/>
      <c r="AX2" s="600"/>
    </row>
    <row r="3" spans="1:50" ht="14.25" customHeight="1"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90"/>
      <c r="N3" s="607"/>
      <c r="O3" s="607"/>
      <c r="P3" s="601">
        <v>46168</v>
      </c>
      <c r="Q3" s="601"/>
      <c r="R3" s="601"/>
      <c r="S3" s="601"/>
      <c r="T3" s="601"/>
      <c r="U3" s="602">
        <v>46169</v>
      </c>
      <c r="V3" s="602"/>
      <c r="W3" s="602"/>
      <c r="X3" s="602"/>
      <c r="Y3" s="602"/>
      <c r="Z3" s="601">
        <v>46170</v>
      </c>
      <c r="AA3" s="601"/>
      <c r="AB3" s="601"/>
      <c r="AC3" s="601"/>
      <c r="AD3" s="601"/>
      <c r="AE3" s="602">
        <v>46171</v>
      </c>
      <c r="AF3" s="602"/>
      <c r="AG3" s="602"/>
      <c r="AH3" s="602"/>
      <c r="AI3" s="602"/>
      <c r="AJ3" s="603">
        <v>46172</v>
      </c>
      <c r="AK3" s="604"/>
      <c r="AL3" s="604"/>
      <c r="AM3" s="604"/>
      <c r="AN3" s="605"/>
      <c r="AO3" s="602">
        <v>46173</v>
      </c>
      <c r="AP3" s="602"/>
      <c r="AQ3" s="602"/>
      <c r="AR3" s="602"/>
      <c r="AS3" s="602"/>
      <c r="AT3" s="603">
        <v>46174</v>
      </c>
      <c r="AU3" s="604"/>
      <c r="AV3" s="604"/>
      <c r="AW3" s="604"/>
      <c r="AX3" s="605"/>
    </row>
    <row r="4" spans="1:50" ht="14.25" customHeight="1">
      <c r="B4" s="572" t="s">
        <v>162</v>
      </c>
      <c r="C4" s="572" t="s">
        <v>157</v>
      </c>
      <c r="D4" s="572"/>
      <c r="E4" s="572" t="s">
        <v>158</v>
      </c>
      <c r="F4" s="572"/>
      <c r="G4" s="572"/>
      <c r="H4" s="572" t="s">
        <v>163</v>
      </c>
      <c r="I4" s="576" t="s">
        <v>365</v>
      </c>
      <c r="J4" s="576"/>
      <c r="K4" s="576"/>
      <c r="L4" s="576" t="s">
        <v>163</v>
      </c>
      <c r="M4" s="576" t="s">
        <v>165</v>
      </c>
      <c r="N4" s="572"/>
      <c r="O4" s="572" t="s">
        <v>164</v>
      </c>
      <c r="P4" s="572" t="s">
        <v>160</v>
      </c>
      <c r="Q4" s="572"/>
      <c r="R4" s="572"/>
      <c r="S4" s="572"/>
      <c r="T4" s="572" t="s">
        <v>163</v>
      </c>
      <c r="U4" s="572" t="s">
        <v>160</v>
      </c>
      <c r="V4" s="572"/>
      <c r="W4" s="572"/>
      <c r="X4" s="572"/>
      <c r="Y4" s="572" t="s">
        <v>163</v>
      </c>
      <c r="Z4" s="572" t="s">
        <v>160</v>
      </c>
      <c r="AA4" s="572"/>
      <c r="AB4" s="572"/>
      <c r="AC4" s="572"/>
      <c r="AD4" s="572" t="s">
        <v>163</v>
      </c>
      <c r="AE4" s="572" t="s">
        <v>160</v>
      </c>
      <c r="AF4" s="572"/>
      <c r="AG4" s="572"/>
      <c r="AH4" s="572"/>
      <c r="AI4" s="572" t="s">
        <v>163</v>
      </c>
      <c r="AJ4" s="572" t="s">
        <v>160</v>
      </c>
      <c r="AK4" s="572"/>
      <c r="AL4" s="572"/>
      <c r="AM4" s="572"/>
      <c r="AN4" s="572" t="s">
        <v>163</v>
      </c>
      <c r="AO4" s="572" t="s">
        <v>160</v>
      </c>
      <c r="AP4" s="572"/>
      <c r="AQ4" s="572"/>
      <c r="AR4" s="572"/>
      <c r="AS4" s="572" t="s">
        <v>163</v>
      </c>
      <c r="AT4" s="572" t="s">
        <v>160</v>
      </c>
      <c r="AU4" s="572"/>
      <c r="AV4" s="572"/>
      <c r="AW4" s="572"/>
      <c r="AX4" s="572" t="s">
        <v>163</v>
      </c>
    </row>
    <row r="5" spans="1:50" ht="14.25" customHeight="1">
      <c r="B5" s="572"/>
      <c r="C5" s="572"/>
      <c r="D5" s="572"/>
      <c r="E5" s="572" t="s">
        <v>366</v>
      </c>
      <c r="F5" s="572"/>
      <c r="G5" s="572"/>
      <c r="H5" s="572"/>
      <c r="I5" s="576" t="s">
        <v>366</v>
      </c>
      <c r="J5" s="576"/>
      <c r="K5" s="576"/>
      <c r="L5" s="576"/>
      <c r="M5" s="576"/>
      <c r="N5" s="572"/>
      <c r="O5" s="572"/>
      <c r="P5" s="572" t="s">
        <v>367</v>
      </c>
      <c r="Q5" s="572"/>
      <c r="R5" s="572"/>
      <c r="S5" s="572"/>
      <c r="T5" s="572"/>
      <c r="U5" s="572" t="s">
        <v>367</v>
      </c>
      <c r="V5" s="572"/>
      <c r="W5" s="572"/>
      <c r="X5" s="572"/>
      <c r="Y5" s="572"/>
      <c r="Z5" s="572" t="s">
        <v>367</v>
      </c>
      <c r="AA5" s="572"/>
      <c r="AB5" s="572"/>
      <c r="AC5" s="572"/>
      <c r="AD5" s="572"/>
      <c r="AE5" s="572" t="s">
        <v>367</v>
      </c>
      <c r="AF5" s="572"/>
      <c r="AG5" s="572"/>
      <c r="AH5" s="572"/>
      <c r="AI5" s="572"/>
      <c r="AJ5" s="572" t="s">
        <v>367</v>
      </c>
      <c r="AK5" s="572"/>
      <c r="AL5" s="572"/>
      <c r="AM5" s="572"/>
      <c r="AN5" s="572"/>
      <c r="AO5" s="572" t="s">
        <v>367</v>
      </c>
      <c r="AP5" s="572"/>
      <c r="AQ5" s="572"/>
      <c r="AR5" s="572"/>
      <c r="AS5" s="572"/>
      <c r="AT5" s="572" t="s">
        <v>367</v>
      </c>
      <c r="AU5" s="572"/>
      <c r="AV5" s="572"/>
      <c r="AW5" s="572"/>
      <c r="AX5" s="572"/>
    </row>
    <row r="6" spans="1:50" ht="14.25" customHeight="1">
      <c r="B6" s="572"/>
      <c r="C6" s="572"/>
      <c r="D6" s="572"/>
      <c r="E6" s="180" t="s">
        <v>159</v>
      </c>
      <c r="F6" s="180" t="s">
        <v>368</v>
      </c>
      <c r="G6" s="180" t="s">
        <v>161</v>
      </c>
      <c r="H6" s="572"/>
      <c r="I6" s="181" t="s">
        <v>159</v>
      </c>
      <c r="J6" s="181" t="s">
        <v>368</v>
      </c>
      <c r="K6" s="181" t="s">
        <v>161</v>
      </c>
      <c r="L6" s="576"/>
      <c r="M6" s="576"/>
      <c r="N6" s="572"/>
      <c r="O6" s="572"/>
      <c r="P6" s="180" t="s">
        <v>159</v>
      </c>
      <c r="Q6" s="180" t="s">
        <v>368</v>
      </c>
      <c r="R6" s="180" t="s">
        <v>161</v>
      </c>
      <c r="S6" s="182" t="s">
        <v>165</v>
      </c>
      <c r="T6" s="572"/>
      <c r="U6" s="180" t="s">
        <v>159</v>
      </c>
      <c r="V6" s="180" t="s">
        <v>368</v>
      </c>
      <c r="W6" s="180" t="s">
        <v>161</v>
      </c>
      <c r="X6" s="182" t="s">
        <v>165</v>
      </c>
      <c r="Y6" s="572"/>
      <c r="Z6" s="180" t="s">
        <v>159</v>
      </c>
      <c r="AA6" s="180" t="s">
        <v>368</v>
      </c>
      <c r="AB6" s="180" t="s">
        <v>161</v>
      </c>
      <c r="AC6" s="182" t="s">
        <v>165</v>
      </c>
      <c r="AD6" s="572"/>
      <c r="AE6" s="180" t="s">
        <v>159</v>
      </c>
      <c r="AF6" s="180" t="s">
        <v>368</v>
      </c>
      <c r="AG6" s="180" t="s">
        <v>161</v>
      </c>
      <c r="AH6" s="182" t="s">
        <v>165</v>
      </c>
      <c r="AI6" s="572"/>
      <c r="AJ6" s="180" t="s">
        <v>159</v>
      </c>
      <c r="AK6" s="180" t="s">
        <v>368</v>
      </c>
      <c r="AL6" s="180" t="s">
        <v>161</v>
      </c>
      <c r="AM6" s="182" t="s">
        <v>165</v>
      </c>
      <c r="AN6" s="572"/>
      <c r="AO6" s="180" t="s">
        <v>159</v>
      </c>
      <c r="AP6" s="180" t="s">
        <v>368</v>
      </c>
      <c r="AQ6" s="180" t="s">
        <v>161</v>
      </c>
      <c r="AR6" s="182" t="s">
        <v>165</v>
      </c>
      <c r="AS6" s="572"/>
      <c r="AT6" s="180" t="s">
        <v>159</v>
      </c>
      <c r="AU6" s="180" t="s">
        <v>368</v>
      </c>
      <c r="AV6" s="180" t="s">
        <v>161</v>
      </c>
      <c r="AW6" s="182" t="s">
        <v>165</v>
      </c>
      <c r="AX6" s="572"/>
    </row>
    <row r="7" spans="1:50" ht="14.25" customHeight="1">
      <c r="B7" s="572" t="s">
        <v>370</v>
      </c>
      <c r="C7" s="180">
        <v>1</v>
      </c>
      <c r="D7" s="183" t="s">
        <v>346</v>
      </c>
      <c r="E7" s="180">
        <v>10</v>
      </c>
      <c r="F7" s="180">
        <v>3600</v>
      </c>
      <c r="G7" s="185">
        <f t="shared" ref="G7:G9" si="0">F7/E7</f>
        <v>360</v>
      </c>
      <c r="H7" s="573">
        <f>AVERAGE(G7:G21)</f>
        <v>338.18181818181819</v>
      </c>
      <c r="I7" s="186">
        <f>AVERAGE(P7,U7,Z7,AE7,AJ7,AO7,AT7)</f>
        <v>10</v>
      </c>
      <c r="J7" s="186">
        <f>AVERAGE(Q7,V7,AA7,AF7,AK7,AP7,AU7)</f>
        <v>3205.7942364786863</v>
      </c>
      <c r="K7" s="187">
        <f>AVERAGE(R7,W7,AB7,AG7,AL7,AQ7,AV7)</f>
        <v>320.57942364786862</v>
      </c>
      <c r="L7" s="574">
        <f>IFERROR(AVERAGE(K7:K21),"-")</f>
        <v>297.77180396992856</v>
      </c>
      <c r="M7" s="186">
        <f>RANK(K7, K$7:$K$21)</f>
        <v>1</v>
      </c>
      <c r="N7" s="572"/>
      <c r="O7" s="572"/>
      <c r="P7" s="188">
        <v>10</v>
      </c>
      <c r="Q7" s="188">
        <v>3203.9536945970062</v>
      </c>
      <c r="R7" s="185">
        <f>IFERROR(Q7/P7,"")</f>
        <v>320.39536945970065</v>
      </c>
      <c r="S7" s="182">
        <f>RANK(R7, R$7:R$21)</f>
        <v>1</v>
      </c>
      <c r="T7" s="573">
        <f>AVERAGE(R7:R21)</f>
        <v>297.7603227037427</v>
      </c>
      <c r="U7" s="188">
        <v>10</v>
      </c>
      <c r="V7" s="188">
        <v>3205.0336945970062</v>
      </c>
      <c r="W7" s="185">
        <f t="shared" ref="W7:W9" si="1">IFERROR(V7/U7,"")</f>
        <v>320.50336945970059</v>
      </c>
      <c r="X7" s="182">
        <f>RANK(W7, W$7:W$21)</f>
        <v>1</v>
      </c>
      <c r="Y7" s="573">
        <f>AVERAGE(W7:W21)</f>
        <v>297.7308681582881</v>
      </c>
      <c r="Z7" s="188">
        <v>10</v>
      </c>
      <c r="AA7" s="188">
        <v>3204.3136945970055</v>
      </c>
      <c r="AB7" s="185">
        <f t="shared" ref="AB7:AB9" si="2">IFERROR(AA7/Z7,"")</f>
        <v>320.43136945970053</v>
      </c>
      <c r="AC7" s="182">
        <f>RANK(AB7, AB$7:AB$21)</f>
        <v>1</v>
      </c>
      <c r="AD7" s="573">
        <f>AVERAGE(AB7:AB21)</f>
        <v>297.66323179465172</v>
      </c>
      <c r="AE7" s="188">
        <v>10</v>
      </c>
      <c r="AF7" s="188">
        <v>3203.5936945970057</v>
      </c>
      <c r="AG7" s="185">
        <f>IFERROR(AF7/AE7,"")</f>
        <v>320.35936945970059</v>
      </c>
      <c r="AH7" s="182">
        <f>RANK(AG7, AG$7:AG$21)</f>
        <v>1</v>
      </c>
      <c r="AI7" s="573">
        <f>AVERAGE(AG7:AG21)</f>
        <v>297.66104997647</v>
      </c>
      <c r="AJ7" s="188">
        <v>10</v>
      </c>
      <c r="AK7" s="188">
        <v>3203.5936945970061</v>
      </c>
      <c r="AL7" s="185">
        <f t="shared" ref="AL7:AL9" si="3">IFERROR(AK7/AJ7,"")</f>
        <v>320.35936945970059</v>
      </c>
      <c r="AM7" s="182">
        <f>RANK(AL7, AL$7:AL$21)</f>
        <v>1</v>
      </c>
      <c r="AN7" s="573">
        <f>AVERAGE(AL7:AL21)</f>
        <v>297.73741361283356</v>
      </c>
      <c r="AO7" s="188">
        <v>10</v>
      </c>
      <c r="AP7" s="188">
        <v>3209.1355911828873</v>
      </c>
      <c r="AQ7" s="185">
        <f t="shared" ref="AQ7:AQ9" si="4">IFERROR(AP7/AO7,"")</f>
        <v>320.91355911828873</v>
      </c>
      <c r="AR7" s="182">
        <f>RANK(AQ7, AQ$7:AQ$21)</f>
        <v>1</v>
      </c>
      <c r="AS7" s="573">
        <f>AVERAGE(AQ7:AQ21)</f>
        <v>297.85668895357509</v>
      </c>
      <c r="AT7" s="188">
        <v>10</v>
      </c>
      <c r="AU7" s="188">
        <v>3210.935591182887</v>
      </c>
      <c r="AV7" s="185">
        <f t="shared" ref="AV7:AV9" si="5">IFERROR(AU7/AT7,"")</f>
        <v>321.09355911828868</v>
      </c>
      <c r="AW7" s="182">
        <f>RANK(AV7, AV$7:AV$21)</f>
        <v>1</v>
      </c>
      <c r="AX7" s="573">
        <f>AVERAGE(AV7:AV21)</f>
        <v>297.99305258993877</v>
      </c>
    </row>
    <row r="8" spans="1:50" ht="14.25" customHeight="1">
      <c r="B8" s="572"/>
      <c r="C8" s="180">
        <v>2</v>
      </c>
      <c r="D8" s="183" t="s">
        <v>523</v>
      </c>
      <c r="E8" s="180">
        <v>11</v>
      </c>
      <c r="F8" s="180">
        <v>3600</v>
      </c>
      <c r="G8" s="185">
        <f t="shared" si="0"/>
        <v>327.27272727272725</v>
      </c>
      <c r="H8" s="573"/>
      <c r="I8" s="186">
        <f t="shared" ref="I8:K9" si="6">AVERAGE(P8,U8,Z8,AE8,AJ8,AO8,AT8)</f>
        <v>11</v>
      </c>
      <c r="J8" s="186">
        <f t="shared" si="6"/>
        <v>3150.2151328282075</v>
      </c>
      <c r="K8" s="187">
        <f t="shared" si="6"/>
        <v>286.38319389347333</v>
      </c>
      <c r="L8" s="574"/>
      <c r="M8" s="186">
        <f>RANK(K8, K$7:$K$21)</f>
        <v>2</v>
      </c>
      <c r="N8" s="572"/>
      <c r="O8" s="572"/>
      <c r="P8" s="188">
        <v>11</v>
      </c>
      <c r="Q8" s="188">
        <v>3150.317989971064</v>
      </c>
      <c r="R8" s="185">
        <f t="shared" ref="R8:R9" si="7">IFERROR(Q8/P8,"")</f>
        <v>286.392544542824</v>
      </c>
      <c r="S8" s="182">
        <f t="shared" ref="S8:S9" si="8">RANK(R8, R$7:R$21)</f>
        <v>3</v>
      </c>
      <c r="T8" s="573"/>
      <c r="U8" s="188">
        <v>11</v>
      </c>
      <c r="V8" s="188">
        <v>3149.2379899710641</v>
      </c>
      <c r="W8" s="185">
        <f t="shared" si="1"/>
        <v>286.29436272464221</v>
      </c>
      <c r="X8" s="182">
        <f t="shared" ref="X8:X9" si="9">RANK(W8, W$7:W$21)</f>
        <v>3</v>
      </c>
      <c r="Y8" s="573"/>
      <c r="Z8" s="188">
        <v>11</v>
      </c>
      <c r="AA8" s="188">
        <v>3148.8779899710648</v>
      </c>
      <c r="AB8" s="185">
        <f t="shared" si="2"/>
        <v>286.26163545191497</v>
      </c>
      <c r="AC8" s="182">
        <f t="shared" ref="AC8:AC9" si="10">RANK(AB8, AB$7:AB$21)</f>
        <v>3</v>
      </c>
      <c r="AD8" s="573"/>
      <c r="AE8" s="188">
        <v>11</v>
      </c>
      <c r="AF8" s="188">
        <v>3150.3179899710644</v>
      </c>
      <c r="AG8" s="185">
        <f t="shared" ref="AG8:AG9" si="11">IFERROR(AF8/AE8,"")</f>
        <v>286.39254454282406</v>
      </c>
      <c r="AH8" s="182">
        <f t="shared" ref="AH8:AH9" si="12">RANK(AG8, AG$7:AG$21)</f>
        <v>2</v>
      </c>
      <c r="AI8" s="573"/>
      <c r="AJ8" s="188">
        <v>11</v>
      </c>
      <c r="AK8" s="188">
        <v>3151.0379899710642</v>
      </c>
      <c r="AL8" s="185">
        <f t="shared" si="3"/>
        <v>286.45799908827854</v>
      </c>
      <c r="AM8" s="182">
        <f t="shared" ref="AM8:AM9" si="13">RANK(AL8, AL$7:AL$21)</f>
        <v>2</v>
      </c>
      <c r="AN8" s="573"/>
      <c r="AO8" s="188">
        <v>11</v>
      </c>
      <c r="AP8" s="188">
        <v>3150.317989971064</v>
      </c>
      <c r="AQ8" s="185">
        <f t="shared" si="4"/>
        <v>286.392544542824</v>
      </c>
      <c r="AR8" s="182">
        <f t="shared" ref="AR8:AR9" si="14">RANK(AQ8, AQ$7:AQ$21)</f>
        <v>2</v>
      </c>
      <c r="AS8" s="573"/>
      <c r="AT8" s="188">
        <v>11</v>
      </c>
      <c r="AU8" s="188">
        <v>3151.3979899710635</v>
      </c>
      <c r="AV8" s="185">
        <f t="shared" si="5"/>
        <v>286.49072636100578</v>
      </c>
      <c r="AW8" s="182">
        <f t="shared" ref="AW8:AW9" si="15">RANK(AV8, AV$7:AV$21)</f>
        <v>2</v>
      </c>
      <c r="AX8" s="573"/>
    </row>
    <row r="9" spans="1:50" ht="14.25" customHeight="1">
      <c r="B9" s="572"/>
      <c r="C9" s="180">
        <v>3</v>
      </c>
      <c r="D9" s="183" t="s">
        <v>524</v>
      </c>
      <c r="E9" s="180">
        <v>11</v>
      </c>
      <c r="F9" s="180">
        <v>3600</v>
      </c>
      <c r="G9" s="185">
        <f t="shared" si="0"/>
        <v>327.27272727272725</v>
      </c>
      <c r="H9" s="573"/>
      <c r="I9" s="186">
        <f t="shared" si="6"/>
        <v>11</v>
      </c>
      <c r="J9" s="186">
        <f t="shared" si="6"/>
        <v>3149.880738052881</v>
      </c>
      <c r="K9" s="187">
        <f t="shared" si="6"/>
        <v>286.35279436844371</v>
      </c>
      <c r="L9" s="574"/>
      <c r="M9" s="186">
        <f>RANK(K9, K$7:$K$21)</f>
        <v>3</v>
      </c>
      <c r="N9" s="572"/>
      <c r="O9" s="572"/>
      <c r="P9" s="188">
        <v>11</v>
      </c>
      <c r="Q9" s="188">
        <v>3151.4235951957367</v>
      </c>
      <c r="R9" s="185">
        <f t="shared" si="7"/>
        <v>286.49305410870335</v>
      </c>
      <c r="S9" s="182">
        <f t="shared" si="8"/>
        <v>2</v>
      </c>
      <c r="T9" s="573"/>
      <c r="U9" s="188">
        <v>11</v>
      </c>
      <c r="V9" s="188">
        <v>3150.3435951957367</v>
      </c>
      <c r="W9" s="185">
        <f t="shared" si="1"/>
        <v>286.3948722905215</v>
      </c>
      <c r="X9" s="182">
        <f t="shared" si="9"/>
        <v>2</v>
      </c>
      <c r="Y9" s="573"/>
      <c r="Z9" s="188">
        <v>11</v>
      </c>
      <c r="AA9" s="188">
        <v>3149.2635951957377</v>
      </c>
      <c r="AB9" s="185">
        <f t="shared" si="2"/>
        <v>286.29669047233978</v>
      </c>
      <c r="AC9" s="182">
        <f t="shared" si="10"/>
        <v>2</v>
      </c>
      <c r="AD9" s="573"/>
      <c r="AE9" s="188">
        <v>11</v>
      </c>
      <c r="AF9" s="188">
        <v>3148.5435951957379</v>
      </c>
      <c r="AG9" s="185">
        <f t="shared" si="11"/>
        <v>286.23123592688529</v>
      </c>
      <c r="AH9" s="182">
        <f t="shared" si="12"/>
        <v>3</v>
      </c>
      <c r="AI9" s="573"/>
      <c r="AJ9" s="188">
        <v>11</v>
      </c>
      <c r="AK9" s="188">
        <v>3150.3435951957381</v>
      </c>
      <c r="AL9" s="185">
        <f t="shared" si="3"/>
        <v>286.39487229052162</v>
      </c>
      <c r="AM9" s="182">
        <f t="shared" si="13"/>
        <v>3</v>
      </c>
      <c r="AN9" s="573"/>
      <c r="AO9" s="188">
        <v>11</v>
      </c>
      <c r="AP9" s="188">
        <v>3148.9035951957389</v>
      </c>
      <c r="AQ9" s="185">
        <f t="shared" si="4"/>
        <v>286.26396319961265</v>
      </c>
      <c r="AR9" s="182">
        <f t="shared" si="14"/>
        <v>3</v>
      </c>
      <c r="AS9" s="573"/>
      <c r="AT9" s="188">
        <v>11</v>
      </c>
      <c r="AU9" s="188">
        <v>3150.3435951957395</v>
      </c>
      <c r="AV9" s="185">
        <f t="shared" si="5"/>
        <v>286.39487229052179</v>
      </c>
      <c r="AW9" s="182">
        <f t="shared" si="15"/>
        <v>3</v>
      </c>
      <c r="AX9" s="573"/>
    </row>
    <row r="10" spans="1:50" ht="14.25" customHeight="1">
      <c r="B10" s="572"/>
      <c r="C10" s="180">
        <v>4</v>
      </c>
      <c r="D10" s="183"/>
      <c r="E10" s="180"/>
      <c r="F10" s="180"/>
      <c r="G10" s="185"/>
      <c r="H10" s="573"/>
      <c r="I10" s="186"/>
      <c r="J10" s="186"/>
      <c r="K10" s="187"/>
      <c r="L10" s="574"/>
      <c r="M10" s="186"/>
      <c r="N10" s="572"/>
      <c r="O10" s="572"/>
      <c r="P10" s="188"/>
      <c r="Q10" s="188"/>
      <c r="R10" s="185"/>
      <c r="S10" s="182"/>
      <c r="T10" s="573"/>
      <c r="U10" s="188"/>
      <c r="V10" s="188"/>
      <c r="W10" s="185"/>
      <c r="X10" s="182"/>
      <c r="Y10" s="573"/>
      <c r="Z10" s="188"/>
      <c r="AA10" s="188"/>
      <c r="AB10" s="185"/>
      <c r="AC10" s="182"/>
      <c r="AD10" s="573"/>
      <c r="AE10" s="188"/>
      <c r="AF10" s="188"/>
      <c r="AG10" s="185"/>
      <c r="AH10" s="182"/>
      <c r="AI10" s="573"/>
      <c r="AJ10" s="188"/>
      <c r="AK10" s="188"/>
      <c r="AL10" s="185"/>
      <c r="AM10" s="182"/>
      <c r="AN10" s="573"/>
      <c r="AO10" s="188"/>
      <c r="AP10" s="188"/>
      <c r="AQ10" s="185"/>
      <c r="AR10" s="182"/>
      <c r="AS10" s="573"/>
      <c r="AT10" s="188"/>
      <c r="AU10" s="188"/>
      <c r="AV10" s="185"/>
      <c r="AW10" s="182"/>
      <c r="AX10" s="573"/>
    </row>
    <row r="11" spans="1:50" ht="14.25" customHeight="1">
      <c r="B11" s="572"/>
      <c r="C11" s="180">
        <v>5</v>
      </c>
      <c r="D11" s="183"/>
      <c r="E11" s="180"/>
      <c r="F11" s="180"/>
      <c r="G11" s="185"/>
      <c r="H11" s="573"/>
      <c r="I11" s="186"/>
      <c r="J11" s="186"/>
      <c r="K11" s="187"/>
      <c r="L11" s="574"/>
      <c r="M11" s="186"/>
      <c r="N11" s="572"/>
      <c r="O11" s="572"/>
      <c r="P11" s="188"/>
      <c r="Q11" s="188"/>
      <c r="R11" s="185"/>
      <c r="S11" s="182"/>
      <c r="T11" s="573"/>
      <c r="U11" s="188"/>
      <c r="V11" s="188"/>
      <c r="W11" s="185"/>
      <c r="X11" s="182"/>
      <c r="Y11" s="573"/>
      <c r="Z11" s="188"/>
      <c r="AA11" s="188"/>
      <c r="AB11" s="185"/>
      <c r="AC11" s="182"/>
      <c r="AD11" s="573"/>
      <c r="AE11" s="188"/>
      <c r="AF11" s="188"/>
      <c r="AG11" s="185"/>
      <c r="AH11" s="182"/>
      <c r="AI11" s="573"/>
      <c r="AJ11" s="188"/>
      <c r="AK11" s="188"/>
      <c r="AL11" s="185"/>
      <c r="AM11" s="182"/>
      <c r="AN11" s="573"/>
      <c r="AO11" s="188"/>
      <c r="AP11" s="188"/>
      <c r="AQ11" s="185"/>
      <c r="AR11" s="182"/>
      <c r="AS11" s="573"/>
      <c r="AT11" s="188"/>
      <c r="AU11" s="188"/>
      <c r="AV11" s="185"/>
      <c r="AW11" s="182"/>
      <c r="AX11" s="573"/>
    </row>
    <row r="12" spans="1:50" ht="14.25" customHeight="1">
      <c r="B12" s="572"/>
      <c r="C12" s="180">
        <v>6</v>
      </c>
      <c r="D12" s="183"/>
      <c r="E12" s="180"/>
      <c r="F12" s="180"/>
      <c r="G12" s="185"/>
      <c r="H12" s="573"/>
      <c r="I12" s="186"/>
      <c r="J12" s="186"/>
      <c r="K12" s="187"/>
      <c r="L12" s="574"/>
      <c r="M12" s="186"/>
      <c r="N12" s="572"/>
      <c r="O12" s="572"/>
      <c r="P12" s="188"/>
      <c r="Q12" s="188"/>
      <c r="R12" s="185"/>
      <c r="S12" s="182"/>
      <c r="T12" s="573"/>
      <c r="U12" s="188"/>
      <c r="V12" s="188"/>
      <c r="W12" s="185"/>
      <c r="X12" s="182"/>
      <c r="Y12" s="573"/>
      <c r="Z12" s="188"/>
      <c r="AA12" s="188"/>
      <c r="AB12" s="185"/>
      <c r="AC12" s="182"/>
      <c r="AD12" s="573"/>
      <c r="AE12" s="188"/>
      <c r="AF12" s="188"/>
      <c r="AG12" s="185"/>
      <c r="AH12" s="182"/>
      <c r="AI12" s="573"/>
      <c r="AJ12" s="188"/>
      <c r="AK12" s="188"/>
      <c r="AL12" s="185"/>
      <c r="AM12" s="182"/>
      <c r="AN12" s="573"/>
      <c r="AO12" s="188"/>
      <c r="AP12" s="188"/>
      <c r="AQ12" s="185"/>
      <c r="AR12" s="182"/>
      <c r="AS12" s="573"/>
      <c r="AT12" s="188"/>
      <c r="AU12" s="188"/>
      <c r="AV12" s="185"/>
      <c r="AW12" s="182"/>
      <c r="AX12" s="573"/>
    </row>
    <row r="13" spans="1:50" ht="14.25" customHeight="1">
      <c r="B13" s="572"/>
      <c r="C13" s="180">
        <v>7</v>
      </c>
      <c r="D13" s="183"/>
      <c r="E13" s="180"/>
      <c r="F13" s="180"/>
      <c r="G13" s="185"/>
      <c r="H13" s="573"/>
      <c r="I13" s="186"/>
      <c r="J13" s="186"/>
      <c r="K13" s="187"/>
      <c r="L13" s="574"/>
      <c r="M13" s="186"/>
      <c r="N13" s="572"/>
      <c r="O13" s="572"/>
      <c r="P13" s="188"/>
      <c r="Q13" s="188"/>
      <c r="R13" s="185"/>
      <c r="S13" s="182"/>
      <c r="T13" s="573"/>
      <c r="U13" s="188"/>
      <c r="V13" s="188"/>
      <c r="W13" s="185"/>
      <c r="X13" s="182"/>
      <c r="Y13" s="573"/>
      <c r="Z13" s="188"/>
      <c r="AA13" s="188"/>
      <c r="AB13" s="185"/>
      <c r="AC13" s="182"/>
      <c r="AD13" s="573"/>
      <c r="AE13" s="188"/>
      <c r="AF13" s="188"/>
      <c r="AG13" s="185"/>
      <c r="AH13" s="182"/>
      <c r="AI13" s="573"/>
      <c r="AJ13" s="188"/>
      <c r="AK13" s="188"/>
      <c r="AL13" s="185"/>
      <c r="AM13" s="182"/>
      <c r="AN13" s="573"/>
      <c r="AO13" s="188"/>
      <c r="AP13" s="188"/>
      <c r="AQ13" s="185"/>
      <c r="AR13" s="182"/>
      <c r="AS13" s="573"/>
      <c r="AT13" s="188"/>
      <c r="AU13" s="188"/>
      <c r="AV13" s="185"/>
      <c r="AW13" s="182"/>
      <c r="AX13" s="573"/>
    </row>
    <row r="14" spans="1:50" ht="14.25" customHeight="1">
      <c r="B14" s="572"/>
      <c r="C14" s="180">
        <v>8</v>
      </c>
      <c r="D14" s="183"/>
      <c r="E14" s="180"/>
      <c r="F14" s="180"/>
      <c r="G14" s="185"/>
      <c r="H14" s="573"/>
      <c r="I14" s="186"/>
      <c r="J14" s="186"/>
      <c r="K14" s="187"/>
      <c r="L14" s="574"/>
      <c r="M14" s="186"/>
      <c r="N14" s="572"/>
      <c r="O14" s="572"/>
      <c r="P14" s="188"/>
      <c r="Q14" s="188"/>
      <c r="R14" s="185"/>
      <c r="S14" s="182"/>
      <c r="T14" s="573"/>
      <c r="U14" s="188"/>
      <c r="V14" s="188"/>
      <c r="W14" s="185"/>
      <c r="X14" s="182"/>
      <c r="Y14" s="573"/>
      <c r="Z14" s="188"/>
      <c r="AA14" s="188"/>
      <c r="AB14" s="185"/>
      <c r="AC14" s="182"/>
      <c r="AD14" s="573"/>
      <c r="AE14" s="188"/>
      <c r="AF14" s="188"/>
      <c r="AG14" s="185"/>
      <c r="AH14" s="182"/>
      <c r="AI14" s="573"/>
      <c r="AJ14" s="188"/>
      <c r="AK14" s="188"/>
      <c r="AL14" s="185"/>
      <c r="AM14" s="182"/>
      <c r="AN14" s="573"/>
      <c r="AO14" s="188"/>
      <c r="AP14" s="188"/>
      <c r="AQ14" s="185"/>
      <c r="AR14" s="182"/>
      <c r="AS14" s="573"/>
      <c r="AT14" s="188"/>
      <c r="AU14" s="188"/>
      <c r="AV14" s="185"/>
      <c r="AW14" s="182"/>
      <c r="AX14" s="573"/>
    </row>
    <row r="15" spans="1:50" ht="14.25" customHeight="1">
      <c r="B15" s="572"/>
      <c r="C15" s="180">
        <v>9</v>
      </c>
      <c r="D15" s="183"/>
      <c r="E15" s="180"/>
      <c r="F15" s="180"/>
      <c r="G15" s="185"/>
      <c r="H15" s="573"/>
      <c r="I15" s="186"/>
      <c r="J15" s="186"/>
      <c r="K15" s="187"/>
      <c r="L15" s="574"/>
      <c r="M15" s="186"/>
      <c r="N15" s="572"/>
      <c r="O15" s="572"/>
      <c r="P15" s="188"/>
      <c r="Q15" s="188"/>
      <c r="R15" s="185"/>
      <c r="S15" s="182"/>
      <c r="T15" s="573"/>
      <c r="U15" s="188"/>
      <c r="V15" s="188"/>
      <c r="W15" s="185"/>
      <c r="X15" s="182"/>
      <c r="Y15" s="573"/>
      <c r="Z15" s="188"/>
      <c r="AA15" s="188"/>
      <c r="AB15" s="185"/>
      <c r="AC15" s="182"/>
      <c r="AD15" s="573"/>
      <c r="AE15" s="188"/>
      <c r="AF15" s="188"/>
      <c r="AG15" s="185"/>
      <c r="AH15" s="182"/>
      <c r="AI15" s="573"/>
      <c r="AJ15" s="188"/>
      <c r="AK15" s="188"/>
      <c r="AL15" s="185"/>
      <c r="AM15" s="182"/>
      <c r="AN15" s="573"/>
      <c r="AO15" s="188"/>
      <c r="AP15" s="188"/>
      <c r="AQ15" s="185"/>
      <c r="AR15" s="182"/>
      <c r="AS15" s="573"/>
      <c r="AT15" s="188"/>
      <c r="AU15" s="188"/>
      <c r="AV15" s="185"/>
      <c r="AW15" s="182"/>
      <c r="AX15" s="573"/>
    </row>
    <row r="16" spans="1:50" ht="14.25" customHeight="1">
      <c r="B16" s="572"/>
      <c r="C16" s="180">
        <v>10</v>
      </c>
      <c r="D16" s="183"/>
      <c r="E16" s="180"/>
      <c r="F16" s="180"/>
      <c r="G16" s="185"/>
      <c r="H16" s="573"/>
      <c r="I16" s="186"/>
      <c r="J16" s="186"/>
      <c r="K16" s="187"/>
      <c r="L16" s="574"/>
      <c r="M16" s="186"/>
      <c r="N16" s="572"/>
      <c r="O16" s="572"/>
      <c r="P16" s="188"/>
      <c r="Q16" s="188"/>
      <c r="R16" s="185"/>
      <c r="S16" s="182"/>
      <c r="T16" s="573"/>
      <c r="U16" s="188"/>
      <c r="V16" s="188"/>
      <c r="W16" s="185"/>
      <c r="X16" s="182"/>
      <c r="Y16" s="573"/>
      <c r="Z16" s="188"/>
      <c r="AA16" s="188"/>
      <c r="AB16" s="185"/>
      <c r="AC16" s="182"/>
      <c r="AD16" s="573"/>
      <c r="AE16" s="188"/>
      <c r="AF16" s="188"/>
      <c r="AG16" s="185"/>
      <c r="AH16" s="182"/>
      <c r="AI16" s="573"/>
      <c r="AJ16" s="188"/>
      <c r="AK16" s="188"/>
      <c r="AL16" s="185"/>
      <c r="AM16" s="182"/>
      <c r="AN16" s="573"/>
      <c r="AO16" s="188"/>
      <c r="AP16" s="188"/>
      <c r="AQ16" s="185"/>
      <c r="AR16" s="182"/>
      <c r="AS16" s="573"/>
      <c r="AT16" s="188"/>
      <c r="AU16" s="188"/>
      <c r="AV16" s="185"/>
      <c r="AW16" s="182"/>
      <c r="AX16" s="573"/>
    </row>
    <row r="17" spans="2:50" ht="14.25" customHeight="1">
      <c r="B17" s="572"/>
      <c r="C17" s="180">
        <v>11</v>
      </c>
      <c r="D17" s="183"/>
      <c r="E17" s="180"/>
      <c r="F17" s="180"/>
      <c r="G17" s="185"/>
      <c r="H17" s="573"/>
      <c r="I17" s="186"/>
      <c r="J17" s="186"/>
      <c r="K17" s="187"/>
      <c r="L17" s="574"/>
      <c r="M17" s="186"/>
      <c r="N17" s="572"/>
      <c r="O17" s="572"/>
      <c r="P17" s="188"/>
      <c r="Q17" s="188"/>
      <c r="R17" s="185"/>
      <c r="S17" s="182"/>
      <c r="T17" s="573"/>
      <c r="U17" s="188"/>
      <c r="V17" s="188"/>
      <c r="W17" s="185"/>
      <c r="X17" s="182"/>
      <c r="Y17" s="573"/>
      <c r="Z17" s="188"/>
      <c r="AA17" s="188"/>
      <c r="AB17" s="185"/>
      <c r="AC17" s="182"/>
      <c r="AD17" s="573"/>
      <c r="AE17" s="188"/>
      <c r="AF17" s="188"/>
      <c r="AG17" s="185"/>
      <c r="AH17" s="182"/>
      <c r="AI17" s="573"/>
      <c r="AJ17" s="188"/>
      <c r="AK17" s="188"/>
      <c r="AL17" s="185"/>
      <c r="AM17" s="182"/>
      <c r="AN17" s="573"/>
      <c r="AO17" s="188"/>
      <c r="AP17" s="188"/>
      <c r="AQ17" s="185"/>
      <c r="AR17" s="182"/>
      <c r="AS17" s="573"/>
      <c r="AT17" s="188"/>
      <c r="AU17" s="188"/>
      <c r="AV17" s="185"/>
      <c r="AW17" s="182"/>
      <c r="AX17" s="573"/>
    </row>
    <row r="18" spans="2:50" ht="14.25" customHeight="1">
      <c r="B18" s="572"/>
      <c r="C18" s="180">
        <v>12</v>
      </c>
      <c r="D18" s="183"/>
      <c r="E18" s="180"/>
      <c r="F18" s="180"/>
      <c r="G18" s="185"/>
      <c r="H18" s="573"/>
      <c r="I18" s="186"/>
      <c r="J18" s="186"/>
      <c r="K18" s="187"/>
      <c r="L18" s="574"/>
      <c r="M18" s="186"/>
      <c r="N18" s="572"/>
      <c r="O18" s="572"/>
      <c r="P18" s="188"/>
      <c r="Q18" s="188"/>
      <c r="R18" s="185"/>
      <c r="S18" s="182"/>
      <c r="T18" s="573"/>
      <c r="U18" s="188"/>
      <c r="V18" s="188"/>
      <c r="W18" s="185"/>
      <c r="X18" s="182"/>
      <c r="Y18" s="573"/>
      <c r="Z18" s="188"/>
      <c r="AA18" s="188"/>
      <c r="AB18" s="185"/>
      <c r="AC18" s="182"/>
      <c r="AD18" s="573"/>
      <c r="AE18" s="188"/>
      <c r="AF18" s="188"/>
      <c r="AG18" s="185"/>
      <c r="AH18" s="182"/>
      <c r="AI18" s="573"/>
      <c r="AJ18" s="188"/>
      <c r="AK18" s="188"/>
      <c r="AL18" s="185"/>
      <c r="AM18" s="182"/>
      <c r="AN18" s="573"/>
      <c r="AO18" s="188"/>
      <c r="AP18" s="188"/>
      <c r="AQ18" s="185"/>
      <c r="AR18" s="182"/>
      <c r="AS18" s="573"/>
      <c r="AT18" s="188"/>
      <c r="AU18" s="188"/>
      <c r="AV18" s="185"/>
      <c r="AW18" s="182"/>
      <c r="AX18" s="573"/>
    </row>
    <row r="19" spans="2:50" ht="14.25" customHeight="1">
      <c r="B19" s="572"/>
      <c r="C19" s="180">
        <v>13</v>
      </c>
      <c r="D19" s="183"/>
      <c r="E19" s="180"/>
      <c r="F19" s="180"/>
      <c r="G19" s="185"/>
      <c r="H19" s="573"/>
      <c r="I19" s="186"/>
      <c r="J19" s="186"/>
      <c r="K19" s="187"/>
      <c r="L19" s="574"/>
      <c r="M19" s="186"/>
      <c r="N19" s="572"/>
      <c r="O19" s="572"/>
      <c r="P19" s="188"/>
      <c r="Q19" s="188"/>
      <c r="R19" s="185"/>
      <c r="S19" s="182"/>
      <c r="T19" s="573"/>
      <c r="U19" s="188"/>
      <c r="V19" s="188"/>
      <c r="W19" s="185"/>
      <c r="X19" s="182"/>
      <c r="Y19" s="573"/>
      <c r="Z19" s="188"/>
      <c r="AA19" s="188"/>
      <c r="AB19" s="185"/>
      <c r="AC19" s="182"/>
      <c r="AD19" s="573"/>
      <c r="AE19" s="188"/>
      <c r="AF19" s="188"/>
      <c r="AG19" s="185"/>
      <c r="AH19" s="182"/>
      <c r="AI19" s="573"/>
      <c r="AJ19" s="188"/>
      <c r="AK19" s="188"/>
      <c r="AL19" s="185"/>
      <c r="AM19" s="182"/>
      <c r="AN19" s="573"/>
      <c r="AO19" s="188"/>
      <c r="AP19" s="188"/>
      <c r="AQ19" s="185"/>
      <c r="AR19" s="182"/>
      <c r="AS19" s="573"/>
      <c r="AT19" s="188"/>
      <c r="AU19" s="188"/>
      <c r="AV19" s="185"/>
      <c r="AW19" s="182"/>
      <c r="AX19" s="573"/>
    </row>
    <row r="20" spans="2:50" ht="14.25" customHeight="1">
      <c r="B20" s="572"/>
      <c r="C20" s="180">
        <v>14</v>
      </c>
      <c r="D20" s="183"/>
      <c r="E20" s="180"/>
      <c r="F20" s="180"/>
      <c r="G20" s="185"/>
      <c r="H20" s="573"/>
      <c r="I20" s="186"/>
      <c r="J20" s="186"/>
      <c r="K20" s="187"/>
      <c r="L20" s="574"/>
      <c r="M20" s="186"/>
      <c r="N20" s="572"/>
      <c r="O20" s="572"/>
      <c r="P20" s="188"/>
      <c r="Q20" s="188"/>
      <c r="R20" s="185"/>
      <c r="S20" s="182"/>
      <c r="T20" s="573"/>
      <c r="U20" s="188"/>
      <c r="V20" s="188"/>
      <c r="W20" s="185"/>
      <c r="X20" s="182"/>
      <c r="Y20" s="573"/>
      <c r="Z20" s="188"/>
      <c r="AA20" s="188"/>
      <c r="AB20" s="185"/>
      <c r="AC20" s="182"/>
      <c r="AD20" s="573"/>
      <c r="AE20" s="188"/>
      <c r="AF20" s="188"/>
      <c r="AG20" s="185"/>
      <c r="AH20" s="182"/>
      <c r="AI20" s="573"/>
      <c r="AJ20" s="188"/>
      <c r="AK20" s="188"/>
      <c r="AL20" s="185"/>
      <c r="AM20" s="182"/>
      <c r="AN20" s="573"/>
      <c r="AO20" s="188"/>
      <c r="AP20" s="188"/>
      <c r="AQ20" s="185"/>
      <c r="AR20" s="182"/>
      <c r="AS20" s="573"/>
      <c r="AT20" s="188"/>
      <c r="AU20" s="188"/>
      <c r="AV20" s="185"/>
      <c r="AW20" s="182"/>
      <c r="AX20" s="573"/>
    </row>
    <row r="21" spans="2:50" ht="14.25" customHeight="1">
      <c r="B21" s="572"/>
      <c r="C21" s="180">
        <v>15</v>
      </c>
      <c r="D21" s="183"/>
      <c r="E21" s="180"/>
      <c r="F21" s="180"/>
      <c r="G21" s="185"/>
      <c r="H21" s="573"/>
      <c r="I21" s="186"/>
      <c r="J21" s="186"/>
      <c r="K21" s="187"/>
      <c r="L21" s="574"/>
      <c r="M21" s="186"/>
      <c r="N21" s="572"/>
      <c r="O21" s="572"/>
      <c r="P21" s="188"/>
      <c r="Q21" s="188"/>
      <c r="R21" s="185"/>
      <c r="S21" s="182"/>
      <c r="T21" s="573"/>
      <c r="U21" s="188"/>
      <c r="V21" s="188"/>
      <c r="W21" s="185"/>
      <c r="X21" s="182"/>
      <c r="Y21" s="573"/>
      <c r="Z21" s="188"/>
      <c r="AA21" s="188"/>
      <c r="AB21" s="185"/>
      <c r="AC21" s="182"/>
      <c r="AD21" s="573"/>
      <c r="AE21" s="188"/>
      <c r="AF21" s="188"/>
      <c r="AG21" s="185"/>
      <c r="AH21" s="182"/>
      <c r="AI21" s="573"/>
      <c r="AJ21" s="188"/>
      <c r="AK21" s="188"/>
      <c r="AL21" s="185"/>
      <c r="AM21" s="182"/>
      <c r="AN21" s="573"/>
      <c r="AO21" s="188"/>
      <c r="AP21" s="188"/>
      <c r="AQ21" s="185"/>
      <c r="AR21" s="182"/>
      <c r="AS21" s="573"/>
      <c r="AT21" s="188"/>
      <c r="AU21" s="188"/>
      <c r="AV21" s="185"/>
      <c r="AW21" s="182"/>
      <c r="AX21" s="573"/>
    </row>
    <row r="22" spans="2:50" ht="14.25" customHeight="1">
      <c r="B22" s="597" t="s">
        <v>684</v>
      </c>
      <c r="C22" s="587"/>
      <c r="D22" s="587"/>
      <c r="E22" s="587"/>
      <c r="F22" s="587"/>
      <c r="G22" s="587"/>
      <c r="H22" s="587"/>
      <c r="I22" s="587"/>
      <c r="J22" s="587"/>
      <c r="K22" s="587"/>
      <c r="L22" s="587"/>
      <c r="M22" s="588"/>
      <c r="N22" s="606" t="s">
        <v>364</v>
      </c>
      <c r="O22" s="606" t="s">
        <v>105</v>
      </c>
      <c r="P22" s="608">
        <v>46175</v>
      </c>
      <c r="Q22" s="609"/>
      <c r="R22" s="609"/>
      <c r="S22" s="609"/>
      <c r="T22" s="609"/>
      <c r="U22" s="610">
        <v>46176</v>
      </c>
      <c r="V22" s="611"/>
      <c r="W22" s="611"/>
      <c r="X22" s="611"/>
      <c r="Y22" s="611"/>
      <c r="Z22" s="608">
        <v>46177</v>
      </c>
      <c r="AA22" s="609"/>
      <c r="AB22" s="609"/>
      <c r="AC22" s="609"/>
      <c r="AD22" s="609"/>
      <c r="AE22" s="610">
        <v>46178</v>
      </c>
      <c r="AF22" s="611"/>
      <c r="AG22" s="611"/>
      <c r="AH22" s="611"/>
      <c r="AI22" s="611"/>
      <c r="AJ22" s="598">
        <v>46179</v>
      </c>
      <c r="AK22" s="599"/>
      <c r="AL22" s="599"/>
      <c r="AM22" s="599"/>
      <c r="AN22" s="600"/>
      <c r="AO22" s="610">
        <v>46180</v>
      </c>
      <c r="AP22" s="611"/>
      <c r="AQ22" s="611"/>
      <c r="AR22" s="611"/>
      <c r="AS22" s="611"/>
      <c r="AT22" s="598">
        <v>46181</v>
      </c>
      <c r="AU22" s="599"/>
      <c r="AV22" s="599"/>
      <c r="AW22" s="599"/>
      <c r="AX22" s="600"/>
    </row>
    <row r="23" spans="2:50" ht="14.25" customHeight="1">
      <c r="B23" s="589"/>
      <c r="C23" s="589"/>
      <c r="D23" s="589"/>
      <c r="E23" s="589"/>
      <c r="F23" s="589"/>
      <c r="G23" s="589"/>
      <c r="H23" s="589"/>
      <c r="I23" s="589"/>
      <c r="J23" s="589"/>
      <c r="K23" s="589"/>
      <c r="L23" s="589"/>
      <c r="M23" s="590"/>
      <c r="N23" s="607"/>
      <c r="O23" s="607"/>
      <c r="P23" s="601">
        <v>46175</v>
      </c>
      <c r="Q23" s="601"/>
      <c r="R23" s="601"/>
      <c r="S23" s="601"/>
      <c r="T23" s="601"/>
      <c r="U23" s="602">
        <v>46176</v>
      </c>
      <c r="V23" s="602"/>
      <c r="W23" s="602"/>
      <c r="X23" s="602"/>
      <c r="Y23" s="602"/>
      <c r="Z23" s="601">
        <v>46177</v>
      </c>
      <c r="AA23" s="601"/>
      <c r="AB23" s="601"/>
      <c r="AC23" s="601"/>
      <c r="AD23" s="601"/>
      <c r="AE23" s="602">
        <v>46178</v>
      </c>
      <c r="AF23" s="602"/>
      <c r="AG23" s="602"/>
      <c r="AH23" s="602"/>
      <c r="AI23" s="602"/>
      <c r="AJ23" s="603">
        <v>46179</v>
      </c>
      <c r="AK23" s="604"/>
      <c r="AL23" s="604"/>
      <c r="AM23" s="604"/>
      <c r="AN23" s="605"/>
      <c r="AO23" s="602">
        <v>46180</v>
      </c>
      <c r="AP23" s="602"/>
      <c r="AQ23" s="602"/>
      <c r="AR23" s="602"/>
      <c r="AS23" s="602"/>
      <c r="AT23" s="603">
        <v>46181</v>
      </c>
      <c r="AU23" s="604"/>
      <c r="AV23" s="604"/>
      <c r="AW23" s="604"/>
      <c r="AX23" s="605"/>
    </row>
    <row r="24" spans="2:50" ht="14.25" customHeight="1">
      <c r="B24" s="572" t="s">
        <v>162</v>
      </c>
      <c r="C24" s="572" t="s">
        <v>157</v>
      </c>
      <c r="D24" s="572"/>
      <c r="E24" s="572" t="s">
        <v>158</v>
      </c>
      <c r="F24" s="572"/>
      <c r="G24" s="572"/>
      <c r="H24" s="572" t="s">
        <v>163</v>
      </c>
      <c r="I24" s="576" t="s">
        <v>365</v>
      </c>
      <c r="J24" s="576"/>
      <c r="K24" s="576"/>
      <c r="L24" s="576" t="s">
        <v>163</v>
      </c>
      <c r="M24" s="576" t="s">
        <v>165</v>
      </c>
      <c r="N24" s="572"/>
      <c r="O24" s="572" t="s">
        <v>164</v>
      </c>
      <c r="P24" s="572" t="s">
        <v>160</v>
      </c>
      <c r="Q24" s="572"/>
      <c r="R24" s="572"/>
      <c r="S24" s="572"/>
      <c r="T24" s="572" t="s">
        <v>163</v>
      </c>
      <c r="U24" s="572" t="s">
        <v>160</v>
      </c>
      <c r="V24" s="572"/>
      <c r="W24" s="572"/>
      <c r="X24" s="572"/>
      <c r="Y24" s="572" t="s">
        <v>163</v>
      </c>
      <c r="Z24" s="572" t="s">
        <v>160</v>
      </c>
      <c r="AA24" s="572"/>
      <c r="AB24" s="572"/>
      <c r="AC24" s="572"/>
      <c r="AD24" s="572" t="s">
        <v>163</v>
      </c>
      <c r="AE24" s="572" t="s">
        <v>160</v>
      </c>
      <c r="AF24" s="572"/>
      <c r="AG24" s="572"/>
      <c r="AH24" s="572"/>
      <c r="AI24" s="572" t="s">
        <v>163</v>
      </c>
      <c r="AJ24" s="572" t="s">
        <v>160</v>
      </c>
      <c r="AK24" s="572"/>
      <c r="AL24" s="572"/>
      <c r="AM24" s="572"/>
      <c r="AN24" s="572" t="s">
        <v>163</v>
      </c>
      <c r="AO24" s="572" t="s">
        <v>160</v>
      </c>
      <c r="AP24" s="572"/>
      <c r="AQ24" s="572"/>
      <c r="AR24" s="572"/>
      <c r="AS24" s="572" t="s">
        <v>163</v>
      </c>
      <c r="AT24" s="572" t="s">
        <v>160</v>
      </c>
      <c r="AU24" s="572"/>
      <c r="AV24" s="572"/>
      <c r="AW24" s="572"/>
      <c r="AX24" s="572" t="s">
        <v>163</v>
      </c>
    </row>
    <row r="25" spans="2:50" ht="14.25" customHeight="1">
      <c r="B25" s="572"/>
      <c r="C25" s="572"/>
      <c r="D25" s="572"/>
      <c r="E25" s="572" t="s">
        <v>366</v>
      </c>
      <c r="F25" s="572"/>
      <c r="G25" s="572"/>
      <c r="H25" s="572"/>
      <c r="I25" s="576" t="s">
        <v>366</v>
      </c>
      <c r="J25" s="576"/>
      <c r="K25" s="576"/>
      <c r="L25" s="576"/>
      <c r="M25" s="576"/>
      <c r="N25" s="572"/>
      <c r="O25" s="572"/>
      <c r="P25" s="572" t="s">
        <v>367</v>
      </c>
      <c r="Q25" s="572"/>
      <c r="R25" s="572"/>
      <c r="S25" s="572"/>
      <c r="T25" s="572"/>
      <c r="U25" s="572" t="s">
        <v>367</v>
      </c>
      <c r="V25" s="572"/>
      <c r="W25" s="572"/>
      <c r="X25" s="572"/>
      <c r="Y25" s="572"/>
      <c r="Z25" s="572" t="s">
        <v>367</v>
      </c>
      <c r="AA25" s="572"/>
      <c r="AB25" s="572"/>
      <c r="AC25" s="572"/>
      <c r="AD25" s="572"/>
      <c r="AE25" s="572" t="s">
        <v>367</v>
      </c>
      <c r="AF25" s="572"/>
      <c r="AG25" s="572"/>
      <c r="AH25" s="572"/>
      <c r="AI25" s="572"/>
      <c r="AJ25" s="572" t="s">
        <v>367</v>
      </c>
      <c r="AK25" s="572"/>
      <c r="AL25" s="572"/>
      <c r="AM25" s="572"/>
      <c r="AN25" s="572"/>
      <c r="AO25" s="572" t="s">
        <v>367</v>
      </c>
      <c r="AP25" s="572"/>
      <c r="AQ25" s="572"/>
      <c r="AR25" s="572"/>
      <c r="AS25" s="572"/>
      <c r="AT25" s="572" t="s">
        <v>367</v>
      </c>
      <c r="AU25" s="572"/>
      <c r="AV25" s="572"/>
      <c r="AW25" s="572"/>
      <c r="AX25" s="572"/>
    </row>
    <row r="26" spans="2:50" ht="14.25" customHeight="1">
      <c r="B26" s="572"/>
      <c r="C26" s="572"/>
      <c r="D26" s="572"/>
      <c r="E26" s="180" t="s">
        <v>159</v>
      </c>
      <c r="F26" s="180" t="s">
        <v>368</v>
      </c>
      <c r="G26" s="180" t="s">
        <v>161</v>
      </c>
      <c r="H26" s="572"/>
      <c r="I26" s="181" t="s">
        <v>159</v>
      </c>
      <c r="J26" s="181" t="s">
        <v>368</v>
      </c>
      <c r="K26" s="181" t="s">
        <v>161</v>
      </c>
      <c r="L26" s="576"/>
      <c r="M26" s="576"/>
      <c r="N26" s="572"/>
      <c r="O26" s="572"/>
      <c r="P26" s="180" t="s">
        <v>159</v>
      </c>
      <c r="Q26" s="180" t="s">
        <v>368</v>
      </c>
      <c r="R26" s="180" t="s">
        <v>161</v>
      </c>
      <c r="S26" s="182" t="s">
        <v>165</v>
      </c>
      <c r="T26" s="572"/>
      <c r="U26" s="180" t="s">
        <v>159</v>
      </c>
      <c r="V26" s="180" t="s">
        <v>368</v>
      </c>
      <c r="W26" s="180" t="s">
        <v>161</v>
      </c>
      <c r="X26" s="182" t="s">
        <v>165</v>
      </c>
      <c r="Y26" s="572"/>
      <c r="Z26" s="180" t="s">
        <v>159</v>
      </c>
      <c r="AA26" s="180" t="s">
        <v>368</v>
      </c>
      <c r="AB26" s="180" t="s">
        <v>161</v>
      </c>
      <c r="AC26" s="182" t="s">
        <v>165</v>
      </c>
      <c r="AD26" s="572"/>
      <c r="AE26" s="180" t="s">
        <v>159</v>
      </c>
      <c r="AF26" s="180" t="s">
        <v>368</v>
      </c>
      <c r="AG26" s="180" t="s">
        <v>161</v>
      </c>
      <c r="AH26" s="182" t="s">
        <v>165</v>
      </c>
      <c r="AI26" s="572"/>
      <c r="AJ26" s="180" t="s">
        <v>159</v>
      </c>
      <c r="AK26" s="180" t="s">
        <v>368</v>
      </c>
      <c r="AL26" s="180" t="s">
        <v>161</v>
      </c>
      <c r="AM26" s="182" t="s">
        <v>165</v>
      </c>
      <c r="AN26" s="572"/>
      <c r="AO26" s="180" t="s">
        <v>159</v>
      </c>
      <c r="AP26" s="180" t="s">
        <v>368</v>
      </c>
      <c r="AQ26" s="180" t="s">
        <v>161</v>
      </c>
      <c r="AR26" s="182" t="s">
        <v>165</v>
      </c>
      <c r="AS26" s="572"/>
      <c r="AT26" s="180" t="s">
        <v>159</v>
      </c>
      <c r="AU26" s="180" t="s">
        <v>368</v>
      </c>
      <c r="AV26" s="180" t="s">
        <v>161</v>
      </c>
      <c r="AW26" s="182" t="s">
        <v>165</v>
      </c>
      <c r="AX26" s="572"/>
    </row>
    <row r="27" spans="2:50" ht="14.25" customHeight="1">
      <c r="B27" s="572" t="s">
        <v>370</v>
      </c>
      <c r="C27" s="180">
        <v>1</v>
      </c>
      <c r="D27" s="183" t="s">
        <v>346</v>
      </c>
      <c r="E27" s="180">
        <v>10</v>
      </c>
      <c r="F27" s="180">
        <v>3600</v>
      </c>
      <c r="G27" s="185">
        <f t="shared" ref="G27:G29" si="16">F27/E27</f>
        <v>360</v>
      </c>
      <c r="H27" s="573">
        <f>AVERAGE(G27:G41)</f>
        <v>338.18181818181819</v>
      </c>
      <c r="I27" s="186">
        <f>AVERAGE(P27,U27,Z27,AE27,AJ27,AO27,AT27)</f>
        <v>10</v>
      </c>
      <c r="J27" s="186">
        <f>AVERAGE(Q27,V27,AA27,AF27,AK27,AP27,AU27)</f>
        <v>3211.1413054686013</v>
      </c>
      <c r="K27" s="187">
        <f>AVERAGE(R27,W27,AB27,AG27,AL27,AQ27,AV27)</f>
        <v>321.11413054686011</v>
      </c>
      <c r="L27" s="574">
        <f>IFERROR(AVERAGE(K27:K41),"-")</f>
        <v>298.03263700552321</v>
      </c>
      <c r="M27" s="186">
        <f>RANK(K27, K$27:$K$41)</f>
        <v>1</v>
      </c>
      <c r="N27" s="572"/>
      <c r="O27" s="572"/>
      <c r="P27" s="188">
        <v>10</v>
      </c>
      <c r="Q27" s="188">
        <v>3211.2955911828867</v>
      </c>
      <c r="R27" s="185">
        <f>IFERROR(Q27/P27,"")</f>
        <v>321.12955911828868</v>
      </c>
      <c r="S27" s="182">
        <f>RANK(R27, R$27:R$41)</f>
        <v>1</v>
      </c>
      <c r="T27" s="573">
        <f>AVERAGE(R27:R41)</f>
        <v>298.03777986266601</v>
      </c>
      <c r="U27" s="188">
        <v>10</v>
      </c>
      <c r="V27" s="188">
        <v>3212.7355911828868</v>
      </c>
      <c r="W27" s="185">
        <f t="shared" ref="W27:W29" si="17">IFERROR(V27/U27,"")</f>
        <v>321.27355911828869</v>
      </c>
      <c r="X27" s="182">
        <f>RANK(W27, W$27:W$41)</f>
        <v>1</v>
      </c>
      <c r="Y27" s="573">
        <f>AVERAGE(W27:W41)</f>
        <v>298.09668895357521</v>
      </c>
      <c r="Z27" s="188">
        <v>10</v>
      </c>
      <c r="AA27" s="188">
        <v>3213.0955911828869</v>
      </c>
      <c r="AB27" s="185">
        <f t="shared" ref="AB27:AB29" si="18">IFERROR(AA27/Z27,"")</f>
        <v>321.30955911828869</v>
      </c>
      <c r="AC27" s="182">
        <f>RANK(AB27, AB$27:AB$41)</f>
        <v>1</v>
      </c>
      <c r="AD27" s="573">
        <f>AVERAGE(AB27:AB41)</f>
        <v>298.17414349902975</v>
      </c>
      <c r="AE27" s="188">
        <v>10</v>
      </c>
      <c r="AF27" s="188">
        <v>3211.6555911828864</v>
      </c>
      <c r="AG27" s="185">
        <f>IFERROR(AF27/AE27,"")</f>
        <v>321.16555911828863</v>
      </c>
      <c r="AH27" s="182">
        <f>RANK(AG27, AG$27:AG$41)</f>
        <v>1</v>
      </c>
      <c r="AI27" s="573">
        <f>AVERAGE(AG27:AG41)</f>
        <v>298.04977986266613</v>
      </c>
      <c r="AJ27" s="188">
        <v>10</v>
      </c>
      <c r="AK27" s="188">
        <v>3211.2955911828863</v>
      </c>
      <c r="AL27" s="185">
        <f t="shared" ref="AL27:AL29" si="19">IFERROR(AK27/AJ27,"")</f>
        <v>321.12955911828863</v>
      </c>
      <c r="AM27" s="182">
        <f>RANK(AL27, AL$27:AL$41)</f>
        <v>1</v>
      </c>
      <c r="AN27" s="573">
        <f>AVERAGE(AL27:AL41)</f>
        <v>298.02687077175705</v>
      </c>
      <c r="AO27" s="188">
        <v>10</v>
      </c>
      <c r="AP27" s="188">
        <v>3209.4955911828865</v>
      </c>
      <c r="AQ27" s="185">
        <f t="shared" ref="AQ27:AQ29" si="20">IFERROR(AP27/AO27,"")</f>
        <v>320.94955911828868</v>
      </c>
      <c r="AR27" s="182">
        <f>RANK(AQ27, AQ$27:AQ$41)</f>
        <v>1</v>
      </c>
      <c r="AS27" s="573">
        <f>AVERAGE(AQ27:AQ41)</f>
        <v>297.97777986266618</v>
      </c>
      <c r="AT27" s="188">
        <v>10</v>
      </c>
      <c r="AU27" s="188">
        <v>3208.4155911828875</v>
      </c>
      <c r="AV27" s="185">
        <f t="shared" ref="AV27:AV29" si="21">IFERROR(AU27/AT27,"")</f>
        <v>320.84155911828873</v>
      </c>
      <c r="AW27" s="182">
        <f>RANK(AV27, AV$27:AV$41)</f>
        <v>1</v>
      </c>
      <c r="AX27" s="573">
        <f>AVERAGE(AV27:AV41)</f>
        <v>297.8654162263025</v>
      </c>
    </row>
    <row r="28" spans="2:50" ht="14.25" customHeight="1">
      <c r="B28" s="572"/>
      <c r="C28" s="180">
        <v>2</v>
      </c>
      <c r="D28" s="183" t="s">
        <v>523</v>
      </c>
      <c r="E28" s="180">
        <v>11</v>
      </c>
      <c r="F28" s="180">
        <v>3600</v>
      </c>
      <c r="G28" s="185">
        <f t="shared" si="16"/>
        <v>327.27272727272725</v>
      </c>
      <c r="H28" s="573"/>
      <c r="I28" s="186">
        <f t="shared" ref="I28:K29" si="22">AVERAGE(P28,U28,Z28,AE28,AJ28,AO28,AT28)</f>
        <v>11</v>
      </c>
      <c r="J28" s="186">
        <f t="shared" si="22"/>
        <v>3152.0151328282082</v>
      </c>
      <c r="K28" s="187">
        <f t="shared" si="22"/>
        <v>286.54683025710983</v>
      </c>
      <c r="L28" s="574"/>
      <c r="M28" s="186">
        <f>RANK(K28, K$27:$K$41)</f>
        <v>2</v>
      </c>
      <c r="N28" s="572"/>
      <c r="O28" s="572"/>
      <c r="P28" s="188">
        <v>11</v>
      </c>
      <c r="Q28" s="188">
        <v>3151.3979899710635</v>
      </c>
      <c r="R28" s="185">
        <f t="shared" ref="R28:R29" si="23">IFERROR(Q28/P28,"")</f>
        <v>286.49072636100578</v>
      </c>
      <c r="S28" s="182">
        <f t="shared" ref="S28:S29" si="24">RANK(R28, R$27:R$41)</f>
        <v>3</v>
      </c>
      <c r="T28" s="573"/>
      <c r="U28" s="188">
        <v>11</v>
      </c>
      <c r="V28" s="188">
        <v>3151.7579899710645</v>
      </c>
      <c r="W28" s="185">
        <f t="shared" si="17"/>
        <v>286.52345363373314</v>
      </c>
      <c r="X28" s="182">
        <f t="shared" ref="X28:X29" si="25">RANK(W28, W$27:W$41)</f>
        <v>2</v>
      </c>
      <c r="Y28" s="573"/>
      <c r="Z28" s="188">
        <v>11</v>
      </c>
      <c r="AA28" s="188">
        <v>3153.5579899710647</v>
      </c>
      <c r="AB28" s="185">
        <f t="shared" si="18"/>
        <v>286.68708999736953</v>
      </c>
      <c r="AC28" s="182">
        <f t="shared" ref="AC28:AC29" si="26">RANK(AB28, AB$27:AB$41)</f>
        <v>2</v>
      </c>
      <c r="AD28" s="573"/>
      <c r="AE28" s="188">
        <v>11</v>
      </c>
      <c r="AF28" s="188">
        <v>3151.7579899710654</v>
      </c>
      <c r="AG28" s="185">
        <f t="shared" ref="AG28:AG29" si="27">IFERROR(AF28/AE28,"")</f>
        <v>286.5234536337332</v>
      </c>
      <c r="AH28" s="182">
        <f t="shared" ref="AH28:AH29" si="28">RANK(AG28, AG$27:AG$41)</f>
        <v>2</v>
      </c>
      <c r="AI28" s="573"/>
      <c r="AJ28" s="188">
        <v>11</v>
      </c>
      <c r="AK28" s="188">
        <v>3152.8379899710653</v>
      </c>
      <c r="AL28" s="185">
        <f t="shared" si="19"/>
        <v>286.62163545191504</v>
      </c>
      <c r="AM28" s="182">
        <f t="shared" ref="AM28:AM29" si="29">RANK(AL28, AL$27:AL$41)</f>
        <v>2</v>
      </c>
      <c r="AN28" s="573"/>
      <c r="AO28" s="188">
        <v>11</v>
      </c>
      <c r="AP28" s="188">
        <v>3151.7579899710659</v>
      </c>
      <c r="AQ28" s="185">
        <f t="shared" si="20"/>
        <v>286.52345363373325</v>
      </c>
      <c r="AR28" s="182">
        <f t="shared" ref="AR28:AR29" si="30">RANK(AQ28, AQ$27:AQ$41)</f>
        <v>2</v>
      </c>
      <c r="AS28" s="573"/>
      <c r="AT28" s="188">
        <v>11</v>
      </c>
      <c r="AU28" s="188">
        <v>3151.0379899710661</v>
      </c>
      <c r="AV28" s="185">
        <f t="shared" si="21"/>
        <v>286.45799908827871</v>
      </c>
      <c r="AW28" s="182">
        <f t="shared" ref="AW28:AW29" si="31">RANK(AV28, AV$27:AV$41)</f>
        <v>2</v>
      </c>
      <c r="AX28" s="573"/>
    </row>
    <row r="29" spans="2:50" ht="14.25" customHeight="1">
      <c r="B29" s="572"/>
      <c r="C29" s="180">
        <v>3</v>
      </c>
      <c r="D29" s="183" t="s">
        <v>524</v>
      </c>
      <c r="E29" s="180">
        <v>11</v>
      </c>
      <c r="F29" s="180">
        <v>3600</v>
      </c>
      <c r="G29" s="185">
        <f t="shared" si="16"/>
        <v>327.27272727272725</v>
      </c>
      <c r="H29" s="573"/>
      <c r="I29" s="186">
        <f t="shared" si="22"/>
        <v>11</v>
      </c>
      <c r="J29" s="186">
        <f t="shared" si="22"/>
        <v>3150.8064523385983</v>
      </c>
      <c r="K29" s="187">
        <f t="shared" si="22"/>
        <v>286.43695021259981</v>
      </c>
      <c r="L29" s="574"/>
      <c r="M29" s="186">
        <f>RANK(K29, K$27:$K$41)</f>
        <v>3</v>
      </c>
      <c r="N29" s="572"/>
      <c r="O29" s="572"/>
      <c r="P29" s="188">
        <v>11</v>
      </c>
      <c r="Q29" s="188">
        <v>3151.4235951957403</v>
      </c>
      <c r="R29" s="185">
        <f t="shared" si="23"/>
        <v>286.49305410870369</v>
      </c>
      <c r="S29" s="182">
        <f t="shared" si="24"/>
        <v>2</v>
      </c>
      <c r="T29" s="573"/>
      <c r="U29" s="188">
        <v>11</v>
      </c>
      <c r="V29" s="188">
        <v>3151.4235951957407</v>
      </c>
      <c r="W29" s="185">
        <f t="shared" si="17"/>
        <v>286.49305410870369</v>
      </c>
      <c r="X29" s="182">
        <f t="shared" si="25"/>
        <v>3</v>
      </c>
      <c r="Y29" s="573"/>
      <c r="Z29" s="188">
        <v>11</v>
      </c>
      <c r="AA29" s="188">
        <v>3151.7835951957409</v>
      </c>
      <c r="AB29" s="185">
        <f t="shared" si="18"/>
        <v>286.52578138143099</v>
      </c>
      <c r="AC29" s="182">
        <f t="shared" si="26"/>
        <v>3</v>
      </c>
      <c r="AD29" s="573"/>
      <c r="AE29" s="188">
        <v>11</v>
      </c>
      <c r="AF29" s="188">
        <v>3151.0635951957411</v>
      </c>
      <c r="AG29" s="185">
        <f t="shared" si="27"/>
        <v>286.46032683597645</v>
      </c>
      <c r="AH29" s="182">
        <f t="shared" si="28"/>
        <v>3</v>
      </c>
      <c r="AI29" s="573"/>
      <c r="AJ29" s="188">
        <v>11</v>
      </c>
      <c r="AK29" s="188">
        <v>3149.623595195741</v>
      </c>
      <c r="AL29" s="185">
        <f t="shared" si="19"/>
        <v>286.32941774506736</v>
      </c>
      <c r="AM29" s="182">
        <f t="shared" si="29"/>
        <v>3</v>
      </c>
      <c r="AN29" s="573"/>
      <c r="AO29" s="188">
        <v>11</v>
      </c>
      <c r="AP29" s="188">
        <v>3151.0635951957411</v>
      </c>
      <c r="AQ29" s="185">
        <f t="shared" si="20"/>
        <v>286.46032683597645</v>
      </c>
      <c r="AR29" s="182">
        <f t="shared" si="30"/>
        <v>3</v>
      </c>
      <c r="AS29" s="573"/>
      <c r="AT29" s="188">
        <v>11</v>
      </c>
      <c r="AU29" s="188">
        <v>3149.2635951957409</v>
      </c>
      <c r="AV29" s="185">
        <f t="shared" si="21"/>
        <v>286.29669047234006</v>
      </c>
      <c r="AW29" s="182">
        <f t="shared" si="31"/>
        <v>3</v>
      </c>
      <c r="AX29" s="573"/>
    </row>
    <row r="30" spans="2:50" ht="14.25" customHeight="1">
      <c r="B30" s="572"/>
      <c r="C30" s="180">
        <v>4</v>
      </c>
      <c r="D30" s="183"/>
      <c r="E30" s="180"/>
      <c r="F30" s="180"/>
      <c r="G30" s="185"/>
      <c r="H30" s="573"/>
      <c r="I30" s="186"/>
      <c r="J30" s="186"/>
      <c r="K30" s="187"/>
      <c r="L30" s="574"/>
      <c r="M30" s="186"/>
      <c r="N30" s="572"/>
      <c r="O30" s="572"/>
      <c r="P30" s="188"/>
      <c r="Q30" s="188"/>
      <c r="R30" s="185"/>
      <c r="S30" s="182"/>
      <c r="T30" s="573"/>
      <c r="U30" s="188"/>
      <c r="V30" s="188"/>
      <c r="W30" s="185"/>
      <c r="X30" s="182"/>
      <c r="Y30" s="573"/>
      <c r="Z30" s="188"/>
      <c r="AA30" s="188"/>
      <c r="AB30" s="185"/>
      <c r="AC30" s="182"/>
      <c r="AD30" s="573"/>
      <c r="AE30" s="188"/>
      <c r="AF30" s="188"/>
      <c r="AG30" s="185"/>
      <c r="AH30" s="182"/>
      <c r="AI30" s="573"/>
      <c r="AJ30" s="188"/>
      <c r="AK30" s="188"/>
      <c r="AL30" s="185"/>
      <c r="AM30" s="182"/>
      <c r="AN30" s="573"/>
      <c r="AO30" s="188"/>
      <c r="AP30" s="188"/>
      <c r="AQ30" s="185"/>
      <c r="AR30" s="182"/>
      <c r="AS30" s="573"/>
      <c r="AT30" s="188"/>
      <c r="AU30" s="188"/>
      <c r="AV30" s="185"/>
      <c r="AW30" s="182"/>
      <c r="AX30" s="573"/>
    </row>
    <row r="31" spans="2:50" ht="14.25" customHeight="1">
      <c r="B31" s="572"/>
      <c r="C31" s="180">
        <v>5</v>
      </c>
      <c r="D31" s="183"/>
      <c r="E31" s="180"/>
      <c r="F31" s="180"/>
      <c r="G31" s="185"/>
      <c r="H31" s="573"/>
      <c r="I31" s="186"/>
      <c r="J31" s="186"/>
      <c r="K31" s="187"/>
      <c r="L31" s="574"/>
      <c r="M31" s="186"/>
      <c r="N31" s="572"/>
      <c r="O31" s="572"/>
      <c r="P31" s="188"/>
      <c r="Q31" s="188"/>
      <c r="R31" s="185"/>
      <c r="S31" s="182"/>
      <c r="T31" s="573"/>
      <c r="U31" s="188"/>
      <c r="V31" s="188"/>
      <c r="W31" s="185"/>
      <c r="X31" s="182"/>
      <c r="Y31" s="573"/>
      <c r="Z31" s="188"/>
      <c r="AA31" s="188"/>
      <c r="AB31" s="185"/>
      <c r="AC31" s="182"/>
      <c r="AD31" s="573"/>
      <c r="AE31" s="188"/>
      <c r="AF31" s="188"/>
      <c r="AG31" s="185"/>
      <c r="AH31" s="182"/>
      <c r="AI31" s="573"/>
      <c r="AJ31" s="188"/>
      <c r="AK31" s="188"/>
      <c r="AL31" s="185"/>
      <c r="AM31" s="182"/>
      <c r="AN31" s="573"/>
      <c r="AO31" s="188"/>
      <c r="AP31" s="188"/>
      <c r="AQ31" s="185"/>
      <c r="AR31" s="182"/>
      <c r="AS31" s="573"/>
      <c r="AT31" s="188"/>
      <c r="AU31" s="188"/>
      <c r="AV31" s="185"/>
      <c r="AW31" s="182"/>
      <c r="AX31" s="573"/>
    </row>
    <row r="32" spans="2:50" ht="14.25" customHeight="1">
      <c r="B32" s="572"/>
      <c r="C32" s="180">
        <v>6</v>
      </c>
      <c r="D32" s="183"/>
      <c r="E32" s="180"/>
      <c r="F32" s="180"/>
      <c r="G32" s="185"/>
      <c r="H32" s="573"/>
      <c r="I32" s="186"/>
      <c r="J32" s="186"/>
      <c r="K32" s="187"/>
      <c r="L32" s="574"/>
      <c r="M32" s="186"/>
      <c r="N32" s="572"/>
      <c r="O32" s="572"/>
      <c r="P32" s="188"/>
      <c r="Q32" s="188"/>
      <c r="R32" s="185"/>
      <c r="S32" s="182"/>
      <c r="T32" s="573"/>
      <c r="U32" s="188"/>
      <c r="V32" s="188"/>
      <c r="W32" s="185"/>
      <c r="X32" s="182"/>
      <c r="Y32" s="573"/>
      <c r="Z32" s="188"/>
      <c r="AA32" s="188"/>
      <c r="AB32" s="185"/>
      <c r="AC32" s="182"/>
      <c r="AD32" s="573"/>
      <c r="AE32" s="188"/>
      <c r="AF32" s="188"/>
      <c r="AG32" s="185"/>
      <c r="AH32" s="182"/>
      <c r="AI32" s="573"/>
      <c r="AJ32" s="188"/>
      <c r="AK32" s="188"/>
      <c r="AL32" s="185"/>
      <c r="AM32" s="182"/>
      <c r="AN32" s="573"/>
      <c r="AO32" s="188"/>
      <c r="AP32" s="188"/>
      <c r="AQ32" s="185"/>
      <c r="AR32" s="182"/>
      <c r="AS32" s="573"/>
      <c r="AT32" s="188"/>
      <c r="AU32" s="188"/>
      <c r="AV32" s="185"/>
      <c r="AW32" s="182"/>
      <c r="AX32" s="573"/>
    </row>
    <row r="33" spans="2:50" ht="14.25" customHeight="1">
      <c r="B33" s="572"/>
      <c r="C33" s="180">
        <v>7</v>
      </c>
      <c r="D33" s="183"/>
      <c r="E33" s="180"/>
      <c r="F33" s="180"/>
      <c r="G33" s="185"/>
      <c r="H33" s="573"/>
      <c r="I33" s="186"/>
      <c r="J33" s="186"/>
      <c r="K33" s="187"/>
      <c r="L33" s="574"/>
      <c r="M33" s="186"/>
      <c r="N33" s="572"/>
      <c r="O33" s="572"/>
      <c r="P33" s="188"/>
      <c r="Q33" s="188"/>
      <c r="R33" s="185"/>
      <c r="S33" s="182"/>
      <c r="T33" s="573"/>
      <c r="U33" s="188"/>
      <c r="V33" s="188"/>
      <c r="W33" s="185"/>
      <c r="X33" s="182"/>
      <c r="Y33" s="573"/>
      <c r="Z33" s="188"/>
      <c r="AA33" s="188"/>
      <c r="AB33" s="185"/>
      <c r="AC33" s="182"/>
      <c r="AD33" s="573"/>
      <c r="AE33" s="188"/>
      <c r="AF33" s="188"/>
      <c r="AG33" s="185"/>
      <c r="AH33" s="182"/>
      <c r="AI33" s="573"/>
      <c r="AJ33" s="188"/>
      <c r="AK33" s="188"/>
      <c r="AL33" s="185"/>
      <c r="AM33" s="182"/>
      <c r="AN33" s="573"/>
      <c r="AO33" s="188"/>
      <c r="AP33" s="188"/>
      <c r="AQ33" s="185"/>
      <c r="AR33" s="182"/>
      <c r="AS33" s="573"/>
      <c r="AT33" s="188"/>
      <c r="AU33" s="188"/>
      <c r="AV33" s="185"/>
      <c r="AW33" s="182"/>
      <c r="AX33" s="573"/>
    </row>
    <row r="34" spans="2:50" ht="14.25" customHeight="1">
      <c r="B34" s="572"/>
      <c r="C34" s="180">
        <v>8</v>
      </c>
      <c r="D34" s="183"/>
      <c r="E34" s="180"/>
      <c r="F34" s="180"/>
      <c r="G34" s="185"/>
      <c r="H34" s="573"/>
      <c r="I34" s="186"/>
      <c r="J34" s="186"/>
      <c r="K34" s="187"/>
      <c r="L34" s="574"/>
      <c r="M34" s="186"/>
      <c r="N34" s="572"/>
      <c r="O34" s="572"/>
      <c r="P34" s="188"/>
      <c r="Q34" s="188"/>
      <c r="R34" s="185"/>
      <c r="S34" s="182"/>
      <c r="T34" s="573"/>
      <c r="U34" s="188"/>
      <c r="V34" s="188"/>
      <c r="W34" s="185"/>
      <c r="X34" s="182"/>
      <c r="Y34" s="573"/>
      <c r="Z34" s="188"/>
      <c r="AA34" s="188"/>
      <c r="AB34" s="185"/>
      <c r="AC34" s="182"/>
      <c r="AD34" s="573"/>
      <c r="AE34" s="188"/>
      <c r="AF34" s="188"/>
      <c r="AG34" s="185"/>
      <c r="AH34" s="182"/>
      <c r="AI34" s="573"/>
      <c r="AJ34" s="188"/>
      <c r="AK34" s="188"/>
      <c r="AL34" s="185"/>
      <c r="AM34" s="182"/>
      <c r="AN34" s="573"/>
      <c r="AO34" s="188"/>
      <c r="AP34" s="188"/>
      <c r="AQ34" s="185"/>
      <c r="AR34" s="182"/>
      <c r="AS34" s="573"/>
      <c r="AT34" s="188"/>
      <c r="AU34" s="188"/>
      <c r="AV34" s="185"/>
      <c r="AW34" s="182"/>
      <c r="AX34" s="573"/>
    </row>
    <row r="35" spans="2:50" ht="14.25" customHeight="1">
      <c r="B35" s="572"/>
      <c r="C35" s="180">
        <v>9</v>
      </c>
      <c r="D35" s="183"/>
      <c r="E35" s="180"/>
      <c r="F35" s="180"/>
      <c r="G35" s="185"/>
      <c r="H35" s="573"/>
      <c r="I35" s="186"/>
      <c r="J35" s="186"/>
      <c r="K35" s="187"/>
      <c r="L35" s="574"/>
      <c r="M35" s="186"/>
      <c r="N35" s="572"/>
      <c r="O35" s="572"/>
      <c r="P35" s="188"/>
      <c r="Q35" s="188"/>
      <c r="R35" s="185"/>
      <c r="S35" s="182"/>
      <c r="T35" s="573"/>
      <c r="U35" s="188"/>
      <c r="V35" s="188"/>
      <c r="W35" s="185"/>
      <c r="X35" s="182"/>
      <c r="Y35" s="573"/>
      <c r="Z35" s="188"/>
      <c r="AA35" s="188"/>
      <c r="AB35" s="185"/>
      <c r="AC35" s="182"/>
      <c r="AD35" s="573"/>
      <c r="AE35" s="188"/>
      <c r="AF35" s="188"/>
      <c r="AG35" s="185"/>
      <c r="AH35" s="182"/>
      <c r="AI35" s="573"/>
      <c r="AJ35" s="188"/>
      <c r="AK35" s="188"/>
      <c r="AL35" s="185"/>
      <c r="AM35" s="182"/>
      <c r="AN35" s="573"/>
      <c r="AO35" s="188"/>
      <c r="AP35" s="188"/>
      <c r="AQ35" s="185"/>
      <c r="AR35" s="182"/>
      <c r="AS35" s="573"/>
      <c r="AT35" s="188"/>
      <c r="AU35" s="188"/>
      <c r="AV35" s="185"/>
      <c r="AW35" s="182"/>
      <c r="AX35" s="573"/>
    </row>
    <row r="36" spans="2:50" ht="14.25" customHeight="1">
      <c r="B36" s="572"/>
      <c r="C36" s="180">
        <v>10</v>
      </c>
      <c r="D36" s="183"/>
      <c r="E36" s="180"/>
      <c r="F36" s="180"/>
      <c r="G36" s="185"/>
      <c r="H36" s="573"/>
      <c r="I36" s="186"/>
      <c r="J36" s="186"/>
      <c r="K36" s="187"/>
      <c r="L36" s="574"/>
      <c r="M36" s="186"/>
      <c r="N36" s="572"/>
      <c r="O36" s="572"/>
      <c r="P36" s="188"/>
      <c r="Q36" s="188"/>
      <c r="R36" s="185"/>
      <c r="S36" s="182"/>
      <c r="T36" s="573"/>
      <c r="U36" s="188"/>
      <c r="V36" s="188"/>
      <c r="W36" s="185"/>
      <c r="X36" s="182"/>
      <c r="Y36" s="573"/>
      <c r="Z36" s="188"/>
      <c r="AA36" s="188"/>
      <c r="AB36" s="185"/>
      <c r="AC36" s="182"/>
      <c r="AD36" s="573"/>
      <c r="AE36" s="188"/>
      <c r="AF36" s="188"/>
      <c r="AG36" s="185"/>
      <c r="AH36" s="182"/>
      <c r="AI36" s="573"/>
      <c r="AJ36" s="188"/>
      <c r="AK36" s="188"/>
      <c r="AL36" s="185"/>
      <c r="AM36" s="182"/>
      <c r="AN36" s="573"/>
      <c r="AO36" s="188"/>
      <c r="AP36" s="188"/>
      <c r="AQ36" s="185"/>
      <c r="AR36" s="182"/>
      <c r="AS36" s="573"/>
      <c r="AT36" s="188"/>
      <c r="AU36" s="188"/>
      <c r="AV36" s="185"/>
      <c r="AW36" s="182"/>
      <c r="AX36" s="573"/>
    </row>
    <row r="37" spans="2:50" ht="14.25" customHeight="1">
      <c r="B37" s="572"/>
      <c r="C37" s="180">
        <v>11</v>
      </c>
      <c r="D37" s="183"/>
      <c r="E37" s="180"/>
      <c r="F37" s="180"/>
      <c r="G37" s="185"/>
      <c r="H37" s="573"/>
      <c r="I37" s="186"/>
      <c r="J37" s="186"/>
      <c r="K37" s="187"/>
      <c r="L37" s="574"/>
      <c r="M37" s="186"/>
      <c r="N37" s="572"/>
      <c r="O37" s="572"/>
      <c r="P37" s="188"/>
      <c r="Q37" s="188"/>
      <c r="R37" s="185"/>
      <c r="S37" s="182"/>
      <c r="T37" s="573"/>
      <c r="U37" s="188"/>
      <c r="V37" s="188"/>
      <c r="W37" s="185"/>
      <c r="X37" s="182"/>
      <c r="Y37" s="573"/>
      <c r="Z37" s="188"/>
      <c r="AA37" s="188"/>
      <c r="AB37" s="185"/>
      <c r="AC37" s="182"/>
      <c r="AD37" s="573"/>
      <c r="AE37" s="188"/>
      <c r="AF37" s="188"/>
      <c r="AG37" s="185"/>
      <c r="AH37" s="182"/>
      <c r="AI37" s="573"/>
      <c r="AJ37" s="188"/>
      <c r="AK37" s="188"/>
      <c r="AL37" s="185"/>
      <c r="AM37" s="182"/>
      <c r="AN37" s="573"/>
      <c r="AO37" s="188"/>
      <c r="AP37" s="188"/>
      <c r="AQ37" s="185"/>
      <c r="AR37" s="182"/>
      <c r="AS37" s="573"/>
      <c r="AT37" s="188"/>
      <c r="AU37" s="188"/>
      <c r="AV37" s="185"/>
      <c r="AW37" s="182"/>
      <c r="AX37" s="573"/>
    </row>
    <row r="38" spans="2:50" ht="14.25" customHeight="1">
      <c r="B38" s="572"/>
      <c r="C38" s="180">
        <v>12</v>
      </c>
      <c r="D38" s="183"/>
      <c r="E38" s="180"/>
      <c r="F38" s="180"/>
      <c r="G38" s="185"/>
      <c r="H38" s="573"/>
      <c r="I38" s="186"/>
      <c r="J38" s="186"/>
      <c r="K38" s="187"/>
      <c r="L38" s="574"/>
      <c r="M38" s="186"/>
      <c r="N38" s="572"/>
      <c r="O38" s="572"/>
      <c r="P38" s="188"/>
      <c r="Q38" s="188"/>
      <c r="R38" s="185"/>
      <c r="S38" s="182"/>
      <c r="T38" s="573"/>
      <c r="U38" s="188"/>
      <c r="V38" s="188"/>
      <c r="W38" s="185"/>
      <c r="X38" s="182"/>
      <c r="Y38" s="573"/>
      <c r="Z38" s="188"/>
      <c r="AA38" s="188"/>
      <c r="AB38" s="185"/>
      <c r="AC38" s="182"/>
      <c r="AD38" s="573"/>
      <c r="AE38" s="188"/>
      <c r="AF38" s="188"/>
      <c r="AG38" s="185"/>
      <c r="AH38" s="182"/>
      <c r="AI38" s="573"/>
      <c r="AJ38" s="188"/>
      <c r="AK38" s="188"/>
      <c r="AL38" s="185"/>
      <c r="AM38" s="182"/>
      <c r="AN38" s="573"/>
      <c r="AO38" s="188"/>
      <c r="AP38" s="188"/>
      <c r="AQ38" s="185"/>
      <c r="AR38" s="182"/>
      <c r="AS38" s="573"/>
      <c r="AT38" s="188"/>
      <c r="AU38" s="188"/>
      <c r="AV38" s="185"/>
      <c r="AW38" s="182"/>
      <c r="AX38" s="573"/>
    </row>
    <row r="39" spans="2:50" ht="14.25" customHeight="1">
      <c r="B39" s="572"/>
      <c r="C39" s="180">
        <v>13</v>
      </c>
      <c r="D39" s="183"/>
      <c r="E39" s="180"/>
      <c r="F39" s="180"/>
      <c r="G39" s="185"/>
      <c r="H39" s="573"/>
      <c r="I39" s="186"/>
      <c r="J39" s="186"/>
      <c r="K39" s="187"/>
      <c r="L39" s="574"/>
      <c r="M39" s="186"/>
      <c r="N39" s="572"/>
      <c r="O39" s="572"/>
      <c r="P39" s="188"/>
      <c r="Q39" s="188"/>
      <c r="R39" s="185"/>
      <c r="S39" s="182"/>
      <c r="T39" s="573"/>
      <c r="U39" s="188"/>
      <c r="V39" s="188"/>
      <c r="W39" s="185"/>
      <c r="X39" s="182"/>
      <c r="Y39" s="573"/>
      <c r="Z39" s="188"/>
      <c r="AA39" s="188"/>
      <c r="AB39" s="185"/>
      <c r="AC39" s="182"/>
      <c r="AD39" s="573"/>
      <c r="AE39" s="188"/>
      <c r="AF39" s="188"/>
      <c r="AG39" s="185"/>
      <c r="AH39" s="182"/>
      <c r="AI39" s="573"/>
      <c r="AJ39" s="188"/>
      <c r="AK39" s="188"/>
      <c r="AL39" s="185"/>
      <c r="AM39" s="182"/>
      <c r="AN39" s="573"/>
      <c r="AO39" s="188"/>
      <c r="AP39" s="188"/>
      <c r="AQ39" s="185"/>
      <c r="AR39" s="182"/>
      <c r="AS39" s="573"/>
      <c r="AT39" s="188"/>
      <c r="AU39" s="188"/>
      <c r="AV39" s="185"/>
      <c r="AW39" s="182"/>
      <c r="AX39" s="573"/>
    </row>
    <row r="40" spans="2:50" ht="14.25" customHeight="1">
      <c r="B40" s="572"/>
      <c r="C40" s="180">
        <v>14</v>
      </c>
      <c r="D40" s="183"/>
      <c r="E40" s="180"/>
      <c r="F40" s="180"/>
      <c r="G40" s="185"/>
      <c r="H40" s="573"/>
      <c r="I40" s="186"/>
      <c r="J40" s="186"/>
      <c r="K40" s="187"/>
      <c r="L40" s="574"/>
      <c r="M40" s="186"/>
      <c r="N40" s="572"/>
      <c r="O40" s="572"/>
      <c r="P40" s="188"/>
      <c r="Q40" s="188"/>
      <c r="R40" s="185"/>
      <c r="S40" s="182"/>
      <c r="T40" s="573"/>
      <c r="U40" s="188"/>
      <c r="V40" s="188"/>
      <c r="W40" s="185"/>
      <c r="X40" s="182"/>
      <c r="Y40" s="573"/>
      <c r="Z40" s="188"/>
      <c r="AA40" s="188"/>
      <c r="AB40" s="185"/>
      <c r="AC40" s="182"/>
      <c r="AD40" s="573"/>
      <c r="AE40" s="188"/>
      <c r="AF40" s="188"/>
      <c r="AG40" s="185"/>
      <c r="AH40" s="182"/>
      <c r="AI40" s="573"/>
      <c r="AJ40" s="188"/>
      <c r="AK40" s="188"/>
      <c r="AL40" s="185"/>
      <c r="AM40" s="182"/>
      <c r="AN40" s="573"/>
      <c r="AO40" s="188"/>
      <c r="AP40" s="188"/>
      <c r="AQ40" s="185"/>
      <c r="AR40" s="182"/>
      <c r="AS40" s="573"/>
      <c r="AT40" s="188"/>
      <c r="AU40" s="188"/>
      <c r="AV40" s="185"/>
      <c r="AW40" s="182"/>
      <c r="AX40" s="573"/>
    </row>
    <row r="41" spans="2:50" ht="14.25" customHeight="1">
      <c r="B41" s="572"/>
      <c r="C41" s="180">
        <v>15</v>
      </c>
      <c r="D41" s="183"/>
      <c r="E41" s="180"/>
      <c r="F41" s="180"/>
      <c r="G41" s="185"/>
      <c r="H41" s="573"/>
      <c r="I41" s="186"/>
      <c r="J41" s="186"/>
      <c r="K41" s="187"/>
      <c r="L41" s="574"/>
      <c r="M41" s="186"/>
      <c r="N41" s="572"/>
      <c r="O41" s="572"/>
      <c r="P41" s="188"/>
      <c r="Q41" s="188"/>
      <c r="R41" s="185"/>
      <c r="S41" s="182"/>
      <c r="T41" s="573"/>
      <c r="U41" s="188"/>
      <c r="V41" s="188"/>
      <c r="W41" s="185"/>
      <c r="X41" s="182"/>
      <c r="Y41" s="573"/>
      <c r="Z41" s="188"/>
      <c r="AA41" s="188"/>
      <c r="AB41" s="185"/>
      <c r="AC41" s="182"/>
      <c r="AD41" s="573"/>
      <c r="AE41" s="188"/>
      <c r="AF41" s="188"/>
      <c r="AG41" s="185"/>
      <c r="AH41" s="182"/>
      <c r="AI41" s="573"/>
      <c r="AJ41" s="188"/>
      <c r="AK41" s="188"/>
      <c r="AL41" s="185"/>
      <c r="AM41" s="182"/>
      <c r="AN41" s="573"/>
      <c r="AO41" s="188"/>
      <c r="AP41" s="188"/>
      <c r="AQ41" s="185"/>
      <c r="AR41" s="182"/>
      <c r="AS41" s="573"/>
      <c r="AT41" s="188"/>
      <c r="AU41" s="188"/>
      <c r="AV41" s="185"/>
      <c r="AW41" s="182"/>
      <c r="AX41" s="573"/>
    </row>
  </sheetData>
  <mergeCells count="118">
    <mergeCell ref="AX27:AX4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S27:AS41"/>
    <mergeCell ref="AI24:AI26"/>
    <mergeCell ref="AJ24:AM24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P24:S24"/>
    <mergeCell ref="T24:T26"/>
    <mergeCell ref="U24:X24"/>
    <mergeCell ref="Y24:Y26"/>
    <mergeCell ref="Z24:AC24"/>
    <mergeCell ref="AD24:AD26"/>
    <mergeCell ref="AE24:AH2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41"/>
  <sheetViews>
    <sheetView zoomScaleNormal="100" workbookViewId="0">
      <pane xSplit="13" ySplit="1" topLeftCell="N2" activePane="bottomRight" state="frozen"/>
      <selection activeCell="L95" sqref="L95"/>
      <selection pane="topRight" activeCell="L95" sqref="L95"/>
      <selection pane="bottomLeft" activeCell="L95" sqref="L95"/>
      <selection pane="bottomRight" activeCell="B22" sqref="B22:M2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55" t="s">
        <v>683</v>
      </c>
      <c r="C1" s="175">
        <f>AVERAGE(L27)</f>
        <v>118.59923076923076</v>
      </c>
    </row>
    <row r="2" spans="1:50" ht="14.25" customHeight="1">
      <c r="B2" s="586" t="s">
        <v>638</v>
      </c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8"/>
      <c r="N2" s="606" t="s">
        <v>364</v>
      </c>
      <c r="O2" s="606" t="s">
        <v>105</v>
      </c>
      <c r="P2" s="608">
        <v>46168</v>
      </c>
      <c r="Q2" s="609"/>
      <c r="R2" s="609"/>
      <c r="S2" s="609"/>
      <c r="T2" s="609"/>
      <c r="U2" s="610">
        <v>46169</v>
      </c>
      <c r="V2" s="611"/>
      <c r="W2" s="611"/>
      <c r="X2" s="611"/>
      <c r="Y2" s="611"/>
      <c r="Z2" s="608">
        <v>46170</v>
      </c>
      <c r="AA2" s="609"/>
      <c r="AB2" s="609"/>
      <c r="AC2" s="609"/>
      <c r="AD2" s="609"/>
      <c r="AE2" s="610">
        <v>46171</v>
      </c>
      <c r="AF2" s="611"/>
      <c r="AG2" s="611"/>
      <c r="AH2" s="611"/>
      <c r="AI2" s="611"/>
      <c r="AJ2" s="598">
        <v>46172</v>
      </c>
      <c r="AK2" s="599"/>
      <c r="AL2" s="599"/>
      <c r="AM2" s="599"/>
      <c r="AN2" s="600"/>
      <c r="AO2" s="610">
        <v>46173</v>
      </c>
      <c r="AP2" s="611"/>
      <c r="AQ2" s="611"/>
      <c r="AR2" s="611"/>
      <c r="AS2" s="611"/>
      <c r="AT2" s="598">
        <v>46174</v>
      </c>
      <c r="AU2" s="599"/>
      <c r="AV2" s="599"/>
      <c r="AW2" s="599"/>
      <c r="AX2" s="600"/>
    </row>
    <row r="3" spans="1:50" ht="14.25" customHeight="1"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90"/>
      <c r="N3" s="607"/>
      <c r="O3" s="607"/>
      <c r="P3" s="601">
        <v>46168</v>
      </c>
      <c r="Q3" s="601"/>
      <c r="R3" s="601"/>
      <c r="S3" s="601"/>
      <c r="T3" s="601"/>
      <c r="U3" s="602">
        <v>46169</v>
      </c>
      <c r="V3" s="602"/>
      <c r="W3" s="602"/>
      <c r="X3" s="602"/>
      <c r="Y3" s="602"/>
      <c r="Z3" s="601">
        <v>46170</v>
      </c>
      <c r="AA3" s="601"/>
      <c r="AB3" s="601"/>
      <c r="AC3" s="601"/>
      <c r="AD3" s="601"/>
      <c r="AE3" s="602">
        <v>46171</v>
      </c>
      <c r="AF3" s="602"/>
      <c r="AG3" s="602"/>
      <c r="AH3" s="602"/>
      <c r="AI3" s="602"/>
      <c r="AJ3" s="603">
        <v>46172</v>
      </c>
      <c r="AK3" s="604"/>
      <c r="AL3" s="604"/>
      <c r="AM3" s="604"/>
      <c r="AN3" s="605"/>
      <c r="AO3" s="602">
        <v>46173</v>
      </c>
      <c r="AP3" s="602"/>
      <c r="AQ3" s="602"/>
      <c r="AR3" s="602"/>
      <c r="AS3" s="602"/>
      <c r="AT3" s="603">
        <v>46174</v>
      </c>
      <c r="AU3" s="604"/>
      <c r="AV3" s="604"/>
      <c r="AW3" s="604"/>
      <c r="AX3" s="605"/>
    </row>
    <row r="4" spans="1:50" ht="14.25" customHeight="1">
      <c r="B4" s="572" t="s">
        <v>162</v>
      </c>
      <c r="C4" s="572" t="s">
        <v>157</v>
      </c>
      <c r="D4" s="572"/>
      <c r="E4" s="572" t="s">
        <v>158</v>
      </c>
      <c r="F4" s="572"/>
      <c r="G4" s="572"/>
      <c r="H4" s="572" t="s">
        <v>163</v>
      </c>
      <c r="I4" s="576" t="s">
        <v>365</v>
      </c>
      <c r="J4" s="576"/>
      <c r="K4" s="576"/>
      <c r="L4" s="576" t="s">
        <v>163</v>
      </c>
      <c r="M4" s="576" t="s">
        <v>165</v>
      </c>
      <c r="N4" s="572"/>
      <c r="O4" s="572" t="s">
        <v>164</v>
      </c>
      <c r="P4" s="572" t="s">
        <v>160</v>
      </c>
      <c r="Q4" s="572"/>
      <c r="R4" s="572"/>
      <c r="S4" s="572"/>
      <c r="T4" s="572" t="s">
        <v>163</v>
      </c>
      <c r="U4" s="572" t="s">
        <v>160</v>
      </c>
      <c r="V4" s="572"/>
      <c r="W4" s="572"/>
      <c r="X4" s="572"/>
      <c r="Y4" s="572" t="s">
        <v>163</v>
      </c>
      <c r="Z4" s="572" t="s">
        <v>160</v>
      </c>
      <c r="AA4" s="572"/>
      <c r="AB4" s="572"/>
      <c r="AC4" s="572"/>
      <c r="AD4" s="572" t="s">
        <v>163</v>
      </c>
      <c r="AE4" s="572" t="s">
        <v>160</v>
      </c>
      <c r="AF4" s="572"/>
      <c r="AG4" s="572"/>
      <c r="AH4" s="572"/>
      <c r="AI4" s="572" t="s">
        <v>163</v>
      </c>
      <c r="AJ4" s="572" t="s">
        <v>160</v>
      </c>
      <c r="AK4" s="572"/>
      <c r="AL4" s="572"/>
      <c r="AM4" s="572"/>
      <c r="AN4" s="572" t="s">
        <v>163</v>
      </c>
      <c r="AO4" s="572" t="s">
        <v>160</v>
      </c>
      <c r="AP4" s="572"/>
      <c r="AQ4" s="572"/>
      <c r="AR4" s="572"/>
      <c r="AS4" s="572" t="s">
        <v>163</v>
      </c>
      <c r="AT4" s="572" t="s">
        <v>160</v>
      </c>
      <c r="AU4" s="572"/>
      <c r="AV4" s="572"/>
      <c r="AW4" s="572"/>
      <c r="AX4" s="572" t="s">
        <v>163</v>
      </c>
    </row>
    <row r="5" spans="1:50" ht="14.25" customHeight="1">
      <c r="B5" s="572"/>
      <c r="C5" s="572"/>
      <c r="D5" s="572"/>
      <c r="E5" s="572" t="s">
        <v>366</v>
      </c>
      <c r="F5" s="572"/>
      <c r="G5" s="572"/>
      <c r="H5" s="572"/>
      <c r="I5" s="576" t="s">
        <v>366</v>
      </c>
      <c r="J5" s="576"/>
      <c r="K5" s="576"/>
      <c r="L5" s="576"/>
      <c r="M5" s="576"/>
      <c r="N5" s="572"/>
      <c r="O5" s="572"/>
      <c r="P5" s="572" t="s">
        <v>367</v>
      </c>
      <c r="Q5" s="572"/>
      <c r="R5" s="572"/>
      <c r="S5" s="572"/>
      <c r="T5" s="572"/>
      <c r="U5" s="572" t="s">
        <v>367</v>
      </c>
      <c r="V5" s="572"/>
      <c r="W5" s="572"/>
      <c r="X5" s="572"/>
      <c r="Y5" s="572"/>
      <c r="Z5" s="572" t="s">
        <v>367</v>
      </c>
      <c r="AA5" s="572"/>
      <c r="AB5" s="572"/>
      <c r="AC5" s="572"/>
      <c r="AD5" s="572"/>
      <c r="AE5" s="572" t="s">
        <v>367</v>
      </c>
      <c r="AF5" s="572"/>
      <c r="AG5" s="572"/>
      <c r="AH5" s="572"/>
      <c r="AI5" s="572"/>
      <c r="AJ5" s="572" t="s">
        <v>367</v>
      </c>
      <c r="AK5" s="572"/>
      <c r="AL5" s="572"/>
      <c r="AM5" s="572"/>
      <c r="AN5" s="572"/>
      <c r="AO5" s="572" t="s">
        <v>367</v>
      </c>
      <c r="AP5" s="572"/>
      <c r="AQ5" s="572"/>
      <c r="AR5" s="572"/>
      <c r="AS5" s="572"/>
      <c r="AT5" s="572" t="s">
        <v>367</v>
      </c>
      <c r="AU5" s="572"/>
      <c r="AV5" s="572"/>
      <c r="AW5" s="572"/>
      <c r="AX5" s="572"/>
    </row>
    <row r="6" spans="1:50" ht="14.25" customHeight="1">
      <c r="B6" s="572"/>
      <c r="C6" s="572"/>
      <c r="D6" s="572"/>
      <c r="E6" s="180" t="s">
        <v>159</v>
      </c>
      <c r="F6" s="180" t="s">
        <v>368</v>
      </c>
      <c r="G6" s="180" t="s">
        <v>161</v>
      </c>
      <c r="H6" s="572"/>
      <c r="I6" s="181" t="s">
        <v>159</v>
      </c>
      <c r="J6" s="181" t="s">
        <v>368</v>
      </c>
      <c r="K6" s="181" t="s">
        <v>161</v>
      </c>
      <c r="L6" s="576"/>
      <c r="M6" s="576"/>
      <c r="N6" s="572"/>
      <c r="O6" s="572"/>
      <c r="P6" s="180" t="s">
        <v>159</v>
      </c>
      <c r="Q6" s="180" t="s">
        <v>368</v>
      </c>
      <c r="R6" s="180" t="s">
        <v>161</v>
      </c>
      <c r="S6" s="182" t="s">
        <v>165</v>
      </c>
      <c r="T6" s="572"/>
      <c r="U6" s="180" t="s">
        <v>159</v>
      </c>
      <c r="V6" s="180" t="s">
        <v>368</v>
      </c>
      <c r="W6" s="180" t="s">
        <v>161</v>
      </c>
      <c r="X6" s="182" t="s">
        <v>165</v>
      </c>
      <c r="Y6" s="572"/>
      <c r="Z6" s="180" t="s">
        <v>159</v>
      </c>
      <c r="AA6" s="180" t="s">
        <v>368</v>
      </c>
      <c r="AB6" s="180" t="s">
        <v>161</v>
      </c>
      <c r="AC6" s="182" t="s">
        <v>165</v>
      </c>
      <c r="AD6" s="572"/>
      <c r="AE6" s="180" t="s">
        <v>159</v>
      </c>
      <c r="AF6" s="180" t="s">
        <v>368</v>
      </c>
      <c r="AG6" s="180" t="s">
        <v>161</v>
      </c>
      <c r="AH6" s="182" t="s">
        <v>165</v>
      </c>
      <c r="AI6" s="572"/>
      <c r="AJ6" s="180" t="s">
        <v>159</v>
      </c>
      <c r="AK6" s="180" t="s">
        <v>368</v>
      </c>
      <c r="AL6" s="180" t="s">
        <v>161</v>
      </c>
      <c r="AM6" s="182" t="s">
        <v>165</v>
      </c>
      <c r="AN6" s="572"/>
      <c r="AO6" s="180" t="s">
        <v>159</v>
      </c>
      <c r="AP6" s="180" t="s">
        <v>368</v>
      </c>
      <c r="AQ6" s="180" t="s">
        <v>161</v>
      </c>
      <c r="AR6" s="182" t="s">
        <v>165</v>
      </c>
      <c r="AS6" s="572"/>
      <c r="AT6" s="180" t="s">
        <v>159</v>
      </c>
      <c r="AU6" s="180" t="s">
        <v>368</v>
      </c>
      <c r="AV6" s="180" t="s">
        <v>161</v>
      </c>
      <c r="AW6" s="182" t="s">
        <v>165</v>
      </c>
      <c r="AX6" s="572"/>
    </row>
    <row r="7" spans="1:50" ht="14.25" customHeight="1">
      <c r="B7" s="612" t="s">
        <v>427</v>
      </c>
      <c r="C7" s="180">
        <v>1</v>
      </c>
      <c r="D7" s="183" t="s">
        <v>347</v>
      </c>
      <c r="E7" s="180">
        <v>21</v>
      </c>
      <c r="F7" s="180">
        <v>2790</v>
      </c>
      <c r="G7" s="185">
        <f t="shared" ref="G7" si="0">F7/E7</f>
        <v>132.85714285714286</v>
      </c>
      <c r="H7" s="573">
        <f>AVERAGE(G7:G21)</f>
        <v>132.85714285714286</v>
      </c>
      <c r="I7" s="186">
        <f>AVERAGE(P7,U7,Z7,AE7,AJ7,AO7,AT7)</f>
        <v>25</v>
      </c>
      <c r="J7" s="186">
        <f>AVERAGE(Q7,V7,AA7,AF7,AK7,AP7,AU7)</f>
        <v>2964.9807692307691</v>
      </c>
      <c r="K7" s="187">
        <f>AVERAGE(R7,W7,AB7,AG7,AL7,AQ7,AV7)</f>
        <v>118.59923076923076</v>
      </c>
      <c r="L7" s="574">
        <f>IFERROR(AVERAGE(K7:K21),"-")</f>
        <v>118.59923076923076</v>
      </c>
      <c r="M7" s="186">
        <f>RANK(K7, K$7:$K$21)</f>
        <v>1</v>
      </c>
      <c r="N7" s="572"/>
      <c r="O7" s="572"/>
      <c r="P7" s="188">
        <v>25</v>
      </c>
      <c r="Q7" s="188">
        <v>2964.9807692307695</v>
      </c>
      <c r="R7" s="185">
        <f>IFERROR(Q7/P7,"")</f>
        <v>118.59923076923079</v>
      </c>
      <c r="S7" s="182">
        <f>RANK(R7, R$7:R$21)</f>
        <v>1</v>
      </c>
      <c r="T7" s="573">
        <f>AVERAGE(R7:R21)</f>
        <v>118.59923076923079</v>
      </c>
      <c r="U7" s="188">
        <v>25</v>
      </c>
      <c r="V7" s="188">
        <v>2964.9807692307686</v>
      </c>
      <c r="W7" s="185">
        <f t="shared" ref="W7" si="1">IFERROR(V7/U7,"")</f>
        <v>118.59923076923074</v>
      </c>
      <c r="X7" s="182">
        <f>RANK(W7, W$7:W$21)</f>
        <v>1</v>
      </c>
      <c r="Y7" s="573">
        <f>AVERAGE(W7:W21)</f>
        <v>118.59923076923074</v>
      </c>
      <c r="Z7" s="188">
        <v>25</v>
      </c>
      <c r="AA7" s="188">
        <v>2964.9807692307691</v>
      </c>
      <c r="AB7" s="185">
        <f t="shared" ref="AB7" si="2">IFERROR(AA7/Z7,"")</f>
        <v>118.59923076923076</v>
      </c>
      <c r="AC7" s="182">
        <f>RANK(AB7, AB$7:AB$21)</f>
        <v>1</v>
      </c>
      <c r="AD7" s="573">
        <f>AVERAGE(AB7:AB21)</f>
        <v>118.59923076923076</v>
      </c>
      <c r="AE7" s="188">
        <v>25</v>
      </c>
      <c r="AF7" s="188">
        <v>2964.9807692307695</v>
      </c>
      <c r="AG7" s="185">
        <f>IFERROR(AF7/AE7,"")</f>
        <v>118.59923076923079</v>
      </c>
      <c r="AH7" s="182">
        <f>RANK(AG7, AG$7:AG$21)</f>
        <v>1</v>
      </c>
      <c r="AI7" s="573">
        <f>AVERAGE(AG7:AG21)</f>
        <v>118.59923076923079</v>
      </c>
      <c r="AJ7" s="188">
        <v>25</v>
      </c>
      <c r="AK7" s="188">
        <v>2964.9807692307695</v>
      </c>
      <c r="AL7" s="185">
        <f t="shared" ref="AL7" si="3">IFERROR(AK7/AJ7,"")</f>
        <v>118.59923076923079</v>
      </c>
      <c r="AM7" s="182">
        <f>RANK(AL7, AL$7:AL$21)</f>
        <v>1</v>
      </c>
      <c r="AN7" s="573">
        <f>AVERAGE(AL7:AL21)</f>
        <v>118.59923076923079</v>
      </c>
      <c r="AO7" s="188">
        <v>25</v>
      </c>
      <c r="AP7" s="188">
        <v>2964.9807692307691</v>
      </c>
      <c r="AQ7" s="185">
        <f t="shared" ref="AQ7" si="4">IFERROR(AP7/AO7,"")</f>
        <v>118.59923076923076</v>
      </c>
      <c r="AR7" s="182">
        <f>RANK(AQ7, AQ$7:AQ$21)</f>
        <v>1</v>
      </c>
      <c r="AS7" s="573">
        <f>AVERAGE(AQ7:AQ21)</f>
        <v>118.59923076923076</v>
      </c>
      <c r="AT7" s="188">
        <v>25</v>
      </c>
      <c r="AU7" s="188">
        <v>2964.9807692307695</v>
      </c>
      <c r="AV7" s="185">
        <f t="shared" ref="AV7" si="5">IFERROR(AU7/AT7,"")</f>
        <v>118.59923076923079</v>
      </c>
      <c r="AW7" s="182">
        <f>RANK(AV7, AV$7:AV$21)</f>
        <v>1</v>
      </c>
      <c r="AX7" s="573">
        <f>AVERAGE(AV7:AV21)</f>
        <v>118.59923076923079</v>
      </c>
    </row>
    <row r="8" spans="1:50" ht="14.25" customHeight="1">
      <c r="B8" s="572"/>
      <c r="C8" s="180">
        <v>2</v>
      </c>
      <c r="D8" s="183"/>
      <c r="E8" s="180"/>
      <c r="F8" s="180"/>
      <c r="G8" s="185"/>
      <c r="H8" s="573"/>
      <c r="I8" s="186"/>
      <c r="J8" s="186"/>
      <c r="K8" s="187"/>
      <c r="L8" s="574"/>
      <c r="M8" s="186"/>
      <c r="N8" s="572"/>
      <c r="O8" s="572"/>
      <c r="P8" s="188"/>
      <c r="Q8" s="188"/>
      <c r="R8" s="185"/>
      <c r="S8" s="182"/>
      <c r="T8" s="573"/>
      <c r="U8" s="188"/>
      <c r="V8" s="188"/>
      <c r="W8" s="185"/>
      <c r="X8" s="182"/>
      <c r="Y8" s="573"/>
      <c r="Z8" s="188"/>
      <c r="AA8" s="188"/>
      <c r="AB8" s="185"/>
      <c r="AC8" s="182"/>
      <c r="AD8" s="573"/>
      <c r="AE8" s="188"/>
      <c r="AF8" s="188"/>
      <c r="AG8" s="185"/>
      <c r="AH8" s="182"/>
      <c r="AI8" s="573"/>
      <c r="AJ8" s="188"/>
      <c r="AK8" s="188"/>
      <c r="AL8" s="185"/>
      <c r="AM8" s="182"/>
      <c r="AN8" s="573"/>
      <c r="AO8" s="188"/>
      <c r="AP8" s="188"/>
      <c r="AQ8" s="185"/>
      <c r="AR8" s="182"/>
      <c r="AS8" s="573"/>
      <c r="AT8" s="188"/>
      <c r="AU8" s="188"/>
      <c r="AV8" s="185"/>
      <c r="AW8" s="182"/>
      <c r="AX8" s="573"/>
    </row>
    <row r="9" spans="1:50" ht="14.25" customHeight="1">
      <c r="B9" s="572"/>
      <c r="C9" s="180">
        <v>3</v>
      </c>
      <c r="D9" s="183"/>
      <c r="E9" s="180"/>
      <c r="F9" s="180"/>
      <c r="G9" s="185"/>
      <c r="H9" s="573"/>
      <c r="I9" s="186"/>
      <c r="J9" s="186"/>
      <c r="K9" s="187"/>
      <c r="L9" s="574"/>
      <c r="M9" s="186"/>
      <c r="N9" s="572"/>
      <c r="O9" s="572"/>
      <c r="P9" s="188"/>
      <c r="Q9" s="188"/>
      <c r="R9" s="185"/>
      <c r="S9" s="182"/>
      <c r="T9" s="573"/>
      <c r="U9" s="188"/>
      <c r="V9" s="188"/>
      <c r="W9" s="185"/>
      <c r="X9" s="182"/>
      <c r="Y9" s="573"/>
      <c r="Z9" s="188"/>
      <c r="AA9" s="188"/>
      <c r="AB9" s="185"/>
      <c r="AC9" s="182"/>
      <c r="AD9" s="573"/>
      <c r="AE9" s="188"/>
      <c r="AF9" s="188"/>
      <c r="AG9" s="185"/>
      <c r="AH9" s="182"/>
      <c r="AI9" s="573"/>
      <c r="AJ9" s="188"/>
      <c r="AK9" s="188"/>
      <c r="AL9" s="185"/>
      <c r="AM9" s="182"/>
      <c r="AN9" s="573"/>
      <c r="AO9" s="188"/>
      <c r="AP9" s="188"/>
      <c r="AQ9" s="185"/>
      <c r="AR9" s="182"/>
      <c r="AS9" s="573"/>
      <c r="AT9" s="188"/>
      <c r="AU9" s="188"/>
      <c r="AV9" s="185"/>
      <c r="AW9" s="182"/>
      <c r="AX9" s="573"/>
    </row>
    <row r="10" spans="1:50" ht="14.25" customHeight="1">
      <c r="B10" s="572"/>
      <c r="C10" s="180">
        <v>4</v>
      </c>
      <c r="D10" s="183"/>
      <c r="E10" s="180"/>
      <c r="F10" s="180"/>
      <c r="G10" s="185"/>
      <c r="H10" s="573"/>
      <c r="I10" s="186"/>
      <c r="J10" s="186"/>
      <c r="K10" s="187"/>
      <c r="L10" s="574"/>
      <c r="M10" s="186"/>
      <c r="N10" s="572"/>
      <c r="O10" s="572"/>
      <c r="P10" s="188"/>
      <c r="Q10" s="188"/>
      <c r="R10" s="185"/>
      <c r="S10" s="182"/>
      <c r="T10" s="573"/>
      <c r="U10" s="188"/>
      <c r="V10" s="188"/>
      <c r="W10" s="185"/>
      <c r="X10" s="182"/>
      <c r="Y10" s="573"/>
      <c r="Z10" s="188"/>
      <c r="AA10" s="188"/>
      <c r="AB10" s="185"/>
      <c r="AC10" s="182"/>
      <c r="AD10" s="573"/>
      <c r="AE10" s="188"/>
      <c r="AF10" s="188"/>
      <c r="AG10" s="185"/>
      <c r="AH10" s="182"/>
      <c r="AI10" s="573"/>
      <c r="AJ10" s="188"/>
      <c r="AK10" s="188"/>
      <c r="AL10" s="185"/>
      <c r="AM10" s="182"/>
      <c r="AN10" s="573"/>
      <c r="AO10" s="188"/>
      <c r="AP10" s="188"/>
      <c r="AQ10" s="185"/>
      <c r="AR10" s="182"/>
      <c r="AS10" s="573"/>
      <c r="AT10" s="188"/>
      <c r="AU10" s="188"/>
      <c r="AV10" s="185"/>
      <c r="AW10" s="182"/>
      <c r="AX10" s="573"/>
    </row>
    <row r="11" spans="1:50" ht="14.25" customHeight="1">
      <c r="B11" s="572"/>
      <c r="C11" s="180">
        <v>5</v>
      </c>
      <c r="D11" s="183"/>
      <c r="E11" s="180"/>
      <c r="F11" s="180"/>
      <c r="G11" s="185"/>
      <c r="H11" s="573"/>
      <c r="I11" s="186"/>
      <c r="J11" s="186"/>
      <c r="K11" s="187"/>
      <c r="L11" s="574"/>
      <c r="M11" s="186"/>
      <c r="N11" s="572"/>
      <c r="O11" s="572"/>
      <c r="P11" s="188"/>
      <c r="Q11" s="188"/>
      <c r="R11" s="185"/>
      <c r="S11" s="182"/>
      <c r="T11" s="573"/>
      <c r="U11" s="188"/>
      <c r="V11" s="188"/>
      <c r="W11" s="185"/>
      <c r="X11" s="182"/>
      <c r="Y11" s="573"/>
      <c r="Z11" s="188"/>
      <c r="AA11" s="188"/>
      <c r="AB11" s="185"/>
      <c r="AC11" s="182"/>
      <c r="AD11" s="573"/>
      <c r="AE11" s="188"/>
      <c r="AF11" s="188"/>
      <c r="AG11" s="185"/>
      <c r="AH11" s="182"/>
      <c r="AI11" s="573"/>
      <c r="AJ11" s="188"/>
      <c r="AK11" s="188"/>
      <c r="AL11" s="185"/>
      <c r="AM11" s="182"/>
      <c r="AN11" s="573"/>
      <c r="AO11" s="188"/>
      <c r="AP11" s="188"/>
      <c r="AQ11" s="185"/>
      <c r="AR11" s="182"/>
      <c r="AS11" s="573"/>
      <c r="AT11" s="188"/>
      <c r="AU11" s="188"/>
      <c r="AV11" s="185"/>
      <c r="AW11" s="182"/>
      <c r="AX11" s="573"/>
    </row>
    <row r="12" spans="1:50" ht="14.25" customHeight="1">
      <c r="B12" s="572"/>
      <c r="C12" s="180">
        <v>6</v>
      </c>
      <c r="D12" s="183"/>
      <c r="E12" s="180"/>
      <c r="F12" s="180"/>
      <c r="G12" s="185"/>
      <c r="H12" s="573"/>
      <c r="I12" s="186"/>
      <c r="J12" s="186"/>
      <c r="K12" s="187"/>
      <c r="L12" s="574"/>
      <c r="M12" s="186"/>
      <c r="N12" s="572"/>
      <c r="O12" s="572"/>
      <c r="P12" s="188"/>
      <c r="Q12" s="188"/>
      <c r="R12" s="185"/>
      <c r="S12" s="182"/>
      <c r="T12" s="573"/>
      <c r="U12" s="188"/>
      <c r="V12" s="188"/>
      <c r="W12" s="185"/>
      <c r="X12" s="182"/>
      <c r="Y12" s="573"/>
      <c r="Z12" s="188"/>
      <c r="AA12" s="188"/>
      <c r="AB12" s="185"/>
      <c r="AC12" s="182"/>
      <c r="AD12" s="573"/>
      <c r="AE12" s="188"/>
      <c r="AF12" s="188"/>
      <c r="AG12" s="185"/>
      <c r="AH12" s="182"/>
      <c r="AI12" s="573"/>
      <c r="AJ12" s="188"/>
      <c r="AK12" s="188"/>
      <c r="AL12" s="185"/>
      <c r="AM12" s="182"/>
      <c r="AN12" s="573"/>
      <c r="AO12" s="188"/>
      <c r="AP12" s="188"/>
      <c r="AQ12" s="185"/>
      <c r="AR12" s="182"/>
      <c r="AS12" s="573"/>
      <c r="AT12" s="188"/>
      <c r="AU12" s="188"/>
      <c r="AV12" s="185"/>
      <c r="AW12" s="182"/>
      <c r="AX12" s="573"/>
    </row>
    <row r="13" spans="1:50" ht="14.25" customHeight="1">
      <c r="B13" s="572"/>
      <c r="C13" s="180">
        <v>7</v>
      </c>
      <c r="D13" s="183"/>
      <c r="E13" s="180"/>
      <c r="F13" s="180"/>
      <c r="G13" s="185"/>
      <c r="H13" s="573"/>
      <c r="I13" s="186"/>
      <c r="J13" s="186"/>
      <c r="K13" s="187"/>
      <c r="L13" s="574"/>
      <c r="M13" s="186"/>
      <c r="N13" s="572"/>
      <c r="O13" s="572"/>
      <c r="P13" s="188"/>
      <c r="Q13" s="188"/>
      <c r="R13" s="185"/>
      <c r="S13" s="182"/>
      <c r="T13" s="573"/>
      <c r="U13" s="188"/>
      <c r="V13" s="188"/>
      <c r="W13" s="185"/>
      <c r="X13" s="182"/>
      <c r="Y13" s="573"/>
      <c r="Z13" s="188"/>
      <c r="AA13" s="188"/>
      <c r="AB13" s="185"/>
      <c r="AC13" s="182"/>
      <c r="AD13" s="573"/>
      <c r="AE13" s="188"/>
      <c r="AF13" s="188"/>
      <c r="AG13" s="185"/>
      <c r="AH13" s="182"/>
      <c r="AI13" s="573"/>
      <c r="AJ13" s="188"/>
      <c r="AK13" s="188"/>
      <c r="AL13" s="185"/>
      <c r="AM13" s="182"/>
      <c r="AN13" s="573"/>
      <c r="AO13" s="188"/>
      <c r="AP13" s="188"/>
      <c r="AQ13" s="185"/>
      <c r="AR13" s="182"/>
      <c r="AS13" s="573"/>
      <c r="AT13" s="188"/>
      <c r="AU13" s="188"/>
      <c r="AV13" s="185"/>
      <c r="AW13" s="182"/>
      <c r="AX13" s="573"/>
    </row>
    <row r="14" spans="1:50" ht="14.25" customHeight="1">
      <c r="B14" s="572"/>
      <c r="C14" s="180">
        <v>8</v>
      </c>
      <c r="D14" s="183"/>
      <c r="E14" s="180"/>
      <c r="F14" s="180"/>
      <c r="G14" s="185"/>
      <c r="H14" s="573"/>
      <c r="I14" s="186"/>
      <c r="J14" s="186"/>
      <c r="K14" s="187"/>
      <c r="L14" s="574"/>
      <c r="M14" s="186"/>
      <c r="N14" s="572"/>
      <c r="O14" s="572"/>
      <c r="P14" s="188"/>
      <c r="Q14" s="188"/>
      <c r="R14" s="185"/>
      <c r="S14" s="182"/>
      <c r="T14" s="573"/>
      <c r="U14" s="188"/>
      <c r="V14" s="188"/>
      <c r="W14" s="185"/>
      <c r="X14" s="182"/>
      <c r="Y14" s="573"/>
      <c r="Z14" s="188"/>
      <c r="AA14" s="188"/>
      <c r="AB14" s="185"/>
      <c r="AC14" s="182"/>
      <c r="AD14" s="573"/>
      <c r="AE14" s="188"/>
      <c r="AF14" s="188"/>
      <c r="AG14" s="185"/>
      <c r="AH14" s="182"/>
      <c r="AI14" s="573"/>
      <c r="AJ14" s="188"/>
      <c r="AK14" s="188"/>
      <c r="AL14" s="185"/>
      <c r="AM14" s="182"/>
      <c r="AN14" s="573"/>
      <c r="AO14" s="188"/>
      <c r="AP14" s="188"/>
      <c r="AQ14" s="185"/>
      <c r="AR14" s="182"/>
      <c r="AS14" s="573"/>
      <c r="AT14" s="188"/>
      <c r="AU14" s="188"/>
      <c r="AV14" s="185"/>
      <c r="AW14" s="182"/>
      <c r="AX14" s="573"/>
    </row>
    <row r="15" spans="1:50" ht="14.25" customHeight="1">
      <c r="B15" s="572"/>
      <c r="C15" s="180">
        <v>9</v>
      </c>
      <c r="D15" s="183"/>
      <c r="E15" s="180"/>
      <c r="F15" s="180"/>
      <c r="G15" s="185"/>
      <c r="H15" s="573"/>
      <c r="I15" s="186"/>
      <c r="J15" s="186"/>
      <c r="K15" s="187"/>
      <c r="L15" s="574"/>
      <c r="M15" s="186"/>
      <c r="N15" s="572"/>
      <c r="O15" s="572"/>
      <c r="P15" s="188"/>
      <c r="Q15" s="188"/>
      <c r="R15" s="185"/>
      <c r="S15" s="182"/>
      <c r="T15" s="573"/>
      <c r="U15" s="188"/>
      <c r="V15" s="188"/>
      <c r="W15" s="185"/>
      <c r="X15" s="182"/>
      <c r="Y15" s="573"/>
      <c r="Z15" s="188"/>
      <c r="AA15" s="188"/>
      <c r="AB15" s="185"/>
      <c r="AC15" s="182"/>
      <c r="AD15" s="573"/>
      <c r="AE15" s="188"/>
      <c r="AF15" s="188"/>
      <c r="AG15" s="185"/>
      <c r="AH15" s="182"/>
      <c r="AI15" s="573"/>
      <c r="AJ15" s="188"/>
      <c r="AK15" s="188"/>
      <c r="AL15" s="185"/>
      <c r="AM15" s="182"/>
      <c r="AN15" s="573"/>
      <c r="AO15" s="188"/>
      <c r="AP15" s="188"/>
      <c r="AQ15" s="185"/>
      <c r="AR15" s="182"/>
      <c r="AS15" s="573"/>
      <c r="AT15" s="188"/>
      <c r="AU15" s="188"/>
      <c r="AV15" s="185"/>
      <c r="AW15" s="182"/>
      <c r="AX15" s="573"/>
    </row>
    <row r="16" spans="1:50" ht="14.25" customHeight="1">
      <c r="B16" s="572"/>
      <c r="C16" s="180">
        <v>10</v>
      </c>
      <c r="D16" s="183"/>
      <c r="E16" s="180"/>
      <c r="F16" s="180"/>
      <c r="G16" s="185"/>
      <c r="H16" s="573"/>
      <c r="I16" s="186"/>
      <c r="J16" s="186"/>
      <c r="K16" s="187"/>
      <c r="L16" s="574"/>
      <c r="M16" s="186"/>
      <c r="N16" s="572"/>
      <c r="O16" s="572"/>
      <c r="P16" s="188"/>
      <c r="Q16" s="188"/>
      <c r="R16" s="185"/>
      <c r="S16" s="182"/>
      <c r="T16" s="573"/>
      <c r="U16" s="188"/>
      <c r="V16" s="188"/>
      <c r="W16" s="185"/>
      <c r="X16" s="182"/>
      <c r="Y16" s="573"/>
      <c r="Z16" s="188"/>
      <c r="AA16" s="188"/>
      <c r="AB16" s="185"/>
      <c r="AC16" s="182"/>
      <c r="AD16" s="573"/>
      <c r="AE16" s="188"/>
      <c r="AF16" s="188"/>
      <c r="AG16" s="185"/>
      <c r="AH16" s="182"/>
      <c r="AI16" s="573"/>
      <c r="AJ16" s="188"/>
      <c r="AK16" s="188"/>
      <c r="AL16" s="185"/>
      <c r="AM16" s="182"/>
      <c r="AN16" s="573"/>
      <c r="AO16" s="188"/>
      <c r="AP16" s="188"/>
      <c r="AQ16" s="185"/>
      <c r="AR16" s="182"/>
      <c r="AS16" s="573"/>
      <c r="AT16" s="188"/>
      <c r="AU16" s="188"/>
      <c r="AV16" s="185"/>
      <c r="AW16" s="182"/>
      <c r="AX16" s="573"/>
    </row>
    <row r="17" spans="2:50" ht="14.25" customHeight="1">
      <c r="B17" s="572"/>
      <c r="C17" s="180">
        <v>11</v>
      </c>
      <c r="D17" s="183"/>
      <c r="E17" s="180"/>
      <c r="F17" s="180"/>
      <c r="G17" s="185"/>
      <c r="H17" s="573"/>
      <c r="I17" s="186"/>
      <c r="J17" s="186"/>
      <c r="K17" s="187"/>
      <c r="L17" s="574"/>
      <c r="M17" s="186"/>
      <c r="N17" s="572"/>
      <c r="O17" s="572"/>
      <c r="P17" s="188"/>
      <c r="Q17" s="188"/>
      <c r="R17" s="185"/>
      <c r="S17" s="182"/>
      <c r="T17" s="573"/>
      <c r="U17" s="188"/>
      <c r="V17" s="188"/>
      <c r="W17" s="185"/>
      <c r="X17" s="182"/>
      <c r="Y17" s="573"/>
      <c r="Z17" s="188"/>
      <c r="AA17" s="188"/>
      <c r="AB17" s="185"/>
      <c r="AC17" s="182"/>
      <c r="AD17" s="573"/>
      <c r="AE17" s="188"/>
      <c r="AF17" s="188"/>
      <c r="AG17" s="185"/>
      <c r="AH17" s="182"/>
      <c r="AI17" s="573"/>
      <c r="AJ17" s="188"/>
      <c r="AK17" s="188"/>
      <c r="AL17" s="185"/>
      <c r="AM17" s="182"/>
      <c r="AN17" s="573"/>
      <c r="AO17" s="188"/>
      <c r="AP17" s="188"/>
      <c r="AQ17" s="185"/>
      <c r="AR17" s="182"/>
      <c r="AS17" s="573"/>
      <c r="AT17" s="188"/>
      <c r="AU17" s="188"/>
      <c r="AV17" s="185"/>
      <c r="AW17" s="182"/>
      <c r="AX17" s="573"/>
    </row>
    <row r="18" spans="2:50" ht="14.25" customHeight="1">
      <c r="B18" s="572"/>
      <c r="C18" s="180">
        <v>12</v>
      </c>
      <c r="D18" s="183"/>
      <c r="E18" s="180"/>
      <c r="F18" s="180"/>
      <c r="G18" s="185"/>
      <c r="H18" s="573"/>
      <c r="I18" s="186"/>
      <c r="J18" s="186"/>
      <c r="K18" s="187"/>
      <c r="L18" s="574"/>
      <c r="M18" s="186"/>
      <c r="N18" s="572"/>
      <c r="O18" s="572"/>
      <c r="P18" s="188"/>
      <c r="Q18" s="188"/>
      <c r="R18" s="185"/>
      <c r="S18" s="182"/>
      <c r="T18" s="573"/>
      <c r="U18" s="188"/>
      <c r="V18" s="188"/>
      <c r="W18" s="185"/>
      <c r="X18" s="182"/>
      <c r="Y18" s="573"/>
      <c r="Z18" s="188"/>
      <c r="AA18" s="188"/>
      <c r="AB18" s="185"/>
      <c r="AC18" s="182"/>
      <c r="AD18" s="573"/>
      <c r="AE18" s="188"/>
      <c r="AF18" s="188"/>
      <c r="AG18" s="185"/>
      <c r="AH18" s="182"/>
      <c r="AI18" s="573"/>
      <c r="AJ18" s="188"/>
      <c r="AK18" s="188"/>
      <c r="AL18" s="185"/>
      <c r="AM18" s="182"/>
      <c r="AN18" s="573"/>
      <c r="AO18" s="188"/>
      <c r="AP18" s="188"/>
      <c r="AQ18" s="185"/>
      <c r="AR18" s="182"/>
      <c r="AS18" s="573"/>
      <c r="AT18" s="188"/>
      <c r="AU18" s="188"/>
      <c r="AV18" s="185"/>
      <c r="AW18" s="182"/>
      <c r="AX18" s="573"/>
    </row>
    <row r="19" spans="2:50" ht="14.25" customHeight="1">
      <c r="B19" s="572"/>
      <c r="C19" s="180">
        <v>13</v>
      </c>
      <c r="D19" s="183"/>
      <c r="E19" s="180"/>
      <c r="F19" s="180"/>
      <c r="G19" s="185"/>
      <c r="H19" s="573"/>
      <c r="I19" s="186"/>
      <c r="J19" s="186"/>
      <c r="K19" s="187"/>
      <c r="L19" s="574"/>
      <c r="M19" s="186"/>
      <c r="N19" s="572"/>
      <c r="O19" s="572"/>
      <c r="P19" s="188"/>
      <c r="Q19" s="188"/>
      <c r="R19" s="185"/>
      <c r="S19" s="182"/>
      <c r="T19" s="573"/>
      <c r="U19" s="188"/>
      <c r="V19" s="188"/>
      <c r="W19" s="185"/>
      <c r="X19" s="182"/>
      <c r="Y19" s="573"/>
      <c r="Z19" s="188"/>
      <c r="AA19" s="188"/>
      <c r="AB19" s="185"/>
      <c r="AC19" s="182"/>
      <c r="AD19" s="573"/>
      <c r="AE19" s="188"/>
      <c r="AF19" s="188"/>
      <c r="AG19" s="185"/>
      <c r="AH19" s="182"/>
      <c r="AI19" s="573"/>
      <c r="AJ19" s="188"/>
      <c r="AK19" s="188"/>
      <c r="AL19" s="185"/>
      <c r="AM19" s="182"/>
      <c r="AN19" s="573"/>
      <c r="AO19" s="188"/>
      <c r="AP19" s="188"/>
      <c r="AQ19" s="185"/>
      <c r="AR19" s="182"/>
      <c r="AS19" s="573"/>
      <c r="AT19" s="188"/>
      <c r="AU19" s="188"/>
      <c r="AV19" s="185"/>
      <c r="AW19" s="182"/>
      <c r="AX19" s="573"/>
    </row>
    <row r="20" spans="2:50" ht="14.25" customHeight="1">
      <c r="B20" s="572"/>
      <c r="C20" s="180">
        <v>14</v>
      </c>
      <c r="D20" s="183"/>
      <c r="E20" s="180"/>
      <c r="F20" s="180"/>
      <c r="G20" s="185"/>
      <c r="H20" s="573"/>
      <c r="I20" s="186"/>
      <c r="J20" s="186"/>
      <c r="K20" s="187"/>
      <c r="L20" s="574"/>
      <c r="M20" s="186"/>
      <c r="N20" s="572"/>
      <c r="O20" s="572"/>
      <c r="P20" s="188"/>
      <c r="Q20" s="188"/>
      <c r="R20" s="185"/>
      <c r="S20" s="182"/>
      <c r="T20" s="573"/>
      <c r="U20" s="188"/>
      <c r="V20" s="188"/>
      <c r="W20" s="185"/>
      <c r="X20" s="182"/>
      <c r="Y20" s="573"/>
      <c r="Z20" s="188"/>
      <c r="AA20" s="188"/>
      <c r="AB20" s="185"/>
      <c r="AC20" s="182"/>
      <c r="AD20" s="573"/>
      <c r="AE20" s="188"/>
      <c r="AF20" s="188"/>
      <c r="AG20" s="185"/>
      <c r="AH20" s="182"/>
      <c r="AI20" s="573"/>
      <c r="AJ20" s="188"/>
      <c r="AK20" s="188"/>
      <c r="AL20" s="185"/>
      <c r="AM20" s="182"/>
      <c r="AN20" s="573"/>
      <c r="AO20" s="188"/>
      <c r="AP20" s="188"/>
      <c r="AQ20" s="185"/>
      <c r="AR20" s="182"/>
      <c r="AS20" s="573"/>
      <c r="AT20" s="188"/>
      <c r="AU20" s="188"/>
      <c r="AV20" s="185"/>
      <c r="AW20" s="182"/>
      <c r="AX20" s="573"/>
    </row>
    <row r="21" spans="2:50" ht="14.25" customHeight="1">
      <c r="B21" s="572"/>
      <c r="C21" s="180">
        <v>15</v>
      </c>
      <c r="D21" s="183"/>
      <c r="E21" s="180"/>
      <c r="F21" s="180"/>
      <c r="G21" s="185"/>
      <c r="H21" s="573"/>
      <c r="I21" s="186"/>
      <c r="J21" s="186"/>
      <c r="K21" s="187"/>
      <c r="L21" s="574"/>
      <c r="M21" s="186"/>
      <c r="N21" s="572"/>
      <c r="O21" s="572"/>
      <c r="P21" s="188"/>
      <c r="Q21" s="188"/>
      <c r="R21" s="185"/>
      <c r="S21" s="182"/>
      <c r="T21" s="573"/>
      <c r="U21" s="188"/>
      <c r="V21" s="188"/>
      <c r="W21" s="185"/>
      <c r="X21" s="182"/>
      <c r="Y21" s="573"/>
      <c r="Z21" s="188"/>
      <c r="AA21" s="188"/>
      <c r="AB21" s="185"/>
      <c r="AC21" s="182"/>
      <c r="AD21" s="573"/>
      <c r="AE21" s="188"/>
      <c r="AF21" s="188"/>
      <c r="AG21" s="185"/>
      <c r="AH21" s="182"/>
      <c r="AI21" s="573"/>
      <c r="AJ21" s="188"/>
      <c r="AK21" s="188"/>
      <c r="AL21" s="185"/>
      <c r="AM21" s="182"/>
      <c r="AN21" s="573"/>
      <c r="AO21" s="188"/>
      <c r="AP21" s="188"/>
      <c r="AQ21" s="185"/>
      <c r="AR21" s="182"/>
      <c r="AS21" s="573"/>
      <c r="AT21" s="188"/>
      <c r="AU21" s="188"/>
      <c r="AV21" s="185"/>
      <c r="AW21" s="182"/>
      <c r="AX21" s="573"/>
    </row>
    <row r="22" spans="2:50" ht="14.25" customHeight="1">
      <c r="B22" s="597" t="s">
        <v>684</v>
      </c>
      <c r="C22" s="587"/>
      <c r="D22" s="587"/>
      <c r="E22" s="587"/>
      <c r="F22" s="587"/>
      <c r="G22" s="587"/>
      <c r="H22" s="587"/>
      <c r="I22" s="587"/>
      <c r="J22" s="587"/>
      <c r="K22" s="587"/>
      <c r="L22" s="587"/>
      <c r="M22" s="588"/>
      <c r="N22" s="606" t="s">
        <v>364</v>
      </c>
      <c r="O22" s="606" t="s">
        <v>105</v>
      </c>
      <c r="P22" s="608">
        <v>46175</v>
      </c>
      <c r="Q22" s="609"/>
      <c r="R22" s="609"/>
      <c r="S22" s="609"/>
      <c r="T22" s="609"/>
      <c r="U22" s="610">
        <v>46176</v>
      </c>
      <c r="V22" s="611"/>
      <c r="W22" s="611"/>
      <c r="X22" s="611"/>
      <c r="Y22" s="611"/>
      <c r="Z22" s="608">
        <v>46177</v>
      </c>
      <c r="AA22" s="609"/>
      <c r="AB22" s="609"/>
      <c r="AC22" s="609"/>
      <c r="AD22" s="609"/>
      <c r="AE22" s="610">
        <v>46178</v>
      </c>
      <c r="AF22" s="611"/>
      <c r="AG22" s="611"/>
      <c r="AH22" s="611"/>
      <c r="AI22" s="611"/>
      <c r="AJ22" s="598">
        <v>46179</v>
      </c>
      <c r="AK22" s="599"/>
      <c r="AL22" s="599"/>
      <c r="AM22" s="599"/>
      <c r="AN22" s="600"/>
      <c r="AO22" s="610">
        <v>46180</v>
      </c>
      <c r="AP22" s="611"/>
      <c r="AQ22" s="611"/>
      <c r="AR22" s="611"/>
      <c r="AS22" s="611"/>
      <c r="AT22" s="598">
        <v>46181</v>
      </c>
      <c r="AU22" s="599"/>
      <c r="AV22" s="599"/>
      <c r="AW22" s="599"/>
      <c r="AX22" s="600"/>
    </row>
    <row r="23" spans="2:50" ht="14.25" customHeight="1">
      <c r="B23" s="589"/>
      <c r="C23" s="589"/>
      <c r="D23" s="589"/>
      <c r="E23" s="589"/>
      <c r="F23" s="589"/>
      <c r="G23" s="589"/>
      <c r="H23" s="589"/>
      <c r="I23" s="589"/>
      <c r="J23" s="589"/>
      <c r="K23" s="589"/>
      <c r="L23" s="589"/>
      <c r="M23" s="590"/>
      <c r="N23" s="607"/>
      <c r="O23" s="607"/>
      <c r="P23" s="601">
        <v>46175</v>
      </c>
      <c r="Q23" s="601"/>
      <c r="R23" s="601"/>
      <c r="S23" s="601"/>
      <c r="T23" s="601"/>
      <c r="U23" s="602">
        <v>46176</v>
      </c>
      <c r="V23" s="602"/>
      <c r="W23" s="602"/>
      <c r="X23" s="602"/>
      <c r="Y23" s="602"/>
      <c r="Z23" s="601">
        <v>46177</v>
      </c>
      <c r="AA23" s="601"/>
      <c r="AB23" s="601"/>
      <c r="AC23" s="601"/>
      <c r="AD23" s="601"/>
      <c r="AE23" s="602">
        <v>46178</v>
      </c>
      <c r="AF23" s="602"/>
      <c r="AG23" s="602"/>
      <c r="AH23" s="602"/>
      <c r="AI23" s="602"/>
      <c r="AJ23" s="603">
        <v>46179</v>
      </c>
      <c r="AK23" s="604"/>
      <c r="AL23" s="604"/>
      <c r="AM23" s="604"/>
      <c r="AN23" s="605"/>
      <c r="AO23" s="602">
        <v>46180</v>
      </c>
      <c r="AP23" s="602"/>
      <c r="AQ23" s="602"/>
      <c r="AR23" s="602"/>
      <c r="AS23" s="602"/>
      <c r="AT23" s="603">
        <v>46181</v>
      </c>
      <c r="AU23" s="604"/>
      <c r="AV23" s="604"/>
      <c r="AW23" s="604"/>
      <c r="AX23" s="605"/>
    </row>
    <row r="24" spans="2:50" ht="14.25" customHeight="1">
      <c r="B24" s="572" t="s">
        <v>162</v>
      </c>
      <c r="C24" s="572" t="s">
        <v>157</v>
      </c>
      <c r="D24" s="572"/>
      <c r="E24" s="572" t="s">
        <v>158</v>
      </c>
      <c r="F24" s="572"/>
      <c r="G24" s="572"/>
      <c r="H24" s="572" t="s">
        <v>163</v>
      </c>
      <c r="I24" s="576" t="s">
        <v>365</v>
      </c>
      <c r="J24" s="576"/>
      <c r="K24" s="576"/>
      <c r="L24" s="576" t="s">
        <v>163</v>
      </c>
      <c r="M24" s="576" t="s">
        <v>165</v>
      </c>
      <c r="N24" s="572"/>
      <c r="O24" s="572" t="s">
        <v>164</v>
      </c>
      <c r="P24" s="572" t="s">
        <v>160</v>
      </c>
      <c r="Q24" s="572"/>
      <c r="R24" s="572"/>
      <c r="S24" s="572"/>
      <c r="T24" s="572" t="s">
        <v>163</v>
      </c>
      <c r="U24" s="572" t="s">
        <v>160</v>
      </c>
      <c r="V24" s="572"/>
      <c r="W24" s="572"/>
      <c r="X24" s="572"/>
      <c r="Y24" s="572" t="s">
        <v>163</v>
      </c>
      <c r="Z24" s="572" t="s">
        <v>160</v>
      </c>
      <c r="AA24" s="572"/>
      <c r="AB24" s="572"/>
      <c r="AC24" s="572"/>
      <c r="AD24" s="572" t="s">
        <v>163</v>
      </c>
      <c r="AE24" s="572" t="s">
        <v>160</v>
      </c>
      <c r="AF24" s="572"/>
      <c r="AG24" s="572"/>
      <c r="AH24" s="572"/>
      <c r="AI24" s="572" t="s">
        <v>163</v>
      </c>
      <c r="AJ24" s="572" t="s">
        <v>160</v>
      </c>
      <c r="AK24" s="572"/>
      <c r="AL24" s="572"/>
      <c r="AM24" s="572"/>
      <c r="AN24" s="572" t="s">
        <v>163</v>
      </c>
      <c r="AO24" s="572" t="s">
        <v>160</v>
      </c>
      <c r="AP24" s="572"/>
      <c r="AQ24" s="572"/>
      <c r="AR24" s="572"/>
      <c r="AS24" s="572" t="s">
        <v>163</v>
      </c>
      <c r="AT24" s="572" t="s">
        <v>160</v>
      </c>
      <c r="AU24" s="572"/>
      <c r="AV24" s="572"/>
      <c r="AW24" s="572"/>
      <c r="AX24" s="572" t="s">
        <v>163</v>
      </c>
    </row>
    <row r="25" spans="2:50" ht="14.25" customHeight="1">
      <c r="B25" s="572"/>
      <c r="C25" s="572"/>
      <c r="D25" s="572"/>
      <c r="E25" s="572" t="s">
        <v>366</v>
      </c>
      <c r="F25" s="572"/>
      <c r="G25" s="572"/>
      <c r="H25" s="572"/>
      <c r="I25" s="576" t="s">
        <v>366</v>
      </c>
      <c r="J25" s="576"/>
      <c r="K25" s="576"/>
      <c r="L25" s="576"/>
      <c r="M25" s="576"/>
      <c r="N25" s="572"/>
      <c r="O25" s="572"/>
      <c r="P25" s="572" t="s">
        <v>367</v>
      </c>
      <c r="Q25" s="572"/>
      <c r="R25" s="572"/>
      <c r="S25" s="572"/>
      <c r="T25" s="572"/>
      <c r="U25" s="572" t="s">
        <v>367</v>
      </c>
      <c r="V25" s="572"/>
      <c r="W25" s="572"/>
      <c r="X25" s="572"/>
      <c r="Y25" s="572"/>
      <c r="Z25" s="572" t="s">
        <v>367</v>
      </c>
      <c r="AA25" s="572"/>
      <c r="AB25" s="572"/>
      <c r="AC25" s="572"/>
      <c r="AD25" s="572"/>
      <c r="AE25" s="572" t="s">
        <v>367</v>
      </c>
      <c r="AF25" s="572"/>
      <c r="AG25" s="572"/>
      <c r="AH25" s="572"/>
      <c r="AI25" s="572"/>
      <c r="AJ25" s="572" t="s">
        <v>367</v>
      </c>
      <c r="AK25" s="572"/>
      <c r="AL25" s="572"/>
      <c r="AM25" s="572"/>
      <c r="AN25" s="572"/>
      <c r="AO25" s="572" t="s">
        <v>367</v>
      </c>
      <c r="AP25" s="572"/>
      <c r="AQ25" s="572"/>
      <c r="AR25" s="572"/>
      <c r="AS25" s="572"/>
      <c r="AT25" s="572" t="s">
        <v>367</v>
      </c>
      <c r="AU25" s="572"/>
      <c r="AV25" s="572"/>
      <c r="AW25" s="572"/>
      <c r="AX25" s="572"/>
    </row>
    <row r="26" spans="2:50" ht="14.25" customHeight="1">
      <c r="B26" s="572"/>
      <c r="C26" s="572"/>
      <c r="D26" s="572"/>
      <c r="E26" s="180" t="s">
        <v>159</v>
      </c>
      <c r="F26" s="180" t="s">
        <v>368</v>
      </c>
      <c r="G26" s="180" t="s">
        <v>161</v>
      </c>
      <c r="H26" s="572"/>
      <c r="I26" s="181" t="s">
        <v>159</v>
      </c>
      <c r="J26" s="181" t="s">
        <v>368</v>
      </c>
      <c r="K26" s="181" t="s">
        <v>161</v>
      </c>
      <c r="L26" s="576"/>
      <c r="M26" s="576"/>
      <c r="N26" s="572"/>
      <c r="O26" s="572"/>
      <c r="P26" s="180" t="s">
        <v>159</v>
      </c>
      <c r="Q26" s="180" t="s">
        <v>368</v>
      </c>
      <c r="R26" s="180" t="s">
        <v>161</v>
      </c>
      <c r="S26" s="182" t="s">
        <v>165</v>
      </c>
      <c r="T26" s="572"/>
      <c r="U26" s="180" t="s">
        <v>159</v>
      </c>
      <c r="V26" s="180" t="s">
        <v>368</v>
      </c>
      <c r="W26" s="180" t="s">
        <v>161</v>
      </c>
      <c r="X26" s="182" t="s">
        <v>165</v>
      </c>
      <c r="Y26" s="572"/>
      <c r="Z26" s="180" t="s">
        <v>159</v>
      </c>
      <c r="AA26" s="180" t="s">
        <v>368</v>
      </c>
      <c r="AB26" s="180" t="s">
        <v>161</v>
      </c>
      <c r="AC26" s="182" t="s">
        <v>165</v>
      </c>
      <c r="AD26" s="572"/>
      <c r="AE26" s="180" t="s">
        <v>159</v>
      </c>
      <c r="AF26" s="180" t="s">
        <v>368</v>
      </c>
      <c r="AG26" s="180" t="s">
        <v>161</v>
      </c>
      <c r="AH26" s="182" t="s">
        <v>165</v>
      </c>
      <c r="AI26" s="572"/>
      <c r="AJ26" s="180" t="s">
        <v>159</v>
      </c>
      <c r="AK26" s="180" t="s">
        <v>368</v>
      </c>
      <c r="AL26" s="180" t="s">
        <v>161</v>
      </c>
      <c r="AM26" s="182" t="s">
        <v>165</v>
      </c>
      <c r="AN26" s="572"/>
      <c r="AO26" s="180" t="s">
        <v>159</v>
      </c>
      <c r="AP26" s="180" t="s">
        <v>368</v>
      </c>
      <c r="AQ26" s="180" t="s">
        <v>161</v>
      </c>
      <c r="AR26" s="182" t="s">
        <v>165</v>
      </c>
      <c r="AS26" s="572"/>
      <c r="AT26" s="180" t="s">
        <v>159</v>
      </c>
      <c r="AU26" s="180" t="s">
        <v>368</v>
      </c>
      <c r="AV26" s="180" t="s">
        <v>161</v>
      </c>
      <c r="AW26" s="182" t="s">
        <v>165</v>
      </c>
      <c r="AX26" s="572"/>
    </row>
    <row r="27" spans="2:50" ht="14.25" customHeight="1">
      <c r="B27" s="612" t="s">
        <v>427</v>
      </c>
      <c r="C27" s="180">
        <v>1</v>
      </c>
      <c r="D27" s="183" t="s">
        <v>347</v>
      </c>
      <c r="E27" s="180">
        <v>21</v>
      </c>
      <c r="F27" s="180">
        <v>2790</v>
      </c>
      <c r="G27" s="185">
        <f t="shared" ref="G27" si="6">F27/E27</f>
        <v>132.85714285714286</v>
      </c>
      <c r="H27" s="573">
        <f>AVERAGE(G27:G41)</f>
        <v>132.85714285714286</v>
      </c>
      <c r="I27" s="186">
        <f>AVERAGE(P27,U27,Z27,AE27,AJ27,AO27,AT27)</f>
        <v>25</v>
      </c>
      <c r="J27" s="186">
        <f>AVERAGE(Q27,V27,AA27,AF27,AK27,AP27,AU27)</f>
        <v>2964.9807692307691</v>
      </c>
      <c r="K27" s="187">
        <f>AVERAGE(R27,W27,AB27,AG27,AL27,AQ27,AV27)</f>
        <v>118.59923076923076</v>
      </c>
      <c r="L27" s="574">
        <f>IFERROR(AVERAGE(K27:K41),"-")</f>
        <v>118.59923076923076</v>
      </c>
      <c r="M27" s="186">
        <f>RANK(K27, K$27:$K$41)</f>
        <v>1</v>
      </c>
      <c r="N27" s="572"/>
      <c r="O27" s="572"/>
      <c r="P27" s="188">
        <v>25</v>
      </c>
      <c r="Q27" s="188">
        <v>2964.9807692307691</v>
      </c>
      <c r="R27" s="185">
        <f>IFERROR(Q27/P27,"")</f>
        <v>118.59923076923076</v>
      </c>
      <c r="S27" s="182">
        <f>RANK(R27, R$27:R$41)</f>
        <v>1</v>
      </c>
      <c r="T27" s="573">
        <f>AVERAGE(R27:R41)</f>
        <v>118.59923076923076</v>
      </c>
      <c r="U27" s="188">
        <v>25</v>
      </c>
      <c r="V27" s="188">
        <v>2964.9807692307691</v>
      </c>
      <c r="W27" s="185">
        <f t="shared" ref="W27" si="7">IFERROR(V27/U27,"")</f>
        <v>118.59923076923076</v>
      </c>
      <c r="X27" s="182">
        <f>RANK(W27, W$27:W$41)</f>
        <v>1</v>
      </c>
      <c r="Y27" s="573">
        <f>AVERAGE(W27:W41)</f>
        <v>118.59923076923076</v>
      </c>
      <c r="Z27" s="188">
        <v>25</v>
      </c>
      <c r="AA27" s="188">
        <v>2964.9807692307691</v>
      </c>
      <c r="AB27" s="185">
        <f t="shared" ref="AB27" si="8">IFERROR(AA27/Z27,"")</f>
        <v>118.59923076923076</v>
      </c>
      <c r="AC27" s="182">
        <f>RANK(AB27, AB$27:AB$41)</f>
        <v>1</v>
      </c>
      <c r="AD27" s="573">
        <f>AVERAGE(AB27:AB41)</f>
        <v>118.59923076923076</v>
      </c>
      <c r="AE27" s="188">
        <v>25</v>
      </c>
      <c r="AF27" s="188">
        <v>2964.9807692307691</v>
      </c>
      <c r="AG27" s="185">
        <f>IFERROR(AF27/AE27,"")</f>
        <v>118.59923076923076</v>
      </c>
      <c r="AH27" s="182">
        <f>RANK(AG27, AG$27:AG$41)</f>
        <v>1</v>
      </c>
      <c r="AI27" s="573">
        <f>AVERAGE(AG27:AG41)</f>
        <v>118.59923076923076</v>
      </c>
      <c r="AJ27" s="188">
        <v>25</v>
      </c>
      <c r="AK27" s="188">
        <v>2964.9807692307691</v>
      </c>
      <c r="AL27" s="185">
        <f t="shared" ref="AL27" si="9">IFERROR(AK27/AJ27,"")</f>
        <v>118.59923076923076</v>
      </c>
      <c r="AM27" s="182">
        <f>RANK(AL27, AL$27:AL$41)</f>
        <v>1</v>
      </c>
      <c r="AN27" s="573">
        <f>AVERAGE(AL27:AL41)</f>
        <v>118.59923076923076</v>
      </c>
      <c r="AO27" s="188">
        <v>25</v>
      </c>
      <c r="AP27" s="188">
        <v>2964.9807692307691</v>
      </c>
      <c r="AQ27" s="185">
        <f t="shared" ref="AQ27" si="10">IFERROR(AP27/AO27,"")</f>
        <v>118.59923076923076</v>
      </c>
      <c r="AR27" s="182">
        <f>RANK(AQ27, AQ$27:AQ$41)</f>
        <v>1</v>
      </c>
      <c r="AS27" s="573">
        <f>AVERAGE(AQ27:AQ41)</f>
        <v>118.59923076923076</v>
      </c>
      <c r="AT27" s="188">
        <v>25</v>
      </c>
      <c r="AU27" s="188">
        <v>2964.9807692307691</v>
      </c>
      <c r="AV27" s="185">
        <f t="shared" ref="AV27" si="11">IFERROR(AU27/AT27,"")</f>
        <v>118.59923076923076</v>
      </c>
      <c r="AW27" s="182">
        <f>RANK(AV27, AV$27:AV$41)</f>
        <v>1</v>
      </c>
      <c r="AX27" s="573">
        <f>AVERAGE(AV27:AV41)</f>
        <v>118.59923076923076</v>
      </c>
    </row>
    <row r="28" spans="2:50" ht="14.25" customHeight="1">
      <c r="B28" s="572"/>
      <c r="C28" s="180">
        <v>2</v>
      </c>
      <c r="D28" s="183"/>
      <c r="E28" s="180"/>
      <c r="F28" s="180"/>
      <c r="G28" s="185"/>
      <c r="H28" s="573"/>
      <c r="I28" s="186"/>
      <c r="J28" s="186"/>
      <c r="K28" s="187"/>
      <c r="L28" s="574"/>
      <c r="M28" s="186"/>
      <c r="N28" s="572"/>
      <c r="O28" s="572"/>
      <c r="P28" s="188"/>
      <c r="Q28" s="188"/>
      <c r="R28" s="185"/>
      <c r="S28" s="182"/>
      <c r="T28" s="573"/>
      <c r="U28" s="188"/>
      <c r="V28" s="188"/>
      <c r="W28" s="185"/>
      <c r="X28" s="182"/>
      <c r="Y28" s="573"/>
      <c r="Z28" s="188"/>
      <c r="AA28" s="188"/>
      <c r="AB28" s="185"/>
      <c r="AC28" s="182"/>
      <c r="AD28" s="573"/>
      <c r="AE28" s="188"/>
      <c r="AF28" s="188"/>
      <c r="AG28" s="185"/>
      <c r="AH28" s="182"/>
      <c r="AI28" s="573"/>
      <c r="AJ28" s="188"/>
      <c r="AK28" s="188"/>
      <c r="AL28" s="185"/>
      <c r="AM28" s="182"/>
      <c r="AN28" s="573"/>
      <c r="AO28" s="188"/>
      <c r="AP28" s="188"/>
      <c r="AQ28" s="185"/>
      <c r="AR28" s="182"/>
      <c r="AS28" s="573"/>
      <c r="AT28" s="188"/>
      <c r="AU28" s="188"/>
      <c r="AV28" s="185"/>
      <c r="AW28" s="182"/>
      <c r="AX28" s="573"/>
    </row>
    <row r="29" spans="2:50" ht="14.25" customHeight="1">
      <c r="B29" s="572"/>
      <c r="C29" s="180">
        <v>3</v>
      </c>
      <c r="D29" s="183"/>
      <c r="E29" s="180"/>
      <c r="F29" s="180"/>
      <c r="G29" s="185"/>
      <c r="H29" s="573"/>
      <c r="I29" s="186"/>
      <c r="J29" s="186"/>
      <c r="K29" s="187"/>
      <c r="L29" s="574"/>
      <c r="M29" s="186"/>
      <c r="N29" s="572"/>
      <c r="O29" s="572"/>
      <c r="P29" s="188"/>
      <c r="Q29" s="188"/>
      <c r="R29" s="185"/>
      <c r="S29" s="182"/>
      <c r="T29" s="573"/>
      <c r="U29" s="188"/>
      <c r="V29" s="188"/>
      <c r="W29" s="185"/>
      <c r="X29" s="182"/>
      <c r="Y29" s="573"/>
      <c r="Z29" s="188"/>
      <c r="AA29" s="188"/>
      <c r="AB29" s="185"/>
      <c r="AC29" s="182"/>
      <c r="AD29" s="573"/>
      <c r="AE29" s="188"/>
      <c r="AF29" s="188"/>
      <c r="AG29" s="185"/>
      <c r="AH29" s="182"/>
      <c r="AI29" s="573"/>
      <c r="AJ29" s="188"/>
      <c r="AK29" s="188"/>
      <c r="AL29" s="185"/>
      <c r="AM29" s="182"/>
      <c r="AN29" s="573"/>
      <c r="AO29" s="188"/>
      <c r="AP29" s="188"/>
      <c r="AQ29" s="185"/>
      <c r="AR29" s="182"/>
      <c r="AS29" s="573"/>
      <c r="AT29" s="188"/>
      <c r="AU29" s="188"/>
      <c r="AV29" s="185"/>
      <c r="AW29" s="182"/>
      <c r="AX29" s="573"/>
    </row>
    <row r="30" spans="2:50" ht="14.25" customHeight="1">
      <c r="B30" s="572"/>
      <c r="C30" s="180">
        <v>4</v>
      </c>
      <c r="D30" s="183"/>
      <c r="E30" s="180"/>
      <c r="F30" s="180"/>
      <c r="G30" s="185"/>
      <c r="H30" s="573"/>
      <c r="I30" s="186"/>
      <c r="J30" s="186"/>
      <c r="K30" s="187"/>
      <c r="L30" s="574"/>
      <c r="M30" s="186"/>
      <c r="N30" s="572"/>
      <c r="O30" s="572"/>
      <c r="P30" s="188"/>
      <c r="Q30" s="188"/>
      <c r="R30" s="185"/>
      <c r="S30" s="182"/>
      <c r="T30" s="573"/>
      <c r="U30" s="188"/>
      <c r="V30" s="188"/>
      <c r="W30" s="185"/>
      <c r="X30" s="182"/>
      <c r="Y30" s="573"/>
      <c r="Z30" s="188"/>
      <c r="AA30" s="188"/>
      <c r="AB30" s="185"/>
      <c r="AC30" s="182"/>
      <c r="AD30" s="573"/>
      <c r="AE30" s="188"/>
      <c r="AF30" s="188"/>
      <c r="AG30" s="185"/>
      <c r="AH30" s="182"/>
      <c r="AI30" s="573"/>
      <c r="AJ30" s="188"/>
      <c r="AK30" s="188"/>
      <c r="AL30" s="185"/>
      <c r="AM30" s="182"/>
      <c r="AN30" s="573"/>
      <c r="AO30" s="188"/>
      <c r="AP30" s="188"/>
      <c r="AQ30" s="185"/>
      <c r="AR30" s="182"/>
      <c r="AS30" s="573"/>
      <c r="AT30" s="188"/>
      <c r="AU30" s="188"/>
      <c r="AV30" s="185"/>
      <c r="AW30" s="182"/>
      <c r="AX30" s="573"/>
    </row>
    <row r="31" spans="2:50" ht="14.25" customHeight="1">
      <c r="B31" s="572"/>
      <c r="C31" s="180">
        <v>5</v>
      </c>
      <c r="D31" s="183"/>
      <c r="E31" s="180"/>
      <c r="F31" s="180"/>
      <c r="G31" s="185"/>
      <c r="H31" s="573"/>
      <c r="I31" s="186"/>
      <c r="J31" s="186"/>
      <c r="K31" s="187"/>
      <c r="L31" s="574"/>
      <c r="M31" s="186"/>
      <c r="N31" s="572"/>
      <c r="O31" s="572"/>
      <c r="P31" s="188"/>
      <c r="Q31" s="188"/>
      <c r="R31" s="185"/>
      <c r="S31" s="182"/>
      <c r="T31" s="573"/>
      <c r="U31" s="188"/>
      <c r="V31" s="188"/>
      <c r="W31" s="185"/>
      <c r="X31" s="182"/>
      <c r="Y31" s="573"/>
      <c r="Z31" s="188"/>
      <c r="AA31" s="188"/>
      <c r="AB31" s="185"/>
      <c r="AC31" s="182"/>
      <c r="AD31" s="573"/>
      <c r="AE31" s="188"/>
      <c r="AF31" s="188"/>
      <c r="AG31" s="185"/>
      <c r="AH31" s="182"/>
      <c r="AI31" s="573"/>
      <c r="AJ31" s="188"/>
      <c r="AK31" s="188"/>
      <c r="AL31" s="185"/>
      <c r="AM31" s="182"/>
      <c r="AN31" s="573"/>
      <c r="AO31" s="188"/>
      <c r="AP31" s="188"/>
      <c r="AQ31" s="185"/>
      <c r="AR31" s="182"/>
      <c r="AS31" s="573"/>
      <c r="AT31" s="188"/>
      <c r="AU31" s="188"/>
      <c r="AV31" s="185"/>
      <c r="AW31" s="182"/>
      <c r="AX31" s="573"/>
    </row>
    <row r="32" spans="2:50" ht="14.25" customHeight="1">
      <c r="B32" s="572"/>
      <c r="C32" s="180">
        <v>6</v>
      </c>
      <c r="D32" s="183"/>
      <c r="E32" s="180"/>
      <c r="F32" s="180"/>
      <c r="G32" s="185"/>
      <c r="H32" s="573"/>
      <c r="I32" s="186"/>
      <c r="J32" s="186"/>
      <c r="K32" s="187"/>
      <c r="L32" s="574"/>
      <c r="M32" s="186"/>
      <c r="N32" s="572"/>
      <c r="O32" s="572"/>
      <c r="P32" s="188"/>
      <c r="Q32" s="188"/>
      <c r="R32" s="185"/>
      <c r="S32" s="182"/>
      <c r="T32" s="573"/>
      <c r="U32" s="188"/>
      <c r="V32" s="188"/>
      <c r="W32" s="185"/>
      <c r="X32" s="182"/>
      <c r="Y32" s="573"/>
      <c r="Z32" s="188"/>
      <c r="AA32" s="188"/>
      <c r="AB32" s="185"/>
      <c r="AC32" s="182"/>
      <c r="AD32" s="573"/>
      <c r="AE32" s="188"/>
      <c r="AF32" s="188"/>
      <c r="AG32" s="185"/>
      <c r="AH32" s="182"/>
      <c r="AI32" s="573"/>
      <c r="AJ32" s="188"/>
      <c r="AK32" s="188"/>
      <c r="AL32" s="185"/>
      <c r="AM32" s="182"/>
      <c r="AN32" s="573"/>
      <c r="AO32" s="188"/>
      <c r="AP32" s="188"/>
      <c r="AQ32" s="185"/>
      <c r="AR32" s="182"/>
      <c r="AS32" s="573"/>
      <c r="AT32" s="188"/>
      <c r="AU32" s="188"/>
      <c r="AV32" s="185"/>
      <c r="AW32" s="182"/>
      <c r="AX32" s="573"/>
    </row>
    <row r="33" spans="2:50" ht="14.25" customHeight="1">
      <c r="B33" s="572"/>
      <c r="C33" s="180">
        <v>7</v>
      </c>
      <c r="D33" s="183"/>
      <c r="E33" s="180"/>
      <c r="F33" s="180"/>
      <c r="G33" s="185"/>
      <c r="H33" s="573"/>
      <c r="I33" s="186"/>
      <c r="J33" s="186"/>
      <c r="K33" s="187"/>
      <c r="L33" s="574"/>
      <c r="M33" s="186"/>
      <c r="N33" s="572"/>
      <c r="O33" s="572"/>
      <c r="P33" s="188"/>
      <c r="Q33" s="188"/>
      <c r="R33" s="185"/>
      <c r="S33" s="182"/>
      <c r="T33" s="573"/>
      <c r="U33" s="188"/>
      <c r="V33" s="188"/>
      <c r="W33" s="185"/>
      <c r="X33" s="182"/>
      <c r="Y33" s="573"/>
      <c r="Z33" s="188"/>
      <c r="AA33" s="188"/>
      <c r="AB33" s="185"/>
      <c r="AC33" s="182"/>
      <c r="AD33" s="573"/>
      <c r="AE33" s="188"/>
      <c r="AF33" s="188"/>
      <c r="AG33" s="185"/>
      <c r="AH33" s="182"/>
      <c r="AI33" s="573"/>
      <c r="AJ33" s="188"/>
      <c r="AK33" s="188"/>
      <c r="AL33" s="185"/>
      <c r="AM33" s="182"/>
      <c r="AN33" s="573"/>
      <c r="AO33" s="188"/>
      <c r="AP33" s="188"/>
      <c r="AQ33" s="185"/>
      <c r="AR33" s="182"/>
      <c r="AS33" s="573"/>
      <c r="AT33" s="188"/>
      <c r="AU33" s="188"/>
      <c r="AV33" s="185"/>
      <c r="AW33" s="182"/>
      <c r="AX33" s="573"/>
    </row>
    <row r="34" spans="2:50" ht="14.25" customHeight="1">
      <c r="B34" s="572"/>
      <c r="C34" s="180">
        <v>8</v>
      </c>
      <c r="D34" s="183"/>
      <c r="E34" s="180"/>
      <c r="F34" s="180"/>
      <c r="G34" s="185"/>
      <c r="H34" s="573"/>
      <c r="I34" s="186"/>
      <c r="J34" s="186"/>
      <c r="K34" s="187"/>
      <c r="L34" s="574"/>
      <c r="M34" s="186"/>
      <c r="N34" s="572"/>
      <c r="O34" s="572"/>
      <c r="P34" s="188"/>
      <c r="Q34" s="188"/>
      <c r="R34" s="185"/>
      <c r="S34" s="182"/>
      <c r="T34" s="573"/>
      <c r="U34" s="188"/>
      <c r="V34" s="188"/>
      <c r="W34" s="185"/>
      <c r="X34" s="182"/>
      <c r="Y34" s="573"/>
      <c r="Z34" s="188"/>
      <c r="AA34" s="188"/>
      <c r="AB34" s="185"/>
      <c r="AC34" s="182"/>
      <c r="AD34" s="573"/>
      <c r="AE34" s="188"/>
      <c r="AF34" s="188"/>
      <c r="AG34" s="185"/>
      <c r="AH34" s="182"/>
      <c r="AI34" s="573"/>
      <c r="AJ34" s="188"/>
      <c r="AK34" s="188"/>
      <c r="AL34" s="185"/>
      <c r="AM34" s="182"/>
      <c r="AN34" s="573"/>
      <c r="AO34" s="188"/>
      <c r="AP34" s="188"/>
      <c r="AQ34" s="185"/>
      <c r="AR34" s="182"/>
      <c r="AS34" s="573"/>
      <c r="AT34" s="188"/>
      <c r="AU34" s="188"/>
      <c r="AV34" s="185"/>
      <c r="AW34" s="182"/>
      <c r="AX34" s="573"/>
    </row>
    <row r="35" spans="2:50" ht="14.25" customHeight="1">
      <c r="B35" s="572"/>
      <c r="C35" s="180">
        <v>9</v>
      </c>
      <c r="D35" s="183"/>
      <c r="E35" s="180"/>
      <c r="F35" s="180"/>
      <c r="G35" s="185"/>
      <c r="H35" s="573"/>
      <c r="I35" s="186"/>
      <c r="J35" s="186"/>
      <c r="K35" s="187"/>
      <c r="L35" s="574"/>
      <c r="M35" s="186"/>
      <c r="N35" s="572"/>
      <c r="O35" s="572"/>
      <c r="P35" s="188"/>
      <c r="Q35" s="188"/>
      <c r="R35" s="185"/>
      <c r="S35" s="182"/>
      <c r="T35" s="573"/>
      <c r="U35" s="188"/>
      <c r="V35" s="188"/>
      <c r="W35" s="185"/>
      <c r="X35" s="182"/>
      <c r="Y35" s="573"/>
      <c r="Z35" s="188"/>
      <c r="AA35" s="188"/>
      <c r="AB35" s="185"/>
      <c r="AC35" s="182"/>
      <c r="AD35" s="573"/>
      <c r="AE35" s="188"/>
      <c r="AF35" s="188"/>
      <c r="AG35" s="185"/>
      <c r="AH35" s="182"/>
      <c r="AI35" s="573"/>
      <c r="AJ35" s="188"/>
      <c r="AK35" s="188"/>
      <c r="AL35" s="185"/>
      <c r="AM35" s="182"/>
      <c r="AN35" s="573"/>
      <c r="AO35" s="188"/>
      <c r="AP35" s="188"/>
      <c r="AQ35" s="185"/>
      <c r="AR35" s="182"/>
      <c r="AS35" s="573"/>
      <c r="AT35" s="188"/>
      <c r="AU35" s="188"/>
      <c r="AV35" s="185"/>
      <c r="AW35" s="182"/>
      <c r="AX35" s="573"/>
    </row>
    <row r="36" spans="2:50" ht="14.25" customHeight="1">
      <c r="B36" s="572"/>
      <c r="C36" s="180">
        <v>10</v>
      </c>
      <c r="D36" s="183"/>
      <c r="E36" s="180"/>
      <c r="F36" s="180"/>
      <c r="G36" s="185"/>
      <c r="H36" s="573"/>
      <c r="I36" s="186"/>
      <c r="J36" s="186"/>
      <c r="K36" s="187"/>
      <c r="L36" s="574"/>
      <c r="M36" s="186"/>
      <c r="N36" s="572"/>
      <c r="O36" s="572"/>
      <c r="P36" s="188"/>
      <c r="Q36" s="188"/>
      <c r="R36" s="185"/>
      <c r="S36" s="182"/>
      <c r="T36" s="573"/>
      <c r="U36" s="188"/>
      <c r="V36" s="188"/>
      <c r="W36" s="185"/>
      <c r="X36" s="182"/>
      <c r="Y36" s="573"/>
      <c r="Z36" s="188"/>
      <c r="AA36" s="188"/>
      <c r="AB36" s="185"/>
      <c r="AC36" s="182"/>
      <c r="AD36" s="573"/>
      <c r="AE36" s="188"/>
      <c r="AF36" s="188"/>
      <c r="AG36" s="185"/>
      <c r="AH36" s="182"/>
      <c r="AI36" s="573"/>
      <c r="AJ36" s="188"/>
      <c r="AK36" s="188"/>
      <c r="AL36" s="185"/>
      <c r="AM36" s="182"/>
      <c r="AN36" s="573"/>
      <c r="AO36" s="188"/>
      <c r="AP36" s="188"/>
      <c r="AQ36" s="185"/>
      <c r="AR36" s="182"/>
      <c r="AS36" s="573"/>
      <c r="AT36" s="188"/>
      <c r="AU36" s="188"/>
      <c r="AV36" s="185"/>
      <c r="AW36" s="182"/>
      <c r="AX36" s="573"/>
    </row>
    <row r="37" spans="2:50" ht="14.25" customHeight="1">
      <c r="B37" s="572"/>
      <c r="C37" s="180">
        <v>11</v>
      </c>
      <c r="D37" s="183"/>
      <c r="E37" s="180"/>
      <c r="F37" s="180"/>
      <c r="G37" s="185"/>
      <c r="H37" s="573"/>
      <c r="I37" s="186"/>
      <c r="J37" s="186"/>
      <c r="K37" s="187"/>
      <c r="L37" s="574"/>
      <c r="M37" s="186"/>
      <c r="N37" s="572"/>
      <c r="O37" s="572"/>
      <c r="P37" s="188"/>
      <c r="Q37" s="188"/>
      <c r="R37" s="185"/>
      <c r="S37" s="182"/>
      <c r="T37" s="573"/>
      <c r="U37" s="188"/>
      <c r="V37" s="188"/>
      <c r="W37" s="185"/>
      <c r="X37" s="182"/>
      <c r="Y37" s="573"/>
      <c r="Z37" s="188"/>
      <c r="AA37" s="188"/>
      <c r="AB37" s="185"/>
      <c r="AC37" s="182"/>
      <c r="AD37" s="573"/>
      <c r="AE37" s="188"/>
      <c r="AF37" s="188"/>
      <c r="AG37" s="185"/>
      <c r="AH37" s="182"/>
      <c r="AI37" s="573"/>
      <c r="AJ37" s="188"/>
      <c r="AK37" s="188"/>
      <c r="AL37" s="185"/>
      <c r="AM37" s="182"/>
      <c r="AN37" s="573"/>
      <c r="AO37" s="188"/>
      <c r="AP37" s="188"/>
      <c r="AQ37" s="185"/>
      <c r="AR37" s="182"/>
      <c r="AS37" s="573"/>
      <c r="AT37" s="188"/>
      <c r="AU37" s="188"/>
      <c r="AV37" s="185"/>
      <c r="AW37" s="182"/>
      <c r="AX37" s="573"/>
    </row>
    <row r="38" spans="2:50" ht="14.25" customHeight="1">
      <c r="B38" s="572"/>
      <c r="C38" s="180">
        <v>12</v>
      </c>
      <c r="D38" s="183"/>
      <c r="E38" s="180"/>
      <c r="F38" s="180"/>
      <c r="G38" s="185"/>
      <c r="H38" s="573"/>
      <c r="I38" s="186"/>
      <c r="J38" s="186"/>
      <c r="K38" s="187"/>
      <c r="L38" s="574"/>
      <c r="M38" s="186"/>
      <c r="N38" s="572"/>
      <c r="O38" s="572"/>
      <c r="P38" s="188"/>
      <c r="Q38" s="188"/>
      <c r="R38" s="185"/>
      <c r="S38" s="182"/>
      <c r="T38" s="573"/>
      <c r="U38" s="188"/>
      <c r="V38" s="188"/>
      <c r="W38" s="185"/>
      <c r="X38" s="182"/>
      <c r="Y38" s="573"/>
      <c r="Z38" s="188"/>
      <c r="AA38" s="188"/>
      <c r="AB38" s="185"/>
      <c r="AC38" s="182"/>
      <c r="AD38" s="573"/>
      <c r="AE38" s="188"/>
      <c r="AF38" s="188"/>
      <c r="AG38" s="185"/>
      <c r="AH38" s="182"/>
      <c r="AI38" s="573"/>
      <c r="AJ38" s="188"/>
      <c r="AK38" s="188"/>
      <c r="AL38" s="185"/>
      <c r="AM38" s="182"/>
      <c r="AN38" s="573"/>
      <c r="AO38" s="188"/>
      <c r="AP38" s="188"/>
      <c r="AQ38" s="185"/>
      <c r="AR38" s="182"/>
      <c r="AS38" s="573"/>
      <c r="AT38" s="188"/>
      <c r="AU38" s="188"/>
      <c r="AV38" s="185"/>
      <c r="AW38" s="182"/>
      <c r="AX38" s="573"/>
    </row>
    <row r="39" spans="2:50" ht="14.25" customHeight="1">
      <c r="B39" s="572"/>
      <c r="C39" s="180">
        <v>13</v>
      </c>
      <c r="D39" s="183"/>
      <c r="E39" s="180"/>
      <c r="F39" s="180"/>
      <c r="G39" s="185"/>
      <c r="H39" s="573"/>
      <c r="I39" s="186"/>
      <c r="J39" s="186"/>
      <c r="K39" s="187"/>
      <c r="L39" s="574"/>
      <c r="M39" s="186"/>
      <c r="N39" s="572"/>
      <c r="O39" s="572"/>
      <c r="P39" s="188"/>
      <c r="Q39" s="188"/>
      <c r="R39" s="185"/>
      <c r="S39" s="182"/>
      <c r="T39" s="573"/>
      <c r="U39" s="188"/>
      <c r="V39" s="188"/>
      <c r="W39" s="185"/>
      <c r="X39" s="182"/>
      <c r="Y39" s="573"/>
      <c r="Z39" s="188"/>
      <c r="AA39" s="188"/>
      <c r="AB39" s="185"/>
      <c r="AC39" s="182"/>
      <c r="AD39" s="573"/>
      <c r="AE39" s="188"/>
      <c r="AF39" s="188"/>
      <c r="AG39" s="185"/>
      <c r="AH39" s="182"/>
      <c r="AI39" s="573"/>
      <c r="AJ39" s="188"/>
      <c r="AK39" s="188"/>
      <c r="AL39" s="185"/>
      <c r="AM39" s="182"/>
      <c r="AN39" s="573"/>
      <c r="AO39" s="188"/>
      <c r="AP39" s="188"/>
      <c r="AQ39" s="185"/>
      <c r="AR39" s="182"/>
      <c r="AS39" s="573"/>
      <c r="AT39" s="188"/>
      <c r="AU39" s="188"/>
      <c r="AV39" s="185"/>
      <c r="AW39" s="182"/>
      <c r="AX39" s="573"/>
    </row>
    <row r="40" spans="2:50" ht="14.25" customHeight="1">
      <c r="B40" s="572"/>
      <c r="C40" s="180">
        <v>14</v>
      </c>
      <c r="D40" s="183"/>
      <c r="E40" s="180"/>
      <c r="F40" s="180"/>
      <c r="G40" s="185"/>
      <c r="H40" s="573"/>
      <c r="I40" s="186"/>
      <c r="J40" s="186"/>
      <c r="K40" s="187"/>
      <c r="L40" s="574"/>
      <c r="M40" s="186"/>
      <c r="N40" s="572"/>
      <c r="O40" s="572"/>
      <c r="P40" s="188"/>
      <c r="Q40" s="188"/>
      <c r="R40" s="185"/>
      <c r="S40" s="182"/>
      <c r="T40" s="573"/>
      <c r="U40" s="188"/>
      <c r="V40" s="188"/>
      <c r="W40" s="185"/>
      <c r="X40" s="182"/>
      <c r="Y40" s="573"/>
      <c r="Z40" s="188"/>
      <c r="AA40" s="188"/>
      <c r="AB40" s="185"/>
      <c r="AC40" s="182"/>
      <c r="AD40" s="573"/>
      <c r="AE40" s="188"/>
      <c r="AF40" s="188"/>
      <c r="AG40" s="185"/>
      <c r="AH40" s="182"/>
      <c r="AI40" s="573"/>
      <c r="AJ40" s="188"/>
      <c r="AK40" s="188"/>
      <c r="AL40" s="185"/>
      <c r="AM40" s="182"/>
      <c r="AN40" s="573"/>
      <c r="AO40" s="188"/>
      <c r="AP40" s="188"/>
      <c r="AQ40" s="185"/>
      <c r="AR40" s="182"/>
      <c r="AS40" s="573"/>
      <c r="AT40" s="188"/>
      <c r="AU40" s="188"/>
      <c r="AV40" s="185"/>
      <c r="AW40" s="182"/>
      <c r="AX40" s="573"/>
    </row>
    <row r="41" spans="2:50" ht="14.25" customHeight="1">
      <c r="B41" s="572"/>
      <c r="C41" s="180">
        <v>15</v>
      </c>
      <c r="D41" s="183"/>
      <c r="E41" s="180"/>
      <c r="F41" s="180"/>
      <c r="G41" s="185"/>
      <c r="H41" s="573"/>
      <c r="I41" s="186"/>
      <c r="J41" s="186"/>
      <c r="K41" s="187"/>
      <c r="L41" s="574"/>
      <c r="M41" s="186"/>
      <c r="N41" s="572"/>
      <c r="O41" s="572"/>
      <c r="P41" s="188"/>
      <c r="Q41" s="188"/>
      <c r="R41" s="185"/>
      <c r="S41" s="182"/>
      <c r="T41" s="573"/>
      <c r="U41" s="188"/>
      <c r="V41" s="188"/>
      <c r="W41" s="185"/>
      <c r="X41" s="182"/>
      <c r="Y41" s="573"/>
      <c r="Z41" s="188"/>
      <c r="AA41" s="188"/>
      <c r="AB41" s="185"/>
      <c r="AC41" s="182"/>
      <c r="AD41" s="573"/>
      <c r="AE41" s="188"/>
      <c r="AF41" s="188"/>
      <c r="AG41" s="185"/>
      <c r="AH41" s="182"/>
      <c r="AI41" s="573"/>
      <c r="AJ41" s="188"/>
      <c r="AK41" s="188"/>
      <c r="AL41" s="185"/>
      <c r="AM41" s="182"/>
      <c r="AN41" s="573"/>
      <c r="AO41" s="188"/>
      <c r="AP41" s="188"/>
      <c r="AQ41" s="185"/>
      <c r="AR41" s="182"/>
      <c r="AS41" s="573"/>
      <c r="AT41" s="188"/>
      <c r="AU41" s="188"/>
      <c r="AV41" s="185"/>
      <c r="AW41" s="182"/>
      <c r="AX41" s="573"/>
    </row>
  </sheetData>
  <mergeCells count="118"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41"/>
  <sheetViews>
    <sheetView zoomScaleNormal="100" workbookViewId="0">
      <pane xSplit="13" ySplit="1" topLeftCell="N2" activePane="bottomRight" state="frozen"/>
      <selection activeCell="L95" sqref="L95"/>
      <selection pane="topRight" activeCell="L95" sqref="L95"/>
      <selection pane="bottomLeft" activeCell="L95" sqref="L95"/>
      <selection pane="bottomRight" activeCell="B22" sqref="B22:M2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55" t="s">
        <v>683</v>
      </c>
      <c r="C1" s="175">
        <f>AVERAGE(L27)</f>
        <v>370.2926925356922</v>
      </c>
    </row>
    <row r="2" spans="1:50" ht="14.25" customHeight="1" collapsed="1">
      <c r="B2" s="586" t="s">
        <v>638</v>
      </c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8"/>
      <c r="N2" s="606" t="s">
        <v>364</v>
      </c>
      <c r="O2" s="606" t="s">
        <v>105</v>
      </c>
      <c r="P2" s="608">
        <v>46168</v>
      </c>
      <c r="Q2" s="609"/>
      <c r="R2" s="609"/>
      <c r="S2" s="609"/>
      <c r="T2" s="609"/>
      <c r="U2" s="610">
        <v>46169</v>
      </c>
      <c r="V2" s="611"/>
      <c r="W2" s="611"/>
      <c r="X2" s="611"/>
      <c r="Y2" s="611"/>
      <c r="Z2" s="608">
        <v>46170</v>
      </c>
      <c r="AA2" s="609"/>
      <c r="AB2" s="609"/>
      <c r="AC2" s="609"/>
      <c r="AD2" s="609"/>
      <c r="AE2" s="610">
        <v>46171</v>
      </c>
      <c r="AF2" s="611"/>
      <c r="AG2" s="611"/>
      <c r="AH2" s="611"/>
      <c r="AI2" s="611"/>
      <c r="AJ2" s="598">
        <v>46172</v>
      </c>
      <c r="AK2" s="599"/>
      <c r="AL2" s="599"/>
      <c r="AM2" s="599"/>
      <c r="AN2" s="600"/>
      <c r="AO2" s="610">
        <v>46173</v>
      </c>
      <c r="AP2" s="611"/>
      <c r="AQ2" s="611"/>
      <c r="AR2" s="611"/>
      <c r="AS2" s="611"/>
      <c r="AT2" s="598">
        <v>46174</v>
      </c>
      <c r="AU2" s="599"/>
      <c r="AV2" s="599"/>
      <c r="AW2" s="599"/>
      <c r="AX2" s="600"/>
    </row>
    <row r="3" spans="1:50" ht="14.25" customHeight="1"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90"/>
      <c r="N3" s="607"/>
      <c r="O3" s="607"/>
      <c r="P3" s="601">
        <v>46168</v>
      </c>
      <c r="Q3" s="601"/>
      <c r="R3" s="601"/>
      <c r="S3" s="601"/>
      <c r="T3" s="601"/>
      <c r="U3" s="602">
        <v>46169</v>
      </c>
      <c r="V3" s="602"/>
      <c r="W3" s="602"/>
      <c r="X3" s="602"/>
      <c r="Y3" s="602"/>
      <c r="Z3" s="601">
        <v>46170</v>
      </c>
      <c r="AA3" s="601"/>
      <c r="AB3" s="601"/>
      <c r="AC3" s="601"/>
      <c r="AD3" s="601"/>
      <c r="AE3" s="602">
        <v>46171</v>
      </c>
      <c r="AF3" s="602"/>
      <c r="AG3" s="602"/>
      <c r="AH3" s="602"/>
      <c r="AI3" s="602"/>
      <c r="AJ3" s="603">
        <v>46172</v>
      </c>
      <c r="AK3" s="604"/>
      <c r="AL3" s="604"/>
      <c r="AM3" s="604"/>
      <c r="AN3" s="605"/>
      <c r="AO3" s="602">
        <v>46173</v>
      </c>
      <c r="AP3" s="602"/>
      <c r="AQ3" s="602"/>
      <c r="AR3" s="602"/>
      <c r="AS3" s="602"/>
      <c r="AT3" s="603">
        <v>46174</v>
      </c>
      <c r="AU3" s="604"/>
      <c r="AV3" s="604"/>
      <c r="AW3" s="604"/>
      <c r="AX3" s="605"/>
    </row>
    <row r="4" spans="1:50" ht="14.25" customHeight="1">
      <c r="B4" s="572" t="s">
        <v>162</v>
      </c>
      <c r="C4" s="572" t="s">
        <v>157</v>
      </c>
      <c r="D4" s="572"/>
      <c r="E4" s="572" t="s">
        <v>158</v>
      </c>
      <c r="F4" s="572"/>
      <c r="G4" s="572"/>
      <c r="H4" s="572" t="s">
        <v>163</v>
      </c>
      <c r="I4" s="576" t="s">
        <v>365</v>
      </c>
      <c r="J4" s="576"/>
      <c r="K4" s="576"/>
      <c r="L4" s="576" t="s">
        <v>163</v>
      </c>
      <c r="M4" s="576" t="s">
        <v>165</v>
      </c>
      <c r="N4" s="572"/>
      <c r="O4" s="572" t="s">
        <v>164</v>
      </c>
      <c r="P4" s="572" t="s">
        <v>160</v>
      </c>
      <c r="Q4" s="572"/>
      <c r="R4" s="572"/>
      <c r="S4" s="572"/>
      <c r="T4" s="572" t="s">
        <v>163</v>
      </c>
      <c r="U4" s="572" t="s">
        <v>160</v>
      </c>
      <c r="V4" s="572"/>
      <c r="W4" s="572"/>
      <c r="X4" s="572"/>
      <c r="Y4" s="572" t="s">
        <v>163</v>
      </c>
      <c r="Z4" s="572" t="s">
        <v>160</v>
      </c>
      <c r="AA4" s="572"/>
      <c r="AB4" s="572"/>
      <c r="AC4" s="572"/>
      <c r="AD4" s="572" t="s">
        <v>163</v>
      </c>
      <c r="AE4" s="572" t="s">
        <v>160</v>
      </c>
      <c r="AF4" s="572"/>
      <c r="AG4" s="572"/>
      <c r="AH4" s="572"/>
      <c r="AI4" s="572" t="s">
        <v>163</v>
      </c>
      <c r="AJ4" s="572" t="s">
        <v>160</v>
      </c>
      <c r="AK4" s="572"/>
      <c r="AL4" s="572"/>
      <c r="AM4" s="572"/>
      <c r="AN4" s="572" t="s">
        <v>163</v>
      </c>
      <c r="AO4" s="572" t="s">
        <v>160</v>
      </c>
      <c r="AP4" s="572"/>
      <c r="AQ4" s="572"/>
      <c r="AR4" s="572"/>
      <c r="AS4" s="572" t="s">
        <v>163</v>
      </c>
      <c r="AT4" s="572" t="s">
        <v>160</v>
      </c>
      <c r="AU4" s="572"/>
      <c r="AV4" s="572"/>
      <c r="AW4" s="572"/>
      <c r="AX4" s="572" t="s">
        <v>163</v>
      </c>
    </row>
    <row r="5" spans="1:50" ht="14.25" customHeight="1">
      <c r="B5" s="572"/>
      <c r="C5" s="572"/>
      <c r="D5" s="572"/>
      <c r="E5" s="572" t="s">
        <v>366</v>
      </c>
      <c r="F5" s="572"/>
      <c r="G5" s="572"/>
      <c r="H5" s="572"/>
      <c r="I5" s="576" t="s">
        <v>366</v>
      </c>
      <c r="J5" s="576"/>
      <c r="K5" s="576"/>
      <c r="L5" s="576"/>
      <c r="M5" s="576"/>
      <c r="N5" s="572"/>
      <c r="O5" s="572"/>
      <c r="P5" s="572" t="s">
        <v>367</v>
      </c>
      <c r="Q5" s="572"/>
      <c r="R5" s="572"/>
      <c r="S5" s="572"/>
      <c r="T5" s="572"/>
      <c r="U5" s="572" t="s">
        <v>367</v>
      </c>
      <c r="V5" s="572"/>
      <c r="W5" s="572"/>
      <c r="X5" s="572"/>
      <c r="Y5" s="572"/>
      <c r="Z5" s="572" t="s">
        <v>367</v>
      </c>
      <c r="AA5" s="572"/>
      <c r="AB5" s="572"/>
      <c r="AC5" s="572"/>
      <c r="AD5" s="572"/>
      <c r="AE5" s="572" t="s">
        <v>367</v>
      </c>
      <c r="AF5" s="572"/>
      <c r="AG5" s="572"/>
      <c r="AH5" s="572"/>
      <c r="AI5" s="572"/>
      <c r="AJ5" s="572" t="s">
        <v>367</v>
      </c>
      <c r="AK5" s="572"/>
      <c r="AL5" s="572"/>
      <c r="AM5" s="572"/>
      <c r="AN5" s="572"/>
      <c r="AO5" s="572" t="s">
        <v>367</v>
      </c>
      <c r="AP5" s="572"/>
      <c r="AQ5" s="572"/>
      <c r="AR5" s="572"/>
      <c r="AS5" s="572"/>
      <c r="AT5" s="572" t="s">
        <v>367</v>
      </c>
      <c r="AU5" s="572"/>
      <c r="AV5" s="572"/>
      <c r="AW5" s="572"/>
      <c r="AX5" s="572"/>
    </row>
    <row r="6" spans="1:50" ht="14.25" customHeight="1">
      <c r="B6" s="572"/>
      <c r="C6" s="572"/>
      <c r="D6" s="572"/>
      <c r="E6" s="180" t="s">
        <v>159</v>
      </c>
      <c r="F6" s="180" t="s">
        <v>368</v>
      </c>
      <c r="G6" s="180" t="s">
        <v>161</v>
      </c>
      <c r="H6" s="572"/>
      <c r="I6" s="181" t="s">
        <v>159</v>
      </c>
      <c r="J6" s="181" t="s">
        <v>368</v>
      </c>
      <c r="K6" s="181" t="s">
        <v>161</v>
      </c>
      <c r="L6" s="576"/>
      <c r="M6" s="576"/>
      <c r="N6" s="572"/>
      <c r="O6" s="572"/>
      <c r="P6" s="180" t="s">
        <v>159</v>
      </c>
      <c r="Q6" s="180" t="s">
        <v>368</v>
      </c>
      <c r="R6" s="180" t="s">
        <v>161</v>
      </c>
      <c r="S6" s="182" t="s">
        <v>165</v>
      </c>
      <c r="T6" s="572"/>
      <c r="U6" s="180" t="s">
        <v>159</v>
      </c>
      <c r="V6" s="180" t="s">
        <v>368</v>
      </c>
      <c r="W6" s="180" t="s">
        <v>161</v>
      </c>
      <c r="X6" s="182" t="s">
        <v>165</v>
      </c>
      <c r="Y6" s="572"/>
      <c r="Z6" s="180" t="s">
        <v>159</v>
      </c>
      <c r="AA6" s="180" t="s">
        <v>368</v>
      </c>
      <c r="AB6" s="180" t="s">
        <v>161</v>
      </c>
      <c r="AC6" s="182" t="s">
        <v>165</v>
      </c>
      <c r="AD6" s="572"/>
      <c r="AE6" s="180" t="s">
        <v>159</v>
      </c>
      <c r="AF6" s="180" t="s">
        <v>368</v>
      </c>
      <c r="AG6" s="180" t="s">
        <v>161</v>
      </c>
      <c r="AH6" s="182" t="s">
        <v>165</v>
      </c>
      <c r="AI6" s="572"/>
      <c r="AJ6" s="180" t="s">
        <v>159</v>
      </c>
      <c r="AK6" s="180" t="s">
        <v>368</v>
      </c>
      <c r="AL6" s="180" t="s">
        <v>161</v>
      </c>
      <c r="AM6" s="182" t="s">
        <v>165</v>
      </c>
      <c r="AN6" s="572"/>
      <c r="AO6" s="180" t="s">
        <v>159</v>
      </c>
      <c r="AP6" s="180" t="s">
        <v>368</v>
      </c>
      <c r="AQ6" s="180" t="s">
        <v>161</v>
      </c>
      <c r="AR6" s="182" t="s">
        <v>165</v>
      </c>
      <c r="AS6" s="572"/>
      <c r="AT6" s="180" t="s">
        <v>159</v>
      </c>
      <c r="AU6" s="180" t="s">
        <v>368</v>
      </c>
      <c r="AV6" s="180" t="s">
        <v>161</v>
      </c>
      <c r="AW6" s="182" t="s">
        <v>165</v>
      </c>
      <c r="AX6" s="572"/>
    </row>
    <row r="7" spans="1:50" ht="14.25" customHeight="1">
      <c r="B7" s="572" t="s">
        <v>371</v>
      </c>
      <c r="C7" s="180">
        <v>1</v>
      </c>
      <c r="D7" s="183" t="s">
        <v>616</v>
      </c>
      <c r="E7" s="180">
        <v>6</v>
      </c>
      <c r="F7" s="180">
        <v>3273</v>
      </c>
      <c r="G7" s="185">
        <f t="shared" ref="G7:G12" si="0">F7/E7</f>
        <v>545.5</v>
      </c>
      <c r="H7" s="573">
        <f>AVERAGE(G7:G21)</f>
        <v>391.75</v>
      </c>
      <c r="I7" s="186">
        <f>AVERAGE(P7,U7,Z7,AE7,AJ7,AO7,AT7)</f>
        <v>6</v>
      </c>
      <c r="J7" s="186">
        <f>AVERAGE(Q7,V7,AA7,AF7,AK7,AP7,AU7)</f>
        <v>2957.4337347350456</v>
      </c>
      <c r="K7" s="187">
        <f>AVERAGE(R7,W7,AB7,AG7,AL7,AQ7,AV7)</f>
        <v>492.90562245584096</v>
      </c>
      <c r="L7" s="574">
        <f>IFERROR(AVERAGE(K7:K21),"-")</f>
        <v>353.61817387960917</v>
      </c>
      <c r="M7" s="186">
        <f>RANK(K7, K$7:$K$21)</f>
        <v>1</v>
      </c>
      <c r="N7" s="572"/>
      <c r="O7" s="572"/>
      <c r="P7" s="188">
        <v>6</v>
      </c>
      <c r="Q7" s="188">
        <v>2958.3688775921878</v>
      </c>
      <c r="R7" s="185">
        <f>IFERROR(Q7/P7,"")</f>
        <v>493.06147959869799</v>
      </c>
      <c r="S7" s="182">
        <f>RANK(R7, R$7:R$21)</f>
        <v>1</v>
      </c>
      <c r="T7" s="573">
        <f>AVERAGE(R7:R21)</f>
        <v>352.84484448568492</v>
      </c>
      <c r="U7" s="188">
        <v>6</v>
      </c>
      <c r="V7" s="188">
        <v>2956.7323775921886</v>
      </c>
      <c r="W7" s="185">
        <f t="shared" ref="W7:W12" si="1">IFERROR(V7/U7,"")</f>
        <v>492.78872959869813</v>
      </c>
      <c r="X7" s="182">
        <f>RANK(W7, W$7:W$21)</f>
        <v>1</v>
      </c>
      <c r="Y7" s="573">
        <f>AVERAGE(W7:W21)</f>
        <v>353.07121249568468</v>
      </c>
      <c r="Z7" s="188">
        <v>6</v>
      </c>
      <c r="AA7" s="188">
        <v>2958.0415775921888</v>
      </c>
      <c r="AB7" s="185">
        <f t="shared" ref="AB7:AB12" si="2">IFERROR(AA7/Z7,"")</f>
        <v>493.00692959869815</v>
      </c>
      <c r="AC7" s="182">
        <f>RANK(AB7, AB$7:AB$21)</f>
        <v>1</v>
      </c>
      <c r="AD7" s="573">
        <f>AVERAGE(AB7:AB21)</f>
        <v>353.42204313678866</v>
      </c>
      <c r="AE7" s="188">
        <v>6</v>
      </c>
      <c r="AF7" s="188">
        <v>2958.6961775921891</v>
      </c>
      <c r="AG7" s="185">
        <f>IFERROR(AF7/AE7,"")</f>
        <v>493.11602959869816</v>
      </c>
      <c r="AH7" s="182">
        <f>RANK(AG7, AG$7:AG$21)</f>
        <v>1</v>
      </c>
      <c r="AI7" s="573">
        <f>AVERAGE(AG7:AG21)</f>
        <v>353.68096237056642</v>
      </c>
      <c r="AJ7" s="188">
        <v>6</v>
      </c>
      <c r="AK7" s="188">
        <v>2957.7142775921893</v>
      </c>
      <c r="AL7" s="185">
        <f t="shared" ref="AL7:AL12" si="3">IFERROR(AK7/AJ7,"")</f>
        <v>492.9523795986982</v>
      </c>
      <c r="AM7" s="182">
        <f>RANK(AL7, AL$7:AL$21)</f>
        <v>1</v>
      </c>
      <c r="AN7" s="573">
        <f>AVERAGE(AL7:AL21)</f>
        <v>349.32418809862378</v>
      </c>
      <c r="AO7" s="188">
        <v>6</v>
      </c>
      <c r="AP7" s="188">
        <v>2956.0777775921892</v>
      </c>
      <c r="AQ7" s="185">
        <f t="shared" ref="AQ7:AQ12" si="4">IFERROR(AP7/AO7,"")</f>
        <v>492.67962959869823</v>
      </c>
      <c r="AR7" s="182">
        <f>RANK(AQ7, AQ$7:AQ$21)</f>
        <v>1</v>
      </c>
      <c r="AS7" s="573">
        <f>AVERAGE(AQ7:AQ21)</f>
        <v>349.45889709127243</v>
      </c>
      <c r="AT7" s="188">
        <v>6</v>
      </c>
      <c r="AU7" s="188">
        <v>2956.4050775921892</v>
      </c>
      <c r="AV7" s="185">
        <f t="shared" ref="AV7:AV12" si="5">IFERROR(AU7/AT7,"")</f>
        <v>492.73417959869818</v>
      </c>
      <c r="AW7" s="182">
        <f>RANK(AV7, AV$7:AV$21)</f>
        <v>1</v>
      </c>
      <c r="AX7" s="573">
        <f>AVERAGE(AV7:AV21)</f>
        <v>349.49160709127239</v>
      </c>
    </row>
    <row r="8" spans="1:50" ht="14.25" customHeight="1">
      <c r="B8" s="572"/>
      <c r="C8" s="180">
        <v>2</v>
      </c>
      <c r="D8" s="183" t="s">
        <v>534</v>
      </c>
      <c r="E8" s="180">
        <v>6</v>
      </c>
      <c r="F8" s="180">
        <v>2500</v>
      </c>
      <c r="G8" s="185">
        <f t="shared" si="0"/>
        <v>416.66666666666669</v>
      </c>
      <c r="H8" s="573"/>
      <c r="I8" s="186">
        <f t="shared" ref="I8:K12" si="6">AVERAGE(P8,U8,Z8,AE8,AJ8,AO8,AT8)</f>
        <v>6</v>
      </c>
      <c r="J8" s="186">
        <f t="shared" si="6"/>
        <v>2265.0330622654751</v>
      </c>
      <c r="K8" s="187">
        <f t="shared" si="6"/>
        <v>377.50551037757924</v>
      </c>
      <c r="L8" s="574"/>
      <c r="M8" s="186">
        <f>RANK(K8, K$7:$K$21)</f>
        <v>4</v>
      </c>
      <c r="N8" s="572"/>
      <c r="O8" s="572"/>
      <c r="P8" s="188">
        <v>6</v>
      </c>
      <c r="Q8" s="188">
        <v>2264.4998740968108</v>
      </c>
      <c r="R8" s="185">
        <f t="shared" ref="R8:R12" si="7">IFERROR(Q8/P8,"")</f>
        <v>377.4166456828018</v>
      </c>
      <c r="S8" s="182">
        <f t="shared" ref="S8:S12" si="8">RANK(R8, R$7:R$21)</f>
        <v>5</v>
      </c>
      <c r="T8" s="573"/>
      <c r="U8" s="188">
        <v>6</v>
      </c>
      <c r="V8" s="188">
        <v>2264.2498740968103</v>
      </c>
      <c r="W8" s="185">
        <f t="shared" si="1"/>
        <v>377.37497901613506</v>
      </c>
      <c r="X8" s="182">
        <f t="shared" ref="X8:X12" si="9">RANK(W8, W$7:W$21)</f>
        <v>5</v>
      </c>
      <c r="Y8" s="573"/>
      <c r="Z8" s="188">
        <v>6</v>
      </c>
      <c r="AA8" s="188">
        <v>2266.1279963765514</v>
      </c>
      <c r="AB8" s="185">
        <f t="shared" si="2"/>
        <v>377.68799939609193</v>
      </c>
      <c r="AC8" s="182">
        <f t="shared" ref="AC8:AC12" si="10">RANK(AB8, AB$7:AB$21)</f>
        <v>4</v>
      </c>
      <c r="AD8" s="573"/>
      <c r="AE8" s="188">
        <v>6</v>
      </c>
      <c r="AF8" s="188">
        <v>2266.8779963765514</v>
      </c>
      <c r="AG8" s="185">
        <f t="shared" ref="AG8:AG12" si="11">IFERROR(AF8/AE8,"")</f>
        <v>377.81299939609193</v>
      </c>
      <c r="AH8" s="182">
        <f t="shared" ref="AH8:AH12" si="12">RANK(AG8, AG$7:AG$21)</f>
        <v>4</v>
      </c>
      <c r="AI8" s="573"/>
      <c r="AJ8" s="188">
        <v>6</v>
      </c>
      <c r="AK8" s="188">
        <v>2267.6279963765514</v>
      </c>
      <c r="AL8" s="185">
        <f t="shared" si="3"/>
        <v>377.93799939609193</v>
      </c>
      <c r="AM8" s="182">
        <f t="shared" ref="AM8:AM12" si="13">RANK(AL8, AL$7:AL$21)</f>
        <v>4</v>
      </c>
      <c r="AN8" s="573"/>
      <c r="AO8" s="188">
        <v>6</v>
      </c>
      <c r="AP8" s="188">
        <v>2262.9238492675254</v>
      </c>
      <c r="AQ8" s="185">
        <f t="shared" si="4"/>
        <v>377.15397487792092</v>
      </c>
      <c r="AR8" s="182">
        <f t="shared" ref="AR8:AR12" si="14">RANK(AQ8, AQ$7:AQ$21)</f>
        <v>4</v>
      </c>
      <c r="AS8" s="573"/>
      <c r="AT8" s="188">
        <v>6</v>
      </c>
      <c r="AU8" s="188">
        <v>2262.9238492675254</v>
      </c>
      <c r="AV8" s="185">
        <f t="shared" si="5"/>
        <v>377.15397487792092</v>
      </c>
      <c r="AW8" s="182">
        <f t="shared" ref="AW8:AW12" si="15">RANK(AV8, AV$7:AV$21)</f>
        <v>4</v>
      </c>
      <c r="AX8" s="573"/>
    </row>
    <row r="9" spans="1:50" ht="14.25" customHeight="1">
      <c r="B9" s="572"/>
      <c r="C9" s="180">
        <v>3</v>
      </c>
      <c r="D9" s="183" t="s">
        <v>543</v>
      </c>
      <c r="E9" s="180">
        <v>6</v>
      </c>
      <c r="F9" s="180">
        <v>2500</v>
      </c>
      <c r="G9" s="185">
        <f t="shared" si="0"/>
        <v>416.66666666666669</v>
      </c>
      <c r="H9" s="573"/>
      <c r="I9" s="186">
        <f t="shared" si="6"/>
        <v>6</v>
      </c>
      <c r="J9" s="186">
        <f t="shared" si="6"/>
        <v>2264.9509332107891</v>
      </c>
      <c r="K9" s="187">
        <f t="shared" si="6"/>
        <v>377.49182220179819</v>
      </c>
      <c r="L9" s="574"/>
      <c r="M9" s="186">
        <f>RANK(K9, K$7:$K$21)</f>
        <v>5</v>
      </c>
      <c r="N9" s="572"/>
      <c r="O9" s="572"/>
      <c r="P9" s="188">
        <v>6</v>
      </c>
      <c r="Q9" s="188">
        <v>2265.7332320733371</v>
      </c>
      <c r="R9" s="185">
        <f t="shared" si="7"/>
        <v>377.62220534555621</v>
      </c>
      <c r="S9" s="182">
        <f t="shared" si="8"/>
        <v>4</v>
      </c>
      <c r="T9" s="573"/>
      <c r="U9" s="188">
        <v>6</v>
      </c>
      <c r="V9" s="188">
        <v>2264.8568335899399</v>
      </c>
      <c r="W9" s="185">
        <f t="shared" si="1"/>
        <v>377.47613893165664</v>
      </c>
      <c r="X9" s="182">
        <f t="shared" si="9"/>
        <v>4</v>
      </c>
      <c r="Y9" s="573"/>
      <c r="Z9" s="188">
        <v>6</v>
      </c>
      <c r="AA9" s="188">
        <v>2264.8568335899395</v>
      </c>
      <c r="AB9" s="185">
        <f t="shared" si="2"/>
        <v>377.47613893165658</v>
      </c>
      <c r="AC9" s="182">
        <f t="shared" si="10"/>
        <v>5</v>
      </c>
      <c r="AD9" s="573"/>
      <c r="AE9" s="188">
        <v>6</v>
      </c>
      <c r="AF9" s="188">
        <v>2264.3568335899395</v>
      </c>
      <c r="AG9" s="185">
        <f t="shared" si="11"/>
        <v>377.39280559832326</v>
      </c>
      <c r="AH9" s="182">
        <f t="shared" si="12"/>
        <v>5</v>
      </c>
      <c r="AI9" s="573"/>
      <c r="AJ9" s="188"/>
      <c r="AK9" s="188"/>
      <c r="AL9" s="185"/>
      <c r="AM9" s="182"/>
      <c r="AN9" s="573"/>
      <c r="AO9" s="188"/>
      <c r="AP9" s="188"/>
      <c r="AQ9" s="185"/>
      <c r="AR9" s="182"/>
      <c r="AS9" s="573"/>
      <c r="AT9" s="188"/>
      <c r="AU9" s="188"/>
      <c r="AV9" s="185"/>
      <c r="AW9" s="182"/>
      <c r="AX9" s="573"/>
    </row>
    <row r="10" spans="1:50" ht="14.25" customHeight="1">
      <c r="B10" s="572"/>
      <c r="C10" s="180">
        <v>4</v>
      </c>
      <c r="D10" s="183" t="s">
        <v>596</v>
      </c>
      <c r="E10" s="180">
        <v>6</v>
      </c>
      <c r="F10" s="180">
        <v>2600</v>
      </c>
      <c r="G10" s="185">
        <f t="shared" si="0"/>
        <v>433.33333333333331</v>
      </c>
      <c r="H10" s="573"/>
      <c r="I10" s="186">
        <f t="shared" si="6"/>
        <v>6</v>
      </c>
      <c r="J10" s="186">
        <f t="shared" si="6"/>
        <v>2349.5244705252539</v>
      </c>
      <c r="K10" s="187">
        <f t="shared" si="6"/>
        <v>391.58741175420897</v>
      </c>
      <c r="L10" s="574"/>
      <c r="M10" s="186">
        <f>RANK(K10, K$7:$K$21)</f>
        <v>2</v>
      </c>
      <c r="N10" s="572"/>
      <c r="O10" s="572"/>
      <c r="P10" s="188">
        <v>6</v>
      </c>
      <c r="Q10" s="188">
        <v>2350.3787562395396</v>
      </c>
      <c r="R10" s="185">
        <f t="shared" si="7"/>
        <v>391.72979270658993</v>
      </c>
      <c r="S10" s="182">
        <f t="shared" si="8"/>
        <v>2</v>
      </c>
      <c r="T10" s="573"/>
      <c r="U10" s="188">
        <v>6</v>
      </c>
      <c r="V10" s="188">
        <v>2350.3787562395396</v>
      </c>
      <c r="W10" s="185">
        <f t="shared" si="1"/>
        <v>391.72979270658993</v>
      </c>
      <c r="X10" s="182">
        <f t="shared" si="9"/>
        <v>2</v>
      </c>
      <c r="Y10" s="573"/>
      <c r="Z10" s="188">
        <v>6</v>
      </c>
      <c r="AA10" s="188">
        <v>2349.8587562395396</v>
      </c>
      <c r="AB10" s="185">
        <f t="shared" si="2"/>
        <v>391.64312603992329</v>
      </c>
      <c r="AC10" s="182">
        <f t="shared" si="10"/>
        <v>2</v>
      </c>
      <c r="AD10" s="573"/>
      <c r="AE10" s="188">
        <v>6</v>
      </c>
      <c r="AF10" s="188">
        <v>2348.5587562395394</v>
      </c>
      <c r="AG10" s="185">
        <f t="shared" si="11"/>
        <v>391.42645937325659</v>
      </c>
      <c r="AH10" s="182">
        <f t="shared" si="12"/>
        <v>3</v>
      </c>
      <c r="AI10" s="573"/>
      <c r="AJ10" s="188">
        <v>6</v>
      </c>
      <c r="AK10" s="188">
        <v>2348.5587562395394</v>
      </c>
      <c r="AL10" s="185">
        <f t="shared" si="3"/>
        <v>391.42645937325659</v>
      </c>
      <c r="AM10" s="182">
        <f t="shared" si="13"/>
        <v>2</v>
      </c>
      <c r="AN10" s="573"/>
      <c r="AO10" s="188">
        <v>6</v>
      </c>
      <c r="AP10" s="188">
        <v>2349.0787562395394</v>
      </c>
      <c r="AQ10" s="185">
        <f t="shared" si="4"/>
        <v>391.51312603992324</v>
      </c>
      <c r="AR10" s="182">
        <f t="shared" si="14"/>
        <v>2</v>
      </c>
      <c r="AS10" s="573"/>
      <c r="AT10" s="188">
        <v>6</v>
      </c>
      <c r="AU10" s="188">
        <v>2349.8587562395392</v>
      </c>
      <c r="AV10" s="185">
        <f t="shared" si="5"/>
        <v>391.64312603992317</v>
      </c>
      <c r="AW10" s="182">
        <f t="shared" si="15"/>
        <v>2</v>
      </c>
      <c r="AX10" s="573"/>
    </row>
    <row r="11" spans="1:50" ht="14.25" customHeight="1">
      <c r="B11" s="572"/>
      <c r="C11" s="180">
        <v>5</v>
      </c>
      <c r="D11" s="183" t="s">
        <v>597</v>
      </c>
      <c r="E11" s="180">
        <v>6</v>
      </c>
      <c r="F11" s="180">
        <v>2600</v>
      </c>
      <c r="G11" s="185">
        <f t="shared" si="0"/>
        <v>433.33333333333331</v>
      </c>
      <c r="H11" s="573"/>
      <c r="I11" s="186">
        <f t="shared" si="6"/>
        <v>6</v>
      </c>
      <c r="J11" s="186">
        <f t="shared" si="6"/>
        <v>2348.463109736856</v>
      </c>
      <c r="K11" s="187">
        <f t="shared" si="6"/>
        <v>391.4105182894761</v>
      </c>
      <c r="L11" s="574"/>
      <c r="M11" s="186">
        <f>RANK(K11, K$7:$K$21)</f>
        <v>3</v>
      </c>
      <c r="N11" s="572"/>
      <c r="O11" s="572"/>
      <c r="P11" s="188">
        <v>6</v>
      </c>
      <c r="Q11" s="188">
        <v>2349.1211582009737</v>
      </c>
      <c r="R11" s="185">
        <f t="shared" si="7"/>
        <v>391.52019303349562</v>
      </c>
      <c r="S11" s="182">
        <f t="shared" si="8"/>
        <v>3</v>
      </c>
      <c r="T11" s="573"/>
      <c r="U11" s="188">
        <v>6</v>
      </c>
      <c r="V11" s="188">
        <v>2350.21676832617</v>
      </c>
      <c r="W11" s="185">
        <f t="shared" si="1"/>
        <v>391.70279472102834</v>
      </c>
      <c r="X11" s="182">
        <f t="shared" si="9"/>
        <v>3</v>
      </c>
      <c r="Y11" s="573"/>
      <c r="Z11" s="188">
        <v>6</v>
      </c>
      <c r="AA11" s="188">
        <v>2349.6967683261701</v>
      </c>
      <c r="AB11" s="185">
        <f t="shared" si="2"/>
        <v>391.6161280543617</v>
      </c>
      <c r="AC11" s="182">
        <f t="shared" si="10"/>
        <v>3</v>
      </c>
      <c r="AD11" s="573"/>
      <c r="AE11" s="188">
        <v>6</v>
      </c>
      <c r="AF11" s="188">
        <v>2348.6567683261701</v>
      </c>
      <c r="AG11" s="185">
        <f t="shared" si="11"/>
        <v>391.44279472102835</v>
      </c>
      <c r="AH11" s="182">
        <f t="shared" si="12"/>
        <v>2</v>
      </c>
      <c r="AI11" s="573"/>
      <c r="AJ11" s="188">
        <v>6</v>
      </c>
      <c r="AK11" s="188">
        <v>2347.8767683261703</v>
      </c>
      <c r="AL11" s="185">
        <f t="shared" si="3"/>
        <v>391.31279472102841</v>
      </c>
      <c r="AM11" s="182">
        <f t="shared" si="13"/>
        <v>3</v>
      </c>
      <c r="AN11" s="573"/>
      <c r="AO11" s="188">
        <v>6</v>
      </c>
      <c r="AP11" s="188">
        <v>2346.8367683261708</v>
      </c>
      <c r="AQ11" s="185">
        <f t="shared" si="4"/>
        <v>391.13946138769512</v>
      </c>
      <c r="AR11" s="182">
        <f t="shared" si="14"/>
        <v>3</v>
      </c>
      <c r="AS11" s="573"/>
      <c r="AT11" s="188">
        <v>6</v>
      </c>
      <c r="AU11" s="188">
        <v>2346.8367683261708</v>
      </c>
      <c r="AV11" s="185">
        <f t="shared" si="5"/>
        <v>391.13946138769512</v>
      </c>
      <c r="AW11" s="182">
        <f t="shared" si="15"/>
        <v>3</v>
      </c>
      <c r="AX11" s="573"/>
    </row>
    <row r="12" spans="1:50" ht="14.25" customHeight="1">
      <c r="B12" s="572"/>
      <c r="C12" s="180">
        <v>6</v>
      </c>
      <c r="D12" s="183" t="s">
        <v>639</v>
      </c>
      <c r="E12" s="180">
        <v>20</v>
      </c>
      <c r="F12" s="180">
        <v>2100</v>
      </c>
      <c r="G12" s="185">
        <f t="shared" si="0"/>
        <v>105</v>
      </c>
      <c r="H12" s="573"/>
      <c r="I12" s="186">
        <f t="shared" si="6"/>
        <v>20</v>
      </c>
      <c r="J12" s="186">
        <f t="shared" si="6"/>
        <v>1816.1631639750315</v>
      </c>
      <c r="K12" s="187">
        <f t="shared" si="6"/>
        <v>90.80815819875157</v>
      </c>
      <c r="L12" s="574"/>
      <c r="M12" s="186">
        <f>RANK(K12, K$7:$K$21)</f>
        <v>6</v>
      </c>
      <c r="N12" s="572"/>
      <c r="O12" s="572"/>
      <c r="P12" s="188">
        <v>20</v>
      </c>
      <c r="Q12" s="188">
        <v>1714.3750109393586</v>
      </c>
      <c r="R12" s="185">
        <f t="shared" si="7"/>
        <v>85.718750546967925</v>
      </c>
      <c r="S12" s="182">
        <f t="shared" si="8"/>
        <v>6</v>
      </c>
      <c r="T12" s="573"/>
      <c r="U12" s="188">
        <v>20</v>
      </c>
      <c r="V12" s="188">
        <v>1747.0967999999998</v>
      </c>
      <c r="W12" s="185">
        <f t="shared" si="1"/>
        <v>87.354839999999996</v>
      </c>
      <c r="X12" s="182">
        <f t="shared" si="9"/>
        <v>6</v>
      </c>
      <c r="Y12" s="573"/>
      <c r="Z12" s="188">
        <v>20</v>
      </c>
      <c r="AA12" s="188">
        <v>1782.0387359999997</v>
      </c>
      <c r="AB12" s="185">
        <f t="shared" si="2"/>
        <v>89.10193679999999</v>
      </c>
      <c r="AC12" s="182">
        <f t="shared" si="10"/>
        <v>6</v>
      </c>
      <c r="AD12" s="573"/>
      <c r="AE12" s="188">
        <v>20</v>
      </c>
      <c r="AF12" s="188">
        <v>1817.8937107199997</v>
      </c>
      <c r="AG12" s="185">
        <f t="shared" si="11"/>
        <v>90.894685535999983</v>
      </c>
      <c r="AH12" s="182">
        <f t="shared" si="12"/>
        <v>6</v>
      </c>
      <c r="AI12" s="573"/>
      <c r="AJ12" s="188">
        <v>20</v>
      </c>
      <c r="AK12" s="188">
        <v>1859.8261480808756</v>
      </c>
      <c r="AL12" s="185">
        <f t="shared" si="3"/>
        <v>92.991307404043781</v>
      </c>
      <c r="AM12" s="182">
        <f t="shared" si="13"/>
        <v>5</v>
      </c>
      <c r="AN12" s="573"/>
      <c r="AO12" s="188">
        <v>20</v>
      </c>
      <c r="AP12" s="188">
        <v>1896.1658710424931</v>
      </c>
      <c r="AQ12" s="185">
        <f t="shared" si="4"/>
        <v>94.808293552124653</v>
      </c>
      <c r="AR12" s="182">
        <f t="shared" si="14"/>
        <v>5</v>
      </c>
      <c r="AS12" s="573"/>
      <c r="AT12" s="188">
        <v>20</v>
      </c>
      <c r="AU12" s="188">
        <v>1895.745871042493</v>
      </c>
      <c r="AV12" s="185">
        <f t="shared" si="5"/>
        <v>94.787293552124652</v>
      </c>
      <c r="AW12" s="182">
        <f t="shared" si="15"/>
        <v>5</v>
      </c>
      <c r="AX12" s="573"/>
    </row>
    <row r="13" spans="1:50" ht="14.25" customHeight="1">
      <c r="B13" s="572"/>
      <c r="C13" s="180">
        <v>7</v>
      </c>
      <c r="D13" s="183"/>
      <c r="E13" s="180"/>
      <c r="F13" s="180"/>
      <c r="G13" s="185"/>
      <c r="H13" s="573"/>
      <c r="I13" s="186"/>
      <c r="J13" s="186"/>
      <c r="K13" s="187"/>
      <c r="L13" s="574"/>
      <c r="M13" s="186"/>
      <c r="N13" s="572"/>
      <c r="O13" s="572"/>
      <c r="P13" s="188"/>
      <c r="Q13" s="188"/>
      <c r="R13" s="185"/>
      <c r="S13" s="182"/>
      <c r="T13" s="573"/>
      <c r="U13" s="188"/>
      <c r="V13" s="188"/>
      <c r="W13" s="185"/>
      <c r="X13" s="182"/>
      <c r="Y13" s="573"/>
      <c r="Z13" s="188"/>
      <c r="AA13" s="188"/>
      <c r="AB13" s="185"/>
      <c r="AC13" s="182"/>
      <c r="AD13" s="573"/>
      <c r="AE13" s="188"/>
      <c r="AF13" s="188"/>
      <c r="AG13" s="185"/>
      <c r="AH13" s="182"/>
      <c r="AI13" s="573"/>
      <c r="AJ13" s="188"/>
      <c r="AK13" s="188"/>
      <c r="AL13" s="185"/>
      <c r="AM13" s="182"/>
      <c r="AN13" s="573"/>
      <c r="AO13" s="188"/>
      <c r="AP13" s="188"/>
      <c r="AQ13" s="185"/>
      <c r="AR13" s="182"/>
      <c r="AS13" s="573"/>
      <c r="AT13" s="188"/>
      <c r="AU13" s="188"/>
      <c r="AV13" s="185"/>
      <c r="AW13" s="182"/>
      <c r="AX13" s="573"/>
    </row>
    <row r="14" spans="1:50" ht="14.25" customHeight="1">
      <c r="B14" s="572"/>
      <c r="C14" s="180">
        <v>8</v>
      </c>
      <c r="D14" s="183"/>
      <c r="E14" s="180"/>
      <c r="F14" s="180"/>
      <c r="G14" s="185"/>
      <c r="H14" s="573"/>
      <c r="I14" s="186"/>
      <c r="J14" s="186"/>
      <c r="K14" s="187"/>
      <c r="L14" s="574"/>
      <c r="M14" s="186"/>
      <c r="N14" s="572"/>
      <c r="O14" s="572"/>
      <c r="P14" s="188"/>
      <c r="Q14" s="188"/>
      <c r="R14" s="185"/>
      <c r="S14" s="182"/>
      <c r="T14" s="573"/>
      <c r="U14" s="188"/>
      <c r="V14" s="188"/>
      <c r="W14" s="185"/>
      <c r="X14" s="182"/>
      <c r="Y14" s="573"/>
      <c r="Z14" s="188"/>
      <c r="AA14" s="188"/>
      <c r="AB14" s="185"/>
      <c r="AC14" s="182"/>
      <c r="AD14" s="573"/>
      <c r="AE14" s="188"/>
      <c r="AF14" s="188"/>
      <c r="AG14" s="185"/>
      <c r="AH14" s="182"/>
      <c r="AI14" s="573"/>
      <c r="AJ14" s="188"/>
      <c r="AK14" s="188"/>
      <c r="AL14" s="185"/>
      <c r="AM14" s="182"/>
      <c r="AN14" s="573"/>
      <c r="AO14" s="188"/>
      <c r="AP14" s="188"/>
      <c r="AQ14" s="185"/>
      <c r="AR14" s="182"/>
      <c r="AS14" s="573"/>
      <c r="AT14" s="188"/>
      <c r="AU14" s="188"/>
      <c r="AV14" s="185"/>
      <c r="AW14" s="182"/>
      <c r="AX14" s="573"/>
    </row>
    <row r="15" spans="1:50" ht="14.25" customHeight="1">
      <c r="B15" s="572"/>
      <c r="C15" s="180">
        <v>9</v>
      </c>
      <c r="D15" s="183"/>
      <c r="E15" s="180"/>
      <c r="F15" s="180"/>
      <c r="G15" s="185"/>
      <c r="H15" s="573"/>
      <c r="I15" s="186"/>
      <c r="J15" s="186"/>
      <c r="K15" s="187"/>
      <c r="L15" s="574"/>
      <c r="M15" s="186"/>
      <c r="N15" s="572"/>
      <c r="O15" s="572"/>
      <c r="P15" s="188"/>
      <c r="Q15" s="188"/>
      <c r="R15" s="185"/>
      <c r="S15" s="182"/>
      <c r="T15" s="573"/>
      <c r="U15" s="188"/>
      <c r="V15" s="188"/>
      <c r="W15" s="185"/>
      <c r="X15" s="182"/>
      <c r="Y15" s="573"/>
      <c r="Z15" s="188"/>
      <c r="AA15" s="188"/>
      <c r="AB15" s="185"/>
      <c r="AC15" s="182"/>
      <c r="AD15" s="573"/>
      <c r="AE15" s="188"/>
      <c r="AF15" s="188"/>
      <c r="AG15" s="185"/>
      <c r="AH15" s="182"/>
      <c r="AI15" s="573"/>
      <c r="AJ15" s="188"/>
      <c r="AK15" s="188"/>
      <c r="AL15" s="185"/>
      <c r="AM15" s="182"/>
      <c r="AN15" s="573"/>
      <c r="AO15" s="188"/>
      <c r="AP15" s="188"/>
      <c r="AQ15" s="185"/>
      <c r="AR15" s="182"/>
      <c r="AS15" s="573"/>
      <c r="AT15" s="188"/>
      <c r="AU15" s="188"/>
      <c r="AV15" s="185"/>
      <c r="AW15" s="182"/>
      <c r="AX15" s="573"/>
    </row>
    <row r="16" spans="1:50" ht="14.25" customHeight="1">
      <c r="B16" s="572"/>
      <c r="C16" s="180">
        <v>10</v>
      </c>
      <c r="D16" s="183"/>
      <c r="E16" s="180"/>
      <c r="F16" s="180"/>
      <c r="G16" s="185"/>
      <c r="H16" s="573"/>
      <c r="I16" s="186"/>
      <c r="J16" s="186"/>
      <c r="K16" s="187"/>
      <c r="L16" s="574"/>
      <c r="M16" s="186"/>
      <c r="N16" s="572"/>
      <c r="O16" s="572"/>
      <c r="P16" s="188"/>
      <c r="Q16" s="188"/>
      <c r="R16" s="185"/>
      <c r="S16" s="182"/>
      <c r="T16" s="573"/>
      <c r="U16" s="188"/>
      <c r="V16" s="188"/>
      <c r="W16" s="185"/>
      <c r="X16" s="182"/>
      <c r="Y16" s="573"/>
      <c r="Z16" s="188"/>
      <c r="AA16" s="188"/>
      <c r="AB16" s="185"/>
      <c r="AC16" s="182"/>
      <c r="AD16" s="573"/>
      <c r="AE16" s="188"/>
      <c r="AF16" s="188"/>
      <c r="AG16" s="185"/>
      <c r="AH16" s="182"/>
      <c r="AI16" s="573"/>
      <c r="AJ16" s="188"/>
      <c r="AK16" s="188"/>
      <c r="AL16" s="185"/>
      <c r="AM16" s="182"/>
      <c r="AN16" s="573"/>
      <c r="AO16" s="188"/>
      <c r="AP16" s="188"/>
      <c r="AQ16" s="185"/>
      <c r="AR16" s="182"/>
      <c r="AS16" s="573"/>
      <c r="AT16" s="188"/>
      <c r="AU16" s="188"/>
      <c r="AV16" s="185"/>
      <c r="AW16" s="182"/>
      <c r="AX16" s="573"/>
    </row>
    <row r="17" spans="2:50" ht="14.25" customHeight="1">
      <c r="B17" s="572"/>
      <c r="C17" s="180">
        <v>11</v>
      </c>
      <c r="D17" s="183"/>
      <c r="E17" s="180"/>
      <c r="F17" s="180"/>
      <c r="G17" s="185"/>
      <c r="H17" s="573"/>
      <c r="I17" s="186"/>
      <c r="J17" s="186"/>
      <c r="K17" s="187"/>
      <c r="L17" s="574"/>
      <c r="M17" s="186"/>
      <c r="N17" s="572"/>
      <c r="O17" s="572"/>
      <c r="P17" s="188"/>
      <c r="Q17" s="188"/>
      <c r="R17" s="185"/>
      <c r="S17" s="182"/>
      <c r="T17" s="573"/>
      <c r="U17" s="188"/>
      <c r="V17" s="188"/>
      <c r="W17" s="185"/>
      <c r="X17" s="182"/>
      <c r="Y17" s="573"/>
      <c r="Z17" s="188"/>
      <c r="AA17" s="188"/>
      <c r="AB17" s="185"/>
      <c r="AC17" s="182"/>
      <c r="AD17" s="573"/>
      <c r="AE17" s="188"/>
      <c r="AF17" s="188"/>
      <c r="AG17" s="185"/>
      <c r="AH17" s="182"/>
      <c r="AI17" s="573"/>
      <c r="AJ17" s="188"/>
      <c r="AK17" s="188"/>
      <c r="AL17" s="185"/>
      <c r="AM17" s="182"/>
      <c r="AN17" s="573"/>
      <c r="AO17" s="188"/>
      <c r="AP17" s="188"/>
      <c r="AQ17" s="185"/>
      <c r="AR17" s="182"/>
      <c r="AS17" s="573"/>
      <c r="AT17" s="188"/>
      <c r="AU17" s="188"/>
      <c r="AV17" s="185"/>
      <c r="AW17" s="182"/>
      <c r="AX17" s="573"/>
    </row>
    <row r="18" spans="2:50" ht="14.25" customHeight="1">
      <c r="B18" s="572"/>
      <c r="C18" s="180">
        <v>12</v>
      </c>
      <c r="D18" s="183"/>
      <c r="E18" s="180"/>
      <c r="F18" s="180"/>
      <c r="G18" s="185"/>
      <c r="H18" s="573"/>
      <c r="I18" s="186"/>
      <c r="J18" s="186"/>
      <c r="K18" s="187"/>
      <c r="L18" s="574"/>
      <c r="M18" s="186"/>
      <c r="N18" s="572"/>
      <c r="O18" s="572"/>
      <c r="P18" s="188"/>
      <c r="Q18" s="188"/>
      <c r="R18" s="185"/>
      <c r="S18" s="182"/>
      <c r="T18" s="573"/>
      <c r="U18" s="188"/>
      <c r="V18" s="188"/>
      <c r="W18" s="185"/>
      <c r="X18" s="182"/>
      <c r="Y18" s="573"/>
      <c r="Z18" s="188"/>
      <c r="AA18" s="188"/>
      <c r="AB18" s="185"/>
      <c r="AC18" s="182"/>
      <c r="AD18" s="573"/>
      <c r="AE18" s="188"/>
      <c r="AF18" s="188"/>
      <c r="AG18" s="185"/>
      <c r="AH18" s="182"/>
      <c r="AI18" s="573"/>
      <c r="AJ18" s="188"/>
      <c r="AK18" s="188"/>
      <c r="AL18" s="185"/>
      <c r="AM18" s="182"/>
      <c r="AN18" s="573"/>
      <c r="AO18" s="188"/>
      <c r="AP18" s="188"/>
      <c r="AQ18" s="185"/>
      <c r="AR18" s="182"/>
      <c r="AS18" s="573"/>
      <c r="AT18" s="188"/>
      <c r="AU18" s="188"/>
      <c r="AV18" s="185"/>
      <c r="AW18" s="182"/>
      <c r="AX18" s="573"/>
    </row>
    <row r="19" spans="2:50" ht="14.25" customHeight="1">
      <c r="B19" s="572"/>
      <c r="C19" s="180">
        <v>13</v>
      </c>
      <c r="D19" s="183"/>
      <c r="E19" s="180"/>
      <c r="F19" s="180"/>
      <c r="G19" s="185"/>
      <c r="H19" s="573"/>
      <c r="I19" s="186"/>
      <c r="J19" s="186"/>
      <c r="K19" s="187"/>
      <c r="L19" s="574"/>
      <c r="M19" s="186"/>
      <c r="N19" s="572"/>
      <c r="O19" s="572"/>
      <c r="P19" s="188"/>
      <c r="Q19" s="188"/>
      <c r="R19" s="185"/>
      <c r="S19" s="182"/>
      <c r="T19" s="573"/>
      <c r="U19" s="188"/>
      <c r="V19" s="188"/>
      <c r="W19" s="185"/>
      <c r="X19" s="182"/>
      <c r="Y19" s="573"/>
      <c r="Z19" s="188"/>
      <c r="AA19" s="188"/>
      <c r="AB19" s="185"/>
      <c r="AC19" s="182"/>
      <c r="AD19" s="573"/>
      <c r="AE19" s="188"/>
      <c r="AF19" s="188"/>
      <c r="AG19" s="185"/>
      <c r="AH19" s="182"/>
      <c r="AI19" s="573"/>
      <c r="AJ19" s="188"/>
      <c r="AK19" s="188"/>
      <c r="AL19" s="185"/>
      <c r="AM19" s="182"/>
      <c r="AN19" s="573"/>
      <c r="AO19" s="188"/>
      <c r="AP19" s="188"/>
      <c r="AQ19" s="185"/>
      <c r="AR19" s="182"/>
      <c r="AS19" s="573"/>
      <c r="AT19" s="188"/>
      <c r="AU19" s="188"/>
      <c r="AV19" s="185"/>
      <c r="AW19" s="182"/>
      <c r="AX19" s="573"/>
    </row>
    <row r="20" spans="2:50" ht="14.25" customHeight="1">
      <c r="B20" s="572"/>
      <c r="C20" s="180">
        <v>14</v>
      </c>
      <c r="D20" s="183"/>
      <c r="E20" s="180"/>
      <c r="F20" s="180"/>
      <c r="G20" s="185"/>
      <c r="H20" s="573"/>
      <c r="I20" s="186"/>
      <c r="J20" s="186"/>
      <c r="K20" s="187"/>
      <c r="L20" s="574"/>
      <c r="M20" s="186"/>
      <c r="N20" s="572"/>
      <c r="O20" s="572"/>
      <c r="P20" s="188"/>
      <c r="Q20" s="188"/>
      <c r="R20" s="185"/>
      <c r="S20" s="182"/>
      <c r="T20" s="573"/>
      <c r="U20" s="188"/>
      <c r="V20" s="188"/>
      <c r="W20" s="185"/>
      <c r="X20" s="182"/>
      <c r="Y20" s="573"/>
      <c r="Z20" s="188"/>
      <c r="AA20" s="188"/>
      <c r="AB20" s="185"/>
      <c r="AC20" s="182"/>
      <c r="AD20" s="573"/>
      <c r="AE20" s="188"/>
      <c r="AF20" s="188"/>
      <c r="AG20" s="185"/>
      <c r="AH20" s="182"/>
      <c r="AI20" s="573"/>
      <c r="AJ20" s="188"/>
      <c r="AK20" s="188"/>
      <c r="AL20" s="185"/>
      <c r="AM20" s="182"/>
      <c r="AN20" s="573"/>
      <c r="AO20" s="188"/>
      <c r="AP20" s="188"/>
      <c r="AQ20" s="185"/>
      <c r="AR20" s="182"/>
      <c r="AS20" s="573"/>
      <c r="AT20" s="188"/>
      <c r="AU20" s="188"/>
      <c r="AV20" s="185"/>
      <c r="AW20" s="182"/>
      <c r="AX20" s="573"/>
    </row>
    <row r="21" spans="2:50" ht="14.25" customHeight="1">
      <c r="B21" s="572"/>
      <c r="C21" s="180">
        <v>15</v>
      </c>
      <c r="D21" s="183"/>
      <c r="E21" s="180"/>
      <c r="F21" s="180"/>
      <c r="G21" s="185"/>
      <c r="H21" s="573"/>
      <c r="I21" s="186"/>
      <c r="J21" s="186"/>
      <c r="K21" s="187"/>
      <c r="L21" s="574"/>
      <c r="M21" s="186"/>
      <c r="N21" s="572"/>
      <c r="O21" s="572"/>
      <c r="P21" s="188"/>
      <c r="Q21" s="188"/>
      <c r="R21" s="185"/>
      <c r="S21" s="182"/>
      <c r="T21" s="573"/>
      <c r="U21" s="188"/>
      <c r="V21" s="188"/>
      <c r="W21" s="185"/>
      <c r="X21" s="182"/>
      <c r="Y21" s="573"/>
      <c r="Z21" s="188"/>
      <c r="AA21" s="188"/>
      <c r="AB21" s="185"/>
      <c r="AC21" s="182"/>
      <c r="AD21" s="573"/>
      <c r="AE21" s="188"/>
      <c r="AF21" s="188"/>
      <c r="AG21" s="185"/>
      <c r="AH21" s="182"/>
      <c r="AI21" s="573"/>
      <c r="AJ21" s="188"/>
      <c r="AK21" s="188"/>
      <c r="AL21" s="185"/>
      <c r="AM21" s="182"/>
      <c r="AN21" s="573"/>
      <c r="AO21" s="188"/>
      <c r="AP21" s="188"/>
      <c r="AQ21" s="185"/>
      <c r="AR21" s="182"/>
      <c r="AS21" s="573"/>
      <c r="AT21" s="188"/>
      <c r="AU21" s="188"/>
      <c r="AV21" s="185"/>
      <c r="AW21" s="182"/>
      <c r="AX21" s="573"/>
    </row>
    <row r="22" spans="2:50" ht="14.25" customHeight="1" collapsed="1">
      <c r="B22" s="597" t="s">
        <v>684</v>
      </c>
      <c r="C22" s="587"/>
      <c r="D22" s="587"/>
      <c r="E22" s="587"/>
      <c r="F22" s="587"/>
      <c r="G22" s="587"/>
      <c r="H22" s="587"/>
      <c r="I22" s="587"/>
      <c r="J22" s="587"/>
      <c r="K22" s="587"/>
      <c r="L22" s="587"/>
      <c r="M22" s="588"/>
      <c r="N22" s="606" t="s">
        <v>364</v>
      </c>
      <c r="O22" s="606" t="s">
        <v>105</v>
      </c>
      <c r="P22" s="608">
        <v>46175</v>
      </c>
      <c r="Q22" s="609"/>
      <c r="R22" s="609"/>
      <c r="S22" s="609"/>
      <c r="T22" s="609"/>
      <c r="U22" s="610">
        <v>46176</v>
      </c>
      <c r="V22" s="611"/>
      <c r="W22" s="611"/>
      <c r="X22" s="611"/>
      <c r="Y22" s="611"/>
      <c r="Z22" s="608">
        <v>46177</v>
      </c>
      <c r="AA22" s="609"/>
      <c r="AB22" s="609"/>
      <c r="AC22" s="609"/>
      <c r="AD22" s="609"/>
      <c r="AE22" s="610">
        <v>46178</v>
      </c>
      <c r="AF22" s="611"/>
      <c r="AG22" s="611"/>
      <c r="AH22" s="611"/>
      <c r="AI22" s="611"/>
      <c r="AJ22" s="598">
        <v>46179</v>
      </c>
      <c r="AK22" s="599"/>
      <c r="AL22" s="599"/>
      <c r="AM22" s="599"/>
      <c r="AN22" s="600"/>
      <c r="AO22" s="610">
        <v>46180</v>
      </c>
      <c r="AP22" s="611"/>
      <c r="AQ22" s="611"/>
      <c r="AR22" s="611"/>
      <c r="AS22" s="611"/>
      <c r="AT22" s="598">
        <v>46181</v>
      </c>
      <c r="AU22" s="599"/>
      <c r="AV22" s="599"/>
      <c r="AW22" s="599"/>
      <c r="AX22" s="600"/>
    </row>
    <row r="23" spans="2:50" ht="14.25" customHeight="1">
      <c r="B23" s="589"/>
      <c r="C23" s="589"/>
      <c r="D23" s="589"/>
      <c r="E23" s="589"/>
      <c r="F23" s="589"/>
      <c r="G23" s="589"/>
      <c r="H23" s="589"/>
      <c r="I23" s="589"/>
      <c r="J23" s="589"/>
      <c r="K23" s="589"/>
      <c r="L23" s="589"/>
      <c r="M23" s="590"/>
      <c r="N23" s="607"/>
      <c r="O23" s="607"/>
      <c r="P23" s="601">
        <v>46175</v>
      </c>
      <c r="Q23" s="601"/>
      <c r="R23" s="601"/>
      <c r="S23" s="601"/>
      <c r="T23" s="601"/>
      <c r="U23" s="602">
        <v>46176</v>
      </c>
      <c r="V23" s="602"/>
      <c r="W23" s="602"/>
      <c r="X23" s="602"/>
      <c r="Y23" s="602"/>
      <c r="Z23" s="601">
        <v>46177</v>
      </c>
      <c r="AA23" s="601"/>
      <c r="AB23" s="601"/>
      <c r="AC23" s="601"/>
      <c r="AD23" s="601"/>
      <c r="AE23" s="602">
        <v>46178</v>
      </c>
      <c r="AF23" s="602"/>
      <c r="AG23" s="602"/>
      <c r="AH23" s="602"/>
      <c r="AI23" s="602"/>
      <c r="AJ23" s="603">
        <v>46179</v>
      </c>
      <c r="AK23" s="604"/>
      <c r="AL23" s="604"/>
      <c r="AM23" s="604"/>
      <c r="AN23" s="605"/>
      <c r="AO23" s="602">
        <v>46180</v>
      </c>
      <c r="AP23" s="602"/>
      <c r="AQ23" s="602"/>
      <c r="AR23" s="602"/>
      <c r="AS23" s="602"/>
      <c r="AT23" s="603">
        <v>46181</v>
      </c>
      <c r="AU23" s="604"/>
      <c r="AV23" s="604"/>
      <c r="AW23" s="604"/>
      <c r="AX23" s="605"/>
    </row>
    <row r="24" spans="2:50" ht="14.25" customHeight="1">
      <c r="B24" s="572" t="s">
        <v>162</v>
      </c>
      <c r="C24" s="572" t="s">
        <v>157</v>
      </c>
      <c r="D24" s="572"/>
      <c r="E24" s="572" t="s">
        <v>158</v>
      </c>
      <c r="F24" s="572"/>
      <c r="G24" s="572"/>
      <c r="H24" s="572" t="s">
        <v>163</v>
      </c>
      <c r="I24" s="576" t="s">
        <v>365</v>
      </c>
      <c r="J24" s="576"/>
      <c r="K24" s="576"/>
      <c r="L24" s="576" t="s">
        <v>163</v>
      </c>
      <c r="M24" s="576" t="s">
        <v>165</v>
      </c>
      <c r="N24" s="572"/>
      <c r="O24" s="572" t="s">
        <v>164</v>
      </c>
      <c r="P24" s="572" t="s">
        <v>160</v>
      </c>
      <c r="Q24" s="572"/>
      <c r="R24" s="572"/>
      <c r="S24" s="572"/>
      <c r="T24" s="572" t="s">
        <v>163</v>
      </c>
      <c r="U24" s="572" t="s">
        <v>160</v>
      </c>
      <c r="V24" s="572"/>
      <c r="W24" s="572"/>
      <c r="X24" s="572"/>
      <c r="Y24" s="572" t="s">
        <v>163</v>
      </c>
      <c r="Z24" s="572" t="s">
        <v>160</v>
      </c>
      <c r="AA24" s="572"/>
      <c r="AB24" s="572"/>
      <c r="AC24" s="572"/>
      <c r="AD24" s="572" t="s">
        <v>163</v>
      </c>
      <c r="AE24" s="572" t="s">
        <v>160</v>
      </c>
      <c r="AF24" s="572"/>
      <c r="AG24" s="572"/>
      <c r="AH24" s="572"/>
      <c r="AI24" s="572" t="s">
        <v>163</v>
      </c>
      <c r="AJ24" s="572" t="s">
        <v>160</v>
      </c>
      <c r="AK24" s="572"/>
      <c r="AL24" s="572"/>
      <c r="AM24" s="572"/>
      <c r="AN24" s="572" t="s">
        <v>163</v>
      </c>
      <c r="AO24" s="572" t="s">
        <v>160</v>
      </c>
      <c r="AP24" s="572"/>
      <c r="AQ24" s="572"/>
      <c r="AR24" s="572"/>
      <c r="AS24" s="572" t="s">
        <v>163</v>
      </c>
      <c r="AT24" s="572" t="s">
        <v>160</v>
      </c>
      <c r="AU24" s="572"/>
      <c r="AV24" s="572"/>
      <c r="AW24" s="572"/>
      <c r="AX24" s="572" t="s">
        <v>163</v>
      </c>
    </row>
    <row r="25" spans="2:50" ht="14.25" customHeight="1">
      <c r="B25" s="572"/>
      <c r="C25" s="572"/>
      <c r="D25" s="572"/>
      <c r="E25" s="572" t="s">
        <v>366</v>
      </c>
      <c r="F25" s="572"/>
      <c r="G25" s="572"/>
      <c r="H25" s="572"/>
      <c r="I25" s="576" t="s">
        <v>366</v>
      </c>
      <c r="J25" s="576"/>
      <c r="K25" s="576"/>
      <c r="L25" s="576"/>
      <c r="M25" s="576"/>
      <c r="N25" s="572"/>
      <c r="O25" s="572"/>
      <c r="P25" s="572" t="s">
        <v>367</v>
      </c>
      <c r="Q25" s="572"/>
      <c r="R25" s="572"/>
      <c r="S25" s="572"/>
      <c r="T25" s="572"/>
      <c r="U25" s="572" t="s">
        <v>367</v>
      </c>
      <c r="V25" s="572"/>
      <c r="W25" s="572"/>
      <c r="X25" s="572"/>
      <c r="Y25" s="572"/>
      <c r="Z25" s="572" t="s">
        <v>367</v>
      </c>
      <c r="AA25" s="572"/>
      <c r="AB25" s="572"/>
      <c r="AC25" s="572"/>
      <c r="AD25" s="572"/>
      <c r="AE25" s="572" t="s">
        <v>367</v>
      </c>
      <c r="AF25" s="572"/>
      <c r="AG25" s="572"/>
      <c r="AH25" s="572"/>
      <c r="AI25" s="572"/>
      <c r="AJ25" s="572" t="s">
        <v>367</v>
      </c>
      <c r="AK25" s="572"/>
      <c r="AL25" s="572"/>
      <c r="AM25" s="572"/>
      <c r="AN25" s="572"/>
      <c r="AO25" s="572" t="s">
        <v>367</v>
      </c>
      <c r="AP25" s="572"/>
      <c r="AQ25" s="572"/>
      <c r="AR25" s="572"/>
      <c r="AS25" s="572"/>
      <c r="AT25" s="572" t="s">
        <v>367</v>
      </c>
      <c r="AU25" s="572"/>
      <c r="AV25" s="572"/>
      <c r="AW25" s="572"/>
      <c r="AX25" s="572"/>
    </row>
    <row r="26" spans="2:50" ht="14.25" customHeight="1">
      <c r="B26" s="572"/>
      <c r="C26" s="572"/>
      <c r="D26" s="572"/>
      <c r="E26" s="180" t="s">
        <v>159</v>
      </c>
      <c r="F26" s="180" t="s">
        <v>368</v>
      </c>
      <c r="G26" s="180" t="s">
        <v>161</v>
      </c>
      <c r="H26" s="572"/>
      <c r="I26" s="181" t="s">
        <v>159</v>
      </c>
      <c r="J26" s="181" t="s">
        <v>368</v>
      </c>
      <c r="K26" s="181" t="s">
        <v>161</v>
      </c>
      <c r="L26" s="576"/>
      <c r="M26" s="576"/>
      <c r="N26" s="572"/>
      <c r="O26" s="572"/>
      <c r="P26" s="180" t="s">
        <v>159</v>
      </c>
      <c r="Q26" s="180" t="s">
        <v>368</v>
      </c>
      <c r="R26" s="180" t="s">
        <v>161</v>
      </c>
      <c r="S26" s="182" t="s">
        <v>165</v>
      </c>
      <c r="T26" s="572"/>
      <c r="U26" s="180" t="s">
        <v>159</v>
      </c>
      <c r="V26" s="180" t="s">
        <v>368</v>
      </c>
      <c r="W26" s="180" t="s">
        <v>161</v>
      </c>
      <c r="X26" s="182" t="s">
        <v>165</v>
      </c>
      <c r="Y26" s="572"/>
      <c r="Z26" s="180" t="s">
        <v>159</v>
      </c>
      <c r="AA26" s="180" t="s">
        <v>368</v>
      </c>
      <c r="AB26" s="180" t="s">
        <v>161</v>
      </c>
      <c r="AC26" s="182" t="s">
        <v>165</v>
      </c>
      <c r="AD26" s="572"/>
      <c r="AE26" s="180" t="s">
        <v>159</v>
      </c>
      <c r="AF26" s="180" t="s">
        <v>368</v>
      </c>
      <c r="AG26" s="180" t="s">
        <v>161</v>
      </c>
      <c r="AH26" s="182" t="s">
        <v>165</v>
      </c>
      <c r="AI26" s="572"/>
      <c r="AJ26" s="180" t="s">
        <v>159</v>
      </c>
      <c r="AK26" s="180" t="s">
        <v>368</v>
      </c>
      <c r="AL26" s="180" t="s">
        <v>161</v>
      </c>
      <c r="AM26" s="182" t="s">
        <v>165</v>
      </c>
      <c r="AN26" s="572"/>
      <c r="AO26" s="180" t="s">
        <v>159</v>
      </c>
      <c r="AP26" s="180" t="s">
        <v>368</v>
      </c>
      <c r="AQ26" s="180" t="s">
        <v>161</v>
      </c>
      <c r="AR26" s="182" t="s">
        <v>165</v>
      </c>
      <c r="AS26" s="572"/>
      <c r="AT26" s="180" t="s">
        <v>159</v>
      </c>
      <c r="AU26" s="180" t="s">
        <v>368</v>
      </c>
      <c r="AV26" s="180" t="s">
        <v>161</v>
      </c>
      <c r="AW26" s="182" t="s">
        <v>165</v>
      </c>
      <c r="AX26" s="572"/>
    </row>
    <row r="27" spans="2:50" ht="14.25" customHeight="1">
      <c r="B27" s="572" t="s">
        <v>371</v>
      </c>
      <c r="C27" s="180">
        <v>1</v>
      </c>
      <c r="D27" s="183" t="s">
        <v>616</v>
      </c>
      <c r="E27" s="180">
        <v>6</v>
      </c>
      <c r="F27" s="180">
        <v>3273</v>
      </c>
      <c r="G27" s="185">
        <f t="shared" ref="G27:G32" si="16">F27/E27</f>
        <v>545.5</v>
      </c>
      <c r="H27" s="573">
        <f>AVERAGE(G27:G41)</f>
        <v>413.22222222222217</v>
      </c>
      <c r="I27" s="186">
        <f>AVERAGE(P27,U27,Z27,AE27,AJ27,AO27,AT27)</f>
        <v>6</v>
      </c>
      <c r="J27" s="186">
        <f>AVERAGE(Q27,V27,AA27,AF27,AK27,AP27,AU27)</f>
        <v>2958.8832061636181</v>
      </c>
      <c r="K27" s="187">
        <f>AVERAGE(R27,W27,AB27,AG27,AL27,AQ27,AV27)</f>
        <v>493.14720102726972</v>
      </c>
      <c r="L27" s="574">
        <f>IFERROR(AVERAGE(K27:K41),"-")</f>
        <v>370.2926925356922</v>
      </c>
      <c r="M27" s="186">
        <f>RANK(K27, K$27:$K$41)</f>
        <v>1</v>
      </c>
      <c r="N27" s="572"/>
      <c r="O27" s="572"/>
      <c r="P27" s="188">
        <v>6</v>
      </c>
      <c r="Q27" s="188">
        <v>2957.3869775921889</v>
      </c>
      <c r="R27" s="185">
        <f>IFERROR(Q27/P27,"")</f>
        <v>492.89782959869814</v>
      </c>
      <c r="S27" s="182">
        <f>RANK(R27, R$27:R$41)</f>
        <v>1</v>
      </c>
      <c r="T27" s="573">
        <f>AVERAGE(R27:R41)</f>
        <v>365.72446873592395</v>
      </c>
      <c r="U27" s="188">
        <v>6</v>
      </c>
      <c r="V27" s="188">
        <v>2958.0415775921888</v>
      </c>
      <c r="W27" s="185">
        <f t="shared" ref="W27:W32" si="17">IFERROR(V27/U27,"")</f>
        <v>493.00692959869815</v>
      </c>
      <c r="X27" s="182">
        <f>RANK(W27, W$27:W$41)</f>
        <v>1</v>
      </c>
      <c r="Y27" s="573">
        <f>AVERAGE(W27:W41)</f>
        <v>367.2897087088557</v>
      </c>
      <c r="Z27" s="188">
        <v>6</v>
      </c>
      <c r="AA27" s="188">
        <v>2958.6961775921895</v>
      </c>
      <c r="AB27" s="185">
        <f t="shared" ref="AB27:AB32" si="18">IFERROR(AA27/Z27,"")</f>
        <v>493.11602959869828</v>
      </c>
      <c r="AC27" s="182">
        <f>RANK(AB27, AB$27:AB$41)</f>
        <v>1</v>
      </c>
      <c r="AD27" s="573">
        <f>AVERAGE(AB27:AB41)</f>
        <v>368.93615502044395</v>
      </c>
      <c r="AE27" s="188">
        <v>6</v>
      </c>
      <c r="AF27" s="188">
        <v>2958.0415775921902</v>
      </c>
      <c r="AG27" s="185">
        <f>IFERROR(AF27/AE27,"")</f>
        <v>493.00692959869838</v>
      </c>
      <c r="AH27" s="182">
        <f>RANK(AG27, AG$27:AG$41)</f>
        <v>1</v>
      </c>
      <c r="AI27" s="573">
        <f>AVERAGE(AG27:AG41)</f>
        <v>370.6147077619982</v>
      </c>
      <c r="AJ27" s="188">
        <v>6</v>
      </c>
      <c r="AK27" s="188">
        <v>2959.0234775921899</v>
      </c>
      <c r="AL27" s="185">
        <f t="shared" ref="AL27:AL32" si="19">IFERROR(AK27/AJ27,"")</f>
        <v>493.17057959869834</v>
      </c>
      <c r="AM27" s="182">
        <f>RANK(AL27, AL$27:AL$41)</f>
        <v>1</v>
      </c>
      <c r="AN27" s="573">
        <f>AVERAGE(AL27:AL41)</f>
        <v>372.35862888053322</v>
      </c>
      <c r="AO27" s="188">
        <v>6</v>
      </c>
      <c r="AP27" s="188">
        <v>2960.0053775921901</v>
      </c>
      <c r="AQ27" s="185">
        <f t="shared" ref="AQ27:AQ32" si="20">IFERROR(AP27/AO27,"")</f>
        <v>493.33422959869836</v>
      </c>
      <c r="AR27" s="182">
        <f>RANK(AQ27, AQ$27:AQ$41)</f>
        <v>2</v>
      </c>
      <c r="AS27" s="573">
        <f>AVERAGE(AQ27:AQ41)</f>
        <v>373.57216875530167</v>
      </c>
      <c r="AT27" s="188">
        <v>6</v>
      </c>
      <c r="AU27" s="188">
        <v>2960.9872775921904</v>
      </c>
      <c r="AV27" s="185">
        <f t="shared" ref="AV27:AV32" si="21">IFERROR(AU27/AT27,"")</f>
        <v>493.49787959869838</v>
      </c>
      <c r="AW27" s="182">
        <f>RANK(AV27, AV$27:AV$41)</f>
        <v>2</v>
      </c>
      <c r="AX27" s="573">
        <f>AVERAGE(AV27:AV41)</f>
        <v>372.91892799967337</v>
      </c>
    </row>
    <row r="28" spans="2:50" ht="14.25" customHeight="1">
      <c r="B28" s="572"/>
      <c r="C28" s="180">
        <v>2</v>
      </c>
      <c r="D28" s="183" t="s">
        <v>534</v>
      </c>
      <c r="E28" s="180">
        <v>6</v>
      </c>
      <c r="F28" s="180">
        <v>2500</v>
      </c>
      <c r="G28" s="185">
        <f t="shared" si="16"/>
        <v>416.66666666666669</v>
      </c>
      <c r="H28" s="573"/>
      <c r="I28" s="186">
        <f t="shared" ref="I28:K32" si="22">AVERAGE(P28,U28,Z28,AE28,AJ28,AO28,AT28)</f>
        <v>6</v>
      </c>
      <c r="J28" s="186">
        <f t="shared" si="22"/>
        <v>2260.3405159341914</v>
      </c>
      <c r="K28" s="187">
        <f t="shared" si="22"/>
        <v>376.72341932236532</v>
      </c>
      <c r="L28" s="574"/>
      <c r="M28" s="186">
        <f>RANK(K28, K$27:$K$41)</f>
        <v>5</v>
      </c>
      <c r="N28" s="572"/>
      <c r="O28" s="572"/>
      <c r="P28" s="188">
        <v>6</v>
      </c>
      <c r="Q28" s="188">
        <v>2261.9238492675254</v>
      </c>
      <c r="R28" s="185">
        <f t="shared" ref="R28:R32" si="23">IFERROR(Q28/P28,"")</f>
        <v>376.98730821125423</v>
      </c>
      <c r="S28" s="182">
        <f t="shared" ref="S28:S32" si="24">RANK(R28, R$27:R$41)</f>
        <v>5</v>
      </c>
      <c r="T28" s="573"/>
      <c r="U28" s="188">
        <v>6</v>
      </c>
      <c r="V28" s="188">
        <v>2261.1738492675254</v>
      </c>
      <c r="W28" s="185">
        <f t="shared" si="17"/>
        <v>376.86230821125423</v>
      </c>
      <c r="X28" s="182">
        <f t="shared" ref="X28:X32" si="25">RANK(W28, W$27:W$41)</f>
        <v>5</v>
      </c>
      <c r="Y28" s="573"/>
      <c r="Z28" s="188">
        <v>6</v>
      </c>
      <c r="AA28" s="188">
        <v>2260.4238492675249</v>
      </c>
      <c r="AB28" s="185">
        <f t="shared" si="18"/>
        <v>376.73730821125417</v>
      </c>
      <c r="AC28" s="182">
        <f t="shared" ref="AC28:AC32" si="26">RANK(AB28, AB$27:AB$41)</f>
        <v>5</v>
      </c>
      <c r="AD28" s="573"/>
      <c r="AE28" s="188">
        <v>6</v>
      </c>
      <c r="AF28" s="188">
        <v>2260.1738492675249</v>
      </c>
      <c r="AG28" s="185">
        <f t="shared" ref="AG28:AG32" si="27">IFERROR(AF28/AE28,"")</f>
        <v>376.69564154458749</v>
      </c>
      <c r="AH28" s="182">
        <f t="shared" ref="AH28:AH32" si="28">RANK(AG28, AG$27:AG$41)</f>
        <v>5</v>
      </c>
      <c r="AI28" s="573"/>
      <c r="AJ28" s="188">
        <v>6</v>
      </c>
      <c r="AK28" s="188">
        <v>2259.4238492675249</v>
      </c>
      <c r="AL28" s="185">
        <f t="shared" si="19"/>
        <v>376.57064154458749</v>
      </c>
      <c r="AM28" s="182">
        <f t="shared" ref="AM28:AM32" si="29">RANK(AL28, AL$27:AL$41)</f>
        <v>5</v>
      </c>
      <c r="AN28" s="573"/>
      <c r="AO28" s="188">
        <v>6</v>
      </c>
      <c r="AP28" s="188">
        <v>2258.9238492675249</v>
      </c>
      <c r="AQ28" s="185">
        <f t="shared" si="20"/>
        <v>376.48730821125417</v>
      </c>
      <c r="AR28" s="182">
        <f t="shared" ref="AR28:AR32" si="30">RANK(AQ28, AQ$27:AQ$41)</f>
        <v>5</v>
      </c>
      <c r="AS28" s="573"/>
      <c r="AT28" s="188"/>
      <c r="AU28" s="188"/>
      <c r="AV28" s="185"/>
      <c r="AW28" s="182"/>
      <c r="AX28" s="573"/>
    </row>
    <row r="29" spans="2:50" ht="14.25" customHeight="1">
      <c r="B29" s="572"/>
      <c r="C29" s="180">
        <v>3</v>
      </c>
      <c r="D29" s="183" t="s">
        <v>596</v>
      </c>
      <c r="E29" s="180">
        <v>6</v>
      </c>
      <c r="F29" s="180">
        <v>2600</v>
      </c>
      <c r="G29" s="185">
        <f t="shared" si="16"/>
        <v>433.33333333333331</v>
      </c>
      <c r="H29" s="573"/>
      <c r="I29" s="186">
        <f t="shared" si="22"/>
        <v>6</v>
      </c>
      <c r="J29" s="186">
        <f t="shared" si="22"/>
        <v>2348.967327668111</v>
      </c>
      <c r="K29" s="187">
        <f t="shared" si="22"/>
        <v>391.49455461135182</v>
      </c>
      <c r="L29" s="574"/>
      <c r="M29" s="186">
        <f>RANK(K29, K$27:$K$41)</f>
        <v>3</v>
      </c>
      <c r="N29" s="572"/>
      <c r="O29" s="572"/>
      <c r="P29" s="188">
        <v>6</v>
      </c>
      <c r="Q29" s="188">
        <v>2349.0787562395394</v>
      </c>
      <c r="R29" s="185">
        <f t="shared" si="23"/>
        <v>391.51312603992324</v>
      </c>
      <c r="S29" s="182">
        <f t="shared" si="24"/>
        <v>3</v>
      </c>
      <c r="T29" s="573"/>
      <c r="U29" s="188">
        <v>6</v>
      </c>
      <c r="V29" s="188">
        <v>2348.5587562395394</v>
      </c>
      <c r="W29" s="185">
        <f t="shared" si="17"/>
        <v>391.42645937325659</v>
      </c>
      <c r="X29" s="182">
        <f t="shared" si="25"/>
        <v>3</v>
      </c>
      <c r="Y29" s="573"/>
      <c r="Z29" s="188">
        <v>6</v>
      </c>
      <c r="AA29" s="188">
        <v>2349.0787562395394</v>
      </c>
      <c r="AB29" s="185">
        <f t="shared" si="18"/>
        <v>391.51312603992324</v>
      </c>
      <c r="AC29" s="182">
        <f t="shared" si="26"/>
        <v>3</v>
      </c>
      <c r="AD29" s="573"/>
      <c r="AE29" s="188">
        <v>6</v>
      </c>
      <c r="AF29" s="188">
        <v>2349.5987562395394</v>
      </c>
      <c r="AG29" s="185">
        <f t="shared" si="27"/>
        <v>391.59979270658988</v>
      </c>
      <c r="AH29" s="182">
        <f t="shared" si="28"/>
        <v>3</v>
      </c>
      <c r="AI29" s="573"/>
      <c r="AJ29" s="188">
        <v>6</v>
      </c>
      <c r="AK29" s="188">
        <v>2348.5587562395394</v>
      </c>
      <c r="AL29" s="185">
        <f t="shared" si="19"/>
        <v>391.42645937325659</v>
      </c>
      <c r="AM29" s="182">
        <f t="shared" si="29"/>
        <v>4</v>
      </c>
      <c r="AN29" s="573"/>
      <c r="AO29" s="188">
        <v>6</v>
      </c>
      <c r="AP29" s="188">
        <v>2349.3387562395396</v>
      </c>
      <c r="AQ29" s="185">
        <f t="shared" si="20"/>
        <v>391.55645937325659</v>
      </c>
      <c r="AR29" s="182">
        <f t="shared" si="30"/>
        <v>3</v>
      </c>
      <c r="AS29" s="573"/>
      <c r="AT29" s="188">
        <v>6</v>
      </c>
      <c r="AU29" s="188">
        <v>2348.5587562395394</v>
      </c>
      <c r="AV29" s="185">
        <f t="shared" si="21"/>
        <v>391.42645937325659</v>
      </c>
      <c r="AW29" s="182">
        <f t="shared" ref="AW29:AW32" si="31">RANK(AV29, AV$27:AV$41)</f>
        <v>3</v>
      </c>
      <c r="AX29" s="573"/>
    </row>
    <row r="30" spans="2:50" ht="14.25" customHeight="1">
      <c r="B30" s="572"/>
      <c r="C30" s="180">
        <v>4</v>
      </c>
      <c r="D30" s="183" t="s">
        <v>597</v>
      </c>
      <c r="E30" s="180">
        <v>6</v>
      </c>
      <c r="F30" s="180">
        <v>2600</v>
      </c>
      <c r="G30" s="185">
        <f t="shared" si="16"/>
        <v>433.33333333333331</v>
      </c>
      <c r="H30" s="573"/>
      <c r="I30" s="186">
        <f t="shared" si="22"/>
        <v>6</v>
      </c>
      <c r="J30" s="186">
        <f t="shared" si="22"/>
        <v>2347.8396254690269</v>
      </c>
      <c r="K30" s="187">
        <f t="shared" si="22"/>
        <v>391.30660424483779</v>
      </c>
      <c r="L30" s="574"/>
      <c r="M30" s="186">
        <f>RANK(K30, K$27:$K$41)</f>
        <v>4</v>
      </c>
      <c r="N30" s="572"/>
      <c r="O30" s="572"/>
      <c r="P30" s="188">
        <v>6</v>
      </c>
      <c r="Q30" s="188">
        <v>2346.8367683261708</v>
      </c>
      <c r="R30" s="185">
        <f t="shared" si="23"/>
        <v>391.13946138769512</v>
      </c>
      <c r="S30" s="182">
        <f t="shared" si="24"/>
        <v>4</v>
      </c>
      <c r="T30" s="573"/>
      <c r="U30" s="188">
        <v>6</v>
      </c>
      <c r="V30" s="188">
        <v>2347.6167683261701</v>
      </c>
      <c r="W30" s="185">
        <f t="shared" si="17"/>
        <v>391.269461387695</v>
      </c>
      <c r="X30" s="182">
        <f t="shared" si="25"/>
        <v>4</v>
      </c>
      <c r="Y30" s="573"/>
      <c r="Z30" s="188">
        <v>6</v>
      </c>
      <c r="AA30" s="188">
        <v>2347.6167683261701</v>
      </c>
      <c r="AB30" s="185">
        <f t="shared" si="18"/>
        <v>391.269461387695</v>
      </c>
      <c r="AC30" s="182">
        <f t="shared" si="26"/>
        <v>4</v>
      </c>
      <c r="AD30" s="573"/>
      <c r="AE30" s="188">
        <v>6</v>
      </c>
      <c r="AF30" s="188">
        <v>2347.6167683261697</v>
      </c>
      <c r="AG30" s="185">
        <f t="shared" si="27"/>
        <v>391.26946138769495</v>
      </c>
      <c r="AH30" s="182">
        <f t="shared" si="28"/>
        <v>4</v>
      </c>
      <c r="AI30" s="573"/>
      <c r="AJ30" s="188">
        <v>6</v>
      </c>
      <c r="AK30" s="188">
        <v>2348.6567683261692</v>
      </c>
      <c r="AL30" s="185">
        <f t="shared" si="19"/>
        <v>391.44279472102818</v>
      </c>
      <c r="AM30" s="182">
        <f t="shared" si="29"/>
        <v>3</v>
      </c>
      <c r="AN30" s="573"/>
      <c r="AO30" s="188">
        <v>6</v>
      </c>
      <c r="AP30" s="188">
        <v>2348.6567683261692</v>
      </c>
      <c r="AQ30" s="185">
        <f t="shared" si="20"/>
        <v>391.44279472102818</v>
      </c>
      <c r="AR30" s="182">
        <f t="shared" si="30"/>
        <v>4</v>
      </c>
      <c r="AS30" s="573"/>
      <c r="AT30" s="188">
        <v>6</v>
      </c>
      <c r="AU30" s="188">
        <v>2347.876768326169</v>
      </c>
      <c r="AV30" s="185">
        <f t="shared" si="21"/>
        <v>391.31279472102818</v>
      </c>
      <c r="AW30" s="182">
        <f t="shared" si="31"/>
        <v>4</v>
      </c>
      <c r="AX30" s="573"/>
    </row>
    <row r="31" spans="2:50" ht="14.25" customHeight="1">
      <c r="B31" s="572"/>
      <c r="C31" s="180">
        <v>5</v>
      </c>
      <c r="D31" s="183" t="s">
        <v>639</v>
      </c>
      <c r="E31" s="180">
        <v>20</v>
      </c>
      <c r="F31" s="180">
        <v>2100</v>
      </c>
      <c r="G31" s="185">
        <f t="shared" si="16"/>
        <v>105</v>
      </c>
      <c r="H31" s="573"/>
      <c r="I31" s="186">
        <f t="shared" si="22"/>
        <v>20</v>
      </c>
      <c r="J31" s="186">
        <f t="shared" si="22"/>
        <v>1894.6658710424931</v>
      </c>
      <c r="K31" s="187">
        <f t="shared" si="22"/>
        <v>94.73329355212465</v>
      </c>
      <c r="L31" s="574"/>
      <c r="M31" s="186">
        <f>RANK(K31, K$27:$K$41)</f>
        <v>6</v>
      </c>
      <c r="N31" s="572"/>
      <c r="O31" s="572"/>
      <c r="P31" s="188">
        <v>20</v>
      </c>
      <c r="Q31" s="188">
        <v>1895.1158710424929</v>
      </c>
      <c r="R31" s="185">
        <f t="shared" si="23"/>
        <v>94.755793552124643</v>
      </c>
      <c r="S31" s="182">
        <f t="shared" si="24"/>
        <v>6</v>
      </c>
      <c r="T31" s="573"/>
      <c r="U31" s="188">
        <v>20</v>
      </c>
      <c r="V31" s="188">
        <v>1894.9058710424929</v>
      </c>
      <c r="W31" s="185">
        <f t="shared" si="17"/>
        <v>94.74529355212465</v>
      </c>
      <c r="X31" s="182">
        <f t="shared" si="25"/>
        <v>6</v>
      </c>
      <c r="Y31" s="573"/>
      <c r="Z31" s="188">
        <v>20</v>
      </c>
      <c r="AA31" s="188">
        <v>1894.6958710424929</v>
      </c>
      <c r="AB31" s="185">
        <f t="shared" si="18"/>
        <v>94.734793552124643</v>
      </c>
      <c r="AC31" s="182">
        <f t="shared" si="26"/>
        <v>6</v>
      </c>
      <c r="AD31" s="573"/>
      <c r="AE31" s="188">
        <v>20</v>
      </c>
      <c r="AF31" s="188">
        <v>1894.485871042493</v>
      </c>
      <c r="AG31" s="185">
        <f t="shared" si="27"/>
        <v>94.724293552124649</v>
      </c>
      <c r="AH31" s="182">
        <f t="shared" si="28"/>
        <v>6</v>
      </c>
      <c r="AI31" s="573"/>
      <c r="AJ31" s="188">
        <v>20</v>
      </c>
      <c r="AK31" s="188">
        <v>1894.485871042493</v>
      </c>
      <c r="AL31" s="185">
        <f t="shared" si="19"/>
        <v>94.724293552124649</v>
      </c>
      <c r="AM31" s="182">
        <f t="shared" si="29"/>
        <v>6</v>
      </c>
      <c r="AN31" s="573"/>
      <c r="AO31" s="188">
        <v>20</v>
      </c>
      <c r="AP31" s="188">
        <v>1894.4858710424933</v>
      </c>
      <c r="AQ31" s="185">
        <f t="shared" si="20"/>
        <v>94.724293552124664</v>
      </c>
      <c r="AR31" s="182">
        <f t="shared" si="30"/>
        <v>6</v>
      </c>
      <c r="AS31" s="573"/>
      <c r="AT31" s="188">
        <v>20</v>
      </c>
      <c r="AU31" s="188">
        <v>1894.4858710424933</v>
      </c>
      <c r="AV31" s="185">
        <f t="shared" si="21"/>
        <v>94.724293552124664</v>
      </c>
      <c r="AW31" s="182">
        <f t="shared" si="31"/>
        <v>5</v>
      </c>
      <c r="AX31" s="573"/>
    </row>
    <row r="32" spans="2:50" ht="14.25" customHeight="1">
      <c r="B32" s="572"/>
      <c r="C32" s="180">
        <v>6</v>
      </c>
      <c r="D32" s="183" t="s">
        <v>673</v>
      </c>
      <c r="E32" s="180">
        <v>6</v>
      </c>
      <c r="F32" s="180">
        <v>3273</v>
      </c>
      <c r="G32" s="185">
        <f t="shared" si="16"/>
        <v>545.5</v>
      </c>
      <c r="H32" s="573"/>
      <c r="I32" s="186">
        <f t="shared" si="22"/>
        <v>6</v>
      </c>
      <c r="J32" s="186">
        <f t="shared" si="22"/>
        <v>2846.1064947372238</v>
      </c>
      <c r="K32" s="187">
        <f t="shared" si="22"/>
        <v>474.35108245620398</v>
      </c>
      <c r="L32" s="574"/>
      <c r="M32" s="186">
        <f>RANK(K32, K$27:$K$41)</f>
        <v>2</v>
      </c>
      <c r="N32" s="572"/>
      <c r="O32" s="572"/>
      <c r="P32" s="188">
        <v>6</v>
      </c>
      <c r="Q32" s="188">
        <v>2682.3197617550913</v>
      </c>
      <c r="R32" s="185">
        <f t="shared" si="23"/>
        <v>447.05329362584854</v>
      </c>
      <c r="S32" s="182">
        <f t="shared" si="24"/>
        <v>2</v>
      </c>
      <c r="T32" s="573"/>
      <c r="U32" s="188">
        <v>6</v>
      </c>
      <c r="V32" s="188">
        <v>2738.5668007806353</v>
      </c>
      <c r="W32" s="185">
        <f t="shared" si="17"/>
        <v>456.42780013010588</v>
      </c>
      <c r="X32" s="182">
        <f t="shared" si="25"/>
        <v>2</v>
      </c>
      <c r="Y32" s="573"/>
      <c r="Z32" s="188">
        <v>6</v>
      </c>
      <c r="AA32" s="188">
        <v>2797.4772679978096</v>
      </c>
      <c r="AB32" s="185">
        <f t="shared" si="18"/>
        <v>466.24621133296824</v>
      </c>
      <c r="AC32" s="182">
        <f t="shared" si="26"/>
        <v>2</v>
      </c>
      <c r="AD32" s="573"/>
      <c r="AE32" s="188">
        <v>6</v>
      </c>
      <c r="AF32" s="188">
        <v>2858.3527666937616</v>
      </c>
      <c r="AG32" s="185">
        <f t="shared" si="27"/>
        <v>476.39212778229358</v>
      </c>
      <c r="AH32" s="182">
        <f t="shared" si="28"/>
        <v>2</v>
      </c>
      <c r="AI32" s="573"/>
      <c r="AJ32" s="188">
        <v>6</v>
      </c>
      <c r="AK32" s="188">
        <v>2920.9020269610246</v>
      </c>
      <c r="AL32" s="185">
        <f t="shared" si="19"/>
        <v>486.8170044935041</v>
      </c>
      <c r="AM32" s="182">
        <f t="shared" si="29"/>
        <v>2</v>
      </c>
      <c r="AN32" s="573"/>
      <c r="AO32" s="188">
        <v>6</v>
      </c>
      <c r="AP32" s="188">
        <v>2963.3275624526887</v>
      </c>
      <c r="AQ32" s="185">
        <f t="shared" si="20"/>
        <v>493.88792707544809</v>
      </c>
      <c r="AR32" s="182">
        <f t="shared" si="30"/>
        <v>1</v>
      </c>
      <c r="AS32" s="573"/>
      <c r="AT32" s="188">
        <v>6</v>
      </c>
      <c r="AU32" s="188">
        <v>2961.7992765195536</v>
      </c>
      <c r="AV32" s="185">
        <f t="shared" si="21"/>
        <v>493.63321275325893</v>
      </c>
      <c r="AW32" s="182">
        <f t="shared" si="31"/>
        <v>1</v>
      </c>
      <c r="AX32" s="573"/>
    </row>
    <row r="33" spans="2:50" ht="14.25" customHeight="1">
      <c r="B33" s="572"/>
      <c r="C33" s="180">
        <v>7</v>
      </c>
      <c r="D33" s="183"/>
      <c r="E33" s="180"/>
      <c r="F33" s="180"/>
      <c r="G33" s="185"/>
      <c r="H33" s="573"/>
      <c r="I33" s="186"/>
      <c r="J33" s="186"/>
      <c r="K33" s="187"/>
      <c r="L33" s="574"/>
      <c r="M33" s="186"/>
      <c r="N33" s="572"/>
      <c r="O33" s="572"/>
      <c r="P33" s="188"/>
      <c r="Q33" s="188"/>
      <c r="R33" s="185"/>
      <c r="S33" s="182"/>
      <c r="T33" s="573"/>
      <c r="U33" s="188"/>
      <c r="V33" s="188"/>
      <c r="W33" s="185"/>
      <c r="X33" s="182"/>
      <c r="Y33" s="573"/>
      <c r="Z33" s="188"/>
      <c r="AA33" s="188"/>
      <c r="AB33" s="185"/>
      <c r="AC33" s="182"/>
      <c r="AD33" s="573"/>
      <c r="AE33" s="188"/>
      <c r="AF33" s="188"/>
      <c r="AG33" s="185"/>
      <c r="AH33" s="182"/>
      <c r="AI33" s="573"/>
      <c r="AJ33" s="188"/>
      <c r="AK33" s="188"/>
      <c r="AL33" s="185"/>
      <c r="AM33" s="182"/>
      <c r="AN33" s="573"/>
      <c r="AO33" s="188"/>
      <c r="AP33" s="188"/>
      <c r="AQ33" s="185"/>
      <c r="AR33" s="182"/>
      <c r="AS33" s="573"/>
      <c r="AT33" s="188"/>
      <c r="AU33" s="188"/>
      <c r="AV33" s="185"/>
      <c r="AW33" s="182"/>
      <c r="AX33" s="573"/>
    </row>
    <row r="34" spans="2:50" ht="14.25" customHeight="1">
      <c r="B34" s="572"/>
      <c r="C34" s="180">
        <v>8</v>
      </c>
      <c r="D34" s="183"/>
      <c r="E34" s="180"/>
      <c r="F34" s="180"/>
      <c r="G34" s="185"/>
      <c r="H34" s="573"/>
      <c r="I34" s="186"/>
      <c r="J34" s="186"/>
      <c r="K34" s="187"/>
      <c r="L34" s="574"/>
      <c r="M34" s="186"/>
      <c r="N34" s="572"/>
      <c r="O34" s="572"/>
      <c r="P34" s="188"/>
      <c r="Q34" s="188"/>
      <c r="R34" s="185"/>
      <c r="S34" s="182"/>
      <c r="T34" s="573"/>
      <c r="U34" s="188"/>
      <c r="V34" s="188"/>
      <c r="W34" s="185"/>
      <c r="X34" s="182"/>
      <c r="Y34" s="573"/>
      <c r="Z34" s="188"/>
      <c r="AA34" s="188"/>
      <c r="AB34" s="185"/>
      <c r="AC34" s="182"/>
      <c r="AD34" s="573"/>
      <c r="AE34" s="188"/>
      <c r="AF34" s="188"/>
      <c r="AG34" s="185"/>
      <c r="AH34" s="182"/>
      <c r="AI34" s="573"/>
      <c r="AJ34" s="188"/>
      <c r="AK34" s="188"/>
      <c r="AL34" s="185"/>
      <c r="AM34" s="182"/>
      <c r="AN34" s="573"/>
      <c r="AO34" s="188"/>
      <c r="AP34" s="188"/>
      <c r="AQ34" s="185"/>
      <c r="AR34" s="182"/>
      <c r="AS34" s="573"/>
      <c r="AT34" s="188"/>
      <c r="AU34" s="188"/>
      <c r="AV34" s="185"/>
      <c r="AW34" s="182"/>
      <c r="AX34" s="573"/>
    </row>
    <row r="35" spans="2:50" ht="14.25" customHeight="1">
      <c r="B35" s="572"/>
      <c r="C35" s="180">
        <v>9</v>
      </c>
      <c r="D35" s="183"/>
      <c r="E35" s="180"/>
      <c r="F35" s="180"/>
      <c r="G35" s="185"/>
      <c r="H35" s="573"/>
      <c r="I35" s="186"/>
      <c r="J35" s="186"/>
      <c r="K35" s="187"/>
      <c r="L35" s="574"/>
      <c r="M35" s="186"/>
      <c r="N35" s="572"/>
      <c r="O35" s="572"/>
      <c r="P35" s="188"/>
      <c r="Q35" s="188"/>
      <c r="R35" s="185"/>
      <c r="S35" s="182"/>
      <c r="T35" s="573"/>
      <c r="U35" s="188"/>
      <c r="V35" s="188"/>
      <c r="W35" s="185"/>
      <c r="X35" s="182"/>
      <c r="Y35" s="573"/>
      <c r="Z35" s="188"/>
      <c r="AA35" s="188"/>
      <c r="AB35" s="185"/>
      <c r="AC35" s="182"/>
      <c r="AD35" s="573"/>
      <c r="AE35" s="188"/>
      <c r="AF35" s="188"/>
      <c r="AG35" s="185"/>
      <c r="AH35" s="182"/>
      <c r="AI35" s="573"/>
      <c r="AJ35" s="188"/>
      <c r="AK35" s="188"/>
      <c r="AL35" s="185"/>
      <c r="AM35" s="182"/>
      <c r="AN35" s="573"/>
      <c r="AO35" s="188"/>
      <c r="AP35" s="188"/>
      <c r="AQ35" s="185"/>
      <c r="AR35" s="182"/>
      <c r="AS35" s="573"/>
      <c r="AT35" s="188"/>
      <c r="AU35" s="188"/>
      <c r="AV35" s="185"/>
      <c r="AW35" s="182"/>
      <c r="AX35" s="573"/>
    </row>
    <row r="36" spans="2:50" ht="14.25" customHeight="1">
      <c r="B36" s="572"/>
      <c r="C36" s="180">
        <v>10</v>
      </c>
      <c r="D36" s="183"/>
      <c r="E36" s="180"/>
      <c r="F36" s="180"/>
      <c r="G36" s="185"/>
      <c r="H36" s="573"/>
      <c r="I36" s="186"/>
      <c r="J36" s="186"/>
      <c r="K36" s="187"/>
      <c r="L36" s="574"/>
      <c r="M36" s="186"/>
      <c r="N36" s="572"/>
      <c r="O36" s="572"/>
      <c r="P36" s="188"/>
      <c r="Q36" s="188"/>
      <c r="R36" s="185"/>
      <c r="S36" s="182"/>
      <c r="T36" s="573"/>
      <c r="U36" s="188"/>
      <c r="V36" s="188"/>
      <c r="W36" s="185"/>
      <c r="X36" s="182"/>
      <c r="Y36" s="573"/>
      <c r="Z36" s="188"/>
      <c r="AA36" s="188"/>
      <c r="AB36" s="185"/>
      <c r="AC36" s="182"/>
      <c r="AD36" s="573"/>
      <c r="AE36" s="188"/>
      <c r="AF36" s="188"/>
      <c r="AG36" s="185"/>
      <c r="AH36" s="182"/>
      <c r="AI36" s="573"/>
      <c r="AJ36" s="188"/>
      <c r="AK36" s="188"/>
      <c r="AL36" s="185"/>
      <c r="AM36" s="182"/>
      <c r="AN36" s="573"/>
      <c r="AO36" s="188"/>
      <c r="AP36" s="188"/>
      <c r="AQ36" s="185"/>
      <c r="AR36" s="182"/>
      <c r="AS36" s="573"/>
      <c r="AT36" s="188"/>
      <c r="AU36" s="188"/>
      <c r="AV36" s="185"/>
      <c r="AW36" s="182"/>
      <c r="AX36" s="573"/>
    </row>
    <row r="37" spans="2:50" ht="14.25" customHeight="1">
      <c r="B37" s="572"/>
      <c r="C37" s="180">
        <v>11</v>
      </c>
      <c r="D37" s="183"/>
      <c r="E37" s="180"/>
      <c r="F37" s="180"/>
      <c r="G37" s="185"/>
      <c r="H37" s="573"/>
      <c r="I37" s="186"/>
      <c r="J37" s="186"/>
      <c r="K37" s="187"/>
      <c r="L37" s="574"/>
      <c r="M37" s="186"/>
      <c r="N37" s="572"/>
      <c r="O37" s="572"/>
      <c r="P37" s="188"/>
      <c r="Q37" s="188"/>
      <c r="R37" s="185"/>
      <c r="S37" s="182"/>
      <c r="T37" s="573"/>
      <c r="U37" s="188"/>
      <c r="V37" s="188"/>
      <c r="W37" s="185"/>
      <c r="X37" s="182"/>
      <c r="Y37" s="573"/>
      <c r="Z37" s="188"/>
      <c r="AA37" s="188"/>
      <c r="AB37" s="185"/>
      <c r="AC37" s="182"/>
      <c r="AD37" s="573"/>
      <c r="AE37" s="188"/>
      <c r="AF37" s="188"/>
      <c r="AG37" s="185"/>
      <c r="AH37" s="182"/>
      <c r="AI37" s="573"/>
      <c r="AJ37" s="188"/>
      <c r="AK37" s="188"/>
      <c r="AL37" s="185"/>
      <c r="AM37" s="182"/>
      <c r="AN37" s="573"/>
      <c r="AO37" s="188"/>
      <c r="AP37" s="188"/>
      <c r="AQ37" s="185"/>
      <c r="AR37" s="182"/>
      <c r="AS37" s="573"/>
      <c r="AT37" s="188"/>
      <c r="AU37" s="188"/>
      <c r="AV37" s="185"/>
      <c r="AW37" s="182"/>
      <c r="AX37" s="573"/>
    </row>
    <row r="38" spans="2:50" ht="14.25" customHeight="1">
      <c r="B38" s="572"/>
      <c r="C38" s="180">
        <v>12</v>
      </c>
      <c r="D38" s="183"/>
      <c r="E38" s="180"/>
      <c r="F38" s="180"/>
      <c r="G38" s="185"/>
      <c r="H38" s="573"/>
      <c r="I38" s="186"/>
      <c r="J38" s="186"/>
      <c r="K38" s="187"/>
      <c r="L38" s="574"/>
      <c r="M38" s="186"/>
      <c r="N38" s="572"/>
      <c r="O38" s="572"/>
      <c r="P38" s="188"/>
      <c r="Q38" s="188"/>
      <c r="R38" s="185"/>
      <c r="S38" s="182"/>
      <c r="T38" s="573"/>
      <c r="U38" s="188"/>
      <c r="V38" s="188"/>
      <c r="W38" s="185"/>
      <c r="X38" s="182"/>
      <c r="Y38" s="573"/>
      <c r="Z38" s="188"/>
      <c r="AA38" s="188"/>
      <c r="AB38" s="185"/>
      <c r="AC38" s="182"/>
      <c r="AD38" s="573"/>
      <c r="AE38" s="188"/>
      <c r="AF38" s="188"/>
      <c r="AG38" s="185"/>
      <c r="AH38" s="182"/>
      <c r="AI38" s="573"/>
      <c r="AJ38" s="188"/>
      <c r="AK38" s="188"/>
      <c r="AL38" s="185"/>
      <c r="AM38" s="182"/>
      <c r="AN38" s="573"/>
      <c r="AO38" s="188"/>
      <c r="AP38" s="188"/>
      <c r="AQ38" s="185"/>
      <c r="AR38" s="182"/>
      <c r="AS38" s="573"/>
      <c r="AT38" s="188"/>
      <c r="AU38" s="188"/>
      <c r="AV38" s="185"/>
      <c r="AW38" s="182"/>
      <c r="AX38" s="573"/>
    </row>
    <row r="39" spans="2:50" ht="14.25" customHeight="1">
      <c r="B39" s="572"/>
      <c r="C39" s="180">
        <v>13</v>
      </c>
      <c r="D39" s="183"/>
      <c r="E39" s="180"/>
      <c r="F39" s="180"/>
      <c r="G39" s="185"/>
      <c r="H39" s="573"/>
      <c r="I39" s="186"/>
      <c r="J39" s="186"/>
      <c r="K39" s="187"/>
      <c r="L39" s="574"/>
      <c r="M39" s="186"/>
      <c r="N39" s="572"/>
      <c r="O39" s="572"/>
      <c r="P39" s="188"/>
      <c r="Q39" s="188"/>
      <c r="R39" s="185"/>
      <c r="S39" s="182"/>
      <c r="T39" s="573"/>
      <c r="U39" s="188"/>
      <c r="V39" s="188"/>
      <c r="W39" s="185"/>
      <c r="X39" s="182"/>
      <c r="Y39" s="573"/>
      <c r="Z39" s="188"/>
      <c r="AA39" s="188"/>
      <c r="AB39" s="185"/>
      <c r="AC39" s="182"/>
      <c r="AD39" s="573"/>
      <c r="AE39" s="188"/>
      <c r="AF39" s="188"/>
      <c r="AG39" s="185"/>
      <c r="AH39" s="182"/>
      <c r="AI39" s="573"/>
      <c r="AJ39" s="188"/>
      <c r="AK39" s="188"/>
      <c r="AL39" s="185"/>
      <c r="AM39" s="182"/>
      <c r="AN39" s="573"/>
      <c r="AO39" s="188"/>
      <c r="AP39" s="188"/>
      <c r="AQ39" s="185"/>
      <c r="AR39" s="182"/>
      <c r="AS39" s="573"/>
      <c r="AT39" s="188"/>
      <c r="AU39" s="188"/>
      <c r="AV39" s="185"/>
      <c r="AW39" s="182"/>
      <c r="AX39" s="573"/>
    </row>
    <row r="40" spans="2:50" ht="14.25" customHeight="1">
      <c r="B40" s="572"/>
      <c r="C40" s="180">
        <v>14</v>
      </c>
      <c r="D40" s="183"/>
      <c r="E40" s="180"/>
      <c r="F40" s="180"/>
      <c r="G40" s="185"/>
      <c r="H40" s="573"/>
      <c r="I40" s="186"/>
      <c r="J40" s="186"/>
      <c r="K40" s="187"/>
      <c r="L40" s="574"/>
      <c r="M40" s="186"/>
      <c r="N40" s="572"/>
      <c r="O40" s="572"/>
      <c r="P40" s="188"/>
      <c r="Q40" s="188"/>
      <c r="R40" s="185"/>
      <c r="S40" s="182"/>
      <c r="T40" s="573"/>
      <c r="U40" s="188"/>
      <c r="V40" s="188"/>
      <c r="W40" s="185"/>
      <c r="X40" s="182"/>
      <c r="Y40" s="573"/>
      <c r="Z40" s="188"/>
      <c r="AA40" s="188"/>
      <c r="AB40" s="185"/>
      <c r="AC40" s="182"/>
      <c r="AD40" s="573"/>
      <c r="AE40" s="188"/>
      <c r="AF40" s="188"/>
      <c r="AG40" s="185"/>
      <c r="AH40" s="182"/>
      <c r="AI40" s="573"/>
      <c r="AJ40" s="188"/>
      <c r="AK40" s="188"/>
      <c r="AL40" s="185"/>
      <c r="AM40" s="182"/>
      <c r="AN40" s="573"/>
      <c r="AO40" s="188"/>
      <c r="AP40" s="188"/>
      <c r="AQ40" s="185"/>
      <c r="AR40" s="182"/>
      <c r="AS40" s="573"/>
      <c r="AT40" s="188"/>
      <c r="AU40" s="188"/>
      <c r="AV40" s="185"/>
      <c r="AW40" s="182"/>
      <c r="AX40" s="573"/>
    </row>
    <row r="41" spans="2:50" ht="14.25" customHeight="1">
      <c r="B41" s="572"/>
      <c r="C41" s="180">
        <v>15</v>
      </c>
      <c r="D41" s="183"/>
      <c r="E41" s="180"/>
      <c r="F41" s="180"/>
      <c r="G41" s="185"/>
      <c r="H41" s="573"/>
      <c r="I41" s="186"/>
      <c r="J41" s="186"/>
      <c r="K41" s="187"/>
      <c r="L41" s="574"/>
      <c r="M41" s="186"/>
      <c r="N41" s="572"/>
      <c r="O41" s="572"/>
      <c r="P41" s="188"/>
      <c r="Q41" s="188"/>
      <c r="R41" s="185"/>
      <c r="S41" s="182"/>
      <c r="T41" s="573"/>
      <c r="U41" s="188"/>
      <c r="V41" s="188"/>
      <c r="W41" s="185"/>
      <c r="X41" s="182"/>
      <c r="Y41" s="573"/>
      <c r="Z41" s="188"/>
      <c r="AA41" s="188"/>
      <c r="AB41" s="185"/>
      <c r="AC41" s="182"/>
      <c r="AD41" s="573"/>
      <c r="AE41" s="188"/>
      <c r="AF41" s="188"/>
      <c r="AG41" s="185"/>
      <c r="AH41" s="182"/>
      <c r="AI41" s="573"/>
      <c r="AJ41" s="188"/>
      <c r="AK41" s="188"/>
      <c r="AL41" s="185"/>
      <c r="AM41" s="182"/>
      <c r="AN41" s="573"/>
      <c r="AO41" s="188"/>
      <c r="AP41" s="188"/>
      <c r="AQ41" s="185"/>
      <c r="AR41" s="182"/>
      <c r="AS41" s="573"/>
      <c r="AT41" s="188"/>
      <c r="AU41" s="188"/>
      <c r="AV41" s="185"/>
      <c r="AW41" s="182"/>
      <c r="AX41" s="573"/>
    </row>
  </sheetData>
  <mergeCells count="118"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41"/>
  <sheetViews>
    <sheetView zoomScaleNormal="100" workbookViewId="0">
      <pane xSplit="13" ySplit="1" topLeftCell="N14" activePane="bottomRight" state="frozen"/>
      <selection activeCell="L95" sqref="L95"/>
      <selection pane="topRight" activeCell="L95" sqref="L95"/>
      <selection pane="bottomLeft" activeCell="L95" sqref="L95"/>
      <selection pane="bottomRight" activeCell="B22" sqref="B22:M2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55" t="s">
        <v>683</v>
      </c>
      <c r="C1" s="175">
        <f>AVERAGE(L27)</f>
        <v>83.410713746625532</v>
      </c>
    </row>
    <row r="2" spans="1:50" ht="14.25" customHeight="1">
      <c r="B2" s="586" t="s">
        <v>638</v>
      </c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8"/>
      <c r="N2" s="606" t="s">
        <v>364</v>
      </c>
      <c r="O2" s="606" t="s">
        <v>105</v>
      </c>
      <c r="P2" s="608">
        <v>46168</v>
      </c>
      <c r="Q2" s="609"/>
      <c r="R2" s="609"/>
      <c r="S2" s="609"/>
      <c r="T2" s="609"/>
      <c r="U2" s="610">
        <v>46169</v>
      </c>
      <c r="V2" s="611"/>
      <c r="W2" s="611"/>
      <c r="X2" s="611"/>
      <c r="Y2" s="611"/>
      <c r="Z2" s="608">
        <v>46170</v>
      </c>
      <c r="AA2" s="609"/>
      <c r="AB2" s="609"/>
      <c r="AC2" s="609"/>
      <c r="AD2" s="609"/>
      <c r="AE2" s="610">
        <v>46171</v>
      </c>
      <c r="AF2" s="611"/>
      <c r="AG2" s="611"/>
      <c r="AH2" s="611"/>
      <c r="AI2" s="611"/>
      <c r="AJ2" s="598">
        <v>46172</v>
      </c>
      <c r="AK2" s="599"/>
      <c r="AL2" s="599"/>
      <c r="AM2" s="599"/>
      <c r="AN2" s="600"/>
      <c r="AO2" s="610">
        <v>46173</v>
      </c>
      <c r="AP2" s="611"/>
      <c r="AQ2" s="611"/>
      <c r="AR2" s="611"/>
      <c r="AS2" s="611"/>
      <c r="AT2" s="598">
        <v>46174</v>
      </c>
      <c r="AU2" s="599"/>
      <c r="AV2" s="599"/>
      <c r="AW2" s="599"/>
      <c r="AX2" s="600"/>
    </row>
    <row r="3" spans="1:50" ht="14.25" customHeight="1"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90"/>
      <c r="N3" s="607"/>
      <c r="O3" s="607"/>
      <c r="P3" s="601">
        <v>46168</v>
      </c>
      <c r="Q3" s="601"/>
      <c r="R3" s="601"/>
      <c r="S3" s="601"/>
      <c r="T3" s="601"/>
      <c r="U3" s="602">
        <v>46169</v>
      </c>
      <c r="V3" s="602"/>
      <c r="W3" s="602"/>
      <c r="X3" s="602"/>
      <c r="Y3" s="602"/>
      <c r="Z3" s="601">
        <v>46170</v>
      </c>
      <c r="AA3" s="601"/>
      <c r="AB3" s="601"/>
      <c r="AC3" s="601"/>
      <c r="AD3" s="601"/>
      <c r="AE3" s="602">
        <v>46171</v>
      </c>
      <c r="AF3" s="602"/>
      <c r="AG3" s="602"/>
      <c r="AH3" s="602"/>
      <c r="AI3" s="602"/>
      <c r="AJ3" s="603">
        <v>46172</v>
      </c>
      <c r="AK3" s="604"/>
      <c r="AL3" s="604"/>
      <c r="AM3" s="604"/>
      <c r="AN3" s="605"/>
      <c r="AO3" s="602">
        <v>46173</v>
      </c>
      <c r="AP3" s="602"/>
      <c r="AQ3" s="602"/>
      <c r="AR3" s="602"/>
      <c r="AS3" s="602"/>
      <c r="AT3" s="603">
        <v>46174</v>
      </c>
      <c r="AU3" s="604"/>
      <c r="AV3" s="604"/>
      <c r="AW3" s="604"/>
      <c r="AX3" s="605"/>
    </row>
    <row r="4" spans="1:50" ht="14.25" customHeight="1">
      <c r="B4" s="572" t="s">
        <v>162</v>
      </c>
      <c r="C4" s="572" t="s">
        <v>157</v>
      </c>
      <c r="D4" s="572"/>
      <c r="E4" s="572" t="s">
        <v>158</v>
      </c>
      <c r="F4" s="572"/>
      <c r="G4" s="572"/>
      <c r="H4" s="572" t="s">
        <v>163</v>
      </c>
      <c r="I4" s="576" t="s">
        <v>365</v>
      </c>
      <c r="J4" s="576"/>
      <c r="K4" s="576"/>
      <c r="L4" s="576" t="s">
        <v>163</v>
      </c>
      <c r="M4" s="576" t="s">
        <v>165</v>
      </c>
      <c r="N4" s="572"/>
      <c r="O4" s="572" t="s">
        <v>164</v>
      </c>
      <c r="P4" s="572" t="s">
        <v>160</v>
      </c>
      <c r="Q4" s="572"/>
      <c r="R4" s="572"/>
      <c r="S4" s="572"/>
      <c r="T4" s="572" t="s">
        <v>163</v>
      </c>
      <c r="U4" s="572" t="s">
        <v>160</v>
      </c>
      <c r="V4" s="572"/>
      <c r="W4" s="572"/>
      <c r="X4" s="572"/>
      <c r="Y4" s="572" t="s">
        <v>163</v>
      </c>
      <c r="Z4" s="572" t="s">
        <v>160</v>
      </c>
      <c r="AA4" s="572"/>
      <c r="AB4" s="572"/>
      <c r="AC4" s="572"/>
      <c r="AD4" s="572" t="s">
        <v>163</v>
      </c>
      <c r="AE4" s="572" t="s">
        <v>160</v>
      </c>
      <c r="AF4" s="572"/>
      <c r="AG4" s="572"/>
      <c r="AH4" s="572"/>
      <c r="AI4" s="572" t="s">
        <v>163</v>
      </c>
      <c r="AJ4" s="572" t="s">
        <v>160</v>
      </c>
      <c r="AK4" s="572"/>
      <c r="AL4" s="572"/>
      <c r="AM4" s="572"/>
      <c r="AN4" s="572" t="s">
        <v>163</v>
      </c>
      <c r="AO4" s="572" t="s">
        <v>160</v>
      </c>
      <c r="AP4" s="572"/>
      <c r="AQ4" s="572"/>
      <c r="AR4" s="572"/>
      <c r="AS4" s="572" t="s">
        <v>163</v>
      </c>
      <c r="AT4" s="572" t="s">
        <v>160</v>
      </c>
      <c r="AU4" s="572"/>
      <c r="AV4" s="572"/>
      <c r="AW4" s="572"/>
      <c r="AX4" s="572" t="s">
        <v>163</v>
      </c>
    </row>
    <row r="5" spans="1:50" ht="14.25" customHeight="1">
      <c r="B5" s="572"/>
      <c r="C5" s="572"/>
      <c r="D5" s="572"/>
      <c r="E5" s="572" t="s">
        <v>366</v>
      </c>
      <c r="F5" s="572"/>
      <c r="G5" s="572"/>
      <c r="H5" s="572"/>
      <c r="I5" s="576" t="s">
        <v>366</v>
      </c>
      <c r="J5" s="576"/>
      <c r="K5" s="576"/>
      <c r="L5" s="576"/>
      <c r="M5" s="576"/>
      <c r="N5" s="572"/>
      <c r="O5" s="572"/>
      <c r="P5" s="572" t="s">
        <v>367</v>
      </c>
      <c r="Q5" s="572"/>
      <c r="R5" s="572"/>
      <c r="S5" s="572"/>
      <c r="T5" s="572"/>
      <c r="U5" s="572" t="s">
        <v>367</v>
      </c>
      <c r="V5" s="572"/>
      <c r="W5" s="572"/>
      <c r="X5" s="572"/>
      <c r="Y5" s="572"/>
      <c r="Z5" s="572" t="s">
        <v>367</v>
      </c>
      <c r="AA5" s="572"/>
      <c r="AB5" s="572"/>
      <c r="AC5" s="572"/>
      <c r="AD5" s="572"/>
      <c r="AE5" s="572" t="s">
        <v>367</v>
      </c>
      <c r="AF5" s="572"/>
      <c r="AG5" s="572"/>
      <c r="AH5" s="572"/>
      <c r="AI5" s="572"/>
      <c r="AJ5" s="572" t="s">
        <v>367</v>
      </c>
      <c r="AK5" s="572"/>
      <c r="AL5" s="572"/>
      <c r="AM5" s="572"/>
      <c r="AN5" s="572"/>
      <c r="AO5" s="572" t="s">
        <v>367</v>
      </c>
      <c r="AP5" s="572"/>
      <c r="AQ5" s="572"/>
      <c r="AR5" s="572"/>
      <c r="AS5" s="572"/>
      <c r="AT5" s="572" t="s">
        <v>367</v>
      </c>
      <c r="AU5" s="572"/>
      <c r="AV5" s="572"/>
      <c r="AW5" s="572"/>
      <c r="AX5" s="572"/>
    </row>
    <row r="6" spans="1:50" ht="14.25" customHeight="1">
      <c r="B6" s="572"/>
      <c r="C6" s="572"/>
      <c r="D6" s="572"/>
      <c r="E6" s="180" t="s">
        <v>159</v>
      </c>
      <c r="F6" s="180" t="s">
        <v>368</v>
      </c>
      <c r="G6" s="180" t="s">
        <v>161</v>
      </c>
      <c r="H6" s="572"/>
      <c r="I6" s="181" t="s">
        <v>159</v>
      </c>
      <c r="J6" s="181" t="s">
        <v>368</v>
      </c>
      <c r="K6" s="181" t="s">
        <v>161</v>
      </c>
      <c r="L6" s="576"/>
      <c r="M6" s="576"/>
      <c r="N6" s="572"/>
      <c r="O6" s="572"/>
      <c r="P6" s="180" t="s">
        <v>159</v>
      </c>
      <c r="Q6" s="180" t="s">
        <v>368</v>
      </c>
      <c r="R6" s="180" t="s">
        <v>161</v>
      </c>
      <c r="S6" s="182" t="s">
        <v>165</v>
      </c>
      <c r="T6" s="572"/>
      <c r="U6" s="180" t="s">
        <v>159</v>
      </c>
      <c r="V6" s="180" t="s">
        <v>368</v>
      </c>
      <c r="W6" s="180" t="s">
        <v>161</v>
      </c>
      <c r="X6" s="182" t="s">
        <v>165</v>
      </c>
      <c r="Y6" s="572"/>
      <c r="Z6" s="180" t="s">
        <v>159</v>
      </c>
      <c r="AA6" s="180" t="s">
        <v>368</v>
      </c>
      <c r="AB6" s="180" t="s">
        <v>161</v>
      </c>
      <c r="AC6" s="182" t="s">
        <v>165</v>
      </c>
      <c r="AD6" s="572"/>
      <c r="AE6" s="180" t="s">
        <v>159</v>
      </c>
      <c r="AF6" s="180" t="s">
        <v>368</v>
      </c>
      <c r="AG6" s="180" t="s">
        <v>161</v>
      </c>
      <c r="AH6" s="182" t="s">
        <v>165</v>
      </c>
      <c r="AI6" s="572"/>
      <c r="AJ6" s="180" t="s">
        <v>159</v>
      </c>
      <c r="AK6" s="180" t="s">
        <v>368</v>
      </c>
      <c r="AL6" s="180" t="s">
        <v>161</v>
      </c>
      <c r="AM6" s="182" t="s">
        <v>165</v>
      </c>
      <c r="AN6" s="572"/>
      <c r="AO6" s="180" t="s">
        <v>159</v>
      </c>
      <c r="AP6" s="180" t="s">
        <v>368</v>
      </c>
      <c r="AQ6" s="180" t="s">
        <v>161</v>
      </c>
      <c r="AR6" s="182" t="s">
        <v>165</v>
      </c>
      <c r="AS6" s="572"/>
      <c r="AT6" s="180" t="s">
        <v>159</v>
      </c>
      <c r="AU6" s="180" t="s">
        <v>368</v>
      </c>
      <c r="AV6" s="180" t="s">
        <v>161</v>
      </c>
      <c r="AW6" s="182" t="s">
        <v>165</v>
      </c>
      <c r="AX6" s="572"/>
    </row>
    <row r="7" spans="1:50" ht="14.25" customHeight="1">
      <c r="B7" s="572" t="s">
        <v>348</v>
      </c>
      <c r="C7" s="180">
        <v>1</v>
      </c>
      <c r="D7" s="183" t="s">
        <v>342</v>
      </c>
      <c r="E7" s="180">
        <v>24</v>
      </c>
      <c r="F7" s="180">
        <v>2000</v>
      </c>
      <c r="G7" s="185">
        <f t="shared" ref="G7:G13" si="0">F7/E7</f>
        <v>83.333333333333329</v>
      </c>
      <c r="H7" s="573">
        <f>AVERAGE(G7:G21)</f>
        <v>91.57547076801734</v>
      </c>
      <c r="I7" s="186">
        <f>AVERAGE(P7,U7,Z7,AE7,AJ7,AO7,AT7)</f>
        <v>24</v>
      </c>
      <c r="J7" s="186">
        <f>AVERAGE(Q7,V7,AA7,AF7,AK7,AP7,AU7)</f>
        <v>1791.1908290871488</v>
      </c>
      <c r="K7" s="187">
        <f>AVERAGE(R7,W7,AB7,AG7,AL7,AQ7,AV7)</f>
        <v>64.259366344949186</v>
      </c>
      <c r="L7" s="574">
        <f>IFERROR(AVERAGE(K7:K21),"-")</f>
        <v>72.075561803646522</v>
      </c>
      <c r="M7" s="186">
        <f>RANK(K7, K$7:$K$21)</f>
        <v>7</v>
      </c>
      <c r="N7" s="572"/>
      <c r="O7" s="572"/>
      <c r="P7" s="188">
        <v>24</v>
      </c>
      <c r="Q7" s="188">
        <v>1791.3622576585763</v>
      </c>
      <c r="R7" s="185">
        <f>IFERROR(Q7/P7,"")</f>
        <v>74.640094069107349</v>
      </c>
      <c r="S7" s="182">
        <f>RANK(R7, R$7:R$21)</f>
        <v>7</v>
      </c>
      <c r="T7" s="573">
        <f>AVERAGE(R7:R21)</f>
        <v>83.425544523656825</v>
      </c>
      <c r="U7" s="188">
        <v>24</v>
      </c>
      <c r="V7" s="188">
        <v>1791.9622576585764</v>
      </c>
      <c r="W7" s="185">
        <f t="shared" ref="W7:W13" si="1">IFERROR(V7/U7,"")</f>
        <v>74.665094069107354</v>
      </c>
      <c r="X7" s="182">
        <f>RANK(W7, W$7:W$21)</f>
        <v>7</v>
      </c>
      <c r="Y7" s="573">
        <f>AVERAGE(W7:W21)</f>
        <v>83.426649226407477</v>
      </c>
      <c r="Z7" s="188">
        <v>24</v>
      </c>
      <c r="AA7" s="188">
        <v>1792.3622576585767</v>
      </c>
      <c r="AB7" s="185">
        <f t="shared" ref="AB7:AB13" si="2">IFERROR(AA7/Z7,"")</f>
        <v>74.681760735774034</v>
      </c>
      <c r="AC7" s="182">
        <f>RANK(AB7, AB$7:AB$21)</f>
        <v>7</v>
      </c>
      <c r="AD7" s="573">
        <f>AVERAGE(AB7:AB21)</f>
        <v>83.429047925017358</v>
      </c>
      <c r="AE7" s="188">
        <v>24</v>
      </c>
      <c r="AF7" s="188">
        <v>1791.3622576585772</v>
      </c>
      <c r="AG7" s="185">
        <f>IFERROR(AF7/AE7,"")</f>
        <v>74.640094069107377</v>
      </c>
      <c r="AH7" s="182">
        <f>RANK(AG7, AG$7:AG$21)</f>
        <v>7</v>
      </c>
      <c r="AI7" s="573">
        <f>AVERAGE(AG7:AG21)</f>
        <v>83.415659874144836</v>
      </c>
      <c r="AJ7" s="188">
        <v>24</v>
      </c>
      <c r="AK7" s="188">
        <v>1790.7622576585775</v>
      </c>
      <c r="AL7" s="185">
        <f t="shared" ref="AL7:AL13" si="3">IFERROR(AK7/AJ7,"")</f>
        <v>74.6150940691074</v>
      </c>
      <c r="AM7" s="182">
        <f>RANK(AL7, AL$7:AL$21)</f>
        <v>7</v>
      </c>
      <c r="AN7" s="573">
        <f>AVERAGE(AL7:AL21)</f>
        <v>83.418370610613351</v>
      </c>
      <c r="AO7" s="188">
        <v>24</v>
      </c>
      <c r="AP7" s="188">
        <v>1789.7622576585777</v>
      </c>
      <c r="AQ7" s="185">
        <f t="shared" ref="AQ7:AQ13" si="4">IFERROR(AP7/AO7,"")</f>
        <v>74.573427402440743</v>
      </c>
      <c r="AR7" s="182">
        <f>RANK(AQ7, AQ$7:AQ$21)</f>
        <v>7</v>
      </c>
      <c r="AS7" s="573">
        <f>AVERAGE(AQ7:AQ21)</f>
        <v>83.413660465685808</v>
      </c>
      <c r="AT7" s="188">
        <v>24</v>
      </c>
      <c r="AU7" s="188">
        <v>1790.7622576585779</v>
      </c>
      <c r="AV7" s="182">
        <f>RANK(AU7, AU$7:AU$21)</f>
        <v>2</v>
      </c>
      <c r="AW7" s="182">
        <f>RANK(AV7, AV$7:AV$21)</f>
        <v>6</v>
      </c>
      <c r="AX7" s="573">
        <f>AVERAGE(AV7:AV21)</f>
        <v>4</v>
      </c>
    </row>
    <row r="8" spans="1:50" ht="14.25" customHeight="1">
      <c r="B8" s="572"/>
      <c r="C8" s="180">
        <v>2</v>
      </c>
      <c r="D8" s="183" t="s">
        <v>341</v>
      </c>
      <c r="E8" s="180">
        <v>23</v>
      </c>
      <c r="F8" s="180">
        <v>2000</v>
      </c>
      <c r="G8" s="185">
        <f t="shared" si="0"/>
        <v>86.956521739130437</v>
      </c>
      <c r="H8" s="573"/>
      <c r="I8" s="186">
        <f t="shared" ref="I8:K13" si="5">AVERAGE(P8,U8,Z8,AE8,AJ8,AO8,AT8)</f>
        <v>23</v>
      </c>
      <c r="J8" s="186">
        <f t="shared" si="5"/>
        <v>1788.1142857142841</v>
      </c>
      <c r="K8" s="187">
        <f t="shared" si="5"/>
        <v>67.062111801242182</v>
      </c>
      <c r="L8" s="574"/>
      <c r="M8" s="186">
        <f>RANK(K8, K$7:$K$21)</f>
        <v>4</v>
      </c>
      <c r="N8" s="572"/>
      <c r="O8" s="572"/>
      <c r="P8" s="188">
        <v>23</v>
      </c>
      <c r="Q8" s="188">
        <v>1788.199999999998</v>
      </c>
      <c r="R8" s="185">
        <f t="shared" ref="R8:R13" si="6">IFERROR(Q8/P8,"")</f>
        <v>77.747826086956437</v>
      </c>
      <c r="S8" s="182">
        <f t="shared" ref="S8:S13" si="7">RANK(R8, R$7:R$21)</f>
        <v>4</v>
      </c>
      <c r="T8" s="573"/>
      <c r="U8" s="188">
        <v>23</v>
      </c>
      <c r="V8" s="188">
        <v>1788.1999999999982</v>
      </c>
      <c r="W8" s="185">
        <f t="shared" si="1"/>
        <v>77.747826086956451</v>
      </c>
      <c r="X8" s="182">
        <f t="shared" ref="X8:X13" si="8">RANK(W8, W$7:W$21)</f>
        <v>4</v>
      </c>
      <c r="Y8" s="573"/>
      <c r="Z8" s="188">
        <v>23</v>
      </c>
      <c r="AA8" s="188">
        <v>1787.7999999999984</v>
      </c>
      <c r="AB8" s="185">
        <f t="shared" si="2"/>
        <v>77.730434782608626</v>
      </c>
      <c r="AC8" s="182">
        <f t="shared" ref="AC8:AC13" si="9">RANK(AB8, AB$7:AB$21)</f>
        <v>4</v>
      </c>
      <c r="AD8" s="573"/>
      <c r="AE8" s="188">
        <v>23</v>
      </c>
      <c r="AF8" s="188">
        <v>1787.1999999999987</v>
      </c>
      <c r="AG8" s="185">
        <f t="shared" ref="AG8:AG13" si="10">IFERROR(AF8/AE8,"")</f>
        <v>77.704347826086902</v>
      </c>
      <c r="AH8" s="182">
        <f t="shared" ref="AH8:AH13" si="11">RANK(AG8, AG$7:AG$21)</f>
        <v>5</v>
      </c>
      <c r="AI8" s="573"/>
      <c r="AJ8" s="188">
        <v>23</v>
      </c>
      <c r="AK8" s="188">
        <v>1787.9999999999989</v>
      </c>
      <c r="AL8" s="185">
        <f t="shared" si="3"/>
        <v>77.739130434782552</v>
      </c>
      <c r="AM8" s="182">
        <f t="shared" ref="AM8:AM13" si="12">RANK(AL8, AL$7:AL$21)</f>
        <v>5</v>
      </c>
      <c r="AN8" s="573"/>
      <c r="AO8" s="188">
        <v>23</v>
      </c>
      <c r="AP8" s="188">
        <v>1788.5999999999983</v>
      </c>
      <c r="AQ8" s="185">
        <f t="shared" si="4"/>
        <v>77.765217391304276</v>
      </c>
      <c r="AR8" s="182">
        <f t="shared" ref="AR8:AR13" si="13">RANK(AQ8, AQ$7:AQ$21)</f>
        <v>4</v>
      </c>
      <c r="AS8" s="573"/>
      <c r="AT8" s="188">
        <v>23</v>
      </c>
      <c r="AU8" s="188">
        <v>1788.7999999999984</v>
      </c>
      <c r="AV8" s="182">
        <f t="shared" ref="AV8:AW13" si="14">RANK(AU8, AU$7:AU$21)</f>
        <v>3</v>
      </c>
      <c r="AW8" s="182">
        <f t="shared" si="14"/>
        <v>5</v>
      </c>
      <c r="AX8" s="573"/>
    </row>
    <row r="9" spans="1:50" ht="14.25" customHeight="1">
      <c r="B9" s="572"/>
      <c r="C9" s="180">
        <v>3</v>
      </c>
      <c r="D9" s="183" t="s">
        <v>349</v>
      </c>
      <c r="E9" s="180">
        <v>23</v>
      </c>
      <c r="F9" s="180">
        <v>2000</v>
      </c>
      <c r="G9" s="185">
        <f t="shared" si="0"/>
        <v>86.956521739130437</v>
      </c>
      <c r="H9" s="573"/>
      <c r="I9" s="186">
        <f t="shared" si="5"/>
        <v>23</v>
      </c>
      <c r="J9" s="186">
        <f t="shared" si="5"/>
        <v>1790.9321897120831</v>
      </c>
      <c r="K9" s="187">
        <f t="shared" si="5"/>
        <v>66.885494203999556</v>
      </c>
      <c r="L9" s="574"/>
      <c r="M9" s="186">
        <f>RANK(K9, K$7:$K$21)</f>
        <v>5</v>
      </c>
      <c r="N9" s="572"/>
      <c r="O9" s="572"/>
      <c r="P9" s="188">
        <v>23</v>
      </c>
      <c r="Q9" s="188">
        <v>1790.3607611406551</v>
      </c>
      <c r="R9" s="185">
        <f t="shared" si="6"/>
        <v>77.841772223506737</v>
      </c>
      <c r="S9" s="182">
        <f t="shared" si="7"/>
        <v>3</v>
      </c>
      <c r="T9" s="573"/>
      <c r="U9" s="188">
        <v>23</v>
      </c>
      <c r="V9" s="188">
        <v>1790.960761140655</v>
      </c>
      <c r="W9" s="185">
        <f t="shared" si="1"/>
        <v>77.867859180028475</v>
      </c>
      <c r="X9" s="182">
        <f t="shared" si="8"/>
        <v>3</v>
      </c>
      <c r="Y9" s="573"/>
      <c r="Z9" s="188">
        <v>23</v>
      </c>
      <c r="AA9" s="188">
        <v>1791.3607611406549</v>
      </c>
      <c r="AB9" s="185">
        <f t="shared" si="2"/>
        <v>77.8852504843763</v>
      </c>
      <c r="AC9" s="182">
        <f t="shared" si="9"/>
        <v>3</v>
      </c>
      <c r="AD9" s="573"/>
      <c r="AE9" s="188">
        <v>23</v>
      </c>
      <c r="AF9" s="188">
        <v>1790.3607611406549</v>
      </c>
      <c r="AG9" s="185">
        <f t="shared" si="10"/>
        <v>77.841772223506737</v>
      </c>
      <c r="AH9" s="182">
        <f t="shared" si="11"/>
        <v>3</v>
      </c>
      <c r="AI9" s="573"/>
      <c r="AJ9" s="188">
        <v>23</v>
      </c>
      <c r="AK9" s="188">
        <v>1790.960761140655</v>
      </c>
      <c r="AL9" s="185">
        <f t="shared" si="3"/>
        <v>77.867859180028475</v>
      </c>
      <c r="AM9" s="182">
        <f t="shared" si="12"/>
        <v>3</v>
      </c>
      <c r="AN9" s="573"/>
      <c r="AO9" s="188">
        <v>23</v>
      </c>
      <c r="AP9" s="188">
        <v>1791.5607611406547</v>
      </c>
      <c r="AQ9" s="185">
        <f t="shared" si="4"/>
        <v>77.893946136550198</v>
      </c>
      <c r="AR9" s="182">
        <f t="shared" si="13"/>
        <v>3</v>
      </c>
      <c r="AS9" s="573"/>
      <c r="AT9" s="188">
        <v>23</v>
      </c>
      <c r="AU9" s="188">
        <v>1790.9607611406545</v>
      </c>
      <c r="AV9" s="182">
        <f t="shared" si="14"/>
        <v>1</v>
      </c>
      <c r="AW9" s="182">
        <f t="shared" si="14"/>
        <v>7</v>
      </c>
      <c r="AX9" s="573"/>
    </row>
    <row r="10" spans="1:50" ht="14.25" customHeight="1">
      <c r="B10" s="572"/>
      <c r="C10" s="180">
        <v>4</v>
      </c>
      <c r="D10" s="183" t="s">
        <v>343</v>
      </c>
      <c r="E10" s="180">
        <v>23</v>
      </c>
      <c r="F10" s="180">
        <v>2000</v>
      </c>
      <c r="G10" s="185">
        <f t="shared" si="0"/>
        <v>86.956521739130437</v>
      </c>
      <c r="H10" s="573"/>
      <c r="I10" s="186">
        <f t="shared" si="5"/>
        <v>23</v>
      </c>
      <c r="J10" s="186">
        <f t="shared" si="5"/>
        <v>1787.7142857142856</v>
      </c>
      <c r="K10" s="187">
        <f t="shared" si="5"/>
        <v>67.480745341614892</v>
      </c>
      <c r="L10" s="574"/>
      <c r="M10" s="186">
        <f>RANK(K10, K$7:$K$21)</f>
        <v>3</v>
      </c>
      <c r="N10" s="572"/>
      <c r="O10" s="572"/>
      <c r="P10" s="188">
        <v>23</v>
      </c>
      <c r="Q10" s="188">
        <v>1787.9999999999998</v>
      </c>
      <c r="R10" s="185">
        <f t="shared" si="6"/>
        <v>77.739130434782595</v>
      </c>
      <c r="S10" s="182">
        <f t="shared" si="7"/>
        <v>5</v>
      </c>
      <c r="T10" s="573"/>
      <c r="U10" s="188">
        <v>23</v>
      </c>
      <c r="V10" s="188">
        <v>1787.1999999999996</v>
      </c>
      <c r="W10" s="185">
        <f t="shared" si="1"/>
        <v>77.704347826086945</v>
      </c>
      <c r="X10" s="182">
        <f t="shared" si="8"/>
        <v>5</v>
      </c>
      <c r="Y10" s="573"/>
      <c r="Z10" s="188">
        <v>23</v>
      </c>
      <c r="AA10" s="188">
        <v>1787.3999999999996</v>
      </c>
      <c r="AB10" s="185">
        <f t="shared" si="2"/>
        <v>77.713043478260857</v>
      </c>
      <c r="AC10" s="182">
        <f t="shared" si="9"/>
        <v>5</v>
      </c>
      <c r="AD10" s="573"/>
      <c r="AE10" s="188">
        <v>23</v>
      </c>
      <c r="AF10" s="188">
        <v>1787.9999999999995</v>
      </c>
      <c r="AG10" s="185">
        <f t="shared" si="10"/>
        <v>77.739130434782595</v>
      </c>
      <c r="AH10" s="182">
        <f t="shared" si="11"/>
        <v>4</v>
      </c>
      <c r="AI10" s="573"/>
      <c r="AJ10" s="188">
        <v>23</v>
      </c>
      <c r="AK10" s="188">
        <v>1788.3999999999996</v>
      </c>
      <c r="AL10" s="185">
        <f t="shared" si="3"/>
        <v>77.75652173913042</v>
      </c>
      <c r="AM10" s="182">
        <f t="shared" si="12"/>
        <v>4</v>
      </c>
      <c r="AN10" s="573"/>
      <c r="AO10" s="188">
        <v>23</v>
      </c>
      <c r="AP10" s="188">
        <v>1787.3999999999996</v>
      </c>
      <c r="AQ10" s="185">
        <f t="shared" si="4"/>
        <v>77.713043478260857</v>
      </c>
      <c r="AR10" s="182">
        <f t="shared" si="13"/>
        <v>5</v>
      </c>
      <c r="AS10" s="573"/>
      <c r="AT10" s="188">
        <v>23</v>
      </c>
      <c r="AU10" s="188">
        <v>1787.5999999999997</v>
      </c>
      <c r="AV10" s="182">
        <f t="shared" si="14"/>
        <v>6</v>
      </c>
      <c r="AW10" s="182">
        <f t="shared" si="14"/>
        <v>2</v>
      </c>
      <c r="AX10" s="573"/>
    </row>
    <row r="11" spans="1:50" ht="14.25" customHeight="1">
      <c r="B11" s="572"/>
      <c r="C11" s="180">
        <v>5</v>
      </c>
      <c r="D11" s="183" t="s">
        <v>474</v>
      </c>
      <c r="E11" s="180">
        <v>21</v>
      </c>
      <c r="F11" s="180">
        <v>1800</v>
      </c>
      <c r="G11" s="185">
        <f t="shared" si="0"/>
        <v>85.714285714285708</v>
      </c>
      <c r="H11" s="573"/>
      <c r="I11" s="186">
        <f t="shared" si="5"/>
        <v>21</v>
      </c>
      <c r="J11" s="186">
        <f t="shared" si="5"/>
        <v>1610.6505000645489</v>
      </c>
      <c r="K11" s="187">
        <f t="shared" si="5"/>
        <v>66.742586008465537</v>
      </c>
      <c r="L11" s="574"/>
      <c r="M11" s="186">
        <f>RANK(K11, K$7:$K$21)</f>
        <v>6</v>
      </c>
      <c r="N11" s="572"/>
      <c r="O11" s="572"/>
      <c r="P11" s="188">
        <v>21</v>
      </c>
      <c r="Q11" s="188">
        <v>1611.2933572074057</v>
      </c>
      <c r="R11" s="185">
        <f t="shared" si="6"/>
        <v>76.728255105114556</v>
      </c>
      <c r="S11" s="182">
        <f t="shared" si="7"/>
        <v>6</v>
      </c>
      <c r="T11" s="573"/>
      <c r="U11" s="188">
        <v>21</v>
      </c>
      <c r="V11" s="188">
        <v>1611.1133572074059</v>
      </c>
      <c r="W11" s="185">
        <f t="shared" si="1"/>
        <v>76.719683676543141</v>
      </c>
      <c r="X11" s="182">
        <f t="shared" si="8"/>
        <v>6</v>
      </c>
      <c r="Y11" s="573"/>
      <c r="Z11" s="188">
        <v>21</v>
      </c>
      <c r="AA11" s="188">
        <v>1610.9333572074061</v>
      </c>
      <c r="AB11" s="185">
        <f t="shared" si="2"/>
        <v>76.711112247971712</v>
      </c>
      <c r="AC11" s="182">
        <f t="shared" si="9"/>
        <v>6</v>
      </c>
      <c r="AD11" s="573"/>
      <c r="AE11" s="188">
        <v>21</v>
      </c>
      <c r="AF11" s="188">
        <v>1610.753357207406</v>
      </c>
      <c r="AG11" s="185">
        <f t="shared" si="10"/>
        <v>76.702540819400284</v>
      </c>
      <c r="AH11" s="182">
        <f t="shared" si="11"/>
        <v>6</v>
      </c>
      <c r="AI11" s="573"/>
      <c r="AJ11" s="188">
        <v>21</v>
      </c>
      <c r="AK11" s="188">
        <v>1610.033357207406</v>
      </c>
      <c r="AL11" s="185">
        <f t="shared" si="3"/>
        <v>76.668255105114568</v>
      </c>
      <c r="AM11" s="182">
        <f t="shared" si="12"/>
        <v>6</v>
      </c>
      <c r="AN11" s="573"/>
      <c r="AO11" s="188">
        <v>21</v>
      </c>
      <c r="AP11" s="188">
        <v>1610.033357207406</v>
      </c>
      <c r="AQ11" s="185">
        <f t="shared" si="4"/>
        <v>76.668255105114568</v>
      </c>
      <c r="AR11" s="182">
        <f t="shared" si="13"/>
        <v>6</v>
      </c>
      <c r="AS11" s="573"/>
      <c r="AT11" s="188">
        <v>21</v>
      </c>
      <c r="AU11" s="188">
        <v>1610.3933572074059</v>
      </c>
      <c r="AV11" s="182">
        <f t="shared" si="14"/>
        <v>7</v>
      </c>
      <c r="AW11" s="182">
        <f t="shared" si="14"/>
        <v>1</v>
      </c>
      <c r="AX11" s="573"/>
    </row>
    <row r="12" spans="1:50" ht="14.25" customHeight="1">
      <c r="B12" s="572"/>
      <c r="C12" s="180">
        <v>6</v>
      </c>
      <c r="D12" s="183" t="s">
        <v>475</v>
      </c>
      <c r="E12" s="180">
        <v>20</v>
      </c>
      <c r="F12" s="180">
        <v>2000</v>
      </c>
      <c r="G12" s="185">
        <f t="shared" si="0"/>
        <v>100</v>
      </c>
      <c r="H12" s="573"/>
      <c r="I12" s="186">
        <f t="shared" si="5"/>
        <v>19</v>
      </c>
      <c r="J12" s="186">
        <f t="shared" si="5"/>
        <v>1788</v>
      </c>
      <c r="K12" s="187">
        <f t="shared" si="5"/>
        <v>81.375939849624046</v>
      </c>
      <c r="L12" s="574"/>
      <c r="M12" s="186">
        <f>RANK(K12, K$7:$K$21)</f>
        <v>2</v>
      </c>
      <c r="N12" s="572"/>
      <c r="O12" s="572"/>
      <c r="P12" s="188">
        <v>19</v>
      </c>
      <c r="Q12" s="188">
        <v>1787.9999999999998</v>
      </c>
      <c r="R12" s="185">
        <f t="shared" si="6"/>
        <v>94.105263157894726</v>
      </c>
      <c r="S12" s="182">
        <f t="shared" si="7"/>
        <v>2</v>
      </c>
      <c r="T12" s="573"/>
      <c r="U12" s="188">
        <v>19</v>
      </c>
      <c r="V12" s="188">
        <v>1787.9999999999998</v>
      </c>
      <c r="W12" s="185">
        <f t="shared" si="1"/>
        <v>94.105263157894726</v>
      </c>
      <c r="X12" s="182">
        <f t="shared" si="8"/>
        <v>2</v>
      </c>
      <c r="Y12" s="573"/>
      <c r="Z12" s="188">
        <v>19</v>
      </c>
      <c r="AA12" s="188">
        <v>1788</v>
      </c>
      <c r="AB12" s="185">
        <f t="shared" si="2"/>
        <v>94.10526315789474</v>
      </c>
      <c r="AC12" s="182">
        <f t="shared" si="9"/>
        <v>2</v>
      </c>
      <c r="AD12" s="573"/>
      <c r="AE12" s="188">
        <v>19</v>
      </c>
      <c r="AF12" s="188">
        <v>1787.9999999999998</v>
      </c>
      <c r="AG12" s="185">
        <f t="shared" si="10"/>
        <v>94.105263157894726</v>
      </c>
      <c r="AH12" s="182">
        <f t="shared" si="11"/>
        <v>2</v>
      </c>
      <c r="AI12" s="573"/>
      <c r="AJ12" s="188">
        <v>19</v>
      </c>
      <c r="AK12" s="188">
        <v>1788</v>
      </c>
      <c r="AL12" s="185">
        <f t="shared" si="3"/>
        <v>94.10526315789474</v>
      </c>
      <c r="AM12" s="182">
        <f t="shared" si="12"/>
        <v>2</v>
      </c>
      <c r="AN12" s="573"/>
      <c r="AO12" s="188">
        <v>19</v>
      </c>
      <c r="AP12" s="188">
        <v>1788</v>
      </c>
      <c r="AQ12" s="185">
        <f t="shared" si="4"/>
        <v>94.10526315789474</v>
      </c>
      <c r="AR12" s="182">
        <f t="shared" si="13"/>
        <v>2</v>
      </c>
      <c r="AS12" s="573"/>
      <c r="AT12" s="188">
        <v>19</v>
      </c>
      <c r="AU12" s="188">
        <v>1787.9999999999998</v>
      </c>
      <c r="AV12" s="182">
        <f t="shared" si="14"/>
        <v>5</v>
      </c>
      <c r="AW12" s="182">
        <f t="shared" si="14"/>
        <v>3</v>
      </c>
      <c r="AX12" s="573"/>
    </row>
    <row r="13" spans="1:50" ht="14.25" customHeight="1">
      <c r="B13" s="572"/>
      <c r="C13" s="180">
        <v>7</v>
      </c>
      <c r="D13" s="183" t="s">
        <v>582</v>
      </c>
      <c r="E13" s="180">
        <v>18</v>
      </c>
      <c r="F13" s="180">
        <v>2000</v>
      </c>
      <c r="G13" s="185">
        <f t="shared" si="0"/>
        <v>111.11111111111111</v>
      </c>
      <c r="H13" s="573"/>
      <c r="I13" s="186">
        <f t="shared" si="5"/>
        <v>17</v>
      </c>
      <c r="J13" s="186">
        <f t="shared" si="5"/>
        <v>1788</v>
      </c>
      <c r="K13" s="187">
        <f t="shared" si="5"/>
        <v>90.722689075630242</v>
      </c>
      <c r="L13" s="574"/>
      <c r="M13" s="186">
        <f>RANK(K13, K$7:$K$21)</f>
        <v>1</v>
      </c>
      <c r="N13" s="572"/>
      <c r="O13" s="572"/>
      <c r="P13" s="188">
        <v>17</v>
      </c>
      <c r="Q13" s="188">
        <v>1788.0000000000002</v>
      </c>
      <c r="R13" s="185">
        <f t="shared" si="6"/>
        <v>105.1764705882353</v>
      </c>
      <c r="S13" s="182">
        <f t="shared" si="7"/>
        <v>1</v>
      </c>
      <c r="T13" s="573"/>
      <c r="U13" s="188">
        <v>17</v>
      </c>
      <c r="V13" s="188">
        <v>1788</v>
      </c>
      <c r="W13" s="185">
        <f t="shared" si="1"/>
        <v>105.17647058823529</v>
      </c>
      <c r="X13" s="182">
        <f t="shared" si="8"/>
        <v>1</v>
      </c>
      <c r="Y13" s="573"/>
      <c r="Z13" s="188">
        <v>17</v>
      </c>
      <c r="AA13" s="188">
        <v>1788.0000000000002</v>
      </c>
      <c r="AB13" s="185">
        <f t="shared" si="2"/>
        <v>105.1764705882353</v>
      </c>
      <c r="AC13" s="182">
        <f t="shared" si="9"/>
        <v>1</v>
      </c>
      <c r="AD13" s="573"/>
      <c r="AE13" s="188">
        <v>17</v>
      </c>
      <c r="AF13" s="188">
        <v>1788</v>
      </c>
      <c r="AG13" s="185">
        <f t="shared" si="10"/>
        <v>105.17647058823529</v>
      </c>
      <c r="AH13" s="182">
        <f t="shared" si="11"/>
        <v>1</v>
      </c>
      <c r="AI13" s="573"/>
      <c r="AJ13" s="188">
        <v>17</v>
      </c>
      <c r="AK13" s="188">
        <v>1788</v>
      </c>
      <c r="AL13" s="185">
        <f t="shared" si="3"/>
        <v>105.17647058823529</v>
      </c>
      <c r="AM13" s="182">
        <f t="shared" si="12"/>
        <v>1</v>
      </c>
      <c r="AN13" s="573"/>
      <c r="AO13" s="188">
        <v>17</v>
      </c>
      <c r="AP13" s="188">
        <v>1787.9999999999998</v>
      </c>
      <c r="AQ13" s="185">
        <f t="shared" si="4"/>
        <v>105.17647058823528</v>
      </c>
      <c r="AR13" s="182">
        <f t="shared" si="13"/>
        <v>1</v>
      </c>
      <c r="AS13" s="573"/>
      <c r="AT13" s="188">
        <v>17</v>
      </c>
      <c r="AU13" s="188">
        <v>1788</v>
      </c>
      <c r="AV13" s="182">
        <f t="shared" si="14"/>
        <v>4</v>
      </c>
      <c r="AW13" s="182">
        <f t="shared" si="14"/>
        <v>4</v>
      </c>
      <c r="AX13" s="573"/>
    </row>
    <row r="14" spans="1:50" ht="14.25" customHeight="1">
      <c r="B14" s="572"/>
      <c r="C14" s="180">
        <v>8</v>
      </c>
      <c r="D14" s="183"/>
      <c r="E14" s="180"/>
      <c r="F14" s="180"/>
      <c r="G14" s="185"/>
      <c r="H14" s="573"/>
      <c r="I14" s="186"/>
      <c r="J14" s="186"/>
      <c r="K14" s="187"/>
      <c r="L14" s="574"/>
      <c r="M14" s="186"/>
      <c r="N14" s="572"/>
      <c r="O14" s="572"/>
      <c r="P14" s="188"/>
      <c r="Q14" s="188"/>
      <c r="R14" s="185"/>
      <c r="S14" s="182"/>
      <c r="T14" s="573"/>
      <c r="U14" s="188"/>
      <c r="V14" s="188"/>
      <c r="W14" s="185"/>
      <c r="X14" s="182"/>
      <c r="Y14" s="573"/>
      <c r="Z14" s="188"/>
      <c r="AA14" s="188"/>
      <c r="AB14" s="185"/>
      <c r="AC14" s="182"/>
      <c r="AD14" s="573"/>
      <c r="AE14" s="188"/>
      <c r="AF14" s="188"/>
      <c r="AG14" s="185"/>
      <c r="AH14" s="182"/>
      <c r="AI14" s="573"/>
      <c r="AJ14" s="188"/>
      <c r="AK14" s="188"/>
      <c r="AL14" s="185"/>
      <c r="AM14" s="182"/>
      <c r="AN14" s="573"/>
      <c r="AO14" s="188"/>
      <c r="AP14" s="188"/>
      <c r="AQ14" s="185"/>
      <c r="AR14" s="182"/>
      <c r="AS14" s="573"/>
      <c r="AT14" s="188"/>
      <c r="AU14" s="188"/>
      <c r="AV14" s="185"/>
      <c r="AW14" s="182"/>
      <c r="AX14" s="573"/>
    </row>
    <row r="15" spans="1:50" ht="14.25" customHeight="1">
      <c r="B15" s="572"/>
      <c r="C15" s="180">
        <v>9</v>
      </c>
      <c r="D15" s="183"/>
      <c r="E15" s="180"/>
      <c r="F15" s="180"/>
      <c r="G15" s="185"/>
      <c r="H15" s="573"/>
      <c r="I15" s="186"/>
      <c r="J15" s="186"/>
      <c r="K15" s="187"/>
      <c r="L15" s="574"/>
      <c r="M15" s="186"/>
      <c r="N15" s="572"/>
      <c r="O15" s="572"/>
      <c r="P15" s="188"/>
      <c r="Q15" s="188"/>
      <c r="R15" s="185"/>
      <c r="S15" s="182"/>
      <c r="T15" s="573"/>
      <c r="U15" s="188"/>
      <c r="V15" s="188"/>
      <c r="W15" s="185"/>
      <c r="X15" s="182"/>
      <c r="Y15" s="573"/>
      <c r="Z15" s="188"/>
      <c r="AA15" s="188"/>
      <c r="AB15" s="185"/>
      <c r="AC15" s="182"/>
      <c r="AD15" s="573"/>
      <c r="AE15" s="188"/>
      <c r="AF15" s="188"/>
      <c r="AG15" s="185"/>
      <c r="AH15" s="182"/>
      <c r="AI15" s="573"/>
      <c r="AJ15" s="188"/>
      <c r="AK15" s="188"/>
      <c r="AL15" s="185"/>
      <c r="AM15" s="182"/>
      <c r="AN15" s="573"/>
      <c r="AO15" s="188"/>
      <c r="AP15" s="188"/>
      <c r="AQ15" s="185"/>
      <c r="AR15" s="182"/>
      <c r="AS15" s="573"/>
      <c r="AT15" s="188"/>
      <c r="AU15" s="188"/>
      <c r="AV15" s="185"/>
      <c r="AW15" s="182"/>
      <c r="AX15" s="573"/>
    </row>
    <row r="16" spans="1:50" ht="14.25" customHeight="1">
      <c r="B16" s="572"/>
      <c r="C16" s="180">
        <v>10</v>
      </c>
      <c r="D16" s="183"/>
      <c r="E16" s="180"/>
      <c r="F16" s="180"/>
      <c r="G16" s="185"/>
      <c r="H16" s="573"/>
      <c r="I16" s="186"/>
      <c r="J16" s="186"/>
      <c r="K16" s="187"/>
      <c r="L16" s="574"/>
      <c r="M16" s="186"/>
      <c r="N16" s="572"/>
      <c r="O16" s="572"/>
      <c r="P16" s="188"/>
      <c r="Q16" s="188"/>
      <c r="R16" s="185"/>
      <c r="S16" s="182"/>
      <c r="T16" s="573"/>
      <c r="U16" s="188"/>
      <c r="V16" s="188"/>
      <c r="W16" s="185"/>
      <c r="X16" s="182"/>
      <c r="Y16" s="573"/>
      <c r="Z16" s="188"/>
      <c r="AA16" s="188"/>
      <c r="AB16" s="185"/>
      <c r="AC16" s="182"/>
      <c r="AD16" s="573"/>
      <c r="AE16" s="188"/>
      <c r="AF16" s="188"/>
      <c r="AG16" s="185"/>
      <c r="AH16" s="182"/>
      <c r="AI16" s="573"/>
      <c r="AJ16" s="188"/>
      <c r="AK16" s="188"/>
      <c r="AL16" s="185"/>
      <c r="AM16" s="182"/>
      <c r="AN16" s="573"/>
      <c r="AO16" s="188"/>
      <c r="AP16" s="188"/>
      <c r="AQ16" s="185"/>
      <c r="AR16" s="182"/>
      <c r="AS16" s="573"/>
      <c r="AT16" s="188"/>
      <c r="AU16" s="188"/>
      <c r="AV16" s="185"/>
      <c r="AW16" s="182"/>
      <c r="AX16" s="573"/>
    </row>
    <row r="17" spans="2:50" ht="14.25" customHeight="1">
      <c r="B17" s="572"/>
      <c r="C17" s="180">
        <v>11</v>
      </c>
      <c r="D17" s="183"/>
      <c r="E17" s="180"/>
      <c r="F17" s="180"/>
      <c r="G17" s="185"/>
      <c r="H17" s="573"/>
      <c r="I17" s="186"/>
      <c r="J17" s="186"/>
      <c r="K17" s="187"/>
      <c r="L17" s="574"/>
      <c r="M17" s="186"/>
      <c r="N17" s="572"/>
      <c r="O17" s="572"/>
      <c r="P17" s="188"/>
      <c r="Q17" s="188"/>
      <c r="R17" s="185"/>
      <c r="S17" s="182"/>
      <c r="T17" s="573"/>
      <c r="U17" s="188"/>
      <c r="V17" s="188"/>
      <c r="W17" s="185"/>
      <c r="X17" s="182"/>
      <c r="Y17" s="573"/>
      <c r="Z17" s="188"/>
      <c r="AA17" s="188"/>
      <c r="AB17" s="185"/>
      <c r="AC17" s="182"/>
      <c r="AD17" s="573"/>
      <c r="AE17" s="188"/>
      <c r="AF17" s="188"/>
      <c r="AG17" s="185"/>
      <c r="AH17" s="182"/>
      <c r="AI17" s="573"/>
      <c r="AJ17" s="188"/>
      <c r="AK17" s="188"/>
      <c r="AL17" s="185"/>
      <c r="AM17" s="182"/>
      <c r="AN17" s="573"/>
      <c r="AO17" s="188"/>
      <c r="AP17" s="188"/>
      <c r="AQ17" s="185"/>
      <c r="AR17" s="182"/>
      <c r="AS17" s="573"/>
      <c r="AT17" s="188"/>
      <c r="AU17" s="188"/>
      <c r="AV17" s="185"/>
      <c r="AW17" s="182"/>
      <c r="AX17" s="573"/>
    </row>
    <row r="18" spans="2:50" ht="14.25" customHeight="1">
      <c r="B18" s="572"/>
      <c r="C18" s="180">
        <v>12</v>
      </c>
      <c r="D18" s="183"/>
      <c r="E18" s="180"/>
      <c r="F18" s="180"/>
      <c r="G18" s="185"/>
      <c r="H18" s="573"/>
      <c r="I18" s="186"/>
      <c r="J18" s="186"/>
      <c r="K18" s="187"/>
      <c r="L18" s="574"/>
      <c r="M18" s="186"/>
      <c r="N18" s="572"/>
      <c r="O18" s="572"/>
      <c r="P18" s="188"/>
      <c r="Q18" s="188"/>
      <c r="R18" s="185"/>
      <c r="S18" s="182"/>
      <c r="T18" s="573"/>
      <c r="U18" s="188"/>
      <c r="V18" s="188"/>
      <c r="W18" s="185"/>
      <c r="X18" s="182"/>
      <c r="Y18" s="573"/>
      <c r="Z18" s="188"/>
      <c r="AA18" s="188"/>
      <c r="AB18" s="185"/>
      <c r="AC18" s="182"/>
      <c r="AD18" s="573"/>
      <c r="AE18" s="188"/>
      <c r="AF18" s="188"/>
      <c r="AG18" s="185"/>
      <c r="AH18" s="182"/>
      <c r="AI18" s="573"/>
      <c r="AJ18" s="188"/>
      <c r="AK18" s="188"/>
      <c r="AL18" s="185"/>
      <c r="AM18" s="182"/>
      <c r="AN18" s="573"/>
      <c r="AO18" s="188"/>
      <c r="AP18" s="188"/>
      <c r="AQ18" s="185"/>
      <c r="AR18" s="182"/>
      <c r="AS18" s="573"/>
      <c r="AT18" s="188"/>
      <c r="AU18" s="188"/>
      <c r="AV18" s="185"/>
      <c r="AW18" s="182"/>
      <c r="AX18" s="573"/>
    </row>
    <row r="19" spans="2:50" ht="14.25" customHeight="1">
      <c r="B19" s="572"/>
      <c r="C19" s="180">
        <v>13</v>
      </c>
      <c r="D19" s="183"/>
      <c r="E19" s="180"/>
      <c r="F19" s="180"/>
      <c r="G19" s="185"/>
      <c r="H19" s="573"/>
      <c r="I19" s="186"/>
      <c r="J19" s="186"/>
      <c r="K19" s="187"/>
      <c r="L19" s="574"/>
      <c r="M19" s="186"/>
      <c r="N19" s="572"/>
      <c r="O19" s="572"/>
      <c r="P19" s="188"/>
      <c r="Q19" s="188"/>
      <c r="R19" s="185"/>
      <c r="S19" s="182"/>
      <c r="T19" s="573"/>
      <c r="U19" s="188"/>
      <c r="V19" s="188"/>
      <c r="W19" s="185"/>
      <c r="X19" s="182"/>
      <c r="Y19" s="573"/>
      <c r="Z19" s="188"/>
      <c r="AA19" s="188"/>
      <c r="AB19" s="185"/>
      <c r="AC19" s="182"/>
      <c r="AD19" s="573"/>
      <c r="AE19" s="188"/>
      <c r="AF19" s="188"/>
      <c r="AG19" s="185"/>
      <c r="AH19" s="182"/>
      <c r="AI19" s="573"/>
      <c r="AJ19" s="188"/>
      <c r="AK19" s="188"/>
      <c r="AL19" s="185"/>
      <c r="AM19" s="182"/>
      <c r="AN19" s="573"/>
      <c r="AO19" s="188"/>
      <c r="AP19" s="188"/>
      <c r="AQ19" s="185"/>
      <c r="AR19" s="182"/>
      <c r="AS19" s="573"/>
      <c r="AT19" s="188"/>
      <c r="AU19" s="188"/>
      <c r="AV19" s="185"/>
      <c r="AW19" s="182"/>
      <c r="AX19" s="573"/>
    </row>
    <row r="20" spans="2:50" ht="14.25" customHeight="1">
      <c r="B20" s="572"/>
      <c r="C20" s="180">
        <v>14</v>
      </c>
      <c r="D20" s="183"/>
      <c r="E20" s="180"/>
      <c r="F20" s="180"/>
      <c r="G20" s="185"/>
      <c r="H20" s="573"/>
      <c r="I20" s="186"/>
      <c r="J20" s="186"/>
      <c r="K20" s="187"/>
      <c r="L20" s="574"/>
      <c r="M20" s="186"/>
      <c r="N20" s="572"/>
      <c r="O20" s="572"/>
      <c r="P20" s="188"/>
      <c r="Q20" s="188"/>
      <c r="R20" s="185"/>
      <c r="S20" s="182"/>
      <c r="T20" s="573"/>
      <c r="U20" s="188"/>
      <c r="V20" s="188"/>
      <c r="W20" s="185"/>
      <c r="X20" s="182"/>
      <c r="Y20" s="573"/>
      <c r="Z20" s="188"/>
      <c r="AA20" s="188"/>
      <c r="AB20" s="185"/>
      <c r="AC20" s="182"/>
      <c r="AD20" s="573"/>
      <c r="AE20" s="188"/>
      <c r="AF20" s="188"/>
      <c r="AG20" s="185"/>
      <c r="AH20" s="182"/>
      <c r="AI20" s="573"/>
      <c r="AJ20" s="188"/>
      <c r="AK20" s="188"/>
      <c r="AL20" s="185"/>
      <c r="AM20" s="182"/>
      <c r="AN20" s="573"/>
      <c r="AO20" s="188"/>
      <c r="AP20" s="188"/>
      <c r="AQ20" s="185"/>
      <c r="AR20" s="182"/>
      <c r="AS20" s="573"/>
      <c r="AT20" s="188"/>
      <c r="AU20" s="188"/>
      <c r="AV20" s="185"/>
      <c r="AW20" s="182"/>
      <c r="AX20" s="573"/>
    </row>
    <row r="21" spans="2:50" ht="14.25" customHeight="1">
      <c r="B21" s="572"/>
      <c r="C21" s="180">
        <v>15</v>
      </c>
      <c r="D21" s="183"/>
      <c r="E21" s="180"/>
      <c r="F21" s="180"/>
      <c r="G21" s="185"/>
      <c r="H21" s="573"/>
      <c r="I21" s="186"/>
      <c r="J21" s="186"/>
      <c r="K21" s="187"/>
      <c r="L21" s="574"/>
      <c r="M21" s="186"/>
      <c r="N21" s="572"/>
      <c r="O21" s="572"/>
      <c r="P21" s="188"/>
      <c r="Q21" s="188"/>
      <c r="R21" s="185"/>
      <c r="S21" s="182"/>
      <c r="T21" s="573"/>
      <c r="U21" s="188"/>
      <c r="V21" s="188"/>
      <c r="W21" s="185"/>
      <c r="X21" s="182"/>
      <c r="Y21" s="573"/>
      <c r="Z21" s="188"/>
      <c r="AA21" s="188"/>
      <c r="AB21" s="185"/>
      <c r="AC21" s="182"/>
      <c r="AD21" s="573"/>
      <c r="AE21" s="188"/>
      <c r="AF21" s="188"/>
      <c r="AG21" s="185"/>
      <c r="AH21" s="182"/>
      <c r="AI21" s="573"/>
      <c r="AJ21" s="188"/>
      <c r="AK21" s="188"/>
      <c r="AL21" s="185"/>
      <c r="AM21" s="182"/>
      <c r="AN21" s="573"/>
      <c r="AO21" s="188"/>
      <c r="AP21" s="188"/>
      <c r="AQ21" s="185"/>
      <c r="AR21" s="182"/>
      <c r="AS21" s="573"/>
      <c r="AT21" s="188"/>
      <c r="AU21" s="188"/>
      <c r="AV21" s="185"/>
      <c r="AW21" s="182"/>
      <c r="AX21" s="573"/>
    </row>
    <row r="22" spans="2:50" ht="14.25" customHeight="1">
      <c r="B22" s="597" t="s">
        <v>684</v>
      </c>
      <c r="C22" s="587"/>
      <c r="D22" s="587"/>
      <c r="E22" s="587"/>
      <c r="F22" s="587"/>
      <c r="G22" s="587"/>
      <c r="H22" s="587"/>
      <c r="I22" s="587"/>
      <c r="J22" s="587"/>
      <c r="K22" s="587"/>
      <c r="L22" s="587"/>
      <c r="M22" s="588"/>
      <c r="N22" s="606" t="s">
        <v>364</v>
      </c>
      <c r="O22" s="606" t="s">
        <v>105</v>
      </c>
      <c r="P22" s="608">
        <v>46175</v>
      </c>
      <c r="Q22" s="609"/>
      <c r="R22" s="609"/>
      <c r="S22" s="609"/>
      <c r="T22" s="609"/>
      <c r="U22" s="610">
        <v>46176</v>
      </c>
      <c r="V22" s="611"/>
      <c r="W22" s="611"/>
      <c r="X22" s="611"/>
      <c r="Y22" s="611"/>
      <c r="Z22" s="608">
        <v>46177</v>
      </c>
      <c r="AA22" s="609"/>
      <c r="AB22" s="609"/>
      <c r="AC22" s="609"/>
      <c r="AD22" s="609"/>
      <c r="AE22" s="610">
        <v>46178</v>
      </c>
      <c r="AF22" s="611"/>
      <c r="AG22" s="611"/>
      <c r="AH22" s="611"/>
      <c r="AI22" s="611"/>
      <c r="AJ22" s="598">
        <v>46179</v>
      </c>
      <c r="AK22" s="599"/>
      <c r="AL22" s="599"/>
      <c r="AM22" s="599"/>
      <c r="AN22" s="600"/>
      <c r="AO22" s="610">
        <v>46180</v>
      </c>
      <c r="AP22" s="611"/>
      <c r="AQ22" s="611"/>
      <c r="AR22" s="611"/>
      <c r="AS22" s="611"/>
      <c r="AT22" s="598">
        <v>46181</v>
      </c>
      <c r="AU22" s="599"/>
      <c r="AV22" s="599"/>
      <c r="AW22" s="599"/>
      <c r="AX22" s="600"/>
    </row>
    <row r="23" spans="2:50" ht="14.25" customHeight="1">
      <c r="B23" s="589"/>
      <c r="C23" s="589"/>
      <c r="D23" s="589"/>
      <c r="E23" s="589"/>
      <c r="F23" s="589"/>
      <c r="G23" s="589"/>
      <c r="H23" s="589"/>
      <c r="I23" s="589"/>
      <c r="J23" s="589"/>
      <c r="K23" s="589"/>
      <c r="L23" s="589"/>
      <c r="M23" s="590"/>
      <c r="N23" s="607"/>
      <c r="O23" s="607"/>
      <c r="P23" s="601">
        <v>46175</v>
      </c>
      <c r="Q23" s="601"/>
      <c r="R23" s="601"/>
      <c r="S23" s="601"/>
      <c r="T23" s="601"/>
      <c r="U23" s="602">
        <v>46176</v>
      </c>
      <c r="V23" s="602"/>
      <c r="W23" s="602"/>
      <c r="X23" s="602"/>
      <c r="Y23" s="602"/>
      <c r="Z23" s="601">
        <v>46177</v>
      </c>
      <c r="AA23" s="601"/>
      <c r="AB23" s="601"/>
      <c r="AC23" s="601"/>
      <c r="AD23" s="601"/>
      <c r="AE23" s="602">
        <v>46178</v>
      </c>
      <c r="AF23" s="602"/>
      <c r="AG23" s="602"/>
      <c r="AH23" s="602"/>
      <c r="AI23" s="602"/>
      <c r="AJ23" s="603">
        <v>46179</v>
      </c>
      <c r="AK23" s="604"/>
      <c r="AL23" s="604"/>
      <c r="AM23" s="604"/>
      <c r="AN23" s="605"/>
      <c r="AO23" s="602">
        <v>46180</v>
      </c>
      <c r="AP23" s="602"/>
      <c r="AQ23" s="602"/>
      <c r="AR23" s="602"/>
      <c r="AS23" s="602"/>
      <c r="AT23" s="603">
        <v>46181</v>
      </c>
      <c r="AU23" s="604"/>
      <c r="AV23" s="604"/>
      <c r="AW23" s="604"/>
      <c r="AX23" s="605"/>
    </row>
    <row r="24" spans="2:50" ht="14.25" customHeight="1">
      <c r="B24" s="572" t="s">
        <v>162</v>
      </c>
      <c r="C24" s="572" t="s">
        <v>157</v>
      </c>
      <c r="D24" s="572"/>
      <c r="E24" s="572" t="s">
        <v>158</v>
      </c>
      <c r="F24" s="572"/>
      <c r="G24" s="572"/>
      <c r="H24" s="572" t="s">
        <v>163</v>
      </c>
      <c r="I24" s="576" t="s">
        <v>365</v>
      </c>
      <c r="J24" s="576"/>
      <c r="K24" s="576"/>
      <c r="L24" s="576" t="s">
        <v>163</v>
      </c>
      <c r="M24" s="576" t="s">
        <v>165</v>
      </c>
      <c r="N24" s="572"/>
      <c r="O24" s="572" t="s">
        <v>164</v>
      </c>
      <c r="P24" s="572" t="s">
        <v>160</v>
      </c>
      <c r="Q24" s="572"/>
      <c r="R24" s="572"/>
      <c r="S24" s="572"/>
      <c r="T24" s="572" t="s">
        <v>163</v>
      </c>
      <c r="U24" s="572" t="s">
        <v>160</v>
      </c>
      <c r="V24" s="572"/>
      <c r="W24" s="572"/>
      <c r="X24" s="572"/>
      <c r="Y24" s="572" t="s">
        <v>163</v>
      </c>
      <c r="Z24" s="572" t="s">
        <v>160</v>
      </c>
      <c r="AA24" s="572"/>
      <c r="AB24" s="572"/>
      <c r="AC24" s="572"/>
      <c r="AD24" s="572" t="s">
        <v>163</v>
      </c>
      <c r="AE24" s="572" t="s">
        <v>160</v>
      </c>
      <c r="AF24" s="572"/>
      <c r="AG24" s="572"/>
      <c r="AH24" s="572"/>
      <c r="AI24" s="572" t="s">
        <v>163</v>
      </c>
      <c r="AJ24" s="572" t="s">
        <v>160</v>
      </c>
      <c r="AK24" s="572"/>
      <c r="AL24" s="572"/>
      <c r="AM24" s="572"/>
      <c r="AN24" s="572" t="s">
        <v>163</v>
      </c>
      <c r="AO24" s="572" t="s">
        <v>160</v>
      </c>
      <c r="AP24" s="572"/>
      <c r="AQ24" s="572"/>
      <c r="AR24" s="572"/>
      <c r="AS24" s="572" t="s">
        <v>163</v>
      </c>
      <c r="AT24" s="572" t="s">
        <v>160</v>
      </c>
      <c r="AU24" s="572"/>
      <c r="AV24" s="572"/>
      <c r="AW24" s="572"/>
      <c r="AX24" s="572" t="s">
        <v>163</v>
      </c>
    </row>
    <row r="25" spans="2:50" ht="14.25" customHeight="1">
      <c r="B25" s="572"/>
      <c r="C25" s="572"/>
      <c r="D25" s="572"/>
      <c r="E25" s="572" t="s">
        <v>366</v>
      </c>
      <c r="F25" s="572"/>
      <c r="G25" s="572"/>
      <c r="H25" s="572"/>
      <c r="I25" s="576" t="s">
        <v>366</v>
      </c>
      <c r="J25" s="576"/>
      <c r="K25" s="576"/>
      <c r="L25" s="576"/>
      <c r="M25" s="576"/>
      <c r="N25" s="572"/>
      <c r="O25" s="572"/>
      <c r="P25" s="572" t="s">
        <v>367</v>
      </c>
      <c r="Q25" s="572"/>
      <c r="R25" s="572"/>
      <c r="S25" s="572"/>
      <c r="T25" s="572"/>
      <c r="U25" s="572" t="s">
        <v>367</v>
      </c>
      <c r="V25" s="572"/>
      <c r="W25" s="572"/>
      <c r="X25" s="572"/>
      <c r="Y25" s="572"/>
      <c r="Z25" s="572" t="s">
        <v>367</v>
      </c>
      <c r="AA25" s="572"/>
      <c r="AB25" s="572"/>
      <c r="AC25" s="572"/>
      <c r="AD25" s="572"/>
      <c r="AE25" s="572" t="s">
        <v>367</v>
      </c>
      <c r="AF25" s="572"/>
      <c r="AG25" s="572"/>
      <c r="AH25" s="572"/>
      <c r="AI25" s="572"/>
      <c r="AJ25" s="572" t="s">
        <v>367</v>
      </c>
      <c r="AK25" s="572"/>
      <c r="AL25" s="572"/>
      <c r="AM25" s="572"/>
      <c r="AN25" s="572"/>
      <c r="AO25" s="572" t="s">
        <v>367</v>
      </c>
      <c r="AP25" s="572"/>
      <c r="AQ25" s="572"/>
      <c r="AR25" s="572"/>
      <c r="AS25" s="572"/>
      <c r="AT25" s="572" t="s">
        <v>367</v>
      </c>
      <c r="AU25" s="572"/>
      <c r="AV25" s="572"/>
      <c r="AW25" s="572"/>
      <c r="AX25" s="572"/>
    </row>
    <row r="26" spans="2:50" ht="14.25" customHeight="1">
      <c r="B26" s="572"/>
      <c r="C26" s="572"/>
      <c r="D26" s="572"/>
      <c r="E26" s="180" t="s">
        <v>159</v>
      </c>
      <c r="F26" s="180" t="s">
        <v>368</v>
      </c>
      <c r="G26" s="180" t="s">
        <v>161</v>
      </c>
      <c r="H26" s="572"/>
      <c r="I26" s="181" t="s">
        <v>159</v>
      </c>
      <c r="J26" s="181" t="s">
        <v>368</v>
      </c>
      <c r="K26" s="181" t="s">
        <v>161</v>
      </c>
      <c r="L26" s="576"/>
      <c r="M26" s="576"/>
      <c r="N26" s="572"/>
      <c r="O26" s="572"/>
      <c r="P26" s="180" t="s">
        <v>159</v>
      </c>
      <c r="Q26" s="180" t="s">
        <v>368</v>
      </c>
      <c r="R26" s="180" t="s">
        <v>161</v>
      </c>
      <c r="S26" s="182" t="s">
        <v>165</v>
      </c>
      <c r="T26" s="572"/>
      <c r="U26" s="180" t="s">
        <v>159</v>
      </c>
      <c r="V26" s="180" t="s">
        <v>368</v>
      </c>
      <c r="W26" s="180" t="s">
        <v>161</v>
      </c>
      <c r="X26" s="182" t="s">
        <v>165</v>
      </c>
      <c r="Y26" s="572"/>
      <c r="Z26" s="180" t="s">
        <v>159</v>
      </c>
      <c r="AA26" s="180" t="s">
        <v>368</v>
      </c>
      <c r="AB26" s="180" t="s">
        <v>161</v>
      </c>
      <c r="AC26" s="182" t="s">
        <v>165</v>
      </c>
      <c r="AD26" s="572"/>
      <c r="AE26" s="180" t="s">
        <v>159</v>
      </c>
      <c r="AF26" s="180" t="s">
        <v>368</v>
      </c>
      <c r="AG26" s="180" t="s">
        <v>161</v>
      </c>
      <c r="AH26" s="182" t="s">
        <v>165</v>
      </c>
      <c r="AI26" s="572"/>
      <c r="AJ26" s="180" t="s">
        <v>159</v>
      </c>
      <c r="AK26" s="180" t="s">
        <v>368</v>
      </c>
      <c r="AL26" s="180" t="s">
        <v>161</v>
      </c>
      <c r="AM26" s="182" t="s">
        <v>165</v>
      </c>
      <c r="AN26" s="572"/>
      <c r="AO26" s="180" t="s">
        <v>159</v>
      </c>
      <c r="AP26" s="180" t="s">
        <v>368</v>
      </c>
      <c r="AQ26" s="180" t="s">
        <v>161</v>
      </c>
      <c r="AR26" s="182" t="s">
        <v>165</v>
      </c>
      <c r="AS26" s="572"/>
      <c r="AT26" s="180" t="s">
        <v>159</v>
      </c>
      <c r="AU26" s="180" t="s">
        <v>368</v>
      </c>
      <c r="AV26" s="180" t="s">
        <v>161</v>
      </c>
      <c r="AW26" s="182" t="s">
        <v>165</v>
      </c>
      <c r="AX26" s="572"/>
    </row>
    <row r="27" spans="2:50" ht="14.25" customHeight="1">
      <c r="B27" s="572" t="s">
        <v>348</v>
      </c>
      <c r="C27" s="180">
        <v>1</v>
      </c>
      <c r="D27" s="183" t="s">
        <v>342</v>
      </c>
      <c r="E27" s="180">
        <v>24</v>
      </c>
      <c r="F27" s="180">
        <v>2000</v>
      </c>
      <c r="G27" s="185">
        <f t="shared" ref="G27:G33" si="15">F27/E27</f>
        <v>83.333333333333329</v>
      </c>
      <c r="H27" s="573">
        <f>AVERAGE(G27:G41)</f>
        <v>91.57547076801734</v>
      </c>
      <c r="I27" s="186">
        <f>AVERAGE(P27,U27,Z27,AE27,AJ27,AO27,AT27)</f>
        <v>24</v>
      </c>
      <c r="J27" s="186">
        <f>AVERAGE(Q27,V27,AA27,AF27,AK27,AP27,AU27)</f>
        <v>1790.676543372864</v>
      </c>
      <c r="K27" s="187">
        <f>AVERAGE(R27,W27,AB27,AG27,AL27,AQ27,AV27)</f>
        <v>74.611522640536009</v>
      </c>
      <c r="L27" s="574">
        <f>IFERROR(AVERAGE(K27:K41),"-")</f>
        <v>83.410713746625532</v>
      </c>
      <c r="M27" s="186">
        <f>RANK(K27, K$27:$K$41)</f>
        <v>7</v>
      </c>
      <c r="N27" s="572"/>
      <c r="O27" s="572"/>
      <c r="P27" s="188">
        <v>24</v>
      </c>
      <c r="Q27" s="188">
        <v>1791.3622576585778</v>
      </c>
      <c r="R27" s="185">
        <f>IFERROR(Q27/P27,"")</f>
        <v>74.640094069107406</v>
      </c>
      <c r="S27" s="182">
        <f>RANK(R27, R$27:R$41)</f>
        <v>7</v>
      </c>
      <c r="T27" s="573">
        <f>AVERAGE(R27:R41)</f>
        <v>83.417008587543251</v>
      </c>
      <c r="U27" s="188">
        <v>24</v>
      </c>
      <c r="V27" s="188">
        <v>1791.162257658578</v>
      </c>
      <c r="W27" s="185">
        <f t="shared" ref="W27:W33" si="16">IFERROR(V27/U27,"")</f>
        <v>74.63176073577408</v>
      </c>
      <c r="X27" s="182">
        <f>RANK(W27, W$27:W$41)</f>
        <v>7</v>
      </c>
      <c r="Y27" s="573">
        <f>AVERAGE(W27:W41)</f>
        <v>83.415764872666017</v>
      </c>
      <c r="Z27" s="188">
        <v>24</v>
      </c>
      <c r="AA27" s="188">
        <v>1790.3622576585783</v>
      </c>
      <c r="AB27" s="185">
        <f t="shared" ref="AB27:AB33" si="17">IFERROR(AA27/Z27,"")</f>
        <v>74.598427402440763</v>
      </c>
      <c r="AC27" s="182">
        <f>RANK(AB27, AB$27:AB$41)</f>
        <v>7</v>
      </c>
      <c r="AD27" s="573">
        <f>AVERAGE(AB27:AB41)</f>
        <v>83.415900927087776</v>
      </c>
      <c r="AE27" s="188">
        <v>24</v>
      </c>
      <c r="AF27" s="188">
        <v>1791.1622576585785</v>
      </c>
      <c r="AG27" s="185">
        <f>IFERROR(AF27/AE27,"")</f>
        <v>74.631760735774108</v>
      </c>
      <c r="AH27" s="182">
        <f>RANK(AG27, AG$27:AG$41)</f>
        <v>7</v>
      </c>
      <c r="AI27" s="573">
        <f>AVERAGE(AG27:AG41)</f>
        <v>83.41198492590469</v>
      </c>
      <c r="AJ27" s="188">
        <v>24</v>
      </c>
      <c r="AK27" s="188">
        <v>1790.7622576585784</v>
      </c>
      <c r="AL27" s="185">
        <f t="shared" ref="AL27:AL33" si="18">IFERROR(AK27/AJ27,"")</f>
        <v>74.615094069107428</v>
      </c>
      <c r="AM27" s="182">
        <f>RANK(AL27, AL$27:AL$41)</f>
        <v>7</v>
      </c>
      <c r="AN27" s="573">
        <f>AVERAGE(AL27:AL41)</f>
        <v>83.409603973523744</v>
      </c>
      <c r="AO27" s="188">
        <v>24</v>
      </c>
      <c r="AP27" s="188">
        <v>1790.3622576585785</v>
      </c>
      <c r="AQ27" s="185">
        <f t="shared" ref="AQ27:AQ33" si="19">IFERROR(AP27/AO27,"")</f>
        <v>74.598427402440777</v>
      </c>
      <c r="AR27" s="182">
        <f>RANK(AQ27, AQ$27:AQ$41)</f>
        <v>7</v>
      </c>
      <c r="AS27" s="573">
        <f>AVERAGE(AQ27:AQ41)</f>
        <v>83.403531805526114</v>
      </c>
      <c r="AT27" s="188">
        <v>24</v>
      </c>
      <c r="AU27" s="188">
        <v>1789.5622576585788</v>
      </c>
      <c r="AV27" s="185">
        <f t="shared" ref="AV27:AV33" si="20">IFERROR(AU27/AT27,"")</f>
        <v>74.565094069107445</v>
      </c>
      <c r="AW27" s="182">
        <f>RANK(AV27, AV$27:AV$41)</f>
        <v>7</v>
      </c>
      <c r="AX27" s="573">
        <f>AVERAGE(AV27:AV41)</f>
        <v>83.401201134127135</v>
      </c>
    </row>
    <row r="28" spans="2:50" ht="14.25" customHeight="1">
      <c r="B28" s="572"/>
      <c r="C28" s="180">
        <v>2</v>
      </c>
      <c r="D28" s="183" t="s">
        <v>341</v>
      </c>
      <c r="E28" s="180">
        <v>23</v>
      </c>
      <c r="F28" s="180">
        <v>2000</v>
      </c>
      <c r="G28" s="185">
        <f t="shared" si="15"/>
        <v>86.956521739130437</v>
      </c>
      <c r="H28" s="573"/>
      <c r="I28" s="186">
        <f t="shared" ref="I28:K33" si="21">AVERAGE(P28,U28,Z28,AE28,AJ28,AO28,AT28)</f>
        <v>23</v>
      </c>
      <c r="J28" s="186">
        <f t="shared" si="21"/>
        <v>1788.2857142857131</v>
      </c>
      <c r="K28" s="187">
        <f t="shared" si="21"/>
        <v>77.751552795031003</v>
      </c>
      <c r="L28" s="574"/>
      <c r="M28" s="186">
        <f>RANK(K28, K$27:$K$41)</f>
        <v>4</v>
      </c>
      <c r="N28" s="572"/>
      <c r="O28" s="572"/>
      <c r="P28" s="188">
        <v>23</v>
      </c>
      <c r="Q28" s="188">
        <v>1788.9999999999982</v>
      </c>
      <c r="R28" s="185">
        <f t="shared" ref="R28:R33" si="22">IFERROR(Q28/P28,"")</f>
        <v>77.782608695652101</v>
      </c>
      <c r="S28" s="182">
        <f t="shared" ref="S28:S33" si="23">RANK(R28, R$27:R$41)</f>
        <v>4</v>
      </c>
      <c r="T28" s="573"/>
      <c r="U28" s="188">
        <v>23</v>
      </c>
      <c r="V28" s="188">
        <v>1787.9999999999986</v>
      </c>
      <c r="W28" s="185">
        <f t="shared" si="16"/>
        <v>77.739130434782552</v>
      </c>
      <c r="X28" s="182">
        <f t="shared" ref="X28:X33" si="24">RANK(W28, W$27:W$41)</f>
        <v>4</v>
      </c>
      <c r="Y28" s="573"/>
      <c r="Z28" s="188">
        <v>23</v>
      </c>
      <c r="AA28" s="188">
        <v>1788.5999999999985</v>
      </c>
      <c r="AB28" s="185">
        <f t="shared" si="17"/>
        <v>77.76521739130429</v>
      </c>
      <c r="AC28" s="182">
        <f t="shared" ref="AC28:AC33" si="25">RANK(AB28, AB$27:AB$41)</f>
        <v>4</v>
      </c>
      <c r="AD28" s="573"/>
      <c r="AE28" s="188">
        <v>23</v>
      </c>
      <c r="AF28" s="188">
        <v>1787.9999999999989</v>
      </c>
      <c r="AG28" s="185">
        <f t="shared" ref="AG28:AG33" si="26">IFERROR(AF28/AE28,"")</f>
        <v>77.739130434782552</v>
      </c>
      <c r="AH28" s="182">
        <f t="shared" ref="AH28:AH33" si="27">RANK(AG28, AG$27:AG$41)</f>
        <v>4</v>
      </c>
      <c r="AI28" s="573"/>
      <c r="AJ28" s="188">
        <v>23</v>
      </c>
      <c r="AK28" s="188">
        <v>1787.9999999999986</v>
      </c>
      <c r="AL28" s="185">
        <f t="shared" si="18"/>
        <v>77.739130434782552</v>
      </c>
      <c r="AM28" s="182">
        <f t="shared" ref="AM28:AM33" si="28">RANK(AL28, AL$27:AL$41)</f>
        <v>4</v>
      </c>
      <c r="AN28" s="573"/>
      <c r="AO28" s="188">
        <v>23</v>
      </c>
      <c r="AP28" s="188">
        <v>1788.3999999999987</v>
      </c>
      <c r="AQ28" s="185">
        <f t="shared" si="19"/>
        <v>77.756521739130378</v>
      </c>
      <c r="AR28" s="182">
        <f t="shared" ref="AR28:AR33" si="29">RANK(AQ28, AQ$27:AQ$41)</f>
        <v>4</v>
      </c>
      <c r="AS28" s="573"/>
      <c r="AT28" s="188">
        <v>23</v>
      </c>
      <c r="AU28" s="188">
        <v>1787.9999999999989</v>
      </c>
      <c r="AV28" s="185">
        <f t="shared" si="20"/>
        <v>77.739130434782552</v>
      </c>
      <c r="AW28" s="182">
        <f t="shared" ref="AW28:AW33" si="30">RANK(AV28, AV$27:AV$41)</f>
        <v>4</v>
      </c>
      <c r="AX28" s="573"/>
    </row>
    <row r="29" spans="2:50" ht="14.25" customHeight="1">
      <c r="B29" s="572"/>
      <c r="C29" s="180">
        <v>3</v>
      </c>
      <c r="D29" s="183" t="s">
        <v>349</v>
      </c>
      <c r="E29" s="180">
        <v>23</v>
      </c>
      <c r="F29" s="180">
        <v>2000</v>
      </c>
      <c r="G29" s="185">
        <f t="shared" si="15"/>
        <v>86.956521739130437</v>
      </c>
      <c r="H29" s="573"/>
      <c r="I29" s="186">
        <f t="shared" si="21"/>
        <v>23</v>
      </c>
      <c r="J29" s="186">
        <f t="shared" si="21"/>
        <v>1791.9321897120838</v>
      </c>
      <c r="K29" s="187">
        <f t="shared" si="21"/>
        <v>77.910095204873201</v>
      </c>
      <c r="L29" s="574"/>
      <c r="M29" s="186">
        <f>RANK(K29, K$27:$K$41)</f>
        <v>3</v>
      </c>
      <c r="N29" s="572"/>
      <c r="O29" s="572"/>
      <c r="P29" s="188">
        <v>23</v>
      </c>
      <c r="Q29" s="188">
        <v>1791.1607611406548</v>
      </c>
      <c r="R29" s="185">
        <f t="shared" si="22"/>
        <v>77.876554832202388</v>
      </c>
      <c r="S29" s="182">
        <f t="shared" si="23"/>
        <v>3</v>
      </c>
      <c r="T29" s="573"/>
      <c r="U29" s="188">
        <v>23</v>
      </c>
      <c r="V29" s="188">
        <v>1792.160761140655</v>
      </c>
      <c r="W29" s="185">
        <f t="shared" si="16"/>
        <v>77.920033093071964</v>
      </c>
      <c r="X29" s="182">
        <f t="shared" si="24"/>
        <v>3</v>
      </c>
      <c r="Y29" s="573"/>
      <c r="Z29" s="188">
        <v>23</v>
      </c>
      <c r="AA29" s="188">
        <v>1792.1607611406553</v>
      </c>
      <c r="AB29" s="185">
        <f t="shared" si="17"/>
        <v>77.920033093071964</v>
      </c>
      <c r="AC29" s="182">
        <f t="shared" si="25"/>
        <v>3</v>
      </c>
      <c r="AD29" s="573"/>
      <c r="AE29" s="188">
        <v>23</v>
      </c>
      <c r="AF29" s="188">
        <v>1792.1607611406553</v>
      </c>
      <c r="AG29" s="185">
        <f t="shared" si="26"/>
        <v>77.920033093071964</v>
      </c>
      <c r="AH29" s="182">
        <f t="shared" si="27"/>
        <v>3</v>
      </c>
      <c r="AI29" s="573"/>
      <c r="AJ29" s="188">
        <v>23</v>
      </c>
      <c r="AK29" s="188">
        <v>1792.1607611406553</v>
      </c>
      <c r="AL29" s="185">
        <f t="shared" si="18"/>
        <v>77.920033093071964</v>
      </c>
      <c r="AM29" s="182">
        <f t="shared" si="28"/>
        <v>3</v>
      </c>
      <c r="AN29" s="573"/>
      <c r="AO29" s="188">
        <v>23</v>
      </c>
      <c r="AP29" s="188">
        <v>1791.5607611406551</v>
      </c>
      <c r="AQ29" s="185">
        <f t="shared" si="19"/>
        <v>77.893946136550227</v>
      </c>
      <c r="AR29" s="182">
        <f t="shared" si="29"/>
        <v>3</v>
      </c>
      <c r="AS29" s="573"/>
      <c r="AT29" s="188">
        <v>23</v>
      </c>
      <c r="AU29" s="188">
        <v>1792.160761140655</v>
      </c>
      <c r="AV29" s="185">
        <f t="shared" si="20"/>
        <v>77.920033093071964</v>
      </c>
      <c r="AW29" s="182">
        <f t="shared" si="30"/>
        <v>3</v>
      </c>
      <c r="AX29" s="573"/>
    </row>
    <row r="30" spans="2:50" ht="14.25" customHeight="1">
      <c r="B30" s="572"/>
      <c r="C30" s="180">
        <v>4</v>
      </c>
      <c r="D30" s="183" t="s">
        <v>343</v>
      </c>
      <c r="E30" s="180">
        <v>23</v>
      </c>
      <c r="F30" s="180">
        <v>2000</v>
      </c>
      <c r="G30" s="185">
        <f t="shared" si="15"/>
        <v>86.956521739130437</v>
      </c>
      <c r="H30" s="573"/>
      <c r="I30" s="186">
        <f t="shared" si="21"/>
        <v>23</v>
      </c>
      <c r="J30" s="186">
        <f t="shared" si="21"/>
        <v>1785.4571428571435</v>
      </c>
      <c r="K30" s="187">
        <f t="shared" si="21"/>
        <v>77.628571428571462</v>
      </c>
      <c r="L30" s="574"/>
      <c r="M30" s="186">
        <f>RANK(K30, K$27:$K$41)</f>
        <v>5</v>
      </c>
      <c r="N30" s="572"/>
      <c r="O30" s="572"/>
      <c r="P30" s="188">
        <v>23</v>
      </c>
      <c r="Q30" s="188">
        <v>1786.8</v>
      </c>
      <c r="R30" s="185">
        <f t="shared" si="22"/>
        <v>77.686956521739134</v>
      </c>
      <c r="S30" s="182">
        <f t="shared" si="23"/>
        <v>5</v>
      </c>
      <c r="T30" s="573"/>
      <c r="U30" s="188">
        <v>23</v>
      </c>
      <c r="V30" s="188">
        <v>1786.2000000000003</v>
      </c>
      <c r="W30" s="185">
        <f t="shared" si="16"/>
        <v>77.660869565217396</v>
      </c>
      <c r="X30" s="182">
        <f t="shared" si="24"/>
        <v>5</v>
      </c>
      <c r="Y30" s="573"/>
      <c r="Z30" s="188">
        <v>23</v>
      </c>
      <c r="AA30" s="188">
        <v>1785.6000000000001</v>
      </c>
      <c r="AB30" s="185">
        <f t="shared" si="17"/>
        <v>77.634782608695659</v>
      </c>
      <c r="AC30" s="182">
        <f t="shared" si="25"/>
        <v>5</v>
      </c>
      <c r="AD30" s="573"/>
      <c r="AE30" s="188">
        <v>23</v>
      </c>
      <c r="AF30" s="188">
        <v>1785.0000000000005</v>
      </c>
      <c r="AG30" s="185">
        <f t="shared" si="26"/>
        <v>77.608695652173935</v>
      </c>
      <c r="AH30" s="182">
        <f t="shared" si="27"/>
        <v>5</v>
      </c>
      <c r="AI30" s="573"/>
      <c r="AJ30" s="188">
        <v>23</v>
      </c>
      <c r="AK30" s="188">
        <v>1785.0000000000007</v>
      </c>
      <c r="AL30" s="185">
        <f t="shared" si="18"/>
        <v>77.608695652173949</v>
      </c>
      <c r="AM30" s="182">
        <f t="shared" si="28"/>
        <v>5</v>
      </c>
      <c r="AN30" s="573"/>
      <c r="AO30" s="188">
        <v>23</v>
      </c>
      <c r="AP30" s="188">
        <v>1785.0000000000011</v>
      </c>
      <c r="AQ30" s="185">
        <f t="shared" si="19"/>
        <v>77.608695652173964</v>
      </c>
      <c r="AR30" s="182">
        <f t="shared" si="29"/>
        <v>5</v>
      </c>
      <c r="AS30" s="573"/>
      <c r="AT30" s="188">
        <v>23</v>
      </c>
      <c r="AU30" s="188">
        <v>1784.6000000000013</v>
      </c>
      <c r="AV30" s="185">
        <f t="shared" si="20"/>
        <v>77.591304347826139</v>
      </c>
      <c r="AW30" s="182">
        <f t="shared" si="30"/>
        <v>5</v>
      </c>
      <c r="AX30" s="573"/>
    </row>
    <row r="31" spans="2:50" ht="14.25" customHeight="1">
      <c r="B31" s="572"/>
      <c r="C31" s="180">
        <v>5</v>
      </c>
      <c r="D31" s="183" t="s">
        <v>474</v>
      </c>
      <c r="E31" s="180">
        <v>21</v>
      </c>
      <c r="F31" s="180">
        <v>1800</v>
      </c>
      <c r="G31" s="185">
        <f t="shared" si="15"/>
        <v>85.714285714285708</v>
      </c>
      <c r="H31" s="573"/>
      <c r="I31" s="186">
        <f t="shared" si="21"/>
        <v>21</v>
      </c>
      <c r="J31" s="186">
        <f t="shared" si="21"/>
        <v>1610.5219286359777</v>
      </c>
      <c r="K31" s="187">
        <f t="shared" si="21"/>
        <v>76.69152041123705</v>
      </c>
      <c r="L31" s="574"/>
      <c r="M31" s="186">
        <f>RANK(K31, K$27:$K$41)</f>
        <v>6</v>
      </c>
      <c r="N31" s="572"/>
      <c r="O31" s="572"/>
      <c r="P31" s="188">
        <v>21</v>
      </c>
      <c r="Q31" s="188">
        <v>1609.6733572074063</v>
      </c>
      <c r="R31" s="185">
        <f t="shared" si="22"/>
        <v>76.651112247971724</v>
      </c>
      <c r="S31" s="182">
        <f t="shared" si="23"/>
        <v>6</v>
      </c>
      <c r="T31" s="573"/>
      <c r="U31" s="188">
        <v>21</v>
      </c>
      <c r="V31" s="188">
        <v>1610.2133572074063</v>
      </c>
      <c r="W31" s="185">
        <f t="shared" si="16"/>
        <v>76.676826533686011</v>
      </c>
      <c r="X31" s="182">
        <f t="shared" si="24"/>
        <v>6</v>
      </c>
      <c r="Y31" s="573"/>
      <c r="Z31" s="188">
        <v>21</v>
      </c>
      <c r="AA31" s="188">
        <v>1610.9333572074065</v>
      </c>
      <c r="AB31" s="185">
        <f t="shared" si="17"/>
        <v>76.711112247971741</v>
      </c>
      <c r="AC31" s="182">
        <f t="shared" si="25"/>
        <v>6</v>
      </c>
      <c r="AD31" s="573"/>
      <c r="AE31" s="188">
        <v>21</v>
      </c>
      <c r="AF31" s="188">
        <v>1610.7533572074067</v>
      </c>
      <c r="AG31" s="185">
        <f t="shared" si="26"/>
        <v>76.702540819400312</v>
      </c>
      <c r="AH31" s="182">
        <f t="shared" si="27"/>
        <v>6</v>
      </c>
      <c r="AI31" s="573"/>
      <c r="AJ31" s="188">
        <v>21</v>
      </c>
      <c r="AK31" s="188">
        <v>1610.7533572074067</v>
      </c>
      <c r="AL31" s="185">
        <f t="shared" si="18"/>
        <v>76.702540819400312</v>
      </c>
      <c r="AM31" s="182">
        <f t="shared" si="28"/>
        <v>6</v>
      </c>
      <c r="AN31" s="573"/>
      <c r="AO31" s="188">
        <v>21</v>
      </c>
      <c r="AP31" s="188">
        <v>1610.3933572074066</v>
      </c>
      <c r="AQ31" s="185">
        <f t="shared" si="19"/>
        <v>76.685397962257454</v>
      </c>
      <c r="AR31" s="182">
        <f t="shared" si="29"/>
        <v>6</v>
      </c>
      <c r="AS31" s="573"/>
      <c r="AT31" s="188">
        <v>21</v>
      </c>
      <c r="AU31" s="188">
        <v>1610.9333572074067</v>
      </c>
      <c r="AV31" s="185">
        <f t="shared" si="20"/>
        <v>76.711112247971755</v>
      </c>
      <c r="AW31" s="182">
        <f t="shared" si="30"/>
        <v>6</v>
      </c>
      <c r="AX31" s="573"/>
    </row>
    <row r="32" spans="2:50" ht="14.25" customHeight="1">
      <c r="B32" s="572"/>
      <c r="C32" s="180">
        <v>6</v>
      </c>
      <c r="D32" s="183" t="s">
        <v>475</v>
      </c>
      <c r="E32" s="180">
        <v>20</v>
      </c>
      <c r="F32" s="180">
        <v>2000</v>
      </c>
      <c r="G32" s="185">
        <f t="shared" si="15"/>
        <v>100</v>
      </c>
      <c r="H32" s="573"/>
      <c r="I32" s="186">
        <f t="shared" si="21"/>
        <v>19</v>
      </c>
      <c r="J32" s="186">
        <f t="shared" si="21"/>
        <v>1788</v>
      </c>
      <c r="K32" s="187">
        <f t="shared" si="21"/>
        <v>94.105263157894726</v>
      </c>
      <c r="L32" s="574"/>
      <c r="M32" s="186">
        <f>RANK(K32, K$27:$K$41)</f>
        <v>2</v>
      </c>
      <c r="N32" s="572"/>
      <c r="O32" s="572"/>
      <c r="P32" s="188">
        <v>19</v>
      </c>
      <c r="Q32" s="188">
        <v>1788</v>
      </c>
      <c r="R32" s="185">
        <f t="shared" si="22"/>
        <v>94.10526315789474</v>
      </c>
      <c r="S32" s="182">
        <f t="shared" si="23"/>
        <v>2</v>
      </c>
      <c r="T32" s="573"/>
      <c r="U32" s="188">
        <v>19</v>
      </c>
      <c r="V32" s="188">
        <v>1788</v>
      </c>
      <c r="W32" s="185">
        <f t="shared" si="16"/>
        <v>94.10526315789474</v>
      </c>
      <c r="X32" s="182">
        <f t="shared" si="24"/>
        <v>2</v>
      </c>
      <c r="Y32" s="573"/>
      <c r="Z32" s="188">
        <v>19</v>
      </c>
      <c r="AA32" s="188">
        <v>1788</v>
      </c>
      <c r="AB32" s="185">
        <f t="shared" si="17"/>
        <v>94.10526315789474</v>
      </c>
      <c r="AC32" s="182">
        <f t="shared" si="25"/>
        <v>2</v>
      </c>
      <c r="AD32" s="573"/>
      <c r="AE32" s="188">
        <v>19</v>
      </c>
      <c r="AF32" s="188">
        <v>1788</v>
      </c>
      <c r="AG32" s="185">
        <f t="shared" si="26"/>
        <v>94.10526315789474</v>
      </c>
      <c r="AH32" s="182">
        <f t="shared" si="27"/>
        <v>2</v>
      </c>
      <c r="AI32" s="573"/>
      <c r="AJ32" s="188">
        <v>19</v>
      </c>
      <c r="AK32" s="188">
        <v>1787.9999999999998</v>
      </c>
      <c r="AL32" s="185">
        <f t="shared" si="18"/>
        <v>94.105263157894726</v>
      </c>
      <c r="AM32" s="182">
        <f t="shared" si="28"/>
        <v>2</v>
      </c>
      <c r="AN32" s="573"/>
      <c r="AO32" s="188">
        <v>19</v>
      </c>
      <c r="AP32" s="188">
        <v>1788</v>
      </c>
      <c r="AQ32" s="185">
        <f t="shared" si="19"/>
        <v>94.10526315789474</v>
      </c>
      <c r="AR32" s="182">
        <f t="shared" si="29"/>
        <v>2</v>
      </c>
      <c r="AS32" s="573"/>
      <c r="AT32" s="188">
        <v>19</v>
      </c>
      <c r="AU32" s="188">
        <v>1787.9999999999998</v>
      </c>
      <c r="AV32" s="185">
        <f t="shared" si="20"/>
        <v>94.105263157894726</v>
      </c>
      <c r="AW32" s="182">
        <f t="shared" si="30"/>
        <v>2</v>
      </c>
      <c r="AX32" s="573"/>
    </row>
    <row r="33" spans="2:50" ht="14.25" customHeight="1">
      <c r="B33" s="572"/>
      <c r="C33" s="180">
        <v>7</v>
      </c>
      <c r="D33" s="183" t="s">
        <v>582</v>
      </c>
      <c r="E33" s="180">
        <v>18</v>
      </c>
      <c r="F33" s="180">
        <v>2000</v>
      </c>
      <c r="G33" s="185">
        <f t="shared" si="15"/>
        <v>111.11111111111111</v>
      </c>
      <c r="H33" s="573"/>
      <c r="I33" s="186">
        <f t="shared" si="21"/>
        <v>17</v>
      </c>
      <c r="J33" s="186">
        <f t="shared" si="21"/>
        <v>1788</v>
      </c>
      <c r="K33" s="187">
        <f t="shared" si="21"/>
        <v>105.17647058823528</v>
      </c>
      <c r="L33" s="574"/>
      <c r="M33" s="186">
        <f>RANK(K33, K$27:$K$41)</f>
        <v>1</v>
      </c>
      <c r="N33" s="572"/>
      <c r="O33" s="572"/>
      <c r="P33" s="188">
        <v>17</v>
      </c>
      <c r="Q33" s="188">
        <v>1788.0000000000002</v>
      </c>
      <c r="R33" s="185">
        <f t="shared" si="22"/>
        <v>105.1764705882353</v>
      </c>
      <c r="S33" s="182">
        <f t="shared" si="23"/>
        <v>1</v>
      </c>
      <c r="T33" s="573"/>
      <c r="U33" s="188">
        <v>17</v>
      </c>
      <c r="V33" s="188">
        <v>1788</v>
      </c>
      <c r="W33" s="185">
        <f t="shared" si="16"/>
        <v>105.17647058823529</v>
      </c>
      <c r="X33" s="182">
        <f t="shared" si="24"/>
        <v>1</v>
      </c>
      <c r="Y33" s="573"/>
      <c r="Z33" s="188">
        <v>17</v>
      </c>
      <c r="AA33" s="188">
        <v>1788</v>
      </c>
      <c r="AB33" s="185">
        <f t="shared" si="17"/>
        <v>105.17647058823529</v>
      </c>
      <c r="AC33" s="182">
        <f t="shared" si="25"/>
        <v>1</v>
      </c>
      <c r="AD33" s="573"/>
      <c r="AE33" s="188">
        <v>17</v>
      </c>
      <c r="AF33" s="188">
        <v>1788</v>
      </c>
      <c r="AG33" s="185">
        <f t="shared" si="26"/>
        <v>105.17647058823529</v>
      </c>
      <c r="AH33" s="182">
        <f t="shared" si="27"/>
        <v>1</v>
      </c>
      <c r="AI33" s="573"/>
      <c r="AJ33" s="188">
        <v>17</v>
      </c>
      <c r="AK33" s="188">
        <v>1788</v>
      </c>
      <c r="AL33" s="185">
        <f t="shared" si="18"/>
        <v>105.17647058823529</v>
      </c>
      <c r="AM33" s="182">
        <f t="shared" si="28"/>
        <v>1</v>
      </c>
      <c r="AN33" s="573"/>
      <c r="AO33" s="188">
        <v>17</v>
      </c>
      <c r="AP33" s="188">
        <v>1787.9999999999998</v>
      </c>
      <c r="AQ33" s="185">
        <f t="shared" si="19"/>
        <v>105.17647058823528</v>
      </c>
      <c r="AR33" s="182">
        <f t="shared" si="29"/>
        <v>1</v>
      </c>
      <c r="AS33" s="573"/>
      <c r="AT33" s="188">
        <v>17</v>
      </c>
      <c r="AU33" s="188">
        <v>1787.9999999999998</v>
      </c>
      <c r="AV33" s="185">
        <f t="shared" si="20"/>
        <v>105.17647058823528</v>
      </c>
      <c r="AW33" s="182">
        <f t="shared" si="30"/>
        <v>1</v>
      </c>
      <c r="AX33" s="573"/>
    </row>
    <row r="34" spans="2:50" ht="14.25" customHeight="1">
      <c r="B34" s="572"/>
      <c r="C34" s="180">
        <v>8</v>
      </c>
      <c r="D34" s="183"/>
      <c r="E34" s="180"/>
      <c r="F34" s="180"/>
      <c r="G34" s="185"/>
      <c r="H34" s="573"/>
      <c r="I34" s="186"/>
      <c r="J34" s="186"/>
      <c r="K34" s="187"/>
      <c r="L34" s="574"/>
      <c r="M34" s="186"/>
      <c r="N34" s="572"/>
      <c r="O34" s="572"/>
      <c r="P34" s="188"/>
      <c r="Q34" s="188"/>
      <c r="R34" s="185"/>
      <c r="S34" s="182"/>
      <c r="T34" s="573"/>
      <c r="U34" s="188"/>
      <c r="V34" s="188"/>
      <c r="W34" s="185"/>
      <c r="X34" s="182"/>
      <c r="Y34" s="573"/>
      <c r="Z34" s="188"/>
      <c r="AA34" s="188"/>
      <c r="AB34" s="185"/>
      <c r="AC34" s="182"/>
      <c r="AD34" s="573"/>
      <c r="AE34" s="188"/>
      <c r="AF34" s="188"/>
      <c r="AG34" s="185"/>
      <c r="AH34" s="182"/>
      <c r="AI34" s="573"/>
      <c r="AJ34" s="188"/>
      <c r="AK34" s="188"/>
      <c r="AL34" s="185"/>
      <c r="AM34" s="182"/>
      <c r="AN34" s="573"/>
      <c r="AO34" s="188"/>
      <c r="AP34" s="188"/>
      <c r="AQ34" s="185"/>
      <c r="AR34" s="182"/>
      <c r="AS34" s="573"/>
      <c r="AT34" s="188"/>
      <c r="AU34" s="188"/>
      <c r="AV34" s="185"/>
      <c r="AW34" s="182"/>
      <c r="AX34" s="573"/>
    </row>
    <row r="35" spans="2:50" ht="14.25" customHeight="1">
      <c r="B35" s="572"/>
      <c r="C35" s="180">
        <v>9</v>
      </c>
      <c r="D35" s="183"/>
      <c r="E35" s="180"/>
      <c r="F35" s="180"/>
      <c r="G35" s="185"/>
      <c r="H35" s="573"/>
      <c r="I35" s="186"/>
      <c r="J35" s="186"/>
      <c r="K35" s="187"/>
      <c r="L35" s="574"/>
      <c r="M35" s="186"/>
      <c r="N35" s="572"/>
      <c r="O35" s="572"/>
      <c r="P35" s="188"/>
      <c r="Q35" s="188"/>
      <c r="R35" s="185"/>
      <c r="S35" s="182"/>
      <c r="T35" s="573"/>
      <c r="U35" s="188"/>
      <c r="V35" s="188"/>
      <c r="W35" s="185"/>
      <c r="X35" s="182"/>
      <c r="Y35" s="573"/>
      <c r="Z35" s="188"/>
      <c r="AA35" s="188"/>
      <c r="AB35" s="185"/>
      <c r="AC35" s="182"/>
      <c r="AD35" s="573"/>
      <c r="AE35" s="188"/>
      <c r="AF35" s="188"/>
      <c r="AG35" s="185"/>
      <c r="AH35" s="182"/>
      <c r="AI35" s="573"/>
      <c r="AJ35" s="188"/>
      <c r="AK35" s="188"/>
      <c r="AL35" s="185"/>
      <c r="AM35" s="182"/>
      <c r="AN35" s="573"/>
      <c r="AO35" s="188"/>
      <c r="AP35" s="188"/>
      <c r="AQ35" s="185"/>
      <c r="AR35" s="182"/>
      <c r="AS35" s="573"/>
      <c r="AT35" s="188"/>
      <c r="AU35" s="188"/>
      <c r="AV35" s="185"/>
      <c r="AW35" s="182"/>
      <c r="AX35" s="573"/>
    </row>
    <row r="36" spans="2:50" ht="14.25" customHeight="1">
      <c r="B36" s="572"/>
      <c r="C36" s="180">
        <v>10</v>
      </c>
      <c r="D36" s="183"/>
      <c r="E36" s="180"/>
      <c r="F36" s="180"/>
      <c r="G36" s="185"/>
      <c r="H36" s="573"/>
      <c r="I36" s="186"/>
      <c r="J36" s="186"/>
      <c r="K36" s="187"/>
      <c r="L36" s="574"/>
      <c r="M36" s="186"/>
      <c r="N36" s="572"/>
      <c r="O36" s="572"/>
      <c r="P36" s="188"/>
      <c r="Q36" s="188"/>
      <c r="R36" s="185"/>
      <c r="S36" s="182"/>
      <c r="T36" s="573"/>
      <c r="U36" s="188"/>
      <c r="V36" s="188"/>
      <c r="W36" s="185"/>
      <c r="X36" s="182"/>
      <c r="Y36" s="573"/>
      <c r="Z36" s="188"/>
      <c r="AA36" s="188"/>
      <c r="AB36" s="185"/>
      <c r="AC36" s="182"/>
      <c r="AD36" s="573"/>
      <c r="AE36" s="188"/>
      <c r="AF36" s="188"/>
      <c r="AG36" s="185"/>
      <c r="AH36" s="182"/>
      <c r="AI36" s="573"/>
      <c r="AJ36" s="188"/>
      <c r="AK36" s="188"/>
      <c r="AL36" s="185"/>
      <c r="AM36" s="182"/>
      <c r="AN36" s="573"/>
      <c r="AO36" s="188"/>
      <c r="AP36" s="188"/>
      <c r="AQ36" s="185"/>
      <c r="AR36" s="182"/>
      <c r="AS36" s="573"/>
      <c r="AT36" s="188"/>
      <c r="AU36" s="188"/>
      <c r="AV36" s="185"/>
      <c r="AW36" s="182"/>
      <c r="AX36" s="573"/>
    </row>
    <row r="37" spans="2:50" ht="14.25" customHeight="1">
      <c r="B37" s="572"/>
      <c r="C37" s="180">
        <v>11</v>
      </c>
      <c r="D37" s="183"/>
      <c r="E37" s="180"/>
      <c r="F37" s="180"/>
      <c r="G37" s="185"/>
      <c r="H37" s="573"/>
      <c r="I37" s="186"/>
      <c r="J37" s="186"/>
      <c r="K37" s="187"/>
      <c r="L37" s="574"/>
      <c r="M37" s="186"/>
      <c r="N37" s="572"/>
      <c r="O37" s="572"/>
      <c r="P37" s="188"/>
      <c r="Q37" s="188"/>
      <c r="R37" s="185"/>
      <c r="S37" s="182"/>
      <c r="T37" s="573"/>
      <c r="U37" s="188"/>
      <c r="V37" s="188"/>
      <c r="W37" s="185"/>
      <c r="X37" s="182"/>
      <c r="Y37" s="573"/>
      <c r="Z37" s="188"/>
      <c r="AA37" s="188"/>
      <c r="AB37" s="185"/>
      <c r="AC37" s="182"/>
      <c r="AD37" s="573"/>
      <c r="AE37" s="188"/>
      <c r="AF37" s="188"/>
      <c r="AG37" s="185"/>
      <c r="AH37" s="182"/>
      <c r="AI37" s="573"/>
      <c r="AJ37" s="188"/>
      <c r="AK37" s="188"/>
      <c r="AL37" s="185"/>
      <c r="AM37" s="182"/>
      <c r="AN37" s="573"/>
      <c r="AO37" s="188"/>
      <c r="AP37" s="188"/>
      <c r="AQ37" s="185"/>
      <c r="AR37" s="182"/>
      <c r="AS37" s="573"/>
      <c r="AT37" s="188"/>
      <c r="AU37" s="188"/>
      <c r="AV37" s="185"/>
      <c r="AW37" s="182"/>
      <c r="AX37" s="573"/>
    </row>
    <row r="38" spans="2:50" ht="14.25" customHeight="1">
      <c r="B38" s="572"/>
      <c r="C38" s="180">
        <v>12</v>
      </c>
      <c r="D38" s="183"/>
      <c r="E38" s="180"/>
      <c r="F38" s="180"/>
      <c r="G38" s="185"/>
      <c r="H38" s="573"/>
      <c r="I38" s="186"/>
      <c r="J38" s="186"/>
      <c r="K38" s="187"/>
      <c r="L38" s="574"/>
      <c r="M38" s="186"/>
      <c r="N38" s="572"/>
      <c r="O38" s="572"/>
      <c r="P38" s="188"/>
      <c r="Q38" s="188"/>
      <c r="R38" s="185"/>
      <c r="S38" s="182"/>
      <c r="T38" s="573"/>
      <c r="U38" s="188"/>
      <c r="V38" s="188"/>
      <c r="W38" s="185"/>
      <c r="X38" s="182"/>
      <c r="Y38" s="573"/>
      <c r="Z38" s="188"/>
      <c r="AA38" s="188"/>
      <c r="AB38" s="185"/>
      <c r="AC38" s="182"/>
      <c r="AD38" s="573"/>
      <c r="AE38" s="188"/>
      <c r="AF38" s="188"/>
      <c r="AG38" s="185"/>
      <c r="AH38" s="182"/>
      <c r="AI38" s="573"/>
      <c r="AJ38" s="188"/>
      <c r="AK38" s="188"/>
      <c r="AL38" s="185"/>
      <c r="AM38" s="182"/>
      <c r="AN38" s="573"/>
      <c r="AO38" s="188"/>
      <c r="AP38" s="188"/>
      <c r="AQ38" s="185"/>
      <c r="AR38" s="182"/>
      <c r="AS38" s="573"/>
      <c r="AT38" s="188"/>
      <c r="AU38" s="188"/>
      <c r="AV38" s="185"/>
      <c r="AW38" s="182"/>
      <c r="AX38" s="573"/>
    </row>
    <row r="39" spans="2:50" ht="14.25" customHeight="1">
      <c r="B39" s="572"/>
      <c r="C39" s="180">
        <v>13</v>
      </c>
      <c r="D39" s="183"/>
      <c r="E39" s="180"/>
      <c r="F39" s="180"/>
      <c r="G39" s="185"/>
      <c r="H39" s="573"/>
      <c r="I39" s="186"/>
      <c r="J39" s="186"/>
      <c r="K39" s="187"/>
      <c r="L39" s="574"/>
      <c r="M39" s="186"/>
      <c r="N39" s="572"/>
      <c r="O39" s="572"/>
      <c r="P39" s="188"/>
      <c r="Q39" s="188"/>
      <c r="R39" s="185"/>
      <c r="S39" s="182"/>
      <c r="T39" s="573"/>
      <c r="U39" s="188"/>
      <c r="V39" s="188"/>
      <c r="W39" s="185"/>
      <c r="X39" s="182"/>
      <c r="Y39" s="573"/>
      <c r="Z39" s="188"/>
      <c r="AA39" s="188"/>
      <c r="AB39" s="185"/>
      <c r="AC39" s="182"/>
      <c r="AD39" s="573"/>
      <c r="AE39" s="188"/>
      <c r="AF39" s="188"/>
      <c r="AG39" s="185"/>
      <c r="AH39" s="182"/>
      <c r="AI39" s="573"/>
      <c r="AJ39" s="188"/>
      <c r="AK39" s="188"/>
      <c r="AL39" s="185"/>
      <c r="AM39" s="182"/>
      <c r="AN39" s="573"/>
      <c r="AO39" s="188"/>
      <c r="AP39" s="188"/>
      <c r="AQ39" s="185"/>
      <c r="AR39" s="182"/>
      <c r="AS39" s="573"/>
      <c r="AT39" s="188"/>
      <c r="AU39" s="188"/>
      <c r="AV39" s="185"/>
      <c r="AW39" s="182"/>
      <c r="AX39" s="573"/>
    </row>
    <row r="40" spans="2:50" ht="14.25" customHeight="1">
      <c r="B40" s="572"/>
      <c r="C40" s="180">
        <v>14</v>
      </c>
      <c r="D40" s="183"/>
      <c r="E40" s="180"/>
      <c r="F40" s="180"/>
      <c r="G40" s="185"/>
      <c r="H40" s="573"/>
      <c r="I40" s="186"/>
      <c r="J40" s="186"/>
      <c r="K40" s="187"/>
      <c r="L40" s="574"/>
      <c r="M40" s="186"/>
      <c r="N40" s="572"/>
      <c r="O40" s="572"/>
      <c r="P40" s="188"/>
      <c r="Q40" s="188"/>
      <c r="R40" s="185"/>
      <c r="S40" s="182"/>
      <c r="T40" s="573"/>
      <c r="U40" s="188"/>
      <c r="V40" s="188"/>
      <c r="W40" s="185"/>
      <c r="X40" s="182"/>
      <c r="Y40" s="573"/>
      <c r="Z40" s="188"/>
      <c r="AA40" s="188"/>
      <c r="AB40" s="185"/>
      <c r="AC40" s="182"/>
      <c r="AD40" s="573"/>
      <c r="AE40" s="188"/>
      <c r="AF40" s="188"/>
      <c r="AG40" s="185"/>
      <c r="AH40" s="182"/>
      <c r="AI40" s="573"/>
      <c r="AJ40" s="188"/>
      <c r="AK40" s="188"/>
      <c r="AL40" s="185"/>
      <c r="AM40" s="182"/>
      <c r="AN40" s="573"/>
      <c r="AO40" s="188"/>
      <c r="AP40" s="188"/>
      <c r="AQ40" s="185"/>
      <c r="AR40" s="182"/>
      <c r="AS40" s="573"/>
      <c r="AT40" s="188"/>
      <c r="AU40" s="188"/>
      <c r="AV40" s="185"/>
      <c r="AW40" s="182"/>
      <c r="AX40" s="573"/>
    </row>
    <row r="41" spans="2:50" ht="14.25" customHeight="1">
      <c r="B41" s="572"/>
      <c r="C41" s="180">
        <v>15</v>
      </c>
      <c r="D41" s="183"/>
      <c r="E41" s="180"/>
      <c r="F41" s="180"/>
      <c r="G41" s="185"/>
      <c r="H41" s="573"/>
      <c r="I41" s="186"/>
      <c r="J41" s="186"/>
      <c r="K41" s="187"/>
      <c r="L41" s="574"/>
      <c r="M41" s="186"/>
      <c r="N41" s="572"/>
      <c r="O41" s="572"/>
      <c r="P41" s="188"/>
      <c r="Q41" s="188"/>
      <c r="R41" s="185"/>
      <c r="S41" s="182"/>
      <c r="T41" s="573"/>
      <c r="U41" s="188"/>
      <c r="V41" s="188"/>
      <c r="W41" s="185"/>
      <c r="X41" s="182"/>
      <c r="Y41" s="573"/>
      <c r="Z41" s="188"/>
      <c r="AA41" s="188"/>
      <c r="AB41" s="185"/>
      <c r="AC41" s="182"/>
      <c r="AD41" s="573"/>
      <c r="AE41" s="188"/>
      <c r="AF41" s="188"/>
      <c r="AG41" s="185"/>
      <c r="AH41" s="182"/>
      <c r="AI41" s="573"/>
      <c r="AJ41" s="188"/>
      <c r="AK41" s="188"/>
      <c r="AL41" s="185"/>
      <c r="AM41" s="182"/>
      <c r="AN41" s="573"/>
      <c r="AO41" s="188"/>
      <c r="AP41" s="188"/>
      <c r="AQ41" s="185"/>
      <c r="AR41" s="182"/>
      <c r="AS41" s="573"/>
      <c r="AT41" s="188"/>
      <c r="AU41" s="188"/>
      <c r="AV41" s="185"/>
      <c r="AW41" s="182"/>
      <c r="AX41" s="573"/>
    </row>
  </sheetData>
  <mergeCells count="118"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41"/>
  <sheetViews>
    <sheetView zoomScaleNormal="100" workbookViewId="0">
      <pane xSplit="13" ySplit="1" topLeftCell="N14" activePane="bottomRight" state="frozen"/>
      <selection activeCell="L95" sqref="L95"/>
      <selection pane="topRight" activeCell="L95" sqref="L95"/>
      <selection pane="bottomLeft" activeCell="L95" sqref="L95"/>
      <selection pane="bottomRight" activeCell="B22" sqref="B22:M2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55" t="s">
        <v>683</v>
      </c>
      <c r="C1" s="175">
        <f>AVERAGE(L27)</f>
        <v>79.415024817647932</v>
      </c>
    </row>
    <row r="2" spans="1:50" ht="14.25" customHeight="1">
      <c r="B2" s="586" t="s">
        <v>638</v>
      </c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8"/>
      <c r="N2" s="606" t="s">
        <v>364</v>
      </c>
      <c r="O2" s="606" t="s">
        <v>105</v>
      </c>
      <c r="P2" s="608">
        <v>46168</v>
      </c>
      <c r="Q2" s="609"/>
      <c r="R2" s="609"/>
      <c r="S2" s="609"/>
      <c r="T2" s="609"/>
      <c r="U2" s="610">
        <v>46169</v>
      </c>
      <c r="V2" s="611"/>
      <c r="W2" s="611"/>
      <c r="X2" s="611"/>
      <c r="Y2" s="611"/>
      <c r="Z2" s="608">
        <v>46170</v>
      </c>
      <c r="AA2" s="609"/>
      <c r="AB2" s="609"/>
      <c r="AC2" s="609"/>
      <c r="AD2" s="609"/>
      <c r="AE2" s="610">
        <v>46171</v>
      </c>
      <c r="AF2" s="611"/>
      <c r="AG2" s="611"/>
      <c r="AH2" s="611"/>
      <c r="AI2" s="611"/>
      <c r="AJ2" s="598">
        <v>46172</v>
      </c>
      <c r="AK2" s="599"/>
      <c r="AL2" s="599"/>
      <c r="AM2" s="599"/>
      <c r="AN2" s="600"/>
      <c r="AO2" s="610">
        <v>46173</v>
      </c>
      <c r="AP2" s="611"/>
      <c r="AQ2" s="611"/>
      <c r="AR2" s="611"/>
      <c r="AS2" s="611"/>
      <c r="AT2" s="598">
        <v>46174</v>
      </c>
      <c r="AU2" s="599"/>
      <c r="AV2" s="599"/>
      <c r="AW2" s="599"/>
      <c r="AX2" s="600"/>
    </row>
    <row r="3" spans="1:50" ht="14.25" customHeight="1"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90"/>
      <c r="N3" s="607"/>
      <c r="O3" s="607"/>
      <c r="P3" s="601">
        <v>46168</v>
      </c>
      <c r="Q3" s="601"/>
      <c r="R3" s="601"/>
      <c r="S3" s="601"/>
      <c r="T3" s="601"/>
      <c r="U3" s="602">
        <v>46169</v>
      </c>
      <c r="V3" s="602"/>
      <c r="W3" s="602"/>
      <c r="X3" s="602"/>
      <c r="Y3" s="602"/>
      <c r="Z3" s="601">
        <v>46170</v>
      </c>
      <c r="AA3" s="601"/>
      <c r="AB3" s="601"/>
      <c r="AC3" s="601"/>
      <c r="AD3" s="601"/>
      <c r="AE3" s="602">
        <v>46171</v>
      </c>
      <c r="AF3" s="602"/>
      <c r="AG3" s="602"/>
      <c r="AH3" s="602"/>
      <c r="AI3" s="602"/>
      <c r="AJ3" s="603">
        <v>46172</v>
      </c>
      <c r="AK3" s="604"/>
      <c r="AL3" s="604"/>
      <c r="AM3" s="604"/>
      <c r="AN3" s="605"/>
      <c r="AO3" s="602">
        <v>46173</v>
      </c>
      <c r="AP3" s="602"/>
      <c r="AQ3" s="602"/>
      <c r="AR3" s="602"/>
      <c r="AS3" s="602"/>
      <c r="AT3" s="603">
        <v>46174</v>
      </c>
      <c r="AU3" s="604"/>
      <c r="AV3" s="604"/>
      <c r="AW3" s="604"/>
      <c r="AX3" s="605"/>
    </row>
    <row r="4" spans="1:50" ht="14.25" customHeight="1">
      <c r="B4" s="572" t="s">
        <v>162</v>
      </c>
      <c r="C4" s="572" t="s">
        <v>157</v>
      </c>
      <c r="D4" s="572"/>
      <c r="E4" s="572" t="s">
        <v>158</v>
      </c>
      <c r="F4" s="572"/>
      <c r="G4" s="572"/>
      <c r="H4" s="572" t="s">
        <v>163</v>
      </c>
      <c r="I4" s="576" t="s">
        <v>365</v>
      </c>
      <c r="J4" s="576"/>
      <c r="K4" s="576"/>
      <c r="L4" s="576" t="s">
        <v>163</v>
      </c>
      <c r="M4" s="576" t="s">
        <v>165</v>
      </c>
      <c r="N4" s="572"/>
      <c r="O4" s="572" t="s">
        <v>164</v>
      </c>
      <c r="P4" s="572" t="s">
        <v>160</v>
      </c>
      <c r="Q4" s="572"/>
      <c r="R4" s="572"/>
      <c r="S4" s="572"/>
      <c r="T4" s="572" t="s">
        <v>163</v>
      </c>
      <c r="U4" s="572" t="s">
        <v>160</v>
      </c>
      <c r="V4" s="572"/>
      <c r="W4" s="572"/>
      <c r="X4" s="572"/>
      <c r="Y4" s="572" t="s">
        <v>163</v>
      </c>
      <c r="Z4" s="572" t="s">
        <v>160</v>
      </c>
      <c r="AA4" s="572"/>
      <c r="AB4" s="572"/>
      <c r="AC4" s="572"/>
      <c r="AD4" s="572" t="s">
        <v>163</v>
      </c>
      <c r="AE4" s="572" t="s">
        <v>160</v>
      </c>
      <c r="AF4" s="572"/>
      <c r="AG4" s="572"/>
      <c r="AH4" s="572"/>
      <c r="AI4" s="572" t="s">
        <v>163</v>
      </c>
      <c r="AJ4" s="572" t="s">
        <v>160</v>
      </c>
      <c r="AK4" s="572"/>
      <c r="AL4" s="572"/>
      <c r="AM4" s="572"/>
      <c r="AN4" s="572" t="s">
        <v>163</v>
      </c>
      <c r="AO4" s="572" t="s">
        <v>160</v>
      </c>
      <c r="AP4" s="572"/>
      <c r="AQ4" s="572"/>
      <c r="AR4" s="572"/>
      <c r="AS4" s="572" t="s">
        <v>163</v>
      </c>
      <c r="AT4" s="572" t="s">
        <v>160</v>
      </c>
      <c r="AU4" s="572"/>
      <c r="AV4" s="572"/>
      <c r="AW4" s="572"/>
      <c r="AX4" s="572" t="s">
        <v>163</v>
      </c>
    </row>
    <row r="5" spans="1:50" ht="14.25" customHeight="1">
      <c r="B5" s="572"/>
      <c r="C5" s="572"/>
      <c r="D5" s="572"/>
      <c r="E5" s="572" t="s">
        <v>366</v>
      </c>
      <c r="F5" s="572"/>
      <c r="G5" s="572"/>
      <c r="H5" s="572"/>
      <c r="I5" s="576" t="s">
        <v>366</v>
      </c>
      <c r="J5" s="576"/>
      <c r="K5" s="576"/>
      <c r="L5" s="576"/>
      <c r="M5" s="576"/>
      <c r="N5" s="572"/>
      <c r="O5" s="572"/>
      <c r="P5" s="572" t="s">
        <v>367</v>
      </c>
      <c r="Q5" s="572"/>
      <c r="R5" s="572"/>
      <c r="S5" s="572"/>
      <c r="T5" s="572"/>
      <c r="U5" s="572" t="s">
        <v>367</v>
      </c>
      <c r="V5" s="572"/>
      <c r="W5" s="572"/>
      <c r="X5" s="572"/>
      <c r="Y5" s="572"/>
      <c r="Z5" s="572" t="s">
        <v>367</v>
      </c>
      <c r="AA5" s="572"/>
      <c r="AB5" s="572"/>
      <c r="AC5" s="572"/>
      <c r="AD5" s="572"/>
      <c r="AE5" s="572" t="s">
        <v>367</v>
      </c>
      <c r="AF5" s="572"/>
      <c r="AG5" s="572"/>
      <c r="AH5" s="572"/>
      <c r="AI5" s="572"/>
      <c r="AJ5" s="572" t="s">
        <v>367</v>
      </c>
      <c r="AK5" s="572"/>
      <c r="AL5" s="572"/>
      <c r="AM5" s="572"/>
      <c r="AN5" s="572"/>
      <c r="AO5" s="572" t="s">
        <v>367</v>
      </c>
      <c r="AP5" s="572"/>
      <c r="AQ5" s="572"/>
      <c r="AR5" s="572"/>
      <c r="AS5" s="572"/>
      <c r="AT5" s="572" t="s">
        <v>367</v>
      </c>
      <c r="AU5" s="572"/>
      <c r="AV5" s="572"/>
      <c r="AW5" s="572"/>
      <c r="AX5" s="572"/>
    </row>
    <row r="6" spans="1:50" ht="14.25" customHeight="1">
      <c r="B6" s="572"/>
      <c r="C6" s="572"/>
      <c r="D6" s="572"/>
      <c r="E6" s="180" t="s">
        <v>159</v>
      </c>
      <c r="F6" s="180" t="s">
        <v>368</v>
      </c>
      <c r="G6" s="180" t="s">
        <v>161</v>
      </c>
      <c r="H6" s="572"/>
      <c r="I6" s="181" t="s">
        <v>159</v>
      </c>
      <c r="J6" s="181" t="s">
        <v>368</v>
      </c>
      <c r="K6" s="181" t="s">
        <v>161</v>
      </c>
      <c r="L6" s="576"/>
      <c r="M6" s="576"/>
      <c r="N6" s="572"/>
      <c r="O6" s="572"/>
      <c r="P6" s="180" t="s">
        <v>159</v>
      </c>
      <c r="Q6" s="180" t="s">
        <v>368</v>
      </c>
      <c r="R6" s="180" t="s">
        <v>161</v>
      </c>
      <c r="S6" s="182" t="s">
        <v>165</v>
      </c>
      <c r="T6" s="572"/>
      <c r="U6" s="180" t="s">
        <v>159</v>
      </c>
      <c r="V6" s="180" t="s">
        <v>368</v>
      </c>
      <c r="W6" s="180" t="s">
        <v>161</v>
      </c>
      <c r="X6" s="182" t="s">
        <v>165</v>
      </c>
      <c r="Y6" s="572"/>
      <c r="Z6" s="180" t="s">
        <v>159</v>
      </c>
      <c r="AA6" s="180" t="s">
        <v>368</v>
      </c>
      <c r="AB6" s="180" t="s">
        <v>161</v>
      </c>
      <c r="AC6" s="182" t="s">
        <v>165</v>
      </c>
      <c r="AD6" s="572"/>
      <c r="AE6" s="180" t="s">
        <v>159</v>
      </c>
      <c r="AF6" s="180" t="s">
        <v>368</v>
      </c>
      <c r="AG6" s="180" t="s">
        <v>161</v>
      </c>
      <c r="AH6" s="182" t="s">
        <v>165</v>
      </c>
      <c r="AI6" s="572"/>
      <c r="AJ6" s="180" t="s">
        <v>159</v>
      </c>
      <c r="AK6" s="180" t="s">
        <v>368</v>
      </c>
      <c r="AL6" s="180" t="s">
        <v>161</v>
      </c>
      <c r="AM6" s="182" t="s">
        <v>165</v>
      </c>
      <c r="AN6" s="572"/>
      <c r="AO6" s="180" t="s">
        <v>159</v>
      </c>
      <c r="AP6" s="180" t="s">
        <v>368</v>
      </c>
      <c r="AQ6" s="180" t="s">
        <v>161</v>
      </c>
      <c r="AR6" s="182" t="s">
        <v>165</v>
      </c>
      <c r="AS6" s="572"/>
      <c r="AT6" s="180" t="s">
        <v>159</v>
      </c>
      <c r="AU6" s="180" t="s">
        <v>368</v>
      </c>
      <c r="AV6" s="180" t="s">
        <v>161</v>
      </c>
      <c r="AW6" s="182" t="s">
        <v>165</v>
      </c>
      <c r="AX6" s="572"/>
    </row>
    <row r="7" spans="1:50" ht="14.25" customHeight="1">
      <c r="B7" s="572" t="s">
        <v>137</v>
      </c>
      <c r="C7" s="180">
        <v>1</v>
      </c>
      <c r="D7" s="183" t="s">
        <v>351</v>
      </c>
      <c r="E7" s="180">
        <v>21</v>
      </c>
      <c r="F7" s="180">
        <v>2000</v>
      </c>
      <c r="G7" s="185">
        <f t="shared" ref="G7:G16" si="0">F7/E7</f>
        <v>95.238095238095241</v>
      </c>
      <c r="H7" s="573">
        <f>AVERAGE(G7:G21)</f>
        <v>89.060649495432102</v>
      </c>
      <c r="I7" s="186">
        <f>AVERAGE(P7,U7,Z7,AE7,AJ7,AO7,AT7)</f>
        <v>21</v>
      </c>
      <c r="J7" s="186">
        <f>AVERAGE(Q7,V7,AA7,AF7,AK7,AP7,AU7)</f>
        <v>1789.953518478361</v>
      </c>
      <c r="K7" s="187">
        <f>AVERAGE(R7,W7,AB7,AG7,AL7,AQ7,AV7)</f>
        <v>85.235881832302908</v>
      </c>
      <c r="L7" s="574">
        <f>IFERROR(AVERAGE(K7:K21),"-")</f>
        <v>79.739368904594443</v>
      </c>
      <c r="M7" s="186">
        <f>RANK(K7, K$7:$K$21)</f>
        <v>3</v>
      </c>
      <c r="N7" s="572"/>
      <c r="O7" s="572"/>
      <c r="P7" s="188">
        <v>21</v>
      </c>
      <c r="Q7" s="188">
        <v>1789.953518478361</v>
      </c>
      <c r="R7" s="185">
        <f>IFERROR(Q7/P7,"")</f>
        <v>85.235881832302908</v>
      </c>
      <c r="S7" s="182">
        <f>RANK(R7, R$7:R$21)</f>
        <v>3</v>
      </c>
      <c r="T7" s="573">
        <f>AVERAGE(R7:R21)</f>
        <v>79.700002763553812</v>
      </c>
      <c r="U7" s="188" t="s">
        <v>640</v>
      </c>
      <c r="V7" s="188" t="s">
        <v>640</v>
      </c>
      <c r="W7" s="185" t="str">
        <f t="shared" ref="W7:W16" si="1">IFERROR(V7/U7,"")</f>
        <v/>
      </c>
      <c r="X7" s="182"/>
      <c r="Y7" s="573">
        <f>AVERAGE(W7:W21)</f>
        <v>79.076579863749217</v>
      </c>
      <c r="Z7" s="188" t="s">
        <v>640</v>
      </c>
      <c r="AA7" s="188" t="s">
        <v>640</v>
      </c>
      <c r="AB7" s="185" t="str">
        <f t="shared" ref="AB7:AB16" si="2">IFERROR(AA7/Z7,"")</f>
        <v/>
      </c>
      <c r="AC7" s="182"/>
      <c r="AD7" s="573">
        <f>AVERAGE(AB7:AB21)</f>
        <v>79.075670040882869</v>
      </c>
      <c r="AE7" s="188" t="s">
        <v>640</v>
      </c>
      <c r="AF7" s="188" t="s">
        <v>640</v>
      </c>
      <c r="AG7" s="185" t="str">
        <f>IFERROR(AF7/AE7,"")</f>
        <v/>
      </c>
      <c r="AH7" s="182" t="e">
        <f xml:space="preserve"> RANK(AG7,#REF!)</f>
        <v>#VALUE!</v>
      </c>
      <c r="AI7" s="573">
        <f>AVERAGE(AG7:AG21)</f>
        <v>79.083261338474188</v>
      </c>
      <c r="AJ7" s="188" t="s">
        <v>640</v>
      </c>
      <c r="AK7" s="188" t="s">
        <v>640</v>
      </c>
      <c r="AL7" s="185" t="str">
        <f t="shared" ref="AL7:AL16" si="3">IFERROR(AK7/AJ7,"")</f>
        <v/>
      </c>
      <c r="AM7" s="182"/>
      <c r="AN7" s="573">
        <f>AVERAGE(AL7:AL21)</f>
        <v>79.091636224457758</v>
      </c>
      <c r="AO7" s="188" t="s">
        <v>640</v>
      </c>
      <c r="AP7" s="188" t="s">
        <v>640</v>
      </c>
      <c r="AQ7" s="185" t="str">
        <f t="shared" ref="AQ7:AQ16" si="4">IFERROR(AP7/AO7,"")</f>
        <v/>
      </c>
      <c r="AR7" s="182"/>
      <c r="AS7" s="573">
        <f>AVERAGE(AQ7:AQ21)</f>
        <v>79.091794890268602</v>
      </c>
      <c r="AT7" s="188" t="s">
        <v>640</v>
      </c>
      <c r="AU7" s="188" t="s">
        <v>640</v>
      </c>
      <c r="AV7" s="185" t="str">
        <f t="shared" ref="AV7:AV16" si="5">IFERROR(AU7/AT7,"")</f>
        <v/>
      </c>
      <c r="AW7" s="182"/>
      <c r="AX7" s="573">
        <f>AVERAGE(AV7:AV21)</f>
        <v>79.396669274640217</v>
      </c>
    </row>
    <row r="8" spans="1:50" ht="14.25" customHeight="1">
      <c r="B8" s="572"/>
      <c r="C8" s="180">
        <v>2</v>
      </c>
      <c r="D8" s="183" t="s">
        <v>352</v>
      </c>
      <c r="E8" s="180">
        <v>24</v>
      </c>
      <c r="F8" s="180">
        <v>2000</v>
      </c>
      <c r="G8" s="185">
        <f t="shared" si="0"/>
        <v>83.333333333333329</v>
      </c>
      <c r="H8" s="573"/>
      <c r="I8" s="186">
        <f t="shared" ref="I8:K16" si="6">AVERAGE(P8,U8,Z8,AE8,AJ8,AO8,AT8)</f>
        <v>24</v>
      </c>
      <c r="J8" s="186">
        <f t="shared" si="6"/>
        <v>1794.0688153631079</v>
      </c>
      <c r="K8" s="187">
        <f t="shared" si="6"/>
        <v>74.752867306796162</v>
      </c>
      <c r="L8" s="574"/>
      <c r="M8" s="186">
        <f>RANK(K8, K$7:$K$21)</f>
        <v>8</v>
      </c>
      <c r="N8" s="572"/>
      <c r="O8" s="572"/>
      <c r="P8" s="188">
        <v>24</v>
      </c>
      <c r="Q8" s="188">
        <v>1794.2116725059648</v>
      </c>
      <c r="R8" s="185">
        <f t="shared" ref="R8:R16" si="7">IFERROR(Q8/P8,"")</f>
        <v>74.758819687748527</v>
      </c>
      <c r="S8" s="182">
        <f t="shared" ref="S8:S16" si="8">RANK(R8, R$7:R$21)</f>
        <v>8</v>
      </c>
      <c r="T8" s="573"/>
      <c r="U8" s="188">
        <v>24</v>
      </c>
      <c r="V8" s="188">
        <v>1793.4116725059648</v>
      </c>
      <c r="W8" s="185">
        <f t="shared" si="1"/>
        <v>74.725486354415196</v>
      </c>
      <c r="X8" s="182">
        <f t="shared" ref="X8:X16" si="9">RANK(W8, W$7:W$21)</f>
        <v>7</v>
      </c>
      <c r="Y8" s="573"/>
      <c r="Z8" s="188">
        <v>24</v>
      </c>
      <c r="AA8" s="188">
        <v>1793.011672505965</v>
      </c>
      <c r="AB8" s="185">
        <f t="shared" si="2"/>
        <v>74.708819687748544</v>
      </c>
      <c r="AC8" s="182">
        <f>RANK(AB8, AB$7:AB$21)</f>
        <v>7</v>
      </c>
      <c r="AD8" s="573"/>
      <c r="AE8" s="188">
        <v>24</v>
      </c>
      <c r="AF8" s="188">
        <v>1793.8116725059651</v>
      </c>
      <c r="AG8" s="185">
        <f t="shared" ref="AG8:AG16" si="10">IFERROR(AF8/AE8,"")</f>
        <v>74.742153021081876</v>
      </c>
      <c r="AH8" s="182">
        <f>RANK(AG8, AG$7:AG$21)</f>
        <v>7</v>
      </c>
      <c r="AI8" s="573"/>
      <c r="AJ8" s="188">
        <v>24</v>
      </c>
      <c r="AK8" s="188">
        <v>1794.411672505965</v>
      </c>
      <c r="AL8" s="185">
        <f t="shared" si="3"/>
        <v>74.767153021081882</v>
      </c>
      <c r="AM8" s="182">
        <f>RANK(AL8, AL$7:AL$21)</f>
        <v>7</v>
      </c>
      <c r="AN8" s="573"/>
      <c r="AO8" s="188">
        <v>24</v>
      </c>
      <c r="AP8" s="188">
        <v>1794.8116725059654</v>
      </c>
      <c r="AQ8" s="185">
        <f t="shared" si="4"/>
        <v>74.783819687748561</v>
      </c>
      <c r="AR8" s="182">
        <f>RANK(AQ8, AQ$7:AQ$21)</f>
        <v>7</v>
      </c>
      <c r="AS8" s="573"/>
      <c r="AT8" s="188">
        <v>24</v>
      </c>
      <c r="AU8" s="188">
        <v>1794.8116725059654</v>
      </c>
      <c r="AV8" s="185">
        <f t="shared" si="5"/>
        <v>74.783819687748561</v>
      </c>
      <c r="AW8" s="182">
        <f>RANK(AV8, AV$7:AV$21)</f>
        <v>7</v>
      </c>
      <c r="AX8" s="573"/>
    </row>
    <row r="9" spans="1:50" ht="14.25" customHeight="1">
      <c r="B9" s="572"/>
      <c r="C9" s="180">
        <v>3</v>
      </c>
      <c r="D9" s="183" t="s">
        <v>353</v>
      </c>
      <c r="E9" s="180">
        <v>23</v>
      </c>
      <c r="F9" s="180">
        <v>2000</v>
      </c>
      <c r="G9" s="185">
        <f t="shared" si="0"/>
        <v>86.956521739130437</v>
      </c>
      <c r="H9" s="573"/>
      <c r="I9" s="186">
        <f t="shared" si="6"/>
        <v>23</v>
      </c>
      <c r="J9" s="186">
        <f t="shared" si="6"/>
        <v>1791.2698623984668</v>
      </c>
      <c r="K9" s="187">
        <f t="shared" si="6"/>
        <v>77.881298365150741</v>
      </c>
      <c r="L9" s="574"/>
      <c r="M9" s="186">
        <f>RANK(K9, K$7:$K$21)</f>
        <v>6</v>
      </c>
      <c r="N9" s="572"/>
      <c r="O9" s="572"/>
      <c r="P9" s="188">
        <v>23</v>
      </c>
      <c r="Q9" s="188">
        <v>1791.7270052556105</v>
      </c>
      <c r="R9" s="185">
        <f t="shared" si="7"/>
        <v>77.901174141548282</v>
      </c>
      <c r="S9" s="182">
        <f t="shared" si="8"/>
        <v>5</v>
      </c>
      <c r="T9" s="573"/>
      <c r="U9" s="188">
        <v>23</v>
      </c>
      <c r="V9" s="188">
        <v>1791.3270052556102</v>
      </c>
      <c r="W9" s="185">
        <f t="shared" si="1"/>
        <v>77.883782837200442</v>
      </c>
      <c r="X9" s="182">
        <f t="shared" si="9"/>
        <v>4</v>
      </c>
      <c r="Y9" s="573"/>
      <c r="Z9" s="188">
        <v>23</v>
      </c>
      <c r="AA9" s="188">
        <v>1791.52700525561</v>
      </c>
      <c r="AB9" s="185">
        <f t="shared" si="2"/>
        <v>77.892478489374341</v>
      </c>
      <c r="AC9" s="182">
        <f t="shared" ref="AC9:AC16" si="11">RANK(AB9, AB$7:AB$21)</f>
        <v>4</v>
      </c>
      <c r="AD9" s="573"/>
      <c r="AE9" s="188">
        <v>23</v>
      </c>
      <c r="AF9" s="188">
        <v>1791.3270052556099</v>
      </c>
      <c r="AG9" s="185">
        <f t="shared" si="10"/>
        <v>77.883782837200428</v>
      </c>
      <c r="AH9" s="182">
        <f t="shared" ref="AH9:AH16" si="12">RANK(AG9, AG$7:AG$21)</f>
        <v>5</v>
      </c>
      <c r="AI9" s="573"/>
      <c r="AJ9" s="188">
        <v>23</v>
      </c>
      <c r="AK9" s="188">
        <v>1790.9270052556096</v>
      </c>
      <c r="AL9" s="185">
        <f t="shared" si="3"/>
        <v>77.866391532852589</v>
      </c>
      <c r="AM9" s="182">
        <f t="shared" ref="AM9:AM16" si="13">RANK(AL9, AL$7:AL$21)</f>
        <v>5</v>
      </c>
      <c r="AN9" s="573"/>
      <c r="AO9" s="188">
        <v>23</v>
      </c>
      <c r="AP9" s="188">
        <v>1791.3270052556095</v>
      </c>
      <c r="AQ9" s="185">
        <f t="shared" si="4"/>
        <v>77.883782837200414</v>
      </c>
      <c r="AR9" s="182">
        <f t="shared" ref="AR9:AR16" si="14">RANK(AQ9, AQ$7:AQ$21)</f>
        <v>5</v>
      </c>
      <c r="AS9" s="573"/>
      <c r="AT9" s="188">
        <v>23</v>
      </c>
      <c r="AU9" s="188">
        <v>1790.7270052556094</v>
      </c>
      <c r="AV9" s="185">
        <f t="shared" si="5"/>
        <v>77.857695880678662</v>
      </c>
      <c r="AW9" s="182">
        <f t="shared" ref="AW9:AW16" si="15">RANK(AV9, AV$7:AV$21)</f>
        <v>5</v>
      </c>
      <c r="AX9" s="573"/>
    </row>
    <row r="10" spans="1:50" ht="14.25" customHeight="1">
      <c r="B10" s="572"/>
      <c r="C10" s="180">
        <v>4</v>
      </c>
      <c r="D10" s="183" t="s">
        <v>350</v>
      </c>
      <c r="E10" s="180">
        <v>23</v>
      </c>
      <c r="F10" s="180">
        <v>2000</v>
      </c>
      <c r="G10" s="185">
        <f t="shared" si="0"/>
        <v>86.956521739130437</v>
      </c>
      <c r="H10" s="573"/>
      <c r="I10" s="186">
        <f t="shared" si="6"/>
        <v>23</v>
      </c>
      <c r="J10" s="186">
        <f t="shared" si="6"/>
        <v>1789.8192297084656</v>
      </c>
      <c r="K10" s="187">
        <f t="shared" si="6"/>
        <v>77.818227378628919</v>
      </c>
      <c r="L10" s="574"/>
      <c r="M10" s="186">
        <f>RANK(K10, K$7:$K$21)</f>
        <v>7</v>
      </c>
      <c r="N10" s="572"/>
      <c r="O10" s="572"/>
      <c r="P10" s="188">
        <v>23</v>
      </c>
      <c r="Q10" s="188">
        <v>1788.6192297084658</v>
      </c>
      <c r="R10" s="185">
        <f t="shared" si="7"/>
        <v>77.766053465585472</v>
      </c>
      <c r="S10" s="182">
        <f t="shared" si="8"/>
        <v>7</v>
      </c>
      <c r="T10" s="573"/>
      <c r="U10" s="188">
        <v>23</v>
      </c>
      <c r="V10" s="188">
        <v>1789.6192297084654</v>
      </c>
      <c r="W10" s="185">
        <f t="shared" si="1"/>
        <v>77.80953172645502</v>
      </c>
      <c r="X10" s="182">
        <f t="shared" si="9"/>
        <v>6</v>
      </c>
      <c r="Y10" s="573"/>
      <c r="Z10" s="188">
        <v>23</v>
      </c>
      <c r="AA10" s="188">
        <v>1790.0192297084657</v>
      </c>
      <c r="AB10" s="185">
        <f t="shared" si="2"/>
        <v>77.82692303080286</v>
      </c>
      <c r="AC10" s="182">
        <f t="shared" si="11"/>
        <v>6</v>
      </c>
      <c r="AD10" s="573"/>
      <c r="AE10" s="188">
        <v>23</v>
      </c>
      <c r="AF10" s="188">
        <v>1789.8192297084656</v>
      </c>
      <c r="AG10" s="185">
        <f t="shared" si="10"/>
        <v>77.818227378628947</v>
      </c>
      <c r="AH10" s="182">
        <f t="shared" si="12"/>
        <v>6</v>
      </c>
      <c r="AI10" s="573"/>
      <c r="AJ10" s="188">
        <v>23</v>
      </c>
      <c r="AK10" s="188">
        <v>1789.8192297084654</v>
      </c>
      <c r="AL10" s="185">
        <f t="shared" si="3"/>
        <v>77.818227378628933</v>
      </c>
      <c r="AM10" s="182">
        <f t="shared" si="13"/>
        <v>6</v>
      </c>
      <c r="AN10" s="573"/>
      <c r="AO10" s="188">
        <v>23</v>
      </c>
      <c r="AP10" s="188">
        <v>1790.219229708465</v>
      </c>
      <c r="AQ10" s="185">
        <f t="shared" si="4"/>
        <v>77.835618682976744</v>
      </c>
      <c r="AR10" s="182">
        <f t="shared" si="14"/>
        <v>6</v>
      </c>
      <c r="AS10" s="573"/>
      <c r="AT10" s="188">
        <v>23</v>
      </c>
      <c r="AU10" s="188">
        <v>1790.6192297084649</v>
      </c>
      <c r="AV10" s="185">
        <f t="shared" si="5"/>
        <v>77.853009987324555</v>
      </c>
      <c r="AW10" s="182">
        <f t="shared" si="15"/>
        <v>6</v>
      </c>
      <c r="AX10" s="573"/>
    </row>
    <row r="11" spans="1:50" ht="14.25" customHeight="1">
      <c r="B11" s="572"/>
      <c r="C11" s="180">
        <v>5</v>
      </c>
      <c r="D11" s="183" t="s">
        <v>435</v>
      </c>
      <c r="E11" s="180">
        <v>23</v>
      </c>
      <c r="F11" s="180">
        <v>2000</v>
      </c>
      <c r="G11" s="185">
        <f t="shared" si="0"/>
        <v>86.956521739130437</v>
      </c>
      <c r="H11" s="573"/>
      <c r="I11" s="186">
        <f t="shared" si="6"/>
        <v>23</v>
      </c>
      <c r="J11" s="186">
        <f t="shared" si="6"/>
        <v>1791.8815964524722</v>
      </c>
      <c r="K11" s="187">
        <f t="shared" si="6"/>
        <v>77.90789549793358</v>
      </c>
      <c r="L11" s="574"/>
      <c r="M11" s="186">
        <f>RANK(K11, K$7:$K$21)</f>
        <v>5</v>
      </c>
      <c r="N11" s="572"/>
      <c r="O11" s="572"/>
      <c r="P11" s="188">
        <v>23</v>
      </c>
      <c r="Q11" s="188">
        <v>1790.8815964524717</v>
      </c>
      <c r="R11" s="185">
        <f t="shared" si="7"/>
        <v>77.864417237063989</v>
      </c>
      <c r="S11" s="182">
        <f t="shared" si="8"/>
        <v>6</v>
      </c>
      <c r="T11" s="573"/>
      <c r="U11" s="188">
        <v>23</v>
      </c>
      <c r="V11" s="188">
        <v>1790.881596452472</v>
      </c>
      <c r="W11" s="185">
        <f t="shared" si="1"/>
        <v>77.864417237064004</v>
      </c>
      <c r="X11" s="182">
        <f t="shared" si="9"/>
        <v>5</v>
      </c>
      <c r="Y11" s="573"/>
      <c r="Z11" s="188">
        <v>23</v>
      </c>
      <c r="AA11" s="188">
        <v>1791.2815964524721</v>
      </c>
      <c r="AB11" s="185">
        <f t="shared" si="2"/>
        <v>77.881808541411829</v>
      </c>
      <c r="AC11" s="182">
        <f t="shared" si="11"/>
        <v>5</v>
      </c>
      <c r="AD11" s="573"/>
      <c r="AE11" s="188">
        <v>23</v>
      </c>
      <c r="AF11" s="188">
        <v>1791.6815964524719</v>
      </c>
      <c r="AG11" s="185">
        <f t="shared" si="10"/>
        <v>77.899199845759654</v>
      </c>
      <c r="AH11" s="182">
        <f t="shared" si="12"/>
        <v>4</v>
      </c>
      <c r="AI11" s="573"/>
      <c r="AJ11" s="188">
        <v>23</v>
      </c>
      <c r="AK11" s="188">
        <v>1792.2815964524721</v>
      </c>
      <c r="AL11" s="185">
        <f t="shared" si="3"/>
        <v>77.925286802281391</v>
      </c>
      <c r="AM11" s="182">
        <f t="shared" si="13"/>
        <v>4</v>
      </c>
      <c r="AN11" s="573"/>
      <c r="AO11" s="188">
        <v>23</v>
      </c>
      <c r="AP11" s="188">
        <v>1792.6815964524721</v>
      </c>
      <c r="AQ11" s="185">
        <f t="shared" si="4"/>
        <v>77.942678106629231</v>
      </c>
      <c r="AR11" s="182">
        <f t="shared" si="14"/>
        <v>4</v>
      </c>
      <c r="AS11" s="573"/>
      <c r="AT11" s="188">
        <v>23</v>
      </c>
      <c r="AU11" s="188">
        <v>1793.4815964524721</v>
      </c>
      <c r="AV11" s="185">
        <f t="shared" si="5"/>
        <v>77.977460715324881</v>
      </c>
      <c r="AW11" s="182">
        <f t="shared" si="15"/>
        <v>4</v>
      </c>
      <c r="AX11" s="573"/>
    </row>
    <row r="12" spans="1:50" ht="14.25" customHeight="1">
      <c r="B12" s="572"/>
      <c r="C12" s="180">
        <v>6</v>
      </c>
      <c r="D12" s="183" t="s">
        <v>437</v>
      </c>
      <c r="E12" s="180">
        <v>22</v>
      </c>
      <c r="F12" s="180">
        <v>2000</v>
      </c>
      <c r="G12" s="185">
        <f t="shared" si="0"/>
        <v>90.909090909090907</v>
      </c>
      <c r="H12" s="573"/>
      <c r="I12" s="186">
        <f t="shared" si="6"/>
        <v>22</v>
      </c>
      <c r="J12" s="186">
        <f t="shared" si="6"/>
        <v>1786.6176388619199</v>
      </c>
      <c r="K12" s="187">
        <f t="shared" si="6"/>
        <v>81.209892675541795</v>
      </c>
      <c r="L12" s="574"/>
      <c r="M12" s="186">
        <f>RANK(K12, K$7:$K$21)</f>
        <v>4</v>
      </c>
      <c r="N12" s="572"/>
      <c r="O12" s="572"/>
      <c r="P12" s="188">
        <v>22</v>
      </c>
      <c r="Q12" s="188">
        <v>1786.8462102904912</v>
      </c>
      <c r="R12" s="185">
        <f t="shared" si="7"/>
        <v>81.220282285931418</v>
      </c>
      <c r="S12" s="182">
        <f t="shared" si="8"/>
        <v>4</v>
      </c>
      <c r="T12" s="573"/>
      <c r="U12" s="188">
        <v>22</v>
      </c>
      <c r="V12" s="188">
        <v>1786.6462102904911</v>
      </c>
      <c r="W12" s="185">
        <f t="shared" si="1"/>
        <v>81.211191376840503</v>
      </c>
      <c r="X12" s="182">
        <f t="shared" si="9"/>
        <v>3</v>
      </c>
      <c r="Y12" s="573"/>
      <c r="Z12" s="188">
        <v>22</v>
      </c>
      <c r="AA12" s="188">
        <v>1786.6462102904911</v>
      </c>
      <c r="AB12" s="185">
        <f t="shared" si="2"/>
        <v>81.211191376840503</v>
      </c>
      <c r="AC12" s="182">
        <f t="shared" si="11"/>
        <v>3</v>
      </c>
      <c r="AD12" s="573"/>
      <c r="AE12" s="188">
        <v>22</v>
      </c>
      <c r="AF12" s="188">
        <v>1786.8462102904909</v>
      </c>
      <c r="AG12" s="185">
        <f t="shared" si="10"/>
        <v>81.220282285931404</v>
      </c>
      <c r="AH12" s="182">
        <f t="shared" si="12"/>
        <v>3</v>
      </c>
      <c r="AI12" s="573"/>
      <c r="AJ12" s="188">
        <v>22</v>
      </c>
      <c r="AK12" s="188">
        <v>1786.6462102904911</v>
      </c>
      <c r="AL12" s="185">
        <f t="shared" si="3"/>
        <v>81.211191376840503</v>
      </c>
      <c r="AM12" s="182">
        <f t="shared" si="13"/>
        <v>3</v>
      </c>
      <c r="AN12" s="573"/>
      <c r="AO12" s="188">
        <v>22</v>
      </c>
      <c r="AP12" s="188">
        <v>1786.2462102904913</v>
      </c>
      <c r="AQ12" s="185">
        <f t="shared" si="4"/>
        <v>81.193009558658687</v>
      </c>
      <c r="AR12" s="182">
        <f t="shared" si="14"/>
        <v>3</v>
      </c>
      <c r="AS12" s="573"/>
      <c r="AT12" s="188">
        <v>22</v>
      </c>
      <c r="AU12" s="188">
        <v>1786.4462102904913</v>
      </c>
      <c r="AV12" s="185">
        <f t="shared" si="5"/>
        <v>81.202100467749602</v>
      </c>
      <c r="AW12" s="182">
        <f t="shared" si="15"/>
        <v>3</v>
      </c>
      <c r="AX12" s="573"/>
    </row>
    <row r="13" spans="1:50" ht="14.25" customHeight="1">
      <c r="B13" s="572"/>
      <c r="C13" s="180">
        <v>7</v>
      </c>
      <c r="D13" s="183" t="s">
        <v>439</v>
      </c>
      <c r="E13" s="180">
        <v>20</v>
      </c>
      <c r="F13" s="180">
        <v>2000</v>
      </c>
      <c r="G13" s="185">
        <f t="shared" si="0"/>
        <v>100</v>
      </c>
      <c r="H13" s="573"/>
      <c r="I13" s="186">
        <f t="shared" si="6"/>
        <v>20</v>
      </c>
      <c r="J13" s="186">
        <f t="shared" si="6"/>
        <v>1785.2895177600742</v>
      </c>
      <c r="K13" s="187">
        <f t="shared" si="6"/>
        <v>89.264475888003716</v>
      </c>
      <c r="L13" s="574"/>
      <c r="M13" s="186">
        <f>RANK(K13, K$7:$K$21)</f>
        <v>2</v>
      </c>
      <c r="N13" s="572"/>
      <c r="O13" s="572"/>
      <c r="P13" s="188">
        <v>20</v>
      </c>
      <c r="Q13" s="188">
        <v>1786.946660617217</v>
      </c>
      <c r="R13" s="185">
        <f t="shared" si="7"/>
        <v>89.347333030860852</v>
      </c>
      <c r="S13" s="182">
        <f t="shared" si="8"/>
        <v>2</v>
      </c>
      <c r="T13" s="573"/>
      <c r="U13" s="188">
        <v>20</v>
      </c>
      <c r="V13" s="188">
        <v>1785.9466606172173</v>
      </c>
      <c r="W13" s="185">
        <f t="shared" si="1"/>
        <v>89.297333030860869</v>
      </c>
      <c r="X13" s="182">
        <f t="shared" si="9"/>
        <v>2</v>
      </c>
      <c r="Y13" s="573"/>
      <c r="Z13" s="188">
        <v>20</v>
      </c>
      <c r="AA13" s="188">
        <v>1784.9466606172175</v>
      </c>
      <c r="AB13" s="185">
        <f t="shared" si="2"/>
        <v>89.247333030860872</v>
      </c>
      <c r="AC13" s="182">
        <f t="shared" si="11"/>
        <v>2</v>
      </c>
      <c r="AD13" s="573"/>
      <c r="AE13" s="188">
        <v>20</v>
      </c>
      <c r="AF13" s="188">
        <v>1785.1466606172173</v>
      </c>
      <c r="AG13" s="185">
        <f t="shared" si="10"/>
        <v>89.257333030860863</v>
      </c>
      <c r="AH13" s="182">
        <f t="shared" si="12"/>
        <v>2</v>
      </c>
      <c r="AI13" s="573"/>
      <c r="AJ13" s="188">
        <v>20</v>
      </c>
      <c r="AK13" s="188">
        <v>1785.3466606172169</v>
      </c>
      <c r="AL13" s="185">
        <f t="shared" si="3"/>
        <v>89.26733303086084</v>
      </c>
      <c r="AM13" s="182">
        <f t="shared" si="13"/>
        <v>2</v>
      </c>
      <c r="AN13" s="573"/>
      <c r="AO13" s="188">
        <v>20</v>
      </c>
      <c r="AP13" s="188">
        <v>1784.5466606172172</v>
      </c>
      <c r="AQ13" s="185">
        <f t="shared" si="4"/>
        <v>89.227333030860862</v>
      </c>
      <c r="AR13" s="182">
        <f t="shared" si="14"/>
        <v>2</v>
      </c>
      <c r="AS13" s="573"/>
      <c r="AT13" s="188">
        <v>20</v>
      </c>
      <c r="AU13" s="188">
        <v>1784.1466606172171</v>
      </c>
      <c r="AV13" s="185">
        <f t="shared" si="5"/>
        <v>89.207333030860852</v>
      </c>
      <c r="AW13" s="182">
        <f t="shared" si="15"/>
        <v>2</v>
      </c>
      <c r="AX13" s="573"/>
    </row>
    <row r="14" spans="1:50" ht="14.25" customHeight="1">
      <c r="B14" s="572"/>
      <c r="C14" s="180">
        <v>8</v>
      </c>
      <c r="D14" s="183" t="s">
        <v>354</v>
      </c>
      <c r="E14" s="180">
        <v>24</v>
      </c>
      <c r="F14" s="180">
        <v>2000</v>
      </c>
      <c r="G14" s="185">
        <f t="shared" si="0"/>
        <v>83.333333333333329</v>
      </c>
      <c r="H14" s="573"/>
      <c r="I14" s="186">
        <f t="shared" si="6"/>
        <v>24</v>
      </c>
      <c r="J14" s="186">
        <f t="shared" si="6"/>
        <v>1788.5225170337944</v>
      </c>
      <c r="K14" s="187">
        <f t="shared" si="6"/>
        <v>74.521771543074763</v>
      </c>
      <c r="L14" s="574"/>
      <c r="M14" s="186">
        <f>RANK(K14, K$7:$K$21)</f>
        <v>9</v>
      </c>
      <c r="N14" s="572"/>
      <c r="O14" s="572"/>
      <c r="P14" s="188">
        <v>24</v>
      </c>
      <c r="Q14" s="188">
        <v>1789.6082313195086</v>
      </c>
      <c r="R14" s="185">
        <f t="shared" si="7"/>
        <v>74.567009638312854</v>
      </c>
      <c r="S14" s="182">
        <f t="shared" si="8"/>
        <v>9</v>
      </c>
      <c r="T14" s="573"/>
      <c r="U14" s="188">
        <v>24</v>
      </c>
      <c r="V14" s="188">
        <v>1788.6082313195086</v>
      </c>
      <c r="W14" s="185">
        <f t="shared" si="1"/>
        <v>74.525342971646197</v>
      </c>
      <c r="X14" s="182">
        <f t="shared" si="9"/>
        <v>8</v>
      </c>
      <c r="Y14" s="573"/>
      <c r="Z14" s="188">
        <v>24</v>
      </c>
      <c r="AA14" s="188">
        <v>1788.0082313195089</v>
      </c>
      <c r="AB14" s="185">
        <f t="shared" si="2"/>
        <v>74.500342971646205</v>
      </c>
      <c r="AC14" s="182">
        <f t="shared" si="11"/>
        <v>8</v>
      </c>
      <c r="AD14" s="573"/>
      <c r="AE14" s="188">
        <v>24</v>
      </c>
      <c r="AF14" s="188">
        <v>1788.4082313195086</v>
      </c>
      <c r="AG14" s="185">
        <f t="shared" si="10"/>
        <v>74.517009638312857</v>
      </c>
      <c r="AH14" s="182">
        <f t="shared" si="12"/>
        <v>8</v>
      </c>
      <c r="AI14" s="573"/>
      <c r="AJ14" s="188">
        <v>24</v>
      </c>
      <c r="AK14" s="188">
        <v>1788.4082313195086</v>
      </c>
      <c r="AL14" s="185">
        <f t="shared" si="3"/>
        <v>74.517009638312857</v>
      </c>
      <c r="AM14" s="182">
        <f t="shared" si="13"/>
        <v>8</v>
      </c>
      <c r="AN14" s="573"/>
      <c r="AO14" s="188">
        <v>24</v>
      </c>
      <c r="AP14" s="188">
        <v>1788.4082313195086</v>
      </c>
      <c r="AQ14" s="185">
        <f t="shared" si="4"/>
        <v>74.517009638312857</v>
      </c>
      <c r="AR14" s="182">
        <f t="shared" si="14"/>
        <v>8</v>
      </c>
      <c r="AS14" s="573"/>
      <c r="AT14" s="188">
        <v>24</v>
      </c>
      <c r="AU14" s="188">
        <v>1788.2082313195087</v>
      </c>
      <c r="AV14" s="185">
        <f t="shared" si="5"/>
        <v>74.508676304979531</v>
      </c>
      <c r="AW14" s="182">
        <f t="shared" si="15"/>
        <v>8</v>
      </c>
      <c r="AX14" s="573"/>
    </row>
    <row r="15" spans="1:50" ht="14.25" customHeight="1">
      <c r="B15" s="572"/>
      <c r="C15" s="180">
        <v>9</v>
      </c>
      <c r="D15" s="183" t="s">
        <v>510</v>
      </c>
      <c r="E15" s="180">
        <v>26</v>
      </c>
      <c r="F15" s="180">
        <v>2000</v>
      </c>
      <c r="G15" s="185">
        <f t="shared" si="0"/>
        <v>76.92307692307692</v>
      </c>
      <c r="H15" s="573"/>
      <c r="I15" s="186">
        <f t="shared" si="6"/>
        <v>25.857142857142858</v>
      </c>
      <c r="J15" s="186">
        <f t="shared" si="6"/>
        <v>1792.4804883067029</v>
      </c>
      <c r="K15" s="187">
        <f t="shared" si="6"/>
        <v>69.335527836541843</v>
      </c>
      <c r="L15" s="574"/>
      <c r="M15" s="186">
        <f>RANK(K15, K$7:$K$21)</f>
        <v>10</v>
      </c>
      <c r="N15" s="572"/>
      <c r="O15" s="572"/>
      <c r="P15" s="188">
        <v>26</v>
      </c>
      <c r="Q15" s="188">
        <v>1791.9662025924167</v>
      </c>
      <c r="R15" s="185">
        <f t="shared" si="7"/>
        <v>68.921777022785264</v>
      </c>
      <c r="S15" s="182">
        <f t="shared" si="8"/>
        <v>10</v>
      </c>
      <c r="T15" s="573"/>
      <c r="U15" s="188">
        <v>26</v>
      </c>
      <c r="V15" s="188">
        <v>1792.5662025924169</v>
      </c>
      <c r="W15" s="185">
        <f t="shared" si="1"/>
        <v>68.944853945862192</v>
      </c>
      <c r="X15" s="182">
        <f t="shared" si="9"/>
        <v>9</v>
      </c>
      <c r="Y15" s="573"/>
      <c r="Z15" s="188">
        <v>26</v>
      </c>
      <c r="AA15" s="188">
        <v>1792.5662025924173</v>
      </c>
      <c r="AB15" s="185">
        <f t="shared" si="2"/>
        <v>68.944853945862207</v>
      </c>
      <c r="AC15" s="182">
        <f t="shared" si="11"/>
        <v>9</v>
      </c>
      <c r="AD15" s="573"/>
      <c r="AE15" s="188">
        <v>26</v>
      </c>
      <c r="AF15" s="188">
        <v>1791.7662025924174</v>
      </c>
      <c r="AG15" s="185">
        <f t="shared" si="10"/>
        <v>68.914084715092969</v>
      </c>
      <c r="AH15" s="182">
        <f t="shared" si="12"/>
        <v>9</v>
      </c>
      <c r="AI15" s="573"/>
      <c r="AJ15" s="188">
        <v>26</v>
      </c>
      <c r="AK15" s="188">
        <v>1792.5662025924171</v>
      </c>
      <c r="AL15" s="185">
        <f t="shared" si="3"/>
        <v>68.944853945862192</v>
      </c>
      <c r="AM15" s="182">
        <f t="shared" si="13"/>
        <v>9</v>
      </c>
      <c r="AN15" s="573"/>
      <c r="AO15" s="188">
        <v>26</v>
      </c>
      <c r="AP15" s="188">
        <v>1793.3662025924168</v>
      </c>
      <c r="AQ15" s="185">
        <f t="shared" si="4"/>
        <v>68.975623176631416</v>
      </c>
      <c r="AR15" s="182">
        <f t="shared" si="14"/>
        <v>9</v>
      </c>
      <c r="AS15" s="573"/>
      <c r="AT15" s="188">
        <v>25</v>
      </c>
      <c r="AU15" s="188">
        <v>1792.5662025924166</v>
      </c>
      <c r="AV15" s="185">
        <f t="shared" si="5"/>
        <v>71.70264810369666</v>
      </c>
      <c r="AW15" s="182">
        <f t="shared" si="15"/>
        <v>9</v>
      </c>
      <c r="AX15" s="573"/>
    </row>
    <row r="16" spans="1:50" ht="14.25" customHeight="1">
      <c r="B16" s="572"/>
      <c r="C16" s="180">
        <v>10</v>
      </c>
      <c r="D16" s="183" t="s">
        <v>598</v>
      </c>
      <c r="E16" s="180">
        <v>20</v>
      </c>
      <c r="F16" s="180">
        <v>2000</v>
      </c>
      <c r="G16" s="185">
        <f t="shared" si="0"/>
        <v>100</v>
      </c>
      <c r="H16" s="573"/>
      <c r="I16" s="186">
        <f t="shared" si="6"/>
        <v>20</v>
      </c>
      <c r="J16" s="186">
        <f t="shared" si="6"/>
        <v>1789.3170144394003</v>
      </c>
      <c r="K16" s="187">
        <f t="shared" si="6"/>
        <v>89.465850721970014</v>
      </c>
      <c r="L16" s="574"/>
      <c r="M16" s="186">
        <f>RANK(K16, K$7:$K$21)</f>
        <v>1</v>
      </c>
      <c r="N16" s="572"/>
      <c r="O16" s="572"/>
      <c r="P16" s="188">
        <v>20</v>
      </c>
      <c r="Q16" s="188">
        <v>1788.3455858679713</v>
      </c>
      <c r="R16" s="185">
        <f t="shared" si="7"/>
        <v>89.417279293398565</v>
      </c>
      <c r="S16" s="182">
        <f t="shared" si="8"/>
        <v>1</v>
      </c>
      <c r="T16" s="573"/>
      <c r="U16" s="188">
        <v>20</v>
      </c>
      <c r="V16" s="188">
        <v>1788.5455858679713</v>
      </c>
      <c r="W16" s="185">
        <f t="shared" si="1"/>
        <v>89.42727929339857</v>
      </c>
      <c r="X16" s="182">
        <f t="shared" si="9"/>
        <v>1</v>
      </c>
      <c r="Y16" s="573"/>
      <c r="Z16" s="188">
        <v>20</v>
      </c>
      <c r="AA16" s="188">
        <v>1789.3455858679715</v>
      </c>
      <c r="AB16" s="185">
        <f t="shared" si="2"/>
        <v>89.467279293398576</v>
      </c>
      <c r="AC16" s="182">
        <f t="shared" si="11"/>
        <v>1</v>
      </c>
      <c r="AD16" s="573"/>
      <c r="AE16" s="188">
        <v>20</v>
      </c>
      <c r="AF16" s="188">
        <v>1789.9455858679717</v>
      </c>
      <c r="AG16" s="185">
        <f t="shared" si="10"/>
        <v>89.497279293398577</v>
      </c>
      <c r="AH16" s="182">
        <f t="shared" si="12"/>
        <v>1</v>
      </c>
      <c r="AI16" s="573"/>
      <c r="AJ16" s="188">
        <v>20</v>
      </c>
      <c r="AK16" s="188">
        <v>1790.1455858679715</v>
      </c>
      <c r="AL16" s="185">
        <f t="shared" si="3"/>
        <v>89.507279293398568</v>
      </c>
      <c r="AM16" s="182">
        <f t="shared" si="13"/>
        <v>1</v>
      </c>
      <c r="AN16" s="573"/>
      <c r="AO16" s="188">
        <v>20</v>
      </c>
      <c r="AP16" s="188">
        <v>1789.3455858679717</v>
      </c>
      <c r="AQ16" s="185">
        <f t="shared" si="4"/>
        <v>89.46727929339859</v>
      </c>
      <c r="AR16" s="182">
        <f t="shared" si="14"/>
        <v>1</v>
      </c>
      <c r="AS16" s="573"/>
      <c r="AT16" s="188">
        <v>20</v>
      </c>
      <c r="AU16" s="188">
        <v>1789.5455858679718</v>
      </c>
      <c r="AV16" s="185">
        <f t="shared" si="5"/>
        <v>89.477279293398595</v>
      </c>
      <c r="AW16" s="182">
        <f t="shared" si="15"/>
        <v>1</v>
      </c>
      <c r="AX16" s="573"/>
    </row>
    <row r="17" spans="2:50" ht="14.25" customHeight="1">
      <c r="B17" s="572"/>
      <c r="C17" s="180">
        <v>11</v>
      </c>
      <c r="D17" s="183"/>
      <c r="E17" s="180"/>
      <c r="F17" s="180"/>
      <c r="G17" s="185"/>
      <c r="H17" s="573"/>
      <c r="I17" s="186"/>
      <c r="J17" s="186"/>
      <c r="K17" s="187"/>
      <c r="L17" s="574"/>
      <c r="M17" s="186"/>
      <c r="N17" s="572"/>
      <c r="O17" s="572"/>
      <c r="P17" s="188"/>
      <c r="Q17" s="188"/>
      <c r="R17" s="185"/>
      <c r="S17" s="182"/>
      <c r="T17" s="573"/>
      <c r="U17" s="188"/>
      <c r="V17" s="188"/>
      <c r="W17" s="185"/>
      <c r="X17" s="182"/>
      <c r="Y17" s="573"/>
      <c r="Z17" s="188"/>
      <c r="AA17" s="188"/>
      <c r="AB17" s="185"/>
      <c r="AC17" s="182"/>
      <c r="AD17" s="573"/>
      <c r="AE17" s="188"/>
      <c r="AF17" s="188"/>
      <c r="AG17" s="185"/>
      <c r="AH17" s="182"/>
      <c r="AI17" s="573"/>
      <c r="AJ17" s="188"/>
      <c r="AK17" s="188"/>
      <c r="AL17" s="185"/>
      <c r="AM17" s="182"/>
      <c r="AN17" s="573"/>
      <c r="AO17" s="188"/>
      <c r="AP17" s="188"/>
      <c r="AQ17" s="185"/>
      <c r="AR17" s="182"/>
      <c r="AS17" s="573"/>
      <c r="AT17" s="188"/>
      <c r="AU17" s="188"/>
      <c r="AV17" s="185"/>
      <c r="AW17" s="182"/>
      <c r="AX17" s="573"/>
    </row>
    <row r="18" spans="2:50" ht="14.25" customHeight="1">
      <c r="B18" s="572"/>
      <c r="C18" s="180">
        <v>12</v>
      </c>
      <c r="D18" s="183"/>
      <c r="E18" s="180"/>
      <c r="F18" s="180"/>
      <c r="G18" s="185"/>
      <c r="H18" s="573"/>
      <c r="I18" s="186"/>
      <c r="J18" s="186"/>
      <c r="K18" s="187"/>
      <c r="L18" s="574"/>
      <c r="M18" s="186"/>
      <c r="N18" s="572"/>
      <c r="O18" s="572"/>
      <c r="P18" s="188"/>
      <c r="Q18" s="188"/>
      <c r="R18" s="185"/>
      <c r="S18" s="182"/>
      <c r="T18" s="573"/>
      <c r="U18" s="188"/>
      <c r="V18" s="188"/>
      <c r="W18" s="185"/>
      <c r="X18" s="182"/>
      <c r="Y18" s="573"/>
      <c r="Z18" s="188"/>
      <c r="AA18" s="188"/>
      <c r="AB18" s="185"/>
      <c r="AC18" s="182"/>
      <c r="AD18" s="573"/>
      <c r="AE18" s="188"/>
      <c r="AF18" s="188"/>
      <c r="AG18" s="185"/>
      <c r="AH18" s="182"/>
      <c r="AI18" s="573"/>
      <c r="AJ18" s="188"/>
      <c r="AK18" s="188"/>
      <c r="AL18" s="185"/>
      <c r="AM18" s="182"/>
      <c r="AN18" s="573"/>
      <c r="AO18" s="188"/>
      <c r="AP18" s="188"/>
      <c r="AQ18" s="185"/>
      <c r="AR18" s="182"/>
      <c r="AS18" s="573"/>
      <c r="AT18" s="188"/>
      <c r="AU18" s="188"/>
      <c r="AV18" s="185"/>
      <c r="AW18" s="182"/>
      <c r="AX18" s="573"/>
    </row>
    <row r="19" spans="2:50" ht="14.25" customHeight="1">
      <c r="B19" s="572"/>
      <c r="C19" s="180">
        <v>13</v>
      </c>
      <c r="D19" s="183"/>
      <c r="E19" s="180"/>
      <c r="F19" s="180"/>
      <c r="G19" s="185"/>
      <c r="H19" s="573"/>
      <c r="I19" s="186"/>
      <c r="J19" s="186"/>
      <c r="K19" s="187"/>
      <c r="L19" s="574"/>
      <c r="M19" s="186"/>
      <c r="N19" s="572"/>
      <c r="O19" s="572"/>
      <c r="P19" s="188"/>
      <c r="Q19" s="188"/>
      <c r="R19" s="185"/>
      <c r="S19" s="182"/>
      <c r="T19" s="573"/>
      <c r="U19" s="188"/>
      <c r="V19" s="188"/>
      <c r="W19" s="185"/>
      <c r="X19" s="182"/>
      <c r="Y19" s="573"/>
      <c r="Z19" s="188"/>
      <c r="AA19" s="188"/>
      <c r="AB19" s="185"/>
      <c r="AC19" s="182"/>
      <c r="AD19" s="573"/>
      <c r="AE19" s="188"/>
      <c r="AF19" s="188"/>
      <c r="AG19" s="185"/>
      <c r="AH19" s="182"/>
      <c r="AI19" s="573"/>
      <c r="AJ19" s="188"/>
      <c r="AK19" s="188"/>
      <c r="AL19" s="185"/>
      <c r="AM19" s="182"/>
      <c r="AN19" s="573"/>
      <c r="AO19" s="188"/>
      <c r="AP19" s="188"/>
      <c r="AQ19" s="185"/>
      <c r="AR19" s="182"/>
      <c r="AS19" s="573"/>
      <c r="AT19" s="188"/>
      <c r="AU19" s="188"/>
      <c r="AV19" s="185"/>
      <c r="AW19" s="182"/>
      <c r="AX19" s="573"/>
    </row>
    <row r="20" spans="2:50" ht="14.25" customHeight="1">
      <c r="B20" s="572"/>
      <c r="C20" s="180">
        <v>14</v>
      </c>
      <c r="D20" s="183"/>
      <c r="E20" s="180"/>
      <c r="F20" s="180"/>
      <c r="G20" s="185"/>
      <c r="H20" s="573"/>
      <c r="I20" s="186"/>
      <c r="J20" s="186"/>
      <c r="K20" s="187"/>
      <c r="L20" s="574"/>
      <c r="M20" s="186"/>
      <c r="N20" s="572"/>
      <c r="O20" s="572"/>
      <c r="P20" s="188"/>
      <c r="Q20" s="188"/>
      <c r="R20" s="185"/>
      <c r="S20" s="182"/>
      <c r="T20" s="573"/>
      <c r="U20" s="188"/>
      <c r="V20" s="188"/>
      <c r="W20" s="185"/>
      <c r="X20" s="182"/>
      <c r="Y20" s="573"/>
      <c r="Z20" s="188"/>
      <c r="AA20" s="188"/>
      <c r="AB20" s="185"/>
      <c r="AC20" s="182"/>
      <c r="AD20" s="573"/>
      <c r="AE20" s="188"/>
      <c r="AF20" s="188"/>
      <c r="AG20" s="185"/>
      <c r="AH20" s="182"/>
      <c r="AI20" s="573"/>
      <c r="AJ20" s="188"/>
      <c r="AK20" s="188"/>
      <c r="AL20" s="185"/>
      <c r="AM20" s="182"/>
      <c r="AN20" s="573"/>
      <c r="AO20" s="188"/>
      <c r="AP20" s="188"/>
      <c r="AQ20" s="185"/>
      <c r="AR20" s="182"/>
      <c r="AS20" s="573"/>
      <c r="AT20" s="188"/>
      <c r="AU20" s="188"/>
      <c r="AV20" s="185"/>
      <c r="AW20" s="182"/>
      <c r="AX20" s="573"/>
    </row>
    <row r="21" spans="2:50" ht="14.25" customHeight="1">
      <c r="B21" s="572"/>
      <c r="C21" s="180">
        <v>15</v>
      </c>
      <c r="D21" s="183"/>
      <c r="E21" s="180"/>
      <c r="F21" s="180"/>
      <c r="G21" s="185"/>
      <c r="H21" s="573"/>
      <c r="I21" s="186"/>
      <c r="J21" s="186"/>
      <c r="K21" s="187"/>
      <c r="L21" s="574"/>
      <c r="M21" s="186"/>
      <c r="N21" s="572"/>
      <c r="O21" s="572"/>
      <c r="P21" s="188"/>
      <c r="Q21" s="188"/>
      <c r="R21" s="185"/>
      <c r="S21" s="182"/>
      <c r="T21" s="573"/>
      <c r="U21" s="188"/>
      <c r="V21" s="188"/>
      <c r="W21" s="185"/>
      <c r="X21" s="182"/>
      <c r="Y21" s="573"/>
      <c r="Z21" s="188"/>
      <c r="AA21" s="188"/>
      <c r="AB21" s="185"/>
      <c r="AC21" s="182"/>
      <c r="AD21" s="573"/>
      <c r="AE21" s="188"/>
      <c r="AF21" s="188"/>
      <c r="AG21" s="185"/>
      <c r="AH21" s="182"/>
      <c r="AI21" s="573"/>
      <c r="AJ21" s="188"/>
      <c r="AK21" s="188"/>
      <c r="AL21" s="185"/>
      <c r="AM21" s="182"/>
      <c r="AN21" s="573"/>
      <c r="AO21" s="188"/>
      <c r="AP21" s="188"/>
      <c r="AQ21" s="185"/>
      <c r="AR21" s="182"/>
      <c r="AS21" s="573"/>
      <c r="AT21" s="188"/>
      <c r="AU21" s="188"/>
      <c r="AV21" s="185"/>
      <c r="AW21" s="182"/>
      <c r="AX21" s="573"/>
    </row>
    <row r="22" spans="2:50" ht="14.25" customHeight="1">
      <c r="B22" s="597" t="s">
        <v>684</v>
      </c>
      <c r="C22" s="587"/>
      <c r="D22" s="587"/>
      <c r="E22" s="587"/>
      <c r="F22" s="587"/>
      <c r="G22" s="587"/>
      <c r="H22" s="587"/>
      <c r="I22" s="587"/>
      <c r="J22" s="587"/>
      <c r="K22" s="587"/>
      <c r="L22" s="587"/>
      <c r="M22" s="588"/>
      <c r="N22" s="606" t="s">
        <v>364</v>
      </c>
      <c r="O22" s="606" t="s">
        <v>105</v>
      </c>
      <c r="P22" s="608">
        <v>46175</v>
      </c>
      <c r="Q22" s="609"/>
      <c r="R22" s="609"/>
      <c r="S22" s="609"/>
      <c r="T22" s="609"/>
      <c r="U22" s="610">
        <v>46176</v>
      </c>
      <c r="V22" s="611"/>
      <c r="W22" s="611"/>
      <c r="X22" s="611"/>
      <c r="Y22" s="611"/>
      <c r="Z22" s="608">
        <v>46177</v>
      </c>
      <c r="AA22" s="609"/>
      <c r="AB22" s="609"/>
      <c r="AC22" s="609"/>
      <c r="AD22" s="609"/>
      <c r="AE22" s="610">
        <v>46178</v>
      </c>
      <c r="AF22" s="611"/>
      <c r="AG22" s="611"/>
      <c r="AH22" s="611"/>
      <c r="AI22" s="611"/>
      <c r="AJ22" s="598">
        <v>46179</v>
      </c>
      <c r="AK22" s="599"/>
      <c r="AL22" s="599"/>
      <c r="AM22" s="599"/>
      <c r="AN22" s="600"/>
      <c r="AO22" s="610">
        <v>46180</v>
      </c>
      <c r="AP22" s="611"/>
      <c r="AQ22" s="611"/>
      <c r="AR22" s="611"/>
      <c r="AS22" s="611"/>
      <c r="AT22" s="598">
        <v>46181</v>
      </c>
      <c r="AU22" s="599"/>
      <c r="AV22" s="599"/>
      <c r="AW22" s="599"/>
      <c r="AX22" s="600"/>
    </row>
    <row r="23" spans="2:50" ht="14.25" customHeight="1">
      <c r="B23" s="589"/>
      <c r="C23" s="589"/>
      <c r="D23" s="589"/>
      <c r="E23" s="589"/>
      <c r="F23" s="589"/>
      <c r="G23" s="589"/>
      <c r="H23" s="589"/>
      <c r="I23" s="589"/>
      <c r="J23" s="589"/>
      <c r="K23" s="589"/>
      <c r="L23" s="589"/>
      <c r="M23" s="590"/>
      <c r="N23" s="607"/>
      <c r="O23" s="607"/>
      <c r="P23" s="601">
        <v>46175</v>
      </c>
      <c r="Q23" s="601"/>
      <c r="R23" s="601"/>
      <c r="S23" s="601"/>
      <c r="T23" s="601"/>
      <c r="U23" s="602">
        <v>46176</v>
      </c>
      <c r="V23" s="602"/>
      <c r="W23" s="602"/>
      <c r="X23" s="602"/>
      <c r="Y23" s="602"/>
      <c r="Z23" s="601">
        <v>46177</v>
      </c>
      <c r="AA23" s="601"/>
      <c r="AB23" s="601"/>
      <c r="AC23" s="601"/>
      <c r="AD23" s="601"/>
      <c r="AE23" s="602">
        <v>46178</v>
      </c>
      <c r="AF23" s="602"/>
      <c r="AG23" s="602"/>
      <c r="AH23" s="602"/>
      <c r="AI23" s="602"/>
      <c r="AJ23" s="603">
        <v>46179</v>
      </c>
      <c r="AK23" s="604"/>
      <c r="AL23" s="604"/>
      <c r="AM23" s="604"/>
      <c r="AN23" s="605"/>
      <c r="AO23" s="602">
        <v>46180</v>
      </c>
      <c r="AP23" s="602"/>
      <c r="AQ23" s="602"/>
      <c r="AR23" s="602"/>
      <c r="AS23" s="602"/>
      <c r="AT23" s="603">
        <v>46181</v>
      </c>
      <c r="AU23" s="604"/>
      <c r="AV23" s="604"/>
      <c r="AW23" s="604"/>
      <c r="AX23" s="605"/>
    </row>
    <row r="24" spans="2:50" ht="14.25" customHeight="1">
      <c r="B24" s="572" t="s">
        <v>162</v>
      </c>
      <c r="C24" s="572" t="s">
        <v>157</v>
      </c>
      <c r="D24" s="572"/>
      <c r="E24" s="572" t="s">
        <v>158</v>
      </c>
      <c r="F24" s="572"/>
      <c r="G24" s="572"/>
      <c r="H24" s="572" t="s">
        <v>163</v>
      </c>
      <c r="I24" s="576" t="s">
        <v>365</v>
      </c>
      <c r="J24" s="576"/>
      <c r="K24" s="576"/>
      <c r="L24" s="576" t="s">
        <v>163</v>
      </c>
      <c r="M24" s="576" t="s">
        <v>165</v>
      </c>
      <c r="N24" s="572"/>
      <c r="O24" s="572" t="s">
        <v>164</v>
      </c>
      <c r="P24" s="572" t="s">
        <v>160</v>
      </c>
      <c r="Q24" s="572"/>
      <c r="R24" s="572"/>
      <c r="S24" s="572"/>
      <c r="T24" s="572" t="s">
        <v>163</v>
      </c>
      <c r="U24" s="572" t="s">
        <v>160</v>
      </c>
      <c r="V24" s="572"/>
      <c r="W24" s="572"/>
      <c r="X24" s="572"/>
      <c r="Y24" s="572" t="s">
        <v>163</v>
      </c>
      <c r="Z24" s="572" t="s">
        <v>160</v>
      </c>
      <c r="AA24" s="572"/>
      <c r="AB24" s="572"/>
      <c r="AC24" s="572"/>
      <c r="AD24" s="572" t="s">
        <v>163</v>
      </c>
      <c r="AE24" s="572" t="s">
        <v>160</v>
      </c>
      <c r="AF24" s="572"/>
      <c r="AG24" s="572"/>
      <c r="AH24" s="572"/>
      <c r="AI24" s="572" t="s">
        <v>163</v>
      </c>
      <c r="AJ24" s="572" t="s">
        <v>160</v>
      </c>
      <c r="AK24" s="572"/>
      <c r="AL24" s="572"/>
      <c r="AM24" s="572"/>
      <c r="AN24" s="572" t="s">
        <v>163</v>
      </c>
      <c r="AO24" s="572" t="s">
        <v>160</v>
      </c>
      <c r="AP24" s="572"/>
      <c r="AQ24" s="572"/>
      <c r="AR24" s="572"/>
      <c r="AS24" s="572" t="s">
        <v>163</v>
      </c>
      <c r="AT24" s="572" t="s">
        <v>160</v>
      </c>
      <c r="AU24" s="572"/>
      <c r="AV24" s="572"/>
      <c r="AW24" s="572"/>
      <c r="AX24" s="572" t="s">
        <v>163</v>
      </c>
    </row>
    <row r="25" spans="2:50" ht="14.25" customHeight="1">
      <c r="B25" s="572"/>
      <c r="C25" s="572"/>
      <c r="D25" s="572"/>
      <c r="E25" s="572" t="s">
        <v>366</v>
      </c>
      <c r="F25" s="572"/>
      <c r="G25" s="572"/>
      <c r="H25" s="572"/>
      <c r="I25" s="576" t="s">
        <v>366</v>
      </c>
      <c r="J25" s="576"/>
      <c r="K25" s="576"/>
      <c r="L25" s="576"/>
      <c r="M25" s="576"/>
      <c r="N25" s="572"/>
      <c r="O25" s="572"/>
      <c r="P25" s="572" t="s">
        <v>367</v>
      </c>
      <c r="Q25" s="572"/>
      <c r="R25" s="572"/>
      <c r="S25" s="572"/>
      <c r="T25" s="572"/>
      <c r="U25" s="572" t="s">
        <v>367</v>
      </c>
      <c r="V25" s="572"/>
      <c r="W25" s="572"/>
      <c r="X25" s="572"/>
      <c r="Y25" s="572"/>
      <c r="Z25" s="572" t="s">
        <v>367</v>
      </c>
      <c r="AA25" s="572"/>
      <c r="AB25" s="572"/>
      <c r="AC25" s="572"/>
      <c r="AD25" s="572"/>
      <c r="AE25" s="572" t="s">
        <v>367</v>
      </c>
      <c r="AF25" s="572"/>
      <c r="AG25" s="572"/>
      <c r="AH25" s="572"/>
      <c r="AI25" s="572"/>
      <c r="AJ25" s="572" t="s">
        <v>367</v>
      </c>
      <c r="AK25" s="572"/>
      <c r="AL25" s="572"/>
      <c r="AM25" s="572"/>
      <c r="AN25" s="572"/>
      <c r="AO25" s="572" t="s">
        <v>367</v>
      </c>
      <c r="AP25" s="572"/>
      <c r="AQ25" s="572"/>
      <c r="AR25" s="572"/>
      <c r="AS25" s="572"/>
      <c r="AT25" s="572" t="s">
        <v>367</v>
      </c>
      <c r="AU25" s="572"/>
      <c r="AV25" s="572"/>
      <c r="AW25" s="572"/>
      <c r="AX25" s="572"/>
    </row>
    <row r="26" spans="2:50" ht="14.25" customHeight="1">
      <c r="B26" s="572"/>
      <c r="C26" s="572"/>
      <c r="D26" s="572"/>
      <c r="E26" s="180" t="s">
        <v>159</v>
      </c>
      <c r="F26" s="180" t="s">
        <v>368</v>
      </c>
      <c r="G26" s="180" t="s">
        <v>161</v>
      </c>
      <c r="H26" s="572"/>
      <c r="I26" s="181" t="s">
        <v>159</v>
      </c>
      <c r="J26" s="181" t="s">
        <v>368</v>
      </c>
      <c r="K26" s="181" t="s">
        <v>161</v>
      </c>
      <c r="L26" s="576"/>
      <c r="M26" s="576"/>
      <c r="N26" s="572"/>
      <c r="O26" s="572"/>
      <c r="P26" s="180" t="s">
        <v>159</v>
      </c>
      <c r="Q26" s="180" t="s">
        <v>368</v>
      </c>
      <c r="R26" s="180" t="s">
        <v>161</v>
      </c>
      <c r="S26" s="182" t="s">
        <v>165</v>
      </c>
      <c r="T26" s="572"/>
      <c r="U26" s="180" t="s">
        <v>159</v>
      </c>
      <c r="V26" s="180" t="s">
        <v>368</v>
      </c>
      <c r="W26" s="180" t="s">
        <v>161</v>
      </c>
      <c r="X26" s="182" t="s">
        <v>165</v>
      </c>
      <c r="Y26" s="572"/>
      <c r="Z26" s="180" t="s">
        <v>159</v>
      </c>
      <c r="AA26" s="180" t="s">
        <v>368</v>
      </c>
      <c r="AB26" s="180" t="s">
        <v>161</v>
      </c>
      <c r="AC26" s="182" t="s">
        <v>165</v>
      </c>
      <c r="AD26" s="572"/>
      <c r="AE26" s="180" t="s">
        <v>159</v>
      </c>
      <c r="AF26" s="180" t="s">
        <v>368</v>
      </c>
      <c r="AG26" s="180" t="s">
        <v>161</v>
      </c>
      <c r="AH26" s="182" t="s">
        <v>165</v>
      </c>
      <c r="AI26" s="572"/>
      <c r="AJ26" s="180" t="s">
        <v>159</v>
      </c>
      <c r="AK26" s="180" t="s">
        <v>368</v>
      </c>
      <c r="AL26" s="180" t="s">
        <v>161</v>
      </c>
      <c r="AM26" s="182" t="s">
        <v>165</v>
      </c>
      <c r="AN26" s="572"/>
      <c r="AO26" s="180" t="s">
        <v>159</v>
      </c>
      <c r="AP26" s="180" t="s">
        <v>368</v>
      </c>
      <c r="AQ26" s="180" t="s">
        <v>161</v>
      </c>
      <c r="AR26" s="182" t="s">
        <v>165</v>
      </c>
      <c r="AS26" s="572"/>
      <c r="AT26" s="180" t="s">
        <v>159</v>
      </c>
      <c r="AU26" s="180" t="s">
        <v>368</v>
      </c>
      <c r="AV26" s="180" t="s">
        <v>161</v>
      </c>
      <c r="AW26" s="182" t="s">
        <v>165</v>
      </c>
      <c r="AX26" s="572"/>
    </row>
    <row r="27" spans="2:50" ht="14.25" customHeight="1">
      <c r="B27" s="572" t="s">
        <v>137</v>
      </c>
      <c r="C27" s="180">
        <v>1</v>
      </c>
      <c r="D27" s="183" t="s">
        <v>352</v>
      </c>
      <c r="E27" s="180">
        <v>24</v>
      </c>
      <c r="F27" s="180">
        <v>2000</v>
      </c>
      <c r="G27" s="185">
        <f t="shared" ref="G27:G35" si="16">F27/E27</f>
        <v>83.333333333333329</v>
      </c>
      <c r="H27" s="573">
        <f>AVERAGE(G27:G41)</f>
        <v>88.716146977016535</v>
      </c>
      <c r="I27" s="186">
        <f>AVERAGE(P27,U27,Z27,AE27,AJ27,AO27,AT27)</f>
        <v>24</v>
      </c>
      <c r="J27" s="186">
        <f>AVERAGE(Q27,V27,AA27,AF27,AK27,AP27,AU27)</f>
        <v>1795.6973867916799</v>
      </c>
      <c r="K27" s="187">
        <f>AVERAGE(R27,W27,AB27,AG27,AL27,AQ27,AV27)</f>
        <v>74.820724449653326</v>
      </c>
      <c r="L27" s="574">
        <f>IFERROR(AVERAGE(K27:K41),"-")</f>
        <v>79.415024817647932</v>
      </c>
      <c r="M27" s="186">
        <f>RANK(K27, K$27:$K$41)</f>
        <v>7</v>
      </c>
      <c r="N27" s="572"/>
      <c r="O27" s="572"/>
      <c r="P27" s="188">
        <v>24</v>
      </c>
      <c r="Q27" s="188">
        <v>1795.0116725059652</v>
      </c>
      <c r="R27" s="185">
        <f>IFERROR(Q27/P27,"")</f>
        <v>74.792153021081887</v>
      </c>
      <c r="S27" s="182">
        <f>RANK(R27, R$27:R$41)</f>
        <v>7</v>
      </c>
      <c r="T27" s="573">
        <f>AVERAGE(R27:R41)</f>
        <v>79.405573388239972</v>
      </c>
      <c r="U27" s="188">
        <v>24</v>
      </c>
      <c r="V27" s="188">
        <v>1795.4116725059657</v>
      </c>
      <c r="W27" s="185">
        <f t="shared" ref="W27:W35" si="17">IFERROR(V27/U27,"")</f>
        <v>74.808819687748567</v>
      </c>
      <c r="X27" s="182">
        <f>RANK(W27, W$27:W$41)</f>
        <v>7</v>
      </c>
      <c r="Y27" s="573">
        <f>AVERAGE(W27:W41)</f>
        <v>79.410172861230748</v>
      </c>
      <c r="Z27" s="188">
        <v>24</v>
      </c>
      <c r="AA27" s="188">
        <v>1795.2116725059659</v>
      </c>
      <c r="AB27" s="185">
        <f t="shared" ref="AB27:AB35" si="18">IFERROR(AA27/Z27,"")</f>
        <v>74.800486354415241</v>
      </c>
      <c r="AC27" s="182">
        <f>RANK(AB27, AB$27:AB$41)</f>
        <v>7</v>
      </c>
      <c r="AD27" s="573">
        <f>AVERAGE(AB27:AB41)</f>
        <v>79.407641021090228</v>
      </c>
      <c r="AE27" s="188">
        <v>24</v>
      </c>
      <c r="AF27" s="188">
        <v>1796.0116725059656</v>
      </c>
      <c r="AG27" s="185">
        <f>IFERROR(AF27/AE27,"")</f>
        <v>74.833819687748573</v>
      </c>
      <c r="AH27" s="182">
        <f>RANK(AG27, AG$27:AG$41)</f>
        <v>7</v>
      </c>
      <c r="AI27" s="573">
        <f>AVERAGE(AG27:AG41)</f>
        <v>79.412509854350361</v>
      </c>
      <c r="AJ27" s="188">
        <v>24</v>
      </c>
      <c r="AK27" s="188">
        <v>1796.0116725059659</v>
      </c>
      <c r="AL27" s="185">
        <f t="shared" ref="AL27:AL35" si="19">IFERROR(AK27/AJ27,"")</f>
        <v>74.833819687748573</v>
      </c>
      <c r="AM27" s="182">
        <f>RANK(AL27, AL$27:AL$41)</f>
        <v>7</v>
      </c>
      <c r="AN27" s="573">
        <f>AVERAGE(AL27:AL41)</f>
        <v>79.420993238920701</v>
      </c>
      <c r="AO27" s="188">
        <v>24</v>
      </c>
      <c r="AP27" s="188">
        <v>1796.0116725059659</v>
      </c>
      <c r="AQ27" s="185">
        <f t="shared" ref="AQ27:AQ35" si="20">IFERROR(AP27/AO27,"")</f>
        <v>74.833819687748573</v>
      </c>
      <c r="AR27" s="182">
        <f>RANK(AQ27, AQ$27:AQ$41)</f>
        <v>7</v>
      </c>
      <c r="AS27" s="573">
        <f>AVERAGE(AQ27:AQ41)</f>
        <v>79.419104642814716</v>
      </c>
      <c r="AT27" s="188">
        <v>24</v>
      </c>
      <c r="AU27" s="188">
        <v>1796.2116725059659</v>
      </c>
      <c r="AV27" s="185">
        <f t="shared" ref="AV27:AV35" si="21">IFERROR(AU27/AT27,"")</f>
        <v>74.842153021081913</v>
      </c>
      <c r="AW27" s="182">
        <f>RANK(AV27, AV$27:AV$41)</f>
        <v>7</v>
      </c>
      <c r="AX27" s="573">
        <f>AVERAGE(AV27:AV41)</f>
        <v>79.429178716888771</v>
      </c>
    </row>
    <row r="28" spans="2:50" ht="14.25" customHeight="1">
      <c r="B28" s="572"/>
      <c r="C28" s="180">
        <v>2</v>
      </c>
      <c r="D28" s="183" t="s">
        <v>353</v>
      </c>
      <c r="E28" s="180">
        <v>23</v>
      </c>
      <c r="F28" s="180">
        <v>2000</v>
      </c>
      <c r="G28" s="185">
        <f t="shared" si="16"/>
        <v>86.956521739130437</v>
      </c>
      <c r="H28" s="573"/>
      <c r="I28" s="186">
        <f t="shared" ref="I28:K35" si="22">AVERAGE(P28,U28,Z28,AE28,AJ28,AO28,AT28)</f>
        <v>23</v>
      </c>
      <c r="J28" s="186">
        <f t="shared" si="22"/>
        <v>1791.1555766841805</v>
      </c>
      <c r="K28" s="187">
        <f t="shared" si="22"/>
        <v>77.876329421051324</v>
      </c>
      <c r="L28" s="574"/>
      <c r="M28" s="186">
        <f>RANK(K28, K$27:$K$41)</f>
        <v>5</v>
      </c>
      <c r="N28" s="572"/>
      <c r="O28" s="572"/>
      <c r="P28" s="188">
        <v>23</v>
      </c>
      <c r="Q28" s="188">
        <v>1791.7270052556091</v>
      </c>
      <c r="R28" s="185">
        <f t="shared" ref="R28:R35" si="23">IFERROR(Q28/P28,"")</f>
        <v>77.901174141548225</v>
      </c>
      <c r="S28" s="182">
        <f t="shared" ref="S28:S35" si="24">RANK(R28, R$27:R$41)</f>
        <v>5</v>
      </c>
      <c r="T28" s="573"/>
      <c r="U28" s="188">
        <v>23</v>
      </c>
      <c r="V28" s="188">
        <v>1791.7270052556091</v>
      </c>
      <c r="W28" s="185">
        <f t="shared" si="17"/>
        <v>77.901174141548225</v>
      </c>
      <c r="X28" s="182">
        <f t="shared" ref="X28:X35" si="25">RANK(W28, W$27:W$41)</f>
        <v>5</v>
      </c>
      <c r="Y28" s="573"/>
      <c r="Z28" s="188">
        <v>23</v>
      </c>
      <c r="AA28" s="188">
        <v>1791.3270052556093</v>
      </c>
      <c r="AB28" s="185">
        <f t="shared" si="18"/>
        <v>77.8837828372004</v>
      </c>
      <c r="AC28" s="182">
        <f t="shared" ref="AC28:AC35" si="26">RANK(AB28, AB$27:AB$41)</f>
        <v>5</v>
      </c>
      <c r="AD28" s="573"/>
      <c r="AE28" s="188">
        <v>23</v>
      </c>
      <c r="AF28" s="188">
        <v>1790.3270052556093</v>
      </c>
      <c r="AG28" s="185">
        <f t="shared" ref="AG28:AG35" si="27">IFERROR(AF28/AE28,"")</f>
        <v>77.840304576330837</v>
      </c>
      <c r="AH28" s="182">
        <f t="shared" ref="AH28:AH35" si="28">RANK(AG28, AG$27:AG$41)</f>
        <v>6</v>
      </c>
      <c r="AI28" s="573"/>
      <c r="AJ28" s="188">
        <v>23</v>
      </c>
      <c r="AK28" s="188">
        <v>1791.1270052556092</v>
      </c>
      <c r="AL28" s="185">
        <f t="shared" si="19"/>
        <v>77.875087185026487</v>
      </c>
      <c r="AM28" s="182">
        <f t="shared" ref="AM28:AM35" si="29">RANK(AL28, AL$27:AL$41)</f>
        <v>5</v>
      </c>
      <c r="AN28" s="573"/>
      <c r="AO28" s="188">
        <v>23</v>
      </c>
      <c r="AP28" s="188">
        <v>1790.7270052556091</v>
      </c>
      <c r="AQ28" s="185">
        <f t="shared" si="20"/>
        <v>77.857695880678662</v>
      </c>
      <c r="AR28" s="182">
        <f t="shared" ref="AR28:AR35" si="30">RANK(AQ28, AQ$27:AQ$41)</f>
        <v>6</v>
      </c>
      <c r="AS28" s="573"/>
      <c r="AT28" s="188">
        <v>23</v>
      </c>
      <c r="AU28" s="188">
        <v>1791.1270052556088</v>
      </c>
      <c r="AV28" s="185">
        <f t="shared" si="21"/>
        <v>77.875087185026473</v>
      </c>
      <c r="AW28" s="182">
        <f t="shared" ref="AW28:AW35" si="31">RANK(AV28, AV$27:AV$41)</f>
        <v>5</v>
      </c>
      <c r="AX28" s="573"/>
    </row>
    <row r="29" spans="2:50" ht="14.25" customHeight="1">
      <c r="B29" s="572"/>
      <c r="C29" s="180">
        <v>3</v>
      </c>
      <c r="D29" s="183" t="s">
        <v>350</v>
      </c>
      <c r="E29" s="180">
        <v>23</v>
      </c>
      <c r="F29" s="180">
        <v>2000</v>
      </c>
      <c r="G29" s="185">
        <f t="shared" si="16"/>
        <v>86.956521739130437</v>
      </c>
      <c r="H29" s="573"/>
      <c r="I29" s="186">
        <f t="shared" si="22"/>
        <v>23</v>
      </c>
      <c r="J29" s="186">
        <f t="shared" si="22"/>
        <v>1791.1049439941787</v>
      </c>
      <c r="K29" s="187">
        <f t="shared" si="22"/>
        <v>77.874127999746889</v>
      </c>
      <c r="L29" s="574"/>
      <c r="M29" s="186">
        <f>RANK(K29, K$27:$K$41)</f>
        <v>6</v>
      </c>
      <c r="N29" s="572"/>
      <c r="O29" s="572"/>
      <c r="P29" s="188">
        <v>23</v>
      </c>
      <c r="Q29" s="188">
        <v>1791.2192297084644</v>
      </c>
      <c r="R29" s="185">
        <f t="shared" si="23"/>
        <v>77.879096943846278</v>
      </c>
      <c r="S29" s="182">
        <f t="shared" si="24"/>
        <v>6</v>
      </c>
      <c r="T29" s="573"/>
      <c r="U29" s="188">
        <v>23</v>
      </c>
      <c r="V29" s="188">
        <v>1791.4192297084646</v>
      </c>
      <c r="W29" s="185">
        <f t="shared" si="17"/>
        <v>77.887792596020205</v>
      </c>
      <c r="X29" s="182">
        <f t="shared" si="25"/>
        <v>6</v>
      </c>
      <c r="Y29" s="573"/>
      <c r="Z29" s="188">
        <v>23</v>
      </c>
      <c r="AA29" s="188">
        <v>1791.0192297084645</v>
      </c>
      <c r="AB29" s="185">
        <f t="shared" si="18"/>
        <v>77.870401291672366</v>
      </c>
      <c r="AC29" s="182">
        <f t="shared" si="26"/>
        <v>6</v>
      </c>
      <c r="AD29" s="573"/>
      <c r="AE29" s="188">
        <v>23</v>
      </c>
      <c r="AF29" s="188">
        <v>1790.8192297084643</v>
      </c>
      <c r="AG29" s="185">
        <f t="shared" si="27"/>
        <v>77.861705639498453</v>
      </c>
      <c r="AH29" s="182">
        <f t="shared" si="28"/>
        <v>5</v>
      </c>
      <c r="AI29" s="573"/>
      <c r="AJ29" s="188">
        <v>23</v>
      </c>
      <c r="AK29" s="188">
        <v>1791.0192297084643</v>
      </c>
      <c r="AL29" s="185">
        <f t="shared" si="19"/>
        <v>77.870401291672366</v>
      </c>
      <c r="AM29" s="182">
        <f t="shared" si="29"/>
        <v>6</v>
      </c>
      <c r="AN29" s="573"/>
      <c r="AO29" s="188">
        <v>23</v>
      </c>
      <c r="AP29" s="188">
        <v>1791.4192297084644</v>
      </c>
      <c r="AQ29" s="185">
        <f t="shared" si="20"/>
        <v>77.887792596020191</v>
      </c>
      <c r="AR29" s="182">
        <f t="shared" si="30"/>
        <v>5</v>
      </c>
      <c r="AS29" s="573"/>
      <c r="AT29" s="188">
        <v>23</v>
      </c>
      <c r="AU29" s="188">
        <v>1790.8192297084643</v>
      </c>
      <c r="AV29" s="185">
        <f t="shared" si="21"/>
        <v>77.861705639498453</v>
      </c>
      <c r="AW29" s="182">
        <f t="shared" si="31"/>
        <v>6</v>
      </c>
      <c r="AX29" s="573"/>
    </row>
    <row r="30" spans="2:50" ht="14.25" customHeight="1">
      <c r="B30" s="572"/>
      <c r="C30" s="180">
        <v>4</v>
      </c>
      <c r="D30" s="183" t="s">
        <v>435</v>
      </c>
      <c r="E30" s="180">
        <v>23</v>
      </c>
      <c r="F30" s="180">
        <v>2000</v>
      </c>
      <c r="G30" s="185">
        <f t="shared" si="16"/>
        <v>86.956521739130437</v>
      </c>
      <c r="H30" s="573"/>
      <c r="I30" s="186">
        <f t="shared" si="22"/>
        <v>23</v>
      </c>
      <c r="J30" s="186">
        <f t="shared" si="22"/>
        <v>1795.0815964524716</v>
      </c>
      <c r="K30" s="187">
        <f t="shared" si="22"/>
        <v>78.047025932716153</v>
      </c>
      <c r="L30" s="574"/>
      <c r="M30" s="186">
        <f>RANK(K30, K$27:$K$41)</f>
        <v>4</v>
      </c>
      <c r="N30" s="572"/>
      <c r="O30" s="572"/>
      <c r="P30" s="188">
        <v>23</v>
      </c>
      <c r="Q30" s="188">
        <v>1794.081596452472</v>
      </c>
      <c r="R30" s="185">
        <f t="shared" si="23"/>
        <v>78.003547671846604</v>
      </c>
      <c r="S30" s="182">
        <f t="shared" si="24"/>
        <v>4</v>
      </c>
      <c r="T30" s="573"/>
      <c r="U30" s="188">
        <v>23</v>
      </c>
      <c r="V30" s="188">
        <v>1793.6815964524719</v>
      </c>
      <c r="W30" s="185">
        <f t="shared" si="17"/>
        <v>77.986156367498779</v>
      </c>
      <c r="X30" s="182">
        <f t="shared" si="25"/>
        <v>4</v>
      </c>
      <c r="Y30" s="573"/>
      <c r="Z30" s="188">
        <v>23</v>
      </c>
      <c r="AA30" s="188">
        <v>1794.2815964524718</v>
      </c>
      <c r="AB30" s="185">
        <f t="shared" si="18"/>
        <v>78.012243324020517</v>
      </c>
      <c r="AC30" s="182">
        <f t="shared" si="26"/>
        <v>4</v>
      </c>
      <c r="AD30" s="573"/>
      <c r="AE30" s="188">
        <v>23</v>
      </c>
      <c r="AF30" s="188">
        <v>1795.2815964524718</v>
      </c>
      <c r="AG30" s="185">
        <f t="shared" si="27"/>
        <v>78.05572158489008</v>
      </c>
      <c r="AH30" s="182">
        <f t="shared" si="28"/>
        <v>4</v>
      </c>
      <c r="AI30" s="573"/>
      <c r="AJ30" s="188">
        <v>23</v>
      </c>
      <c r="AK30" s="188">
        <v>1796.2815964524716</v>
      </c>
      <c r="AL30" s="185">
        <f t="shared" si="19"/>
        <v>78.099199845759628</v>
      </c>
      <c r="AM30" s="182">
        <f t="shared" si="29"/>
        <v>4</v>
      </c>
      <c r="AN30" s="573"/>
      <c r="AO30" s="188">
        <v>23</v>
      </c>
      <c r="AP30" s="188">
        <v>1795.8815964524713</v>
      </c>
      <c r="AQ30" s="185">
        <f t="shared" si="20"/>
        <v>78.081808541411789</v>
      </c>
      <c r="AR30" s="182">
        <f t="shared" si="30"/>
        <v>4</v>
      </c>
      <c r="AS30" s="573"/>
      <c r="AT30" s="188">
        <v>23</v>
      </c>
      <c r="AU30" s="188">
        <v>1796.0815964524711</v>
      </c>
      <c r="AV30" s="185">
        <f t="shared" si="21"/>
        <v>78.090504193585701</v>
      </c>
      <c r="AW30" s="182">
        <f t="shared" si="31"/>
        <v>4</v>
      </c>
      <c r="AX30" s="573"/>
    </row>
    <row r="31" spans="2:50" ht="14.25" customHeight="1">
      <c r="B31" s="572"/>
      <c r="C31" s="180">
        <v>5</v>
      </c>
      <c r="D31" s="183" t="s">
        <v>437</v>
      </c>
      <c r="E31" s="180">
        <v>22</v>
      </c>
      <c r="F31" s="180">
        <v>2000</v>
      </c>
      <c r="G31" s="185">
        <f t="shared" si="16"/>
        <v>90.909090909090907</v>
      </c>
      <c r="H31" s="573"/>
      <c r="I31" s="186">
        <f t="shared" si="22"/>
        <v>22</v>
      </c>
      <c r="J31" s="186">
        <f t="shared" si="22"/>
        <v>1785.8747817190631</v>
      </c>
      <c r="K31" s="187">
        <f t="shared" si="22"/>
        <v>81.176126441775594</v>
      </c>
      <c r="L31" s="574"/>
      <c r="M31" s="186">
        <f>RANK(K31, K$27:$K$41)</f>
        <v>3</v>
      </c>
      <c r="N31" s="572"/>
      <c r="O31" s="572"/>
      <c r="P31" s="188">
        <v>22</v>
      </c>
      <c r="Q31" s="188">
        <v>1786.0462102904914</v>
      </c>
      <c r="R31" s="185">
        <f t="shared" si="23"/>
        <v>81.183918649567786</v>
      </c>
      <c r="S31" s="182">
        <f t="shared" si="24"/>
        <v>3</v>
      </c>
      <c r="T31" s="573"/>
      <c r="U31" s="188">
        <v>22</v>
      </c>
      <c r="V31" s="188">
        <v>1786.2462102904913</v>
      </c>
      <c r="W31" s="185">
        <f t="shared" si="17"/>
        <v>81.193009558658687</v>
      </c>
      <c r="X31" s="182">
        <f t="shared" si="25"/>
        <v>3</v>
      </c>
      <c r="Y31" s="573"/>
      <c r="Z31" s="188">
        <v>22</v>
      </c>
      <c r="AA31" s="188">
        <v>1786.0462102904914</v>
      </c>
      <c r="AB31" s="185">
        <f t="shared" si="18"/>
        <v>81.183918649567786</v>
      </c>
      <c r="AC31" s="182">
        <f t="shared" si="26"/>
        <v>3</v>
      </c>
      <c r="AD31" s="573"/>
      <c r="AE31" s="188">
        <v>22</v>
      </c>
      <c r="AF31" s="188">
        <v>1786.4462102904913</v>
      </c>
      <c r="AG31" s="185">
        <f t="shared" si="27"/>
        <v>81.202100467749602</v>
      </c>
      <c r="AH31" s="182">
        <f t="shared" si="28"/>
        <v>3</v>
      </c>
      <c r="AI31" s="573"/>
      <c r="AJ31" s="188">
        <v>22</v>
      </c>
      <c r="AK31" s="188">
        <v>1785.8462102904916</v>
      </c>
      <c r="AL31" s="185">
        <f t="shared" si="19"/>
        <v>81.174827740476886</v>
      </c>
      <c r="AM31" s="182">
        <f t="shared" si="29"/>
        <v>3</v>
      </c>
      <c r="AN31" s="573"/>
      <c r="AO31" s="188">
        <v>22</v>
      </c>
      <c r="AP31" s="188">
        <v>1785.2462102904915</v>
      </c>
      <c r="AQ31" s="185">
        <f t="shared" si="20"/>
        <v>81.147555013204155</v>
      </c>
      <c r="AR31" s="182">
        <f t="shared" si="30"/>
        <v>3</v>
      </c>
      <c r="AS31" s="573"/>
      <c r="AT31" s="188">
        <v>22</v>
      </c>
      <c r="AU31" s="188">
        <v>1785.2462102904913</v>
      </c>
      <c r="AV31" s="185">
        <f t="shared" si="21"/>
        <v>81.147555013204155</v>
      </c>
      <c r="AW31" s="182">
        <f t="shared" si="31"/>
        <v>3</v>
      </c>
      <c r="AX31" s="573"/>
    </row>
    <row r="32" spans="2:50" ht="14.25" customHeight="1">
      <c r="B32" s="572"/>
      <c r="C32" s="180">
        <v>6</v>
      </c>
      <c r="D32" s="183" t="s">
        <v>439</v>
      </c>
      <c r="E32" s="180">
        <v>20</v>
      </c>
      <c r="F32" s="180">
        <v>2000</v>
      </c>
      <c r="G32" s="185">
        <f t="shared" si="16"/>
        <v>100</v>
      </c>
      <c r="H32" s="573"/>
      <c r="I32" s="186">
        <f t="shared" si="22"/>
        <v>20</v>
      </c>
      <c r="J32" s="186">
        <f t="shared" si="22"/>
        <v>1783.2323749029313</v>
      </c>
      <c r="K32" s="187">
        <f t="shared" si="22"/>
        <v>89.161618745146569</v>
      </c>
      <c r="L32" s="574"/>
      <c r="M32" s="186">
        <f>RANK(K32, K$27:$K$41)</f>
        <v>2</v>
      </c>
      <c r="N32" s="572"/>
      <c r="O32" s="572"/>
      <c r="P32" s="188">
        <v>20</v>
      </c>
      <c r="Q32" s="188">
        <v>1783.546660617217</v>
      </c>
      <c r="R32" s="185">
        <f t="shared" si="23"/>
        <v>89.177333030860851</v>
      </c>
      <c r="S32" s="182">
        <f t="shared" si="24"/>
        <v>2</v>
      </c>
      <c r="T32" s="573"/>
      <c r="U32" s="188">
        <v>20</v>
      </c>
      <c r="V32" s="188">
        <v>1783.546660617217</v>
      </c>
      <c r="W32" s="185">
        <f t="shared" si="17"/>
        <v>89.177333030860851</v>
      </c>
      <c r="X32" s="182">
        <f t="shared" si="25"/>
        <v>2</v>
      </c>
      <c r="Y32" s="573"/>
      <c r="Z32" s="188">
        <v>20</v>
      </c>
      <c r="AA32" s="188">
        <v>1783.3466606172171</v>
      </c>
      <c r="AB32" s="185">
        <f t="shared" si="18"/>
        <v>89.16733303086086</v>
      </c>
      <c r="AC32" s="182">
        <f t="shared" si="26"/>
        <v>2</v>
      </c>
      <c r="AD32" s="573"/>
      <c r="AE32" s="188">
        <v>20</v>
      </c>
      <c r="AF32" s="188">
        <v>1782.5466606172172</v>
      </c>
      <c r="AG32" s="185">
        <f t="shared" si="27"/>
        <v>89.127333030860854</v>
      </c>
      <c r="AH32" s="182">
        <f t="shared" si="28"/>
        <v>2</v>
      </c>
      <c r="AI32" s="573"/>
      <c r="AJ32" s="188">
        <v>20</v>
      </c>
      <c r="AK32" s="188">
        <v>1782.7466606172172</v>
      </c>
      <c r="AL32" s="185">
        <f t="shared" si="19"/>
        <v>89.137333030860859</v>
      </c>
      <c r="AM32" s="182">
        <f t="shared" si="29"/>
        <v>2</v>
      </c>
      <c r="AN32" s="573"/>
      <c r="AO32" s="188">
        <v>20</v>
      </c>
      <c r="AP32" s="188">
        <v>1782.9466606172168</v>
      </c>
      <c r="AQ32" s="185">
        <f t="shared" si="20"/>
        <v>89.147333030860835</v>
      </c>
      <c r="AR32" s="182">
        <f t="shared" si="30"/>
        <v>2</v>
      </c>
      <c r="AS32" s="573"/>
      <c r="AT32" s="188">
        <v>20</v>
      </c>
      <c r="AU32" s="188">
        <v>1783.9466606172166</v>
      </c>
      <c r="AV32" s="185">
        <f t="shared" si="21"/>
        <v>89.197333030860833</v>
      </c>
      <c r="AW32" s="182">
        <f t="shared" si="31"/>
        <v>2</v>
      </c>
      <c r="AX32" s="573"/>
    </row>
    <row r="33" spans="2:50" ht="14.25" customHeight="1">
      <c r="B33" s="572"/>
      <c r="C33" s="180">
        <v>7</v>
      </c>
      <c r="D33" s="183" t="s">
        <v>354</v>
      </c>
      <c r="E33" s="180">
        <v>24</v>
      </c>
      <c r="F33" s="180">
        <v>2000</v>
      </c>
      <c r="G33" s="185">
        <f t="shared" si="16"/>
        <v>83.333333333333329</v>
      </c>
      <c r="H33" s="573"/>
      <c r="I33" s="186">
        <f t="shared" si="22"/>
        <v>24</v>
      </c>
      <c r="J33" s="186">
        <f t="shared" si="22"/>
        <v>1789.6368027480808</v>
      </c>
      <c r="K33" s="187">
        <f t="shared" si="22"/>
        <v>74.568200114503369</v>
      </c>
      <c r="L33" s="574"/>
      <c r="M33" s="186">
        <f>RANK(K33, K$27:$K$41)</f>
        <v>8</v>
      </c>
      <c r="N33" s="572"/>
      <c r="O33" s="572"/>
      <c r="P33" s="188">
        <v>24</v>
      </c>
      <c r="Q33" s="188">
        <v>1788.408231319509</v>
      </c>
      <c r="R33" s="185">
        <f t="shared" si="23"/>
        <v>74.517009638312871</v>
      </c>
      <c r="S33" s="182">
        <f t="shared" si="24"/>
        <v>8</v>
      </c>
      <c r="T33" s="573"/>
      <c r="U33" s="188">
        <v>24</v>
      </c>
      <c r="V33" s="188">
        <v>1788.6082313195093</v>
      </c>
      <c r="W33" s="185">
        <f t="shared" si="17"/>
        <v>74.525342971646225</v>
      </c>
      <c r="X33" s="182">
        <f t="shared" si="25"/>
        <v>8</v>
      </c>
      <c r="Y33" s="573"/>
      <c r="Z33" s="188">
        <v>24</v>
      </c>
      <c r="AA33" s="188">
        <v>1789.4082313195095</v>
      </c>
      <c r="AB33" s="185">
        <f t="shared" si="18"/>
        <v>74.558676304979556</v>
      </c>
      <c r="AC33" s="182">
        <f t="shared" si="26"/>
        <v>8</v>
      </c>
      <c r="AD33" s="573"/>
      <c r="AE33" s="188">
        <v>24</v>
      </c>
      <c r="AF33" s="188">
        <v>1790.0082313195096</v>
      </c>
      <c r="AG33" s="185">
        <f t="shared" si="27"/>
        <v>74.583676304979562</v>
      </c>
      <c r="AH33" s="182">
        <f t="shared" si="28"/>
        <v>8</v>
      </c>
      <c r="AI33" s="573"/>
      <c r="AJ33" s="188">
        <v>24</v>
      </c>
      <c r="AK33" s="188">
        <v>1790.4082313195095</v>
      </c>
      <c r="AL33" s="185">
        <f t="shared" si="19"/>
        <v>74.600342971646228</v>
      </c>
      <c r="AM33" s="182">
        <f t="shared" si="29"/>
        <v>8</v>
      </c>
      <c r="AN33" s="573"/>
      <c r="AO33" s="188">
        <v>24</v>
      </c>
      <c r="AP33" s="188">
        <v>1790.2082313195094</v>
      </c>
      <c r="AQ33" s="185">
        <f t="shared" si="20"/>
        <v>74.592009638312888</v>
      </c>
      <c r="AR33" s="182">
        <f t="shared" si="30"/>
        <v>8</v>
      </c>
      <c r="AS33" s="573"/>
      <c r="AT33" s="188">
        <v>24</v>
      </c>
      <c r="AU33" s="188">
        <v>1790.408231319509</v>
      </c>
      <c r="AV33" s="185">
        <f t="shared" si="21"/>
        <v>74.600342971646214</v>
      </c>
      <c r="AW33" s="182">
        <f t="shared" si="31"/>
        <v>8</v>
      </c>
      <c r="AX33" s="573"/>
    </row>
    <row r="34" spans="2:50" ht="14.25" customHeight="1">
      <c r="B34" s="572"/>
      <c r="C34" s="180">
        <v>8</v>
      </c>
      <c r="D34" s="183" t="s">
        <v>510</v>
      </c>
      <c r="E34" s="180">
        <v>25</v>
      </c>
      <c r="F34" s="180">
        <v>2000</v>
      </c>
      <c r="G34" s="185">
        <f t="shared" si="16"/>
        <v>80</v>
      </c>
      <c r="H34" s="573"/>
      <c r="I34" s="186">
        <f t="shared" si="22"/>
        <v>25</v>
      </c>
      <c r="J34" s="186">
        <f t="shared" si="22"/>
        <v>1791.7376311638457</v>
      </c>
      <c r="K34" s="187">
        <f t="shared" si="22"/>
        <v>71.669505246553825</v>
      </c>
      <c r="L34" s="574"/>
      <c r="M34" s="186">
        <f>RANK(K34, K$27:$K$41)</f>
        <v>9</v>
      </c>
      <c r="N34" s="572"/>
      <c r="O34" s="572"/>
      <c r="P34" s="188">
        <v>25</v>
      </c>
      <c r="Q34" s="188">
        <v>1792.9662025924165</v>
      </c>
      <c r="R34" s="185">
        <f t="shared" si="23"/>
        <v>71.718648103696665</v>
      </c>
      <c r="S34" s="182">
        <f t="shared" si="24"/>
        <v>9</v>
      </c>
      <c r="T34" s="573"/>
      <c r="U34" s="188">
        <v>25</v>
      </c>
      <c r="V34" s="188">
        <v>1792.3662025924168</v>
      </c>
      <c r="W34" s="185">
        <f t="shared" si="17"/>
        <v>71.694648103696679</v>
      </c>
      <c r="X34" s="182">
        <f t="shared" si="25"/>
        <v>9</v>
      </c>
      <c r="Y34" s="573"/>
      <c r="Z34" s="188">
        <v>25</v>
      </c>
      <c r="AA34" s="188">
        <v>1791.3662025924168</v>
      </c>
      <c r="AB34" s="185">
        <f t="shared" si="18"/>
        <v>71.654648103696672</v>
      </c>
      <c r="AC34" s="182">
        <f t="shared" si="26"/>
        <v>9</v>
      </c>
      <c r="AD34" s="573"/>
      <c r="AE34" s="188">
        <v>25</v>
      </c>
      <c r="AF34" s="188">
        <v>1791.7662025924169</v>
      </c>
      <c r="AG34" s="185">
        <f t="shared" si="27"/>
        <v>71.670648103696678</v>
      </c>
      <c r="AH34" s="182">
        <f t="shared" si="28"/>
        <v>9</v>
      </c>
      <c r="AI34" s="573"/>
      <c r="AJ34" s="188">
        <v>25</v>
      </c>
      <c r="AK34" s="188">
        <v>1791.7662025924171</v>
      </c>
      <c r="AL34" s="185">
        <f t="shared" si="19"/>
        <v>71.670648103696692</v>
      </c>
      <c r="AM34" s="182">
        <f t="shared" si="29"/>
        <v>9</v>
      </c>
      <c r="AN34" s="573"/>
      <c r="AO34" s="188">
        <v>25</v>
      </c>
      <c r="AP34" s="188">
        <v>1791.1662025924172</v>
      </c>
      <c r="AQ34" s="185">
        <f t="shared" si="20"/>
        <v>71.646648103696691</v>
      </c>
      <c r="AR34" s="182">
        <f t="shared" si="30"/>
        <v>9</v>
      </c>
      <c r="AS34" s="573"/>
      <c r="AT34" s="188">
        <v>25</v>
      </c>
      <c r="AU34" s="188">
        <v>1790.7662025924174</v>
      </c>
      <c r="AV34" s="185">
        <f t="shared" si="21"/>
        <v>71.6306481036967</v>
      </c>
      <c r="AW34" s="182">
        <f t="shared" si="31"/>
        <v>9</v>
      </c>
      <c r="AX34" s="573"/>
    </row>
    <row r="35" spans="2:50" ht="14.25" customHeight="1">
      <c r="B35" s="572"/>
      <c r="C35" s="180">
        <v>9</v>
      </c>
      <c r="D35" s="183" t="s">
        <v>598</v>
      </c>
      <c r="E35" s="180">
        <v>20</v>
      </c>
      <c r="F35" s="180">
        <v>2000</v>
      </c>
      <c r="G35" s="185">
        <f t="shared" si="16"/>
        <v>100</v>
      </c>
      <c r="H35" s="573"/>
      <c r="I35" s="186">
        <f t="shared" si="22"/>
        <v>20</v>
      </c>
      <c r="J35" s="186">
        <f t="shared" si="22"/>
        <v>1790.8313001536862</v>
      </c>
      <c r="K35" s="187">
        <f t="shared" si="22"/>
        <v>89.541565007684312</v>
      </c>
      <c r="L35" s="574"/>
      <c r="M35" s="186">
        <f>RANK(K35, K$27:$K$41)</f>
        <v>1</v>
      </c>
      <c r="N35" s="572"/>
      <c r="O35" s="572"/>
      <c r="P35" s="188">
        <v>20</v>
      </c>
      <c r="Q35" s="188">
        <v>1789.545585867972</v>
      </c>
      <c r="R35" s="185">
        <f t="shared" si="23"/>
        <v>89.477279293398595</v>
      </c>
      <c r="S35" s="182">
        <f t="shared" si="24"/>
        <v>1</v>
      </c>
      <c r="T35" s="573"/>
      <c r="U35" s="188">
        <v>20</v>
      </c>
      <c r="V35" s="188">
        <v>1790.3455858679717</v>
      </c>
      <c r="W35" s="185">
        <f t="shared" si="17"/>
        <v>89.517279293398587</v>
      </c>
      <c r="X35" s="182">
        <f t="shared" si="25"/>
        <v>1</v>
      </c>
      <c r="Y35" s="573"/>
      <c r="Z35" s="188">
        <v>20</v>
      </c>
      <c r="AA35" s="188">
        <v>1790.7455858679716</v>
      </c>
      <c r="AB35" s="185">
        <f t="shared" si="18"/>
        <v>89.537279293398583</v>
      </c>
      <c r="AC35" s="182">
        <f t="shared" si="26"/>
        <v>1</v>
      </c>
      <c r="AD35" s="573"/>
      <c r="AE35" s="188">
        <v>20</v>
      </c>
      <c r="AF35" s="188">
        <v>1790.7455858679718</v>
      </c>
      <c r="AG35" s="185">
        <f t="shared" si="27"/>
        <v>89.537279293398598</v>
      </c>
      <c r="AH35" s="182">
        <f t="shared" si="28"/>
        <v>1</v>
      </c>
      <c r="AI35" s="573"/>
      <c r="AJ35" s="188">
        <v>20</v>
      </c>
      <c r="AK35" s="188">
        <v>1790.545585867972</v>
      </c>
      <c r="AL35" s="185">
        <f t="shared" si="19"/>
        <v>89.527279293398607</v>
      </c>
      <c r="AM35" s="182">
        <f t="shared" si="29"/>
        <v>1</v>
      </c>
      <c r="AN35" s="573"/>
      <c r="AO35" s="188">
        <v>20</v>
      </c>
      <c r="AP35" s="188">
        <v>1791.545585867972</v>
      </c>
      <c r="AQ35" s="185">
        <f t="shared" si="20"/>
        <v>89.577279293398604</v>
      </c>
      <c r="AR35" s="182">
        <f t="shared" si="30"/>
        <v>1</v>
      </c>
      <c r="AS35" s="573"/>
      <c r="AT35" s="188">
        <v>20</v>
      </c>
      <c r="AU35" s="188">
        <v>1792.345585867972</v>
      </c>
      <c r="AV35" s="185">
        <f t="shared" si="21"/>
        <v>89.617279293398596</v>
      </c>
      <c r="AW35" s="182">
        <f t="shared" si="31"/>
        <v>1</v>
      </c>
      <c r="AX35" s="573"/>
    </row>
    <row r="36" spans="2:50" ht="14.25" customHeight="1">
      <c r="B36" s="572"/>
      <c r="C36" s="180">
        <v>10</v>
      </c>
      <c r="D36" s="183"/>
      <c r="E36" s="180"/>
      <c r="F36" s="180"/>
      <c r="G36" s="185"/>
      <c r="H36" s="573"/>
      <c r="I36" s="186"/>
      <c r="J36" s="186"/>
      <c r="K36" s="187"/>
      <c r="L36" s="574"/>
      <c r="M36" s="186"/>
      <c r="N36" s="572"/>
      <c r="O36" s="572"/>
      <c r="P36" s="188"/>
      <c r="Q36" s="188"/>
      <c r="R36" s="185"/>
      <c r="S36" s="182"/>
      <c r="T36" s="573"/>
      <c r="U36" s="188"/>
      <c r="V36" s="188"/>
      <c r="W36" s="185"/>
      <c r="X36" s="182"/>
      <c r="Y36" s="573"/>
      <c r="Z36" s="188"/>
      <c r="AA36" s="188"/>
      <c r="AB36" s="185"/>
      <c r="AC36" s="182"/>
      <c r="AD36" s="573"/>
      <c r="AE36" s="188"/>
      <c r="AF36" s="188"/>
      <c r="AG36" s="185"/>
      <c r="AH36" s="182"/>
      <c r="AI36" s="573"/>
      <c r="AJ36" s="188"/>
      <c r="AK36" s="188"/>
      <c r="AL36" s="185"/>
      <c r="AM36" s="182"/>
      <c r="AN36" s="573"/>
      <c r="AO36" s="188"/>
      <c r="AP36" s="188"/>
      <c r="AQ36" s="185"/>
      <c r="AR36" s="182"/>
      <c r="AS36" s="573"/>
      <c r="AT36" s="188"/>
      <c r="AU36" s="188"/>
      <c r="AV36" s="185"/>
      <c r="AW36" s="182"/>
      <c r="AX36" s="573"/>
    </row>
    <row r="37" spans="2:50" ht="14.25" customHeight="1">
      <c r="B37" s="572"/>
      <c r="C37" s="180">
        <v>11</v>
      </c>
      <c r="D37" s="183"/>
      <c r="E37" s="180"/>
      <c r="F37" s="180"/>
      <c r="G37" s="185"/>
      <c r="H37" s="573"/>
      <c r="I37" s="186"/>
      <c r="J37" s="186"/>
      <c r="K37" s="187"/>
      <c r="L37" s="574"/>
      <c r="M37" s="186"/>
      <c r="N37" s="572"/>
      <c r="O37" s="572"/>
      <c r="P37" s="188"/>
      <c r="Q37" s="188"/>
      <c r="R37" s="185"/>
      <c r="S37" s="182"/>
      <c r="T37" s="573"/>
      <c r="U37" s="188"/>
      <c r="V37" s="188"/>
      <c r="W37" s="185"/>
      <c r="X37" s="182"/>
      <c r="Y37" s="573"/>
      <c r="Z37" s="188"/>
      <c r="AA37" s="188"/>
      <c r="AB37" s="185"/>
      <c r="AC37" s="182"/>
      <c r="AD37" s="573"/>
      <c r="AE37" s="188"/>
      <c r="AF37" s="188"/>
      <c r="AG37" s="185"/>
      <c r="AH37" s="182"/>
      <c r="AI37" s="573"/>
      <c r="AJ37" s="188"/>
      <c r="AK37" s="188"/>
      <c r="AL37" s="185"/>
      <c r="AM37" s="182"/>
      <c r="AN37" s="573"/>
      <c r="AO37" s="188"/>
      <c r="AP37" s="188"/>
      <c r="AQ37" s="185"/>
      <c r="AR37" s="182"/>
      <c r="AS37" s="573"/>
      <c r="AT37" s="188"/>
      <c r="AU37" s="188"/>
      <c r="AV37" s="185"/>
      <c r="AW37" s="182"/>
      <c r="AX37" s="573"/>
    </row>
    <row r="38" spans="2:50" ht="14.25" customHeight="1">
      <c r="B38" s="572"/>
      <c r="C38" s="180">
        <v>12</v>
      </c>
      <c r="D38" s="183"/>
      <c r="E38" s="180"/>
      <c r="F38" s="180"/>
      <c r="G38" s="185"/>
      <c r="H38" s="573"/>
      <c r="I38" s="186"/>
      <c r="J38" s="186"/>
      <c r="K38" s="187"/>
      <c r="L38" s="574"/>
      <c r="M38" s="186"/>
      <c r="N38" s="572"/>
      <c r="O38" s="572"/>
      <c r="P38" s="188"/>
      <c r="Q38" s="188"/>
      <c r="R38" s="185"/>
      <c r="S38" s="182"/>
      <c r="T38" s="573"/>
      <c r="U38" s="188"/>
      <c r="V38" s="188"/>
      <c r="W38" s="185"/>
      <c r="X38" s="182"/>
      <c r="Y38" s="573"/>
      <c r="Z38" s="188"/>
      <c r="AA38" s="188"/>
      <c r="AB38" s="185"/>
      <c r="AC38" s="182"/>
      <c r="AD38" s="573"/>
      <c r="AE38" s="188"/>
      <c r="AF38" s="188"/>
      <c r="AG38" s="185"/>
      <c r="AH38" s="182"/>
      <c r="AI38" s="573"/>
      <c r="AJ38" s="188"/>
      <c r="AK38" s="188"/>
      <c r="AL38" s="185"/>
      <c r="AM38" s="182"/>
      <c r="AN38" s="573"/>
      <c r="AO38" s="188"/>
      <c r="AP38" s="188"/>
      <c r="AQ38" s="185"/>
      <c r="AR38" s="182"/>
      <c r="AS38" s="573"/>
      <c r="AT38" s="188"/>
      <c r="AU38" s="188"/>
      <c r="AV38" s="185"/>
      <c r="AW38" s="182"/>
      <c r="AX38" s="573"/>
    </row>
    <row r="39" spans="2:50" ht="14.25" customHeight="1">
      <c r="B39" s="572"/>
      <c r="C39" s="180">
        <v>13</v>
      </c>
      <c r="D39" s="183"/>
      <c r="E39" s="180"/>
      <c r="F39" s="180"/>
      <c r="G39" s="185"/>
      <c r="H39" s="573"/>
      <c r="I39" s="186"/>
      <c r="J39" s="186"/>
      <c r="K39" s="187"/>
      <c r="L39" s="574"/>
      <c r="M39" s="186"/>
      <c r="N39" s="572"/>
      <c r="O39" s="572"/>
      <c r="P39" s="188"/>
      <c r="Q39" s="188"/>
      <c r="R39" s="185"/>
      <c r="S39" s="182"/>
      <c r="T39" s="573"/>
      <c r="U39" s="188"/>
      <c r="V39" s="188"/>
      <c r="W39" s="185"/>
      <c r="X39" s="182"/>
      <c r="Y39" s="573"/>
      <c r="Z39" s="188"/>
      <c r="AA39" s="188"/>
      <c r="AB39" s="185"/>
      <c r="AC39" s="182"/>
      <c r="AD39" s="573"/>
      <c r="AE39" s="188"/>
      <c r="AF39" s="188"/>
      <c r="AG39" s="185"/>
      <c r="AH39" s="182"/>
      <c r="AI39" s="573"/>
      <c r="AJ39" s="188"/>
      <c r="AK39" s="188"/>
      <c r="AL39" s="185"/>
      <c r="AM39" s="182"/>
      <c r="AN39" s="573"/>
      <c r="AO39" s="188"/>
      <c r="AP39" s="188"/>
      <c r="AQ39" s="185"/>
      <c r="AR39" s="182"/>
      <c r="AS39" s="573"/>
      <c r="AT39" s="188"/>
      <c r="AU39" s="188"/>
      <c r="AV39" s="185"/>
      <c r="AW39" s="182"/>
      <c r="AX39" s="573"/>
    </row>
    <row r="40" spans="2:50" ht="14.25" customHeight="1">
      <c r="B40" s="572"/>
      <c r="C40" s="180">
        <v>14</v>
      </c>
      <c r="D40" s="183"/>
      <c r="E40" s="180"/>
      <c r="F40" s="180"/>
      <c r="G40" s="185"/>
      <c r="H40" s="573"/>
      <c r="I40" s="186"/>
      <c r="J40" s="186"/>
      <c r="K40" s="187"/>
      <c r="L40" s="574"/>
      <c r="M40" s="186"/>
      <c r="N40" s="572"/>
      <c r="O40" s="572"/>
      <c r="P40" s="188"/>
      <c r="Q40" s="188"/>
      <c r="R40" s="185"/>
      <c r="S40" s="182"/>
      <c r="T40" s="573"/>
      <c r="U40" s="188"/>
      <c r="V40" s="188"/>
      <c r="W40" s="185"/>
      <c r="X40" s="182"/>
      <c r="Y40" s="573"/>
      <c r="Z40" s="188"/>
      <c r="AA40" s="188"/>
      <c r="AB40" s="185"/>
      <c r="AC40" s="182"/>
      <c r="AD40" s="573"/>
      <c r="AE40" s="188"/>
      <c r="AF40" s="188"/>
      <c r="AG40" s="185"/>
      <c r="AH40" s="182"/>
      <c r="AI40" s="573"/>
      <c r="AJ40" s="188"/>
      <c r="AK40" s="188"/>
      <c r="AL40" s="185"/>
      <c r="AM40" s="182"/>
      <c r="AN40" s="573"/>
      <c r="AO40" s="188"/>
      <c r="AP40" s="188"/>
      <c r="AQ40" s="185"/>
      <c r="AR40" s="182"/>
      <c r="AS40" s="573"/>
      <c r="AT40" s="188"/>
      <c r="AU40" s="188"/>
      <c r="AV40" s="185"/>
      <c r="AW40" s="182"/>
      <c r="AX40" s="573"/>
    </row>
    <row r="41" spans="2:50" ht="14.25" customHeight="1">
      <c r="B41" s="572"/>
      <c r="C41" s="180">
        <v>15</v>
      </c>
      <c r="D41" s="183"/>
      <c r="E41" s="180"/>
      <c r="F41" s="180"/>
      <c r="G41" s="185"/>
      <c r="H41" s="573"/>
      <c r="I41" s="186"/>
      <c r="J41" s="186"/>
      <c r="K41" s="187"/>
      <c r="L41" s="574"/>
      <c r="M41" s="186"/>
      <c r="N41" s="572"/>
      <c r="O41" s="572"/>
      <c r="P41" s="188"/>
      <c r="Q41" s="188"/>
      <c r="R41" s="185"/>
      <c r="S41" s="182"/>
      <c r="T41" s="573"/>
      <c r="U41" s="188"/>
      <c r="V41" s="188"/>
      <c r="W41" s="185"/>
      <c r="X41" s="182"/>
      <c r="Y41" s="573"/>
      <c r="Z41" s="188"/>
      <c r="AA41" s="188"/>
      <c r="AB41" s="185"/>
      <c r="AC41" s="182"/>
      <c r="AD41" s="573"/>
      <c r="AE41" s="188"/>
      <c r="AF41" s="188"/>
      <c r="AG41" s="185"/>
      <c r="AH41" s="182"/>
      <c r="AI41" s="573"/>
      <c r="AJ41" s="188"/>
      <c r="AK41" s="188"/>
      <c r="AL41" s="185"/>
      <c r="AM41" s="182"/>
      <c r="AN41" s="573"/>
      <c r="AO41" s="188"/>
      <c r="AP41" s="188"/>
      <c r="AQ41" s="185"/>
      <c r="AR41" s="182"/>
      <c r="AS41" s="573"/>
      <c r="AT41" s="188"/>
      <c r="AU41" s="188"/>
      <c r="AV41" s="185"/>
      <c r="AW41" s="182"/>
      <c r="AX41" s="573"/>
    </row>
  </sheetData>
  <mergeCells count="118">
    <mergeCell ref="T27:T41"/>
    <mergeCell ref="Y27:Y41"/>
    <mergeCell ref="AD27:AD41"/>
    <mergeCell ref="AI27:AI41"/>
    <mergeCell ref="L24:L26"/>
    <mergeCell ref="M24:M26"/>
    <mergeCell ref="N24:N41"/>
    <mergeCell ref="O24:O41"/>
    <mergeCell ref="B27:B41"/>
    <mergeCell ref="H27:H41"/>
    <mergeCell ref="L27:L41"/>
    <mergeCell ref="B24:B26"/>
    <mergeCell ref="C24:D26"/>
    <mergeCell ref="E25:G25"/>
    <mergeCell ref="I25:K25"/>
    <mergeCell ref="P25:S25"/>
    <mergeCell ref="U25:X25"/>
    <mergeCell ref="Z25:AC25"/>
    <mergeCell ref="AE25:AH25"/>
    <mergeCell ref="P24:S24"/>
    <mergeCell ref="E24:G24"/>
    <mergeCell ref="H24:H26"/>
    <mergeCell ref="I24:K24"/>
    <mergeCell ref="AJ25:AM25"/>
    <mergeCell ref="AO25:AR25"/>
    <mergeCell ref="T24:T26"/>
    <mergeCell ref="U24:X24"/>
    <mergeCell ref="Y24:Y26"/>
    <mergeCell ref="Z24:AC24"/>
    <mergeCell ref="AD24:AD26"/>
    <mergeCell ref="AE24:AH24"/>
    <mergeCell ref="AI24:AI26"/>
    <mergeCell ref="AJ24:AM24"/>
    <mergeCell ref="AN24:AN26"/>
    <mergeCell ref="AO24:AR24"/>
    <mergeCell ref="AT23:AX23"/>
    <mergeCell ref="AT22:AX22"/>
    <mergeCell ref="AS24:AS26"/>
    <mergeCell ref="AT24:AW24"/>
    <mergeCell ref="AX24:AX26"/>
    <mergeCell ref="AX27:AX41"/>
    <mergeCell ref="AT25:AW25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N27:AN41"/>
    <mergeCell ref="AS27:AS41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FFFFCC"/>
  </sheetPr>
  <dimension ref="A1:AX41"/>
  <sheetViews>
    <sheetView zoomScaleNormal="100" workbookViewId="0">
      <pane xSplit="13" ySplit="1" topLeftCell="N2" activePane="bottomRight" state="frozen"/>
      <selection activeCell="L95" sqref="L95"/>
      <selection pane="topRight" activeCell="L95" sqref="L95"/>
      <selection pane="bottomLeft" activeCell="L95" sqref="L95"/>
      <selection pane="bottomRight" activeCell="B22" sqref="B22:M2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55" t="s">
        <v>683</v>
      </c>
      <c r="C1" s="175"/>
    </row>
    <row r="2" spans="1:50" ht="14.25" customHeight="1">
      <c r="B2" s="586" t="s">
        <v>638</v>
      </c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8"/>
      <c r="N2" s="606" t="s">
        <v>364</v>
      </c>
      <c r="O2" s="606" t="s">
        <v>105</v>
      </c>
      <c r="P2" s="608">
        <v>46168</v>
      </c>
      <c r="Q2" s="609"/>
      <c r="R2" s="609"/>
      <c r="S2" s="609"/>
      <c r="T2" s="609"/>
      <c r="U2" s="610">
        <f>P2+1</f>
        <v>46169</v>
      </c>
      <c r="V2" s="611"/>
      <c r="W2" s="611"/>
      <c r="X2" s="611"/>
      <c r="Y2" s="611"/>
      <c r="Z2" s="608">
        <f t="shared" ref="Z2" si="0">U2+1</f>
        <v>46170</v>
      </c>
      <c r="AA2" s="609"/>
      <c r="AB2" s="609"/>
      <c r="AC2" s="609"/>
      <c r="AD2" s="609"/>
      <c r="AE2" s="610">
        <f t="shared" ref="AE2" si="1">Z2+1</f>
        <v>46171</v>
      </c>
      <c r="AF2" s="611"/>
      <c r="AG2" s="611"/>
      <c r="AH2" s="611"/>
      <c r="AI2" s="611"/>
      <c r="AJ2" s="598">
        <f t="shared" ref="AJ2" si="2">AE2+1</f>
        <v>46172</v>
      </c>
      <c r="AK2" s="599"/>
      <c r="AL2" s="599"/>
      <c r="AM2" s="599"/>
      <c r="AN2" s="600"/>
      <c r="AO2" s="610">
        <f t="shared" ref="AO2" si="3">AJ2+1</f>
        <v>46173</v>
      </c>
      <c r="AP2" s="611"/>
      <c r="AQ2" s="611"/>
      <c r="AR2" s="611"/>
      <c r="AS2" s="611"/>
      <c r="AT2" s="598">
        <f t="shared" ref="AT2" si="4">AO2+1</f>
        <v>46174</v>
      </c>
      <c r="AU2" s="599"/>
      <c r="AV2" s="599"/>
      <c r="AW2" s="599"/>
      <c r="AX2" s="600"/>
    </row>
    <row r="3" spans="1:50" ht="14.25" customHeight="1"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90"/>
      <c r="N3" s="607"/>
      <c r="O3" s="607"/>
      <c r="P3" s="601">
        <f>P2</f>
        <v>46168</v>
      </c>
      <c r="Q3" s="601"/>
      <c r="R3" s="601"/>
      <c r="S3" s="601"/>
      <c r="T3" s="601"/>
      <c r="U3" s="602">
        <f>U2</f>
        <v>46169</v>
      </c>
      <c r="V3" s="602"/>
      <c r="W3" s="602"/>
      <c r="X3" s="602"/>
      <c r="Y3" s="602"/>
      <c r="Z3" s="601">
        <f t="shared" ref="Z3" si="5">Z2</f>
        <v>46170</v>
      </c>
      <c r="AA3" s="601"/>
      <c r="AB3" s="601"/>
      <c r="AC3" s="601"/>
      <c r="AD3" s="601"/>
      <c r="AE3" s="602">
        <f t="shared" ref="AE3" si="6">AE2</f>
        <v>46171</v>
      </c>
      <c r="AF3" s="602"/>
      <c r="AG3" s="602"/>
      <c r="AH3" s="602"/>
      <c r="AI3" s="602"/>
      <c r="AJ3" s="603">
        <f t="shared" ref="AJ3" si="7">AJ2</f>
        <v>46172</v>
      </c>
      <c r="AK3" s="604"/>
      <c r="AL3" s="604"/>
      <c r="AM3" s="604"/>
      <c r="AN3" s="605"/>
      <c r="AO3" s="602">
        <f t="shared" ref="AO3" si="8">AO2</f>
        <v>46173</v>
      </c>
      <c r="AP3" s="602"/>
      <c r="AQ3" s="602"/>
      <c r="AR3" s="602"/>
      <c r="AS3" s="602"/>
      <c r="AT3" s="603">
        <f t="shared" ref="AT3" si="9">AT2</f>
        <v>46174</v>
      </c>
      <c r="AU3" s="604"/>
      <c r="AV3" s="604"/>
      <c r="AW3" s="604"/>
      <c r="AX3" s="605"/>
    </row>
    <row r="4" spans="1:50" ht="14.25" customHeight="1">
      <c r="B4" s="572" t="s">
        <v>162</v>
      </c>
      <c r="C4" s="572" t="s">
        <v>157</v>
      </c>
      <c r="D4" s="572"/>
      <c r="E4" s="572" t="s">
        <v>158</v>
      </c>
      <c r="F4" s="572"/>
      <c r="G4" s="572"/>
      <c r="H4" s="572" t="s">
        <v>163</v>
      </c>
      <c r="I4" s="576" t="s">
        <v>365</v>
      </c>
      <c r="J4" s="576"/>
      <c r="K4" s="576"/>
      <c r="L4" s="576" t="s">
        <v>163</v>
      </c>
      <c r="M4" s="576" t="s">
        <v>165</v>
      </c>
      <c r="N4" s="572"/>
      <c r="O4" s="572" t="s">
        <v>164</v>
      </c>
      <c r="P4" s="572" t="s">
        <v>160</v>
      </c>
      <c r="Q4" s="572"/>
      <c r="R4" s="572"/>
      <c r="S4" s="572"/>
      <c r="T4" s="572" t="s">
        <v>163</v>
      </c>
      <c r="U4" s="572" t="s">
        <v>160</v>
      </c>
      <c r="V4" s="572"/>
      <c r="W4" s="572"/>
      <c r="X4" s="572"/>
      <c r="Y4" s="572" t="s">
        <v>163</v>
      </c>
      <c r="Z4" s="572" t="s">
        <v>160</v>
      </c>
      <c r="AA4" s="572"/>
      <c r="AB4" s="572"/>
      <c r="AC4" s="572"/>
      <c r="AD4" s="572" t="s">
        <v>163</v>
      </c>
      <c r="AE4" s="572" t="s">
        <v>160</v>
      </c>
      <c r="AF4" s="572"/>
      <c r="AG4" s="572"/>
      <c r="AH4" s="572"/>
      <c r="AI4" s="572" t="s">
        <v>163</v>
      </c>
      <c r="AJ4" s="572" t="s">
        <v>160</v>
      </c>
      <c r="AK4" s="572"/>
      <c r="AL4" s="572"/>
      <c r="AM4" s="572"/>
      <c r="AN4" s="572" t="s">
        <v>163</v>
      </c>
      <c r="AO4" s="572" t="s">
        <v>160</v>
      </c>
      <c r="AP4" s="572"/>
      <c r="AQ4" s="572"/>
      <c r="AR4" s="572"/>
      <c r="AS4" s="572" t="s">
        <v>163</v>
      </c>
      <c r="AT4" s="572" t="s">
        <v>160</v>
      </c>
      <c r="AU4" s="572"/>
      <c r="AV4" s="572"/>
      <c r="AW4" s="572"/>
      <c r="AX4" s="572" t="s">
        <v>163</v>
      </c>
    </row>
    <row r="5" spans="1:50" ht="14.25" customHeight="1">
      <c r="B5" s="572"/>
      <c r="C5" s="572"/>
      <c r="D5" s="572"/>
      <c r="E5" s="572" t="s">
        <v>366</v>
      </c>
      <c r="F5" s="572"/>
      <c r="G5" s="572"/>
      <c r="H5" s="572"/>
      <c r="I5" s="576" t="s">
        <v>366</v>
      </c>
      <c r="J5" s="576"/>
      <c r="K5" s="576"/>
      <c r="L5" s="576"/>
      <c r="M5" s="576"/>
      <c r="N5" s="572"/>
      <c r="O5" s="572"/>
      <c r="P5" s="572" t="s">
        <v>367</v>
      </c>
      <c r="Q5" s="572"/>
      <c r="R5" s="572"/>
      <c r="S5" s="572"/>
      <c r="T5" s="572"/>
      <c r="U5" s="572" t="s">
        <v>367</v>
      </c>
      <c r="V5" s="572"/>
      <c r="W5" s="572"/>
      <c r="X5" s="572"/>
      <c r="Y5" s="572"/>
      <c r="Z5" s="572" t="s">
        <v>367</v>
      </c>
      <c r="AA5" s="572"/>
      <c r="AB5" s="572"/>
      <c r="AC5" s="572"/>
      <c r="AD5" s="572"/>
      <c r="AE5" s="572" t="s">
        <v>367</v>
      </c>
      <c r="AF5" s="572"/>
      <c r="AG5" s="572"/>
      <c r="AH5" s="572"/>
      <c r="AI5" s="572"/>
      <c r="AJ5" s="572" t="s">
        <v>367</v>
      </c>
      <c r="AK5" s="572"/>
      <c r="AL5" s="572"/>
      <c r="AM5" s="572"/>
      <c r="AN5" s="572"/>
      <c r="AO5" s="572" t="s">
        <v>367</v>
      </c>
      <c r="AP5" s="572"/>
      <c r="AQ5" s="572"/>
      <c r="AR5" s="572"/>
      <c r="AS5" s="572"/>
      <c r="AT5" s="572" t="s">
        <v>367</v>
      </c>
      <c r="AU5" s="572"/>
      <c r="AV5" s="572"/>
      <c r="AW5" s="572"/>
      <c r="AX5" s="572"/>
    </row>
    <row r="6" spans="1:50" ht="14.25" customHeight="1">
      <c r="B6" s="572"/>
      <c r="C6" s="572"/>
      <c r="D6" s="572"/>
      <c r="E6" s="180" t="s">
        <v>159</v>
      </c>
      <c r="F6" s="180" t="s">
        <v>368</v>
      </c>
      <c r="G6" s="180" t="s">
        <v>161</v>
      </c>
      <c r="H6" s="572"/>
      <c r="I6" s="181" t="s">
        <v>159</v>
      </c>
      <c r="J6" s="181" t="s">
        <v>368</v>
      </c>
      <c r="K6" s="181" t="s">
        <v>161</v>
      </c>
      <c r="L6" s="576"/>
      <c r="M6" s="576"/>
      <c r="N6" s="572"/>
      <c r="O6" s="572"/>
      <c r="P6" s="180" t="s">
        <v>159</v>
      </c>
      <c r="Q6" s="180" t="s">
        <v>368</v>
      </c>
      <c r="R6" s="180" t="s">
        <v>161</v>
      </c>
      <c r="S6" s="182" t="s">
        <v>165</v>
      </c>
      <c r="T6" s="572"/>
      <c r="U6" s="180" t="s">
        <v>159</v>
      </c>
      <c r="V6" s="180" t="s">
        <v>368</v>
      </c>
      <c r="W6" s="180" t="s">
        <v>161</v>
      </c>
      <c r="X6" s="182" t="s">
        <v>165</v>
      </c>
      <c r="Y6" s="572"/>
      <c r="Z6" s="180" t="s">
        <v>159</v>
      </c>
      <c r="AA6" s="180" t="s">
        <v>368</v>
      </c>
      <c r="AB6" s="180" t="s">
        <v>161</v>
      </c>
      <c r="AC6" s="182" t="s">
        <v>165</v>
      </c>
      <c r="AD6" s="572"/>
      <c r="AE6" s="180" t="s">
        <v>159</v>
      </c>
      <c r="AF6" s="180" t="s">
        <v>368</v>
      </c>
      <c r="AG6" s="180" t="s">
        <v>161</v>
      </c>
      <c r="AH6" s="182" t="s">
        <v>165</v>
      </c>
      <c r="AI6" s="572"/>
      <c r="AJ6" s="180" t="s">
        <v>159</v>
      </c>
      <c r="AK6" s="180" t="s">
        <v>368</v>
      </c>
      <c r="AL6" s="180" t="s">
        <v>161</v>
      </c>
      <c r="AM6" s="182" t="s">
        <v>165</v>
      </c>
      <c r="AN6" s="572"/>
      <c r="AO6" s="180" t="s">
        <v>159</v>
      </c>
      <c r="AP6" s="180" t="s">
        <v>368</v>
      </c>
      <c r="AQ6" s="180" t="s">
        <v>161</v>
      </c>
      <c r="AR6" s="182" t="s">
        <v>165</v>
      </c>
      <c r="AS6" s="572"/>
      <c r="AT6" s="180" t="s">
        <v>159</v>
      </c>
      <c r="AU6" s="180" t="s">
        <v>368</v>
      </c>
      <c r="AV6" s="180" t="s">
        <v>161</v>
      </c>
      <c r="AW6" s="182" t="s">
        <v>165</v>
      </c>
      <c r="AX6" s="572"/>
    </row>
    <row r="7" spans="1:50" ht="14.25" customHeight="1">
      <c r="B7" s="572" t="s">
        <v>428</v>
      </c>
      <c r="C7" s="180">
        <v>1</v>
      </c>
      <c r="D7" s="183"/>
      <c r="E7" s="180"/>
      <c r="F7" s="180"/>
      <c r="G7" s="185"/>
      <c r="H7" s="573"/>
      <c r="I7" s="186"/>
      <c r="J7" s="186"/>
      <c r="K7" s="187"/>
      <c r="L7" s="574"/>
      <c r="M7" s="186"/>
      <c r="N7" s="572"/>
      <c r="O7" s="572"/>
      <c r="P7" s="188"/>
      <c r="Q7" s="188"/>
      <c r="R7" s="185"/>
      <c r="S7" s="182"/>
      <c r="T7" s="573"/>
      <c r="U7" s="188"/>
      <c r="V7" s="188"/>
      <c r="W7" s="185"/>
      <c r="X7" s="182"/>
      <c r="Y7" s="573"/>
      <c r="Z7" s="188"/>
      <c r="AA7" s="188"/>
      <c r="AB7" s="185"/>
      <c r="AC7" s="182"/>
      <c r="AD7" s="573"/>
      <c r="AE7" s="188"/>
      <c r="AF7" s="188"/>
      <c r="AG7" s="185"/>
      <c r="AH7" s="182"/>
      <c r="AI7" s="573"/>
      <c r="AJ7" s="188"/>
      <c r="AK7" s="188"/>
      <c r="AL7" s="185"/>
      <c r="AM7" s="182"/>
      <c r="AN7" s="573"/>
      <c r="AO7" s="188"/>
      <c r="AP7" s="188"/>
      <c r="AQ7" s="185"/>
      <c r="AR7" s="182"/>
      <c r="AS7" s="573"/>
      <c r="AT7" s="188"/>
      <c r="AU7" s="188"/>
      <c r="AV7" s="185"/>
      <c r="AW7" s="182"/>
      <c r="AX7" s="573"/>
    </row>
    <row r="8" spans="1:50" ht="14.25" customHeight="1">
      <c r="B8" s="572"/>
      <c r="C8" s="180">
        <v>2</v>
      </c>
      <c r="D8" s="183"/>
      <c r="E8" s="180"/>
      <c r="F8" s="180"/>
      <c r="G8" s="185"/>
      <c r="H8" s="573"/>
      <c r="I8" s="186"/>
      <c r="J8" s="186"/>
      <c r="K8" s="187"/>
      <c r="L8" s="574"/>
      <c r="M8" s="186"/>
      <c r="N8" s="572"/>
      <c r="O8" s="572"/>
      <c r="P8" s="188"/>
      <c r="Q8" s="188"/>
      <c r="R8" s="185"/>
      <c r="S8" s="182"/>
      <c r="T8" s="573"/>
      <c r="U8" s="188"/>
      <c r="V8" s="188"/>
      <c r="W8" s="185"/>
      <c r="X8" s="182"/>
      <c r="Y8" s="573"/>
      <c r="Z8" s="188"/>
      <c r="AA8" s="188"/>
      <c r="AB8" s="185"/>
      <c r="AC8" s="182"/>
      <c r="AD8" s="573"/>
      <c r="AE8" s="188"/>
      <c r="AF8" s="188"/>
      <c r="AG8" s="185"/>
      <c r="AH8" s="182"/>
      <c r="AI8" s="573"/>
      <c r="AJ8" s="188"/>
      <c r="AK8" s="188"/>
      <c r="AL8" s="185"/>
      <c r="AM8" s="182"/>
      <c r="AN8" s="573"/>
      <c r="AO8" s="188"/>
      <c r="AP8" s="188"/>
      <c r="AQ8" s="185"/>
      <c r="AR8" s="182"/>
      <c r="AS8" s="573"/>
      <c r="AT8" s="188"/>
      <c r="AU8" s="188"/>
      <c r="AV8" s="185"/>
      <c r="AW8" s="182"/>
      <c r="AX8" s="573"/>
    </row>
    <row r="9" spans="1:50" ht="14.25" customHeight="1">
      <c r="B9" s="572"/>
      <c r="C9" s="180">
        <v>3</v>
      </c>
      <c r="D9" s="183"/>
      <c r="E9" s="180"/>
      <c r="F9" s="180"/>
      <c r="G9" s="185"/>
      <c r="H9" s="573"/>
      <c r="I9" s="186"/>
      <c r="J9" s="186"/>
      <c r="K9" s="187"/>
      <c r="L9" s="574"/>
      <c r="M9" s="186"/>
      <c r="N9" s="572"/>
      <c r="O9" s="572"/>
      <c r="P9" s="188"/>
      <c r="Q9" s="188"/>
      <c r="R9" s="185"/>
      <c r="S9" s="182"/>
      <c r="T9" s="573"/>
      <c r="U9" s="188"/>
      <c r="V9" s="188"/>
      <c r="W9" s="185"/>
      <c r="X9" s="182"/>
      <c r="Y9" s="573"/>
      <c r="Z9" s="188"/>
      <c r="AA9" s="188"/>
      <c r="AB9" s="185"/>
      <c r="AC9" s="182"/>
      <c r="AD9" s="573"/>
      <c r="AE9" s="188"/>
      <c r="AF9" s="188"/>
      <c r="AG9" s="185"/>
      <c r="AH9" s="182"/>
      <c r="AI9" s="573"/>
      <c r="AJ9" s="188"/>
      <c r="AK9" s="188"/>
      <c r="AL9" s="185"/>
      <c r="AM9" s="182"/>
      <c r="AN9" s="573"/>
      <c r="AO9" s="188"/>
      <c r="AP9" s="188"/>
      <c r="AQ9" s="185"/>
      <c r="AR9" s="182"/>
      <c r="AS9" s="573"/>
      <c r="AT9" s="188"/>
      <c r="AU9" s="188"/>
      <c r="AV9" s="185"/>
      <c r="AW9" s="182"/>
      <c r="AX9" s="573"/>
    </row>
    <row r="10" spans="1:50" ht="14.25" customHeight="1">
      <c r="B10" s="572"/>
      <c r="C10" s="180">
        <v>4</v>
      </c>
      <c r="D10" s="183"/>
      <c r="E10" s="180"/>
      <c r="F10" s="180"/>
      <c r="G10" s="185"/>
      <c r="H10" s="573"/>
      <c r="I10" s="186"/>
      <c r="J10" s="186"/>
      <c r="K10" s="187"/>
      <c r="L10" s="574"/>
      <c r="M10" s="186"/>
      <c r="N10" s="572"/>
      <c r="O10" s="572"/>
      <c r="P10" s="188"/>
      <c r="Q10" s="188"/>
      <c r="R10" s="185"/>
      <c r="S10" s="182"/>
      <c r="T10" s="573"/>
      <c r="U10" s="188"/>
      <c r="V10" s="188"/>
      <c r="W10" s="185"/>
      <c r="X10" s="182"/>
      <c r="Y10" s="573"/>
      <c r="Z10" s="188"/>
      <c r="AA10" s="188"/>
      <c r="AB10" s="185"/>
      <c r="AC10" s="182"/>
      <c r="AD10" s="573"/>
      <c r="AE10" s="188"/>
      <c r="AF10" s="188"/>
      <c r="AG10" s="185"/>
      <c r="AH10" s="182"/>
      <c r="AI10" s="573"/>
      <c r="AJ10" s="188"/>
      <c r="AK10" s="188"/>
      <c r="AL10" s="185"/>
      <c r="AM10" s="182"/>
      <c r="AN10" s="573"/>
      <c r="AO10" s="188"/>
      <c r="AP10" s="188"/>
      <c r="AQ10" s="185"/>
      <c r="AR10" s="182"/>
      <c r="AS10" s="573"/>
      <c r="AT10" s="188"/>
      <c r="AU10" s="188"/>
      <c r="AV10" s="185"/>
      <c r="AW10" s="182"/>
      <c r="AX10" s="573"/>
    </row>
    <row r="11" spans="1:50" ht="14.25" customHeight="1">
      <c r="B11" s="572"/>
      <c r="C11" s="180">
        <v>5</v>
      </c>
      <c r="D11" s="183"/>
      <c r="E11" s="180"/>
      <c r="F11" s="180"/>
      <c r="G11" s="185"/>
      <c r="H11" s="573"/>
      <c r="I11" s="186"/>
      <c r="J11" s="186"/>
      <c r="K11" s="187"/>
      <c r="L11" s="574"/>
      <c r="M11" s="186"/>
      <c r="N11" s="572"/>
      <c r="O11" s="572"/>
      <c r="P11" s="188"/>
      <c r="Q11" s="188"/>
      <c r="R11" s="185"/>
      <c r="S11" s="182"/>
      <c r="T11" s="573"/>
      <c r="U11" s="188"/>
      <c r="V11" s="188"/>
      <c r="W11" s="185"/>
      <c r="X11" s="182"/>
      <c r="Y11" s="573"/>
      <c r="Z11" s="188"/>
      <c r="AA11" s="188"/>
      <c r="AB11" s="185"/>
      <c r="AC11" s="182"/>
      <c r="AD11" s="573"/>
      <c r="AE11" s="188"/>
      <c r="AF11" s="188"/>
      <c r="AG11" s="185"/>
      <c r="AH11" s="182"/>
      <c r="AI11" s="573"/>
      <c r="AJ11" s="188"/>
      <c r="AK11" s="188"/>
      <c r="AL11" s="185"/>
      <c r="AM11" s="182"/>
      <c r="AN11" s="573"/>
      <c r="AO11" s="188"/>
      <c r="AP11" s="188"/>
      <c r="AQ11" s="185"/>
      <c r="AR11" s="182"/>
      <c r="AS11" s="573"/>
      <c r="AT11" s="188"/>
      <c r="AU11" s="188"/>
      <c r="AV11" s="185"/>
      <c r="AW11" s="182"/>
      <c r="AX11" s="573"/>
    </row>
    <row r="12" spans="1:50" ht="14.25" customHeight="1">
      <c r="B12" s="572"/>
      <c r="C12" s="180">
        <v>6</v>
      </c>
      <c r="D12" s="183"/>
      <c r="E12" s="180"/>
      <c r="F12" s="180"/>
      <c r="G12" s="185"/>
      <c r="H12" s="573"/>
      <c r="I12" s="186"/>
      <c r="J12" s="186"/>
      <c r="K12" s="187"/>
      <c r="L12" s="574"/>
      <c r="M12" s="186"/>
      <c r="N12" s="572"/>
      <c r="O12" s="572"/>
      <c r="P12" s="188"/>
      <c r="Q12" s="188"/>
      <c r="R12" s="185"/>
      <c r="S12" s="182"/>
      <c r="T12" s="573"/>
      <c r="U12" s="188"/>
      <c r="V12" s="188"/>
      <c r="W12" s="185"/>
      <c r="X12" s="182"/>
      <c r="Y12" s="573"/>
      <c r="Z12" s="188"/>
      <c r="AA12" s="188"/>
      <c r="AB12" s="185"/>
      <c r="AC12" s="182"/>
      <c r="AD12" s="573"/>
      <c r="AE12" s="188"/>
      <c r="AF12" s="188"/>
      <c r="AG12" s="185"/>
      <c r="AH12" s="182"/>
      <c r="AI12" s="573"/>
      <c r="AJ12" s="188"/>
      <c r="AK12" s="188"/>
      <c r="AL12" s="185"/>
      <c r="AM12" s="182"/>
      <c r="AN12" s="573"/>
      <c r="AO12" s="188"/>
      <c r="AP12" s="188"/>
      <c r="AQ12" s="185"/>
      <c r="AR12" s="182"/>
      <c r="AS12" s="573"/>
      <c r="AT12" s="188"/>
      <c r="AU12" s="188"/>
      <c r="AV12" s="185"/>
      <c r="AW12" s="182"/>
      <c r="AX12" s="573"/>
    </row>
    <row r="13" spans="1:50" ht="14.25" customHeight="1">
      <c r="B13" s="572"/>
      <c r="C13" s="180">
        <v>7</v>
      </c>
      <c r="D13" s="183"/>
      <c r="E13" s="180"/>
      <c r="F13" s="180"/>
      <c r="G13" s="185"/>
      <c r="H13" s="573"/>
      <c r="I13" s="186"/>
      <c r="J13" s="186"/>
      <c r="K13" s="187"/>
      <c r="L13" s="574"/>
      <c r="M13" s="186"/>
      <c r="N13" s="572"/>
      <c r="O13" s="572"/>
      <c r="P13" s="188"/>
      <c r="Q13" s="188"/>
      <c r="R13" s="185"/>
      <c r="S13" s="182"/>
      <c r="T13" s="573"/>
      <c r="U13" s="188"/>
      <c r="V13" s="188"/>
      <c r="W13" s="185"/>
      <c r="X13" s="182"/>
      <c r="Y13" s="573"/>
      <c r="Z13" s="188"/>
      <c r="AA13" s="188"/>
      <c r="AB13" s="185"/>
      <c r="AC13" s="182"/>
      <c r="AD13" s="573"/>
      <c r="AE13" s="188"/>
      <c r="AF13" s="188"/>
      <c r="AG13" s="185"/>
      <c r="AH13" s="182"/>
      <c r="AI13" s="573"/>
      <c r="AJ13" s="188"/>
      <c r="AK13" s="188"/>
      <c r="AL13" s="185"/>
      <c r="AM13" s="182"/>
      <c r="AN13" s="573"/>
      <c r="AO13" s="188"/>
      <c r="AP13" s="188"/>
      <c r="AQ13" s="185"/>
      <c r="AR13" s="182"/>
      <c r="AS13" s="573"/>
      <c r="AT13" s="188"/>
      <c r="AU13" s="188"/>
      <c r="AV13" s="185"/>
      <c r="AW13" s="182"/>
      <c r="AX13" s="573"/>
    </row>
    <row r="14" spans="1:50" ht="14.25" customHeight="1">
      <c r="B14" s="572"/>
      <c r="C14" s="180">
        <v>8</v>
      </c>
      <c r="D14" s="183"/>
      <c r="E14" s="180"/>
      <c r="F14" s="180"/>
      <c r="G14" s="185"/>
      <c r="H14" s="573"/>
      <c r="I14" s="186"/>
      <c r="J14" s="186"/>
      <c r="K14" s="187"/>
      <c r="L14" s="574"/>
      <c r="M14" s="186"/>
      <c r="N14" s="572"/>
      <c r="O14" s="572"/>
      <c r="P14" s="188"/>
      <c r="Q14" s="188"/>
      <c r="R14" s="185"/>
      <c r="S14" s="182"/>
      <c r="T14" s="573"/>
      <c r="U14" s="188"/>
      <c r="V14" s="188"/>
      <c r="W14" s="185"/>
      <c r="X14" s="182"/>
      <c r="Y14" s="573"/>
      <c r="Z14" s="188"/>
      <c r="AA14" s="188"/>
      <c r="AB14" s="185"/>
      <c r="AC14" s="182"/>
      <c r="AD14" s="573"/>
      <c r="AE14" s="188"/>
      <c r="AF14" s="188"/>
      <c r="AG14" s="185"/>
      <c r="AH14" s="182"/>
      <c r="AI14" s="573"/>
      <c r="AJ14" s="188"/>
      <c r="AK14" s="188"/>
      <c r="AL14" s="185"/>
      <c r="AM14" s="182"/>
      <c r="AN14" s="573"/>
      <c r="AO14" s="188"/>
      <c r="AP14" s="188"/>
      <c r="AQ14" s="185"/>
      <c r="AR14" s="182"/>
      <c r="AS14" s="573"/>
      <c r="AT14" s="188"/>
      <c r="AU14" s="188"/>
      <c r="AV14" s="185"/>
      <c r="AW14" s="182"/>
      <c r="AX14" s="573"/>
    </row>
    <row r="15" spans="1:50" ht="14.25" customHeight="1">
      <c r="B15" s="572"/>
      <c r="C15" s="180">
        <v>9</v>
      </c>
      <c r="D15" s="183"/>
      <c r="E15" s="180"/>
      <c r="F15" s="180"/>
      <c r="G15" s="185"/>
      <c r="H15" s="573"/>
      <c r="I15" s="186"/>
      <c r="J15" s="186"/>
      <c r="K15" s="187"/>
      <c r="L15" s="574"/>
      <c r="M15" s="186"/>
      <c r="N15" s="572"/>
      <c r="O15" s="572"/>
      <c r="P15" s="188"/>
      <c r="Q15" s="188"/>
      <c r="R15" s="185"/>
      <c r="S15" s="182"/>
      <c r="T15" s="573"/>
      <c r="U15" s="188"/>
      <c r="V15" s="188"/>
      <c r="W15" s="185"/>
      <c r="X15" s="182"/>
      <c r="Y15" s="573"/>
      <c r="Z15" s="188"/>
      <c r="AA15" s="188"/>
      <c r="AB15" s="185"/>
      <c r="AC15" s="182"/>
      <c r="AD15" s="573"/>
      <c r="AE15" s="188"/>
      <c r="AF15" s="188"/>
      <c r="AG15" s="185"/>
      <c r="AH15" s="182"/>
      <c r="AI15" s="573"/>
      <c r="AJ15" s="188"/>
      <c r="AK15" s="188"/>
      <c r="AL15" s="185"/>
      <c r="AM15" s="182"/>
      <c r="AN15" s="573"/>
      <c r="AO15" s="188"/>
      <c r="AP15" s="188"/>
      <c r="AQ15" s="185"/>
      <c r="AR15" s="182"/>
      <c r="AS15" s="573"/>
      <c r="AT15" s="188"/>
      <c r="AU15" s="188"/>
      <c r="AV15" s="185"/>
      <c r="AW15" s="182"/>
      <c r="AX15" s="573"/>
    </row>
    <row r="16" spans="1:50" ht="14.25" customHeight="1">
      <c r="B16" s="572"/>
      <c r="C16" s="180">
        <v>10</v>
      </c>
      <c r="D16" s="183"/>
      <c r="E16" s="180"/>
      <c r="F16" s="180"/>
      <c r="G16" s="185"/>
      <c r="H16" s="573"/>
      <c r="I16" s="186"/>
      <c r="J16" s="186"/>
      <c r="K16" s="187"/>
      <c r="L16" s="574"/>
      <c r="M16" s="186"/>
      <c r="N16" s="572"/>
      <c r="O16" s="572"/>
      <c r="P16" s="188"/>
      <c r="Q16" s="188"/>
      <c r="R16" s="185"/>
      <c r="S16" s="182"/>
      <c r="T16" s="573"/>
      <c r="U16" s="188"/>
      <c r="V16" s="188"/>
      <c r="W16" s="185"/>
      <c r="X16" s="182"/>
      <c r="Y16" s="573"/>
      <c r="Z16" s="188"/>
      <c r="AA16" s="188"/>
      <c r="AB16" s="185"/>
      <c r="AC16" s="182"/>
      <c r="AD16" s="573"/>
      <c r="AE16" s="188"/>
      <c r="AF16" s="188"/>
      <c r="AG16" s="185"/>
      <c r="AH16" s="182"/>
      <c r="AI16" s="573"/>
      <c r="AJ16" s="188"/>
      <c r="AK16" s="188"/>
      <c r="AL16" s="185"/>
      <c r="AM16" s="182"/>
      <c r="AN16" s="573"/>
      <c r="AO16" s="188"/>
      <c r="AP16" s="188"/>
      <c r="AQ16" s="185"/>
      <c r="AR16" s="182"/>
      <c r="AS16" s="573"/>
      <c r="AT16" s="188"/>
      <c r="AU16" s="188"/>
      <c r="AV16" s="185"/>
      <c r="AW16" s="182"/>
      <c r="AX16" s="573"/>
    </row>
    <row r="17" spans="2:50" ht="14.25" customHeight="1">
      <c r="B17" s="572"/>
      <c r="C17" s="180">
        <v>11</v>
      </c>
      <c r="D17" s="183"/>
      <c r="E17" s="180"/>
      <c r="F17" s="180"/>
      <c r="G17" s="185"/>
      <c r="H17" s="573"/>
      <c r="I17" s="186"/>
      <c r="J17" s="186"/>
      <c r="K17" s="187"/>
      <c r="L17" s="574"/>
      <c r="M17" s="186"/>
      <c r="N17" s="572"/>
      <c r="O17" s="572"/>
      <c r="P17" s="188"/>
      <c r="Q17" s="188"/>
      <c r="R17" s="185"/>
      <c r="S17" s="182"/>
      <c r="T17" s="573"/>
      <c r="U17" s="188"/>
      <c r="V17" s="188"/>
      <c r="W17" s="185"/>
      <c r="X17" s="182"/>
      <c r="Y17" s="573"/>
      <c r="Z17" s="188"/>
      <c r="AA17" s="188"/>
      <c r="AB17" s="185"/>
      <c r="AC17" s="182"/>
      <c r="AD17" s="573"/>
      <c r="AE17" s="188"/>
      <c r="AF17" s="188"/>
      <c r="AG17" s="185"/>
      <c r="AH17" s="182"/>
      <c r="AI17" s="573"/>
      <c r="AJ17" s="188"/>
      <c r="AK17" s="188"/>
      <c r="AL17" s="185"/>
      <c r="AM17" s="182"/>
      <c r="AN17" s="573"/>
      <c r="AO17" s="188"/>
      <c r="AP17" s="188"/>
      <c r="AQ17" s="185"/>
      <c r="AR17" s="182"/>
      <c r="AS17" s="573"/>
      <c r="AT17" s="188"/>
      <c r="AU17" s="188"/>
      <c r="AV17" s="185"/>
      <c r="AW17" s="182"/>
      <c r="AX17" s="573"/>
    </row>
    <row r="18" spans="2:50" ht="14.25" customHeight="1">
      <c r="B18" s="572"/>
      <c r="C18" s="180">
        <v>12</v>
      </c>
      <c r="D18" s="183"/>
      <c r="E18" s="180"/>
      <c r="F18" s="180"/>
      <c r="G18" s="185"/>
      <c r="H18" s="573"/>
      <c r="I18" s="186"/>
      <c r="J18" s="186"/>
      <c r="K18" s="187"/>
      <c r="L18" s="574"/>
      <c r="M18" s="186"/>
      <c r="N18" s="572"/>
      <c r="O18" s="572"/>
      <c r="P18" s="188"/>
      <c r="Q18" s="188"/>
      <c r="R18" s="185"/>
      <c r="S18" s="182"/>
      <c r="T18" s="573"/>
      <c r="U18" s="188"/>
      <c r="V18" s="188"/>
      <c r="W18" s="185"/>
      <c r="X18" s="182"/>
      <c r="Y18" s="573"/>
      <c r="Z18" s="188"/>
      <c r="AA18" s="188"/>
      <c r="AB18" s="185"/>
      <c r="AC18" s="182"/>
      <c r="AD18" s="573"/>
      <c r="AE18" s="188"/>
      <c r="AF18" s="188"/>
      <c r="AG18" s="185"/>
      <c r="AH18" s="182"/>
      <c r="AI18" s="573"/>
      <c r="AJ18" s="188"/>
      <c r="AK18" s="188"/>
      <c r="AL18" s="185"/>
      <c r="AM18" s="182"/>
      <c r="AN18" s="573"/>
      <c r="AO18" s="188"/>
      <c r="AP18" s="188"/>
      <c r="AQ18" s="185"/>
      <c r="AR18" s="182"/>
      <c r="AS18" s="573"/>
      <c r="AT18" s="188"/>
      <c r="AU18" s="188"/>
      <c r="AV18" s="185"/>
      <c r="AW18" s="182"/>
      <c r="AX18" s="573"/>
    </row>
    <row r="19" spans="2:50" ht="14.25" customHeight="1">
      <c r="B19" s="572"/>
      <c r="C19" s="180">
        <v>13</v>
      </c>
      <c r="D19" s="183"/>
      <c r="E19" s="180"/>
      <c r="F19" s="180"/>
      <c r="G19" s="185"/>
      <c r="H19" s="573"/>
      <c r="I19" s="186"/>
      <c r="J19" s="186"/>
      <c r="K19" s="187"/>
      <c r="L19" s="574"/>
      <c r="M19" s="186"/>
      <c r="N19" s="572"/>
      <c r="O19" s="572"/>
      <c r="P19" s="188"/>
      <c r="Q19" s="188"/>
      <c r="R19" s="185"/>
      <c r="S19" s="182"/>
      <c r="T19" s="573"/>
      <c r="U19" s="188"/>
      <c r="V19" s="188"/>
      <c r="W19" s="185"/>
      <c r="X19" s="182"/>
      <c r="Y19" s="573"/>
      <c r="Z19" s="188"/>
      <c r="AA19" s="188"/>
      <c r="AB19" s="185"/>
      <c r="AC19" s="182"/>
      <c r="AD19" s="573"/>
      <c r="AE19" s="188"/>
      <c r="AF19" s="188"/>
      <c r="AG19" s="185"/>
      <c r="AH19" s="182"/>
      <c r="AI19" s="573"/>
      <c r="AJ19" s="188"/>
      <c r="AK19" s="188"/>
      <c r="AL19" s="185"/>
      <c r="AM19" s="182"/>
      <c r="AN19" s="573"/>
      <c r="AO19" s="188"/>
      <c r="AP19" s="188"/>
      <c r="AQ19" s="185"/>
      <c r="AR19" s="182"/>
      <c r="AS19" s="573"/>
      <c r="AT19" s="188"/>
      <c r="AU19" s="188"/>
      <c r="AV19" s="185"/>
      <c r="AW19" s="182"/>
      <c r="AX19" s="573"/>
    </row>
    <row r="20" spans="2:50" ht="14.25" customHeight="1">
      <c r="B20" s="572"/>
      <c r="C20" s="180">
        <v>14</v>
      </c>
      <c r="D20" s="183"/>
      <c r="E20" s="180"/>
      <c r="F20" s="180"/>
      <c r="G20" s="185"/>
      <c r="H20" s="573"/>
      <c r="I20" s="186"/>
      <c r="J20" s="186"/>
      <c r="K20" s="187"/>
      <c r="L20" s="574"/>
      <c r="M20" s="186"/>
      <c r="N20" s="572"/>
      <c r="O20" s="572"/>
      <c r="P20" s="188"/>
      <c r="Q20" s="188"/>
      <c r="R20" s="185"/>
      <c r="S20" s="182"/>
      <c r="T20" s="573"/>
      <c r="U20" s="188"/>
      <c r="V20" s="188"/>
      <c r="W20" s="185"/>
      <c r="X20" s="182"/>
      <c r="Y20" s="573"/>
      <c r="Z20" s="188"/>
      <c r="AA20" s="188"/>
      <c r="AB20" s="185"/>
      <c r="AC20" s="182"/>
      <c r="AD20" s="573"/>
      <c r="AE20" s="188"/>
      <c r="AF20" s="188"/>
      <c r="AG20" s="185"/>
      <c r="AH20" s="182"/>
      <c r="AI20" s="573"/>
      <c r="AJ20" s="188"/>
      <c r="AK20" s="188"/>
      <c r="AL20" s="185"/>
      <c r="AM20" s="182"/>
      <c r="AN20" s="573"/>
      <c r="AO20" s="188"/>
      <c r="AP20" s="188"/>
      <c r="AQ20" s="185"/>
      <c r="AR20" s="182"/>
      <c r="AS20" s="573"/>
      <c r="AT20" s="188"/>
      <c r="AU20" s="188"/>
      <c r="AV20" s="185"/>
      <c r="AW20" s="182"/>
      <c r="AX20" s="573"/>
    </row>
    <row r="21" spans="2:50" ht="14.25" customHeight="1">
      <c r="B21" s="572"/>
      <c r="C21" s="180">
        <v>15</v>
      </c>
      <c r="D21" s="183"/>
      <c r="E21" s="180"/>
      <c r="F21" s="180"/>
      <c r="G21" s="185"/>
      <c r="H21" s="573"/>
      <c r="I21" s="186"/>
      <c r="J21" s="186"/>
      <c r="K21" s="187"/>
      <c r="L21" s="574"/>
      <c r="M21" s="186"/>
      <c r="N21" s="572"/>
      <c r="O21" s="572"/>
      <c r="P21" s="188"/>
      <c r="Q21" s="188"/>
      <c r="R21" s="185"/>
      <c r="S21" s="182"/>
      <c r="T21" s="573"/>
      <c r="U21" s="188"/>
      <c r="V21" s="188"/>
      <c r="W21" s="185"/>
      <c r="X21" s="182"/>
      <c r="Y21" s="573"/>
      <c r="Z21" s="188"/>
      <c r="AA21" s="188"/>
      <c r="AB21" s="185"/>
      <c r="AC21" s="182"/>
      <c r="AD21" s="573"/>
      <c r="AE21" s="188"/>
      <c r="AF21" s="188"/>
      <c r="AG21" s="185"/>
      <c r="AH21" s="182"/>
      <c r="AI21" s="573"/>
      <c r="AJ21" s="188"/>
      <c r="AK21" s="188"/>
      <c r="AL21" s="185"/>
      <c r="AM21" s="182"/>
      <c r="AN21" s="573"/>
      <c r="AO21" s="188"/>
      <c r="AP21" s="188"/>
      <c r="AQ21" s="185"/>
      <c r="AR21" s="182"/>
      <c r="AS21" s="573"/>
      <c r="AT21" s="188"/>
      <c r="AU21" s="188"/>
      <c r="AV21" s="185"/>
      <c r="AW21" s="182"/>
      <c r="AX21" s="573"/>
    </row>
    <row r="22" spans="2:50" ht="14.25" customHeight="1">
      <c r="B22" s="597" t="s">
        <v>684</v>
      </c>
      <c r="C22" s="587"/>
      <c r="D22" s="587"/>
      <c r="E22" s="587"/>
      <c r="F22" s="587"/>
      <c r="G22" s="587"/>
      <c r="H22" s="587"/>
      <c r="I22" s="587"/>
      <c r="J22" s="587"/>
      <c r="K22" s="587"/>
      <c r="L22" s="587"/>
      <c r="M22" s="588"/>
      <c r="N22" s="606" t="s">
        <v>364</v>
      </c>
      <c r="O22" s="606" t="s">
        <v>105</v>
      </c>
      <c r="P22" s="608">
        <f>'[1]（５-1）品群別人時生產性(18℃-飯糰)'!P102:T102</f>
        <v>0</v>
      </c>
      <c r="Q22" s="609"/>
      <c r="R22" s="609"/>
      <c r="S22" s="609"/>
      <c r="T22" s="609"/>
      <c r="U22" s="610">
        <f>P22+1</f>
        <v>1</v>
      </c>
      <c r="V22" s="611"/>
      <c r="W22" s="611"/>
      <c r="X22" s="611"/>
      <c r="Y22" s="611"/>
      <c r="Z22" s="608">
        <f t="shared" ref="Z22" si="10">U22+1</f>
        <v>2</v>
      </c>
      <c r="AA22" s="609"/>
      <c r="AB22" s="609"/>
      <c r="AC22" s="609"/>
      <c r="AD22" s="609"/>
      <c r="AE22" s="610">
        <f t="shared" ref="AE22" si="11">Z22+1</f>
        <v>3</v>
      </c>
      <c r="AF22" s="611"/>
      <c r="AG22" s="611"/>
      <c r="AH22" s="611"/>
      <c r="AI22" s="611"/>
      <c r="AJ22" s="598">
        <f t="shared" ref="AJ22" si="12">AE22+1</f>
        <v>4</v>
      </c>
      <c r="AK22" s="599"/>
      <c r="AL22" s="599"/>
      <c r="AM22" s="599"/>
      <c r="AN22" s="600"/>
      <c r="AO22" s="610">
        <f t="shared" ref="AO22" si="13">AJ22+1</f>
        <v>5</v>
      </c>
      <c r="AP22" s="611"/>
      <c r="AQ22" s="611"/>
      <c r="AR22" s="611"/>
      <c r="AS22" s="611"/>
      <c r="AT22" s="598">
        <f t="shared" ref="AT22" si="14">AO22+1</f>
        <v>6</v>
      </c>
      <c r="AU22" s="599"/>
      <c r="AV22" s="599"/>
      <c r="AW22" s="599"/>
      <c r="AX22" s="600"/>
    </row>
    <row r="23" spans="2:50" ht="14.25" customHeight="1">
      <c r="B23" s="589"/>
      <c r="C23" s="589"/>
      <c r="D23" s="589"/>
      <c r="E23" s="589"/>
      <c r="F23" s="589"/>
      <c r="G23" s="589"/>
      <c r="H23" s="589"/>
      <c r="I23" s="589"/>
      <c r="J23" s="589"/>
      <c r="K23" s="589"/>
      <c r="L23" s="589"/>
      <c r="M23" s="590"/>
      <c r="N23" s="607"/>
      <c r="O23" s="607"/>
      <c r="P23" s="601">
        <f>P22</f>
        <v>0</v>
      </c>
      <c r="Q23" s="601"/>
      <c r="R23" s="601"/>
      <c r="S23" s="601"/>
      <c r="T23" s="601"/>
      <c r="U23" s="602">
        <f>U22</f>
        <v>1</v>
      </c>
      <c r="V23" s="602"/>
      <c r="W23" s="602"/>
      <c r="X23" s="602"/>
      <c r="Y23" s="602"/>
      <c r="Z23" s="601">
        <f t="shared" ref="Z23" si="15">Z22</f>
        <v>2</v>
      </c>
      <c r="AA23" s="601"/>
      <c r="AB23" s="601"/>
      <c r="AC23" s="601"/>
      <c r="AD23" s="601"/>
      <c r="AE23" s="602">
        <f t="shared" ref="AE23" si="16">AE22</f>
        <v>3</v>
      </c>
      <c r="AF23" s="602"/>
      <c r="AG23" s="602"/>
      <c r="AH23" s="602"/>
      <c r="AI23" s="602"/>
      <c r="AJ23" s="603">
        <f t="shared" ref="AJ23" si="17">AJ22</f>
        <v>4</v>
      </c>
      <c r="AK23" s="604"/>
      <c r="AL23" s="604"/>
      <c r="AM23" s="604"/>
      <c r="AN23" s="605"/>
      <c r="AO23" s="602">
        <f t="shared" ref="AO23" si="18">AO22</f>
        <v>5</v>
      </c>
      <c r="AP23" s="602"/>
      <c r="AQ23" s="602"/>
      <c r="AR23" s="602"/>
      <c r="AS23" s="602"/>
      <c r="AT23" s="603">
        <f t="shared" ref="AT23" si="19">AT22</f>
        <v>6</v>
      </c>
      <c r="AU23" s="604"/>
      <c r="AV23" s="604"/>
      <c r="AW23" s="604"/>
      <c r="AX23" s="605"/>
    </row>
    <row r="24" spans="2:50" ht="14.25" customHeight="1">
      <c r="B24" s="572" t="s">
        <v>162</v>
      </c>
      <c r="C24" s="572" t="s">
        <v>157</v>
      </c>
      <c r="D24" s="572"/>
      <c r="E24" s="572" t="s">
        <v>158</v>
      </c>
      <c r="F24" s="572"/>
      <c r="G24" s="572"/>
      <c r="H24" s="572" t="s">
        <v>163</v>
      </c>
      <c r="I24" s="576" t="s">
        <v>365</v>
      </c>
      <c r="J24" s="576"/>
      <c r="K24" s="576"/>
      <c r="L24" s="576" t="s">
        <v>163</v>
      </c>
      <c r="M24" s="576" t="s">
        <v>165</v>
      </c>
      <c r="N24" s="572"/>
      <c r="O24" s="572" t="s">
        <v>164</v>
      </c>
      <c r="P24" s="572" t="s">
        <v>160</v>
      </c>
      <c r="Q24" s="572"/>
      <c r="R24" s="572"/>
      <c r="S24" s="572"/>
      <c r="T24" s="572" t="s">
        <v>163</v>
      </c>
      <c r="U24" s="572" t="s">
        <v>160</v>
      </c>
      <c r="V24" s="572"/>
      <c r="W24" s="572"/>
      <c r="X24" s="572"/>
      <c r="Y24" s="572" t="s">
        <v>163</v>
      </c>
      <c r="Z24" s="572" t="s">
        <v>160</v>
      </c>
      <c r="AA24" s="572"/>
      <c r="AB24" s="572"/>
      <c r="AC24" s="572"/>
      <c r="AD24" s="572" t="s">
        <v>163</v>
      </c>
      <c r="AE24" s="572" t="s">
        <v>160</v>
      </c>
      <c r="AF24" s="572"/>
      <c r="AG24" s="572"/>
      <c r="AH24" s="572"/>
      <c r="AI24" s="572" t="s">
        <v>163</v>
      </c>
      <c r="AJ24" s="572" t="s">
        <v>160</v>
      </c>
      <c r="AK24" s="572"/>
      <c r="AL24" s="572"/>
      <c r="AM24" s="572"/>
      <c r="AN24" s="572" t="s">
        <v>163</v>
      </c>
      <c r="AO24" s="572" t="s">
        <v>160</v>
      </c>
      <c r="AP24" s="572"/>
      <c r="AQ24" s="572"/>
      <c r="AR24" s="572"/>
      <c r="AS24" s="572" t="s">
        <v>163</v>
      </c>
      <c r="AT24" s="572" t="s">
        <v>160</v>
      </c>
      <c r="AU24" s="572"/>
      <c r="AV24" s="572"/>
      <c r="AW24" s="572"/>
      <c r="AX24" s="572" t="s">
        <v>163</v>
      </c>
    </row>
    <row r="25" spans="2:50" ht="14.25" customHeight="1">
      <c r="B25" s="572"/>
      <c r="C25" s="572"/>
      <c r="D25" s="572"/>
      <c r="E25" s="572" t="s">
        <v>366</v>
      </c>
      <c r="F25" s="572"/>
      <c r="G25" s="572"/>
      <c r="H25" s="572"/>
      <c r="I25" s="576" t="s">
        <v>366</v>
      </c>
      <c r="J25" s="576"/>
      <c r="K25" s="576"/>
      <c r="L25" s="576"/>
      <c r="M25" s="576"/>
      <c r="N25" s="572"/>
      <c r="O25" s="572"/>
      <c r="P25" s="572" t="s">
        <v>367</v>
      </c>
      <c r="Q25" s="572"/>
      <c r="R25" s="572"/>
      <c r="S25" s="572"/>
      <c r="T25" s="572"/>
      <c r="U25" s="572" t="s">
        <v>367</v>
      </c>
      <c r="V25" s="572"/>
      <c r="W25" s="572"/>
      <c r="X25" s="572"/>
      <c r="Y25" s="572"/>
      <c r="Z25" s="572" t="s">
        <v>367</v>
      </c>
      <c r="AA25" s="572"/>
      <c r="AB25" s="572"/>
      <c r="AC25" s="572"/>
      <c r="AD25" s="572"/>
      <c r="AE25" s="572" t="s">
        <v>367</v>
      </c>
      <c r="AF25" s="572"/>
      <c r="AG25" s="572"/>
      <c r="AH25" s="572"/>
      <c r="AI25" s="572"/>
      <c r="AJ25" s="572" t="s">
        <v>367</v>
      </c>
      <c r="AK25" s="572"/>
      <c r="AL25" s="572"/>
      <c r="AM25" s="572"/>
      <c r="AN25" s="572"/>
      <c r="AO25" s="572" t="s">
        <v>367</v>
      </c>
      <c r="AP25" s="572"/>
      <c r="AQ25" s="572"/>
      <c r="AR25" s="572"/>
      <c r="AS25" s="572"/>
      <c r="AT25" s="572" t="s">
        <v>367</v>
      </c>
      <c r="AU25" s="572"/>
      <c r="AV25" s="572"/>
      <c r="AW25" s="572"/>
      <c r="AX25" s="572"/>
    </row>
    <row r="26" spans="2:50" ht="14.25" customHeight="1">
      <c r="B26" s="572"/>
      <c r="C26" s="572"/>
      <c r="D26" s="572"/>
      <c r="E26" s="180" t="s">
        <v>159</v>
      </c>
      <c r="F26" s="180" t="s">
        <v>368</v>
      </c>
      <c r="G26" s="180" t="s">
        <v>161</v>
      </c>
      <c r="H26" s="572"/>
      <c r="I26" s="181" t="s">
        <v>159</v>
      </c>
      <c r="J26" s="181" t="s">
        <v>368</v>
      </c>
      <c r="K26" s="181" t="s">
        <v>161</v>
      </c>
      <c r="L26" s="576"/>
      <c r="M26" s="576"/>
      <c r="N26" s="572"/>
      <c r="O26" s="572"/>
      <c r="P26" s="180" t="s">
        <v>159</v>
      </c>
      <c r="Q26" s="180" t="s">
        <v>368</v>
      </c>
      <c r="R26" s="180" t="s">
        <v>161</v>
      </c>
      <c r="S26" s="182" t="s">
        <v>165</v>
      </c>
      <c r="T26" s="572"/>
      <c r="U26" s="180" t="s">
        <v>159</v>
      </c>
      <c r="V26" s="180" t="s">
        <v>368</v>
      </c>
      <c r="W26" s="180" t="s">
        <v>161</v>
      </c>
      <c r="X26" s="182" t="s">
        <v>165</v>
      </c>
      <c r="Y26" s="572"/>
      <c r="Z26" s="180" t="s">
        <v>159</v>
      </c>
      <c r="AA26" s="180" t="s">
        <v>368</v>
      </c>
      <c r="AB26" s="180" t="s">
        <v>161</v>
      </c>
      <c r="AC26" s="182" t="s">
        <v>165</v>
      </c>
      <c r="AD26" s="572"/>
      <c r="AE26" s="180" t="s">
        <v>159</v>
      </c>
      <c r="AF26" s="180" t="s">
        <v>368</v>
      </c>
      <c r="AG26" s="180" t="s">
        <v>161</v>
      </c>
      <c r="AH26" s="182" t="s">
        <v>165</v>
      </c>
      <c r="AI26" s="572"/>
      <c r="AJ26" s="180" t="s">
        <v>159</v>
      </c>
      <c r="AK26" s="180" t="s">
        <v>368</v>
      </c>
      <c r="AL26" s="180" t="s">
        <v>161</v>
      </c>
      <c r="AM26" s="182" t="s">
        <v>165</v>
      </c>
      <c r="AN26" s="572"/>
      <c r="AO26" s="180" t="s">
        <v>159</v>
      </c>
      <c r="AP26" s="180" t="s">
        <v>368</v>
      </c>
      <c r="AQ26" s="180" t="s">
        <v>161</v>
      </c>
      <c r="AR26" s="182" t="s">
        <v>165</v>
      </c>
      <c r="AS26" s="572"/>
      <c r="AT26" s="180" t="s">
        <v>159</v>
      </c>
      <c r="AU26" s="180" t="s">
        <v>368</v>
      </c>
      <c r="AV26" s="180" t="s">
        <v>161</v>
      </c>
      <c r="AW26" s="182" t="s">
        <v>165</v>
      </c>
      <c r="AX26" s="572"/>
    </row>
    <row r="27" spans="2:50" ht="14.25" customHeight="1">
      <c r="B27" s="572" t="s">
        <v>428</v>
      </c>
      <c r="C27" s="180">
        <v>1</v>
      </c>
      <c r="D27" s="183"/>
      <c r="E27" s="180"/>
      <c r="F27" s="180"/>
      <c r="G27" s="185"/>
      <c r="H27" s="573"/>
      <c r="I27" s="186"/>
      <c r="J27" s="186"/>
      <c r="K27" s="187"/>
      <c r="L27" s="574"/>
      <c r="M27" s="186"/>
      <c r="N27" s="572"/>
      <c r="O27" s="572"/>
      <c r="P27" s="188"/>
      <c r="Q27" s="188"/>
      <c r="R27" s="185"/>
      <c r="S27" s="182"/>
      <c r="T27" s="573"/>
      <c r="U27" s="188"/>
      <c r="V27" s="188"/>
      <c r="W27" s="185"/>
      <c r="X27" s="182"/>
      <c r="Y27" s="573"/>
      <c r="Z27" s="188"/>
      <c r="AA27" s="188"/>
      <c r="AB27" s="185"/>
      <c r="AC27" s="182"/>
      <c r="AD27" s="573"/>
      <c r="AE27" s="188"/>
      <c r="AF27" s="188"/>
      <c r="AG27" s="185"/>
      <c r="AH27" s="182"/>
      <c r="AI27" s="573"/>
      <c r="AJ27" s="188"/>
      <c r="AK27" s="188"/>
      <c r="AL27" s="185"/>
      <c r="AM27" s="182"/>
      <c r="AN27" s="573"/>
      <c r="AO27" s="188"/>
      <c r="AP27" s="188"/>
      <c r="AQ27" s="185"/>
      <c r="AR27" s="182"/>
      <c r="AS27" s="573"/>
      <c r="AT27" s="188"/>
      <c r="AU27" s="188"/>
      <c r="AV27" s="185"/>
      <c r="AW27" s="182"/>
      <c r="AX27" s="573"/>
    </row>
    <row r="28" spans="2:50" ht="14.25" customHeight="1">
      <c r="B28" s="572"/>
      <c r="C28" s="180">
        <v>2</v>
      </c>
      <c r="D28" s="183"/>
      <c r="E28" s="180"/>
      <c r="F28" s="180"/>
      <c r="G28" s="185"/>
      <c r="H28" s="573"/>
      <c r="I28" s="186"/>
      <c r="J28" s="186"/>
      <c r="K28" s="187"/>
      <c r="L28" s="574"/>
      <c r="M28" s="186"/>
      <c r="N28" s="572"/>
      <c r="O28" s="572"/>
      <c r="P28" s="188"/>
      <c r="Q28" s="188"/>
      <c r="R28" s="185"/>
      <c r="S28" s="182"/>
      <c r="T28" s="573"/>
      <c r="U28" s="188"/>
      <c r="V28" s="188"/>
      <c r="W28" s="185"/>
      <c r="X28" s="182"/>
      <c r="Y28" s="573"/>
      <c r="Z28" s="188"/>
      <c r="AA28" s="188"/>
      <c r="AB28" s="185"/>
      <c r="AC28" s="182"/>
      <c r="AD28" s="573"/>
      <c r="AE28" s="188"/>
      <c r="AF28" s="188"/>
      <c r="AG28" s="185"/>
      <c r="AH28" s="182"/>
      <c r="AI28" s="573"/>
      <c r="AJ28" s="188"/>
      <c r="AK28" s="188"/>
      <c r="AL28" s="185"/>
      <c r="AM28" s="182"/>
      <c r="AN28" s="573"/>
      <c r="AO28" s="188"/>
      <c r="AP28" s="188"/>
      <c r="AQ28" s="185"/>
      <c r="AR28" s="182"/>
      <c r="AS28" s="573"/>
      <c r="AT28" s="188"/>
      <c r="AU28" s="188"/>
      <c r="AV28" s="185"/>
      <c r="AW28" s="182"/>
      <c r="AX28" s="573"/>
    </row>
    <row r="29" spans="2:50" ht="14.25" customHeight="1">
      <c r="B29" s="572"/>
      <c r="C29" s="180">
        <v>3</v>
      </c>
      <c r="D29" s="183"/>
      <c r="E29" s="180"/>
      <c r="F29" s="180"/>
      <c r="G29" s="185"/>
      <c r="H29" s="573"/>
      <c r="I29" s="186"/>
      <c r="J29" s="186"/>
      <c r="K29" s="187"/>
      <c r="L29" s="574"/>
      <c r="M29" s="186"/>
      <c r="N29" s="572"/>
      <c r="O29" s="572"/>
      <c r="P29" s="188"/>
      <c r="Q29" s="188"/>
      <c r="R29" s="185"/>
      <c r="S29" s="182"/>
      <c r="T29" s="573"/>
      <c r="U29" s="188"/>
      <c r="V29" s="188"/>
      <c r="W29" s="185"/>
      <c r="X29" s="182"/>
      <c r="Y29" s="573"/>
      <c r="Z29" s="188"/>
      <c r="AA29" s="188"/>
      <c r="AB29" s="185"/>
      <c r="AC29" s="182"/>
      <c r="AD29" s="573"/>
      <c r="AE29" s="188"/>
      <c r="AF29" s="188"/>
      <c r="AG29" s="185"/>
      <c r="AH29" s="182"/>
      <c r="AI29" s="573"/>
      <c r="AJ29" s="188"/>
      <c r="AK29" s="188"/>
      <c r="AL29" s="185"/>
      <c r="AM29" s="182"/>
      <c r="AN29" s="573"/>
      <c r="AO29" s="188"/>
      <c r="AP29" s="188"/>
      <c r="AQ29" s="185"/>
      <c r="AR29" s="182"/>
      <c r="AS29" s="573"/>
      <c r="AT29" s="188"/>
      <c r="AU29" s="188"/>
      <c r="AV29" s="185"/>
      <c r="AW29" s="182"/>
      <c r="AX29" s="573"/>
    </row>
    <row r="30" spans="2:50" ht="14.25" customHeight="1">
      <c r="B30" s="572"/>
      <c r="C30" s="180">
        <v>4</v>
      </c>
      <c r="D30" s="183"/>
      <c r="E30" s="180"/>
      <c r="F30" s="180"/>
      <c r="G30" s="185"/>
      <c r="H30" s="573"/>
      <c r="I30" s="186"/>
      <c r="J30" s="186"/>
      <c r="K30" s="187"/>
      <c r="L30" s="574"/>
      <c r="M30" s="186"/>
      <c r="N30" s="572"/>
      <c r="O30" s="572"/>
      <c r="P30" s="188"/>
      <c r="Q30" s="188"/>
      <c r="R30" s="185"/>
      <c r="S30" s="182"/>
      <c r="T30" s="573"/>
      <c r="U30" s="188"/>
      <c r="V30" s="188"/>
      <c r="W30" s="185"/>
      <c r="X30" s="182"/>
      <c r="Y30" s="573"/>
      <c r="Z30" s="188"/>
      <c r="AA30" s="188"/>
      <c r="AB30" s="185"/>
      <c r="AC30" s="182"/>
      <c r="AD30" s="573"/>
      <c r="AE30" s="188"/>
      <c r="AF30" s="188"/>
      <c r="AG30" s="185"/>
      <c r="AH30" s="182"/>
      <c r="AI30" s="573"/>
      <c r="AJ30" s="188"/>
      <c r="AK30" s="188"/>
      <c r="AL30" s="185"/>
      <c r="AM30" s="182"/>
      <c r="AN30" s="573"/>
      <c r="AO30" s="188"/>
      <c r="AP30" s="188"/>
      <c r="AQ30" s="185"/>
      <c r="AR30" s="182"/>
      <c r="AS30" s="573"/>
      <c r="AT30" s="188"/>
      <c r="AU30" s="188"/>
      <c r="AV30" s="185"/>
      <c r="AW30" s="182"/>
      <c r="AX30" s="573"/>
    </row>
    <row r="31" spans="2:50" ht="14.25" customHeight="1">
      <c r="B31" s="572"/>
      <c r="C31" s="180">
        <v>5</v>
      </c>
      <c r="D31" s="183"/>
      <c r="E31" s="180"/>
      <c r="F31" s="180"/>
      <c r="G31" s="185"/>
      <c r="H31" s="573"/>
      <c r="I31" s="186"/>
      <c r="J31" s="186"/>
      <c r="K31" s="187"/>
      <c r="L31" s="574"/>
      <c r="M31" s="186"/>
      <c r="N31" s="572"/>
      <c r="O31" s="572"/>
      <c r="P31" s="188"/>
      <c r="Q31" s="188"/>
      <c r="R31" s="185"/>
      <c r="S31" s="182"/>
      <c r="T31" s="573"/>
      <c r="U31" s="188"/>
      <c r="V31" s="188"/>
      <c r="W31" s="185"/>
      <c r="X31" s="182"/>
      <c r="Y31" s="573"/>
      <c r="Z31" s="188"/>
      <c r="AA31" s="188"/>
      <c r="AB31" s="185"/>
      <c r="AC31" s="182"/>
      <c r="AD31" s="573"/>
      <c r="AE31" s="188"/>
      <c r="AF31" s="188"/>
      <c r="AG31" s="185"/>
      <c r="AH31" s="182"/>
      <c r="AI31" s="573"/>
      <c r="AJ31" s="188"/>
      <c r="AK31" s="188"/>
      <c r="AL31" s="185"/>
      <c r="AM31" s="182"/>
      <c r="AN31" s="573"/>
      <c r="AO31" s="188"/>
      <c r="AP31" s="188"/>
      <c r="AQ31" s="185"/>
      <c r="AR31" s="182"/>
      <c r="AS31" s="573"/>
      <c r="AT31" s="188"/>
      <c r="AU31" s="188"/>
      <c r="AV31" s="185"/>
      <c r="AW31" s="182"/>
      <c r="AX31" s="573"/>
    </row>
    <row r="32" spans="2:50" ht="14.25" customHeight="1">
      <c r="B32" s="572"/>
      <c r="C32" s="180">
        <v>6</v>
      </c>
      <c r="D32" s="183"/>
      <c r="E32" s="180"/>
      <c r="F32" s="180"/>
      <c r="G32" s="185"/>
      <c r="H32" s="573"/>
      <c r="I32" s="186"/>
      <c r="J32" s="186"/>
      <c r="K32" s="187"/>
      <c r="L32" s="574"/>
      <c r="M32" s="186"/>
      <c r="N32" s="572"/>
      <c r="O32" s="572"/>
      <c r="P32" s="188"/>
      <c r="Q32" s="188"/>
      <c r="R32" s="185"/>
      <c r="S32" s="182"/>
      <c r="T32" s="573"/>
      <c r="U32" s="188"/>
      <c r="V32" s="188"/>
      <c r="W32" s="185"/>
      <c r="X32" s="182"/>
      <c r="Y32" s="573"/>
      <c r="Z32" s="188"/>
      <c r="AA32" s="188"/>
      <c r="AB32" s="185"/>
      <c r="AC32" s="182"/>
      <c r="AD32" s="573"/>
      <c r="AE32" s="188"/>
      <c r="AF32" s="188"/>
      <c r="AG32" s="185"/>
      <c r="AH32" s="182"/>
      <c r="AI32" s="573"/>
      <c r="AJ32" s="188"/>
      <c r="AK32" s="188"/>
      <c r="AL32" s="185"/>
      <c r="AM32" s="182"/>
      <c r="AN32" s="573"/>
      <c r="AO32" s="188"/>
      <c r="AP32" s="188"/>
      <c r="AQ32" s="185"/>
      <c r="AR32" s="182"/>
      <c r="AS32" s="573"/>
      <c r="AT32" s="188"/>
      <c r="AU32" s="188"/>
      <c r="AV32" s="185"/>
      <c r="AW32" s="182"/>
      <c r="AX32" s="573"/>
    </row>
    <row r="33" spans="2:50" ht="14.25" customHeight="1">
      <c r="B33" s="572"/>
      <c r="C33" s="180">
        <v>7</v>
      </c>
      <c r="D33" s="183"/>
      <c r="E33" s="180"/>
      <c r="F33" s="180"/>
      <c r="G33" s="185"/>
      <c r="H33" s="573"/>
      <c r="I33" s="186"/>
      <c r="J33" s="186"/>
      <c r="K33" s="187"/>
      <c r="L33" s="574"/>
      <c r="M33" s="186"/>
      <c r="N33" s="572"/>
      <c r="O33" s="572"/>
      <c r="P33" s="188"/>
      <c r="Q33" s="188"/>
      <c r="R33" s="185"/>
      <c r="S33" s="182"/>
      <c r="T33" s="573"/>
      <c r="U33" s="188"/>
      <c r="V33" s="188"/>
      <c r="W33" s="185"/>
      <c r="X33" s="182"/>
      <c r="Y33" s="573"/>
      <c r="Z33" s="188"/>
      <c r="AA33" s="188"/>
      <c r="AB33" s="185"/>
      <c r="AC33" s="182"/>
      <c r="AD33" s="573"/>
      <c r="AE33" s="188"/>
      <c r="AF33" s="188"/>
      <c r="AG33" s="185"/>
      <c r="AH33" s="182"/>
      <c r="AI33" s="573"/>
      <c r="AJ33" s="188"/>
      <c r="AK33" s="188"/>
      <c r="AL33" s="185"/>
      <c r="AM33" s="182"/>
      <c r="AN33" s="573"/>
      <c r="AO33" s="188"/>
      <c r="AP33" s="188"/>
      <c r="AQ33" s="185"/>
      <c r="AR33" s="182"/>
      <c r="AS33" s="573"/>
      <c r="AT33" s="188"/>
      <c r="AU33" s="188"/>
      <c r="AV33" s="185"/>
      <c r="AW33" s="182"/>
      <c r="AX33" s="573"/>
    </row>
    <row r="34" spans="2:50" ht="14.25" customHeight="1">
      <c r="B34" s="572"/>
      <c r="C34" s="180">
        <v>8</v>
      </c>
      <c r="D34" s="183"/>
      <c r="E34" s="180"/>
      <c r="F34" s="180"/>
      <c r="G34" s="185"/>
      <c r="H34" s="573"/>
      <c r="I34" s="186"/>
      <c r="J34" s="186"/>
      <c r="K34" s="187"/>
      <c r="L34" s="574"/>
      <c r="M34" s="186"/>
      <c r="N34" s="572"/>
      <c r="O34" s="572"/>
      <c r="P34" s="188"/>
      <c r="Q34" s="188"/>
      <c r="R34" s="185"/>
      <c r="S34" s="182"/>
      <c r="T34" s="573"/>
      <c r="U34" s="188"/>
      <c r="V34" s="188"/>
      <c r="W34" s="185"/>
      <c r="X34" s="182"/>
      <c r="Y34" s="573"/>
      <c r="Z34" s="188"/>
      <c r="AA34" s="188"/>
      <c r="AB34" s="185"/>
      <c r="AC34" s="182"/>
      <c r="AD34" s="573"/>
      <c r="AE34" s="188"/>
      <c r="AF34" s="188"/>
      <c r="AG34" s="185"/>
      <c r="AH34" s="182"/>
      <c r="AI34" s="573"/>
      <c r="AJ34" s="188"/>
      <c r="AK34" s="188"/>
      <c r="AL34" s="185"/>
      <c r="AM34" s="182"/>
      <c r="AN34" s="573"/>
      <c r="AO34" s="188"/>
      <c r="AP34" s="188"/>
      <c r="AQ34" s="185"/>
      <c r="AR34" s="182"/>
      <c r="AS34" s="573"/>
      <c r="AT34" s="188"/>
      <c r="AU34" s="188"/>
      <c r="AV34" s="185"/>
      <c r="AW34" s="182"/>
      <c r="AX34" s="573"/>
    </row>
    <row r="35" spans="2:50" ht="14.25" customHeight="1">
      <c r="B35" s="572"/>
      <c r="C35" s="180">
        <v>9</v>
      </c>
      <c r="D35" s="183"/>
      <c r="E35" s="180"/>
      <c r="F35" s="180"/>
      <c r="G35" s="185"/>
      <c r="H35" s="573"/>
      <c r="I35" s="186"/>
      <c r="J35" s="186"/>
      <c r="K35" s="187"/>
      <c r="L35" s="574"/>
      <c r="M35" s="186"/>
      <c r="N35" s="572"/>
      <c r="O35" s="572"/>
      <c r="P35" s="188"/>
      <c r="Q35" s="188"/>
      <c r="R35" s="185"/>
      <c r="S35" s="182"/>
      <c r="T35" s="573"/>
      <c r="U35" s="188"/>
      <c r="V35" s="188"/>
      <c r="W35" s="185"/>
      <c r="X35" s="182"/>
      <c r="Y35" s="573"/>
      <c r="Z35" s="188"/>
      <c r="AA35" s="188"/>
      <c r="AB35" s="185"/>
      <c r="AC35" s="182"/>
      <c r="AD35" s="573"/>
      <c r="AE35" s="188"/>
      <c r="AF35" s="188"/>
      <c r="AG35" s="185"/>
      <c r="AH35" s="182"/>
      <c r="AI35" s="573"/>
      <c r="AJ35" s="188"/>
      <c r="AK35" s="188"/>
      <c r="AL35" s="185"/>
      <c r="AM35" s="182"/>
      <c r="AN35" s="573"/>
      <c r="AO35" s="188"/>
      <c r="AP35" s="188"/>
      <c r="AQ35" s="185"/>
      <c r="AR35" s="182"/>
      <c r="AS35" s="573"/>
      <c r="AT35" s="188"/>
      <c r="AU35" s="188"/>
      <c r="AV35" s="185"/>
      <c r="AW35" s="182"/>
      <c r="AX35" s="573"/>
    </row>
    <row r="36" spans="2:50" ht="14.25" customHeight="1">
      <c r="B36" s="572"/>
      <c r="C36" s="180">
        <v>10</v>
      </c>
      <c r="D36" s="183"/>
      <c r="E36" s="180"/>
      <c r="F36" s="180"/>
      <c r="G36" s="185"/>
      <c r="H36" s="573"/>
      <c r="I36" s="186"/>
      <c r="J36" s="186"/>
      <c r="K36" s="187"/>
      <c r="L36" s="574"/>
      <c r="M36" s="186"/>
      <c r="N36" s="572"/>
      <c r="O36" s="572"/>
      <c r="P36" s="188"/>
      <c r="Q36" s="188"/>
      <c r="R36" s="185"/>
      <c r="S36" s="182"/>
      <c r="T36" s="573"/>
      <c r="U36" s="188"/>
      <c r="V36" s="188"/>
      <c r="W36" s="185"/>
      <c r="X36" s="182"/>
      <c r="Y36" s="573"/>
      <c r="Z36" s="188"/>
      <c r="AA36" s="188"/>
      <c r="AB36" s="185"/>
      <c r="AC36" s="182"/>
      <c r="AD36" s="573"/>
      <c r="AE36" s="188"/>
      <c r="AF36" s="188"/>
      <c r="AG36" s="185"/>
      <c r="AH36" s="182"/>
      <c r="AI36" s="573"/>
      <c r="AJ36" s="188"/>
      <c r="AK36" s="188"/>
      <c r="AL36" s="185"/>
      <c r="AM36" s="182"/>
      <c r="AN36" s="573"/>
      <c r="AO36" s="188"/>
      <c r="AP36" s="188"/>
      <c r="AQ36" s="185"/>
      <c r="AR36" s="182"/>
      <c r="AS36" s="573"/>
      <c r="AT36" s="188"/>
      <c r="AU36" s="188"/>
      <c r="AV36" s="185"/>
      <c r="AW36" s="182"/>
      <c r="AX36" s="573"/>
    </row>
    <row r="37" spans="2:50" ht="14.25" customHeight="1">
      <c r="B37" s="572"/>
      <c r="C37" s="180">
        <v>11</v>
      </c>
      <c r="D37" s="183"/>
      <c r="E37" s="180"/>
      <c r="F37" s="180"/>
      <c r="G37" s="185"/>
      <c r="H37" s="573"/>
      <c r="I37" s="186"/>
      <c r="J37" s="186"/>
      <c r="K37" s="187"/>
      <c r="L37" s="574"/>
      <c r="M37" s="186"/>
      <c r="N37" s="572"/>
      <c r="O37" s="572"/>
      <c r="P37" s="188"/>
      <c r="Q37" s="188"/>
      <c r="R37" s="185"/>
      <c r="S37" s="182"/>
      <c r="T37" s="573"/>
      <c r="U37" s="188"/>
      <c r="V37" s="188"/>
      <c r="W37" s="185"/>
      <c r="X37" s="182"/>
      <c r="Y37" s="573"/>
      <c r="Z37" s="188"/>
      <c r="AA37" s="188"/>
      <c r="AB37" s="185"/>
      <c r="AC37" s="182"/>
      <c r="AD37" s="573"/>
      <c r="AE37" s="188"/>
      <c r="AF37" s="188"/>
      <c r="AG37" s="185"/>
      <c r="AH37" s="182"/>
      <c r="AI37" s="573"/>
      <c r="AJ37" s="188"/>
      <c r="AK37" s="188"/>
      <c r="AL37" s="185"/>
      <c r="AM37" s="182"/>
      <c r="AN37" s="573"/>
      <c r="AO37" s="188"/>
      <c r="AP37" s="188"/>
      <c r="AQ37" s="185"/>
      <c r="AR37" s="182"/>
      <c r="AS37" s="573"/>
      <c r="AT37" s="188"/>
      <c r="AU37" s="188"/>
      <c r="AV37" s="185"/>
      <c r="AW37" s="182"/>
      <c r="AX37" s="573"/>
    </row>
    <row r="38" spans="2:50" ht="14.25" customHeight="1">
      <c r="B38" s="572"/>
      <c r="C38" s="180">
        <v>12</v>
      </c>
      <c r="D38" s="183"/>
      <c r="E38" s="180"/>
      <c r="F38" s="180"/>
      <c r="G38" s="185"/>
      <c r="H38" s="573"/>
      <c r="I38" s="186"/>
      <c r="J38" s="186"/>
      <c r="K38" s="187"/>
      <c r="L38" s="574"/>
      <c r="M38" s="186"/>
      <c r="N38" s="572"/>
      <c r="O38" s="572"/>
      <c r="P38" s="188"/>
      <c r="Q38" s="188"/>
      <c r="R38" s="185"/>
      <c r="S38" s="182"/>
      <c r="T38" s="573"/>
      <c r="U38" s="188"/>
      <c r="V38" s="188"/>
      <c r="W38" s="185"/>
      <c r="X38" s="182"/>
      <c r="Y38" s="573"/>
      <c r="Z38" s="188"/>
      <c r="AA38" s="188"/>
      <c r="AB38" s="185"/>
      <c r="AC38" s="182"/>
      <c r="AD38" s="573"/>
      <c r="AE38" s="188"/>
      <c r="AF38" s="188"/>
      <c r="AG38" s="185"/>
      <c r="AH38" s="182"/>
      <c r="AI38" s="573"/>
      <c r="AJ38" s="188"/>
      <c r="AK38" s="188"/>
      <c r="AL38" s="185"/>
      <c r="AM38" s="182"/>
      <c r="AN38" s="573"/>
      <c r="AO38" s="188"/>
      <c r="AP38" s="188"/>
      <c r="AQ38" s="185"/>
      <c r="AR38" s="182"/>
      <c r="AS38" s="573"/>
      <c r="AT38" s="188"/>
      <c r="AU38" s="188"/>
      <c r="AV38" s="185"/>
      <c r="AW38" s="182"/>
      <c r="AX38" s="573"/>
    </row>
    <row r="39" spans="2:50" ht="14.25" customHeight="1">
      <c r="B39" s="572"/>
      <c r="C39" s="180">
        <v>13</v>
      </c>
      <c r="D39" s="183"/>
      <c r="E39" s="180"/>
      <c r="F39" s="180"/>
      <c r="G39" s="185"/>
      <c r="H39" s="573"/>
      <c r="I39" s="186"/>
      <c r="J39" s="186"/>
      <c r="K39" s="187"/>
      <c r="L39" s="574"/>
      <c r="M39" s="186"/>
      <c r="N39" s="572"/>
      <c r="O39" s="572"/>
      <c r="P39" s="188"/>
      <c r="Q39" s="188"/>
      <c r="R39" s="185"/>
      <c r="S39" s="182"/>
      <c r="T39" s="573"/>
      <c r="U39" s="188"/>
      <c r="V39" s="188"/>
      <c r="W39" s="185"/>
      <c r="X39" s="182"/>
      <c r="Y39" s="573"/>
      <c r="Z39" s="188"/>
      <c r="AA39" s="188"/>
      <c r="AB39" s="185"/>
      <c r="AC39" s="182"/>
      <c r="AD39" s="573"/>
      <c r="AE39" s="188"/>
      <c r="AF39" s="188"/>
      <c r="AG39" s="185"/>
      <c r="AH39" s="182"/>
      <c r="AI39" s="573"/>
      <c r="AJ39" s="188"/>
      <c r="AK39" s="188"/>
      <c r="AL39" s="185"/>
      <c r="AM39" s="182"/>
      <c r="AN39" s="573"/>
      <c r="AO39" s="188"/>
      <c r="AP39" s="188"/>
      <c r="AQ39" s="185"/>
      <c r="AR39" s="182"/>
      <c r="AS39" s="573"/>
      <c r="AT39" s="188"/>
      <c r="AU39" s="188"/>
      <c r="AV39" s="185"/>
      <c r="AW39" s="182"/>
      <c r="AX39" s="573"/>
    </row>
    <row r="40" spans="2:50" ht="14.25" customHeight="1">
      <c r="B40" s="572"/>
      <c r="C40" s="180">
        <v>14</v>
      </c>
      <c r="D40" s="183"/>
      <c r="E40" s="180"/>
      <c r="F40" s="180"/>
      <c r="G40" s="185"/>
      <c r="H40" s="573"/>
      <c r="I40" s="186"/>
      <c r="J40" s="186"/>
      <c r="K40" s="187"/>
      <c r="L40" s="574"/>
      <c r="M40" s="186"/>
      <c r="N40" s="572"/>
      <c r="O40" s="572"/>
      <c r="P40" s="188"/>
      <c r="Q40" s="188"/>
      <c r="R40" s="185"/>
      <c r="S40" s="182"/>
      <c r="T40" s="573"/>
      <c r="U40" s="188"/>
      <c r="V40" s="188"/>
      <c r="W40" s="185"/>
      <c r="X40" s="182"/>
      <c r="Y40" s="573"/>
      <c r="Z40" s="188"/>
      <c r="AA40" s="188"/>
      <c r="AB40" s="185"/>
      <c r="AC40" s="182"/>
      <c r="AD40" s="573"/>
      <c r="AE40" s="188"/>
      <c r="AF40" s="188"/>
      <c r="AG40" s="185"/>
      <c r="AH40" s="182"/>
      <c r="AI40" s="573"/>
      <c r="AJ40" s="188"/>
      <c r="AK40" s="188"/>
      <c r="AL40" s="185"/>
      <c r="AM40" s="182"/>
      <c r="AN40" s="573"/>
      <c r="AO40" s="188"/>
      <c r="AP40" s="188"/>
      <c r="AQ40" s="185"/>
      <c r="AR40" s="182"/>
      <c r="AS40" s="573"/>
      <c r="AT40" s="188"/>
      <c r="AU40" s="188"/>
      <c r="AV40" s="185"/>
      <c r="AW40" s="182"/>
      <c r="AX40" s="573"/>
    </row>
    <row r="41" spans="2:50" ht="14.25" customHeight="1">
      <c r="B41" s="572"/>
      <c r="C41" s="180">
        <v>15</v>
      </c>
      <c r="D41" s="183"/>
      <c r="E41" s="180"/>
      <c r="F41" s="180"/>
      <c r="G41" s="185"/>
      <c r="H41" s="573"/>
      <c r="I41" s="186"/>
      <c r="J41" s="186"/>
      <c r="K41" s="187"/>
      <c r="L41" s="574"/>
      <c r="M41" s="186"/>
      <c r="N41" s="572"/>
      <c r="O41" s="572"/>
      <c r="P41" s="188"/>
      <c r="Q41" s="188"/>
      <c r="R41" s="185"/>
      <c r="S41" s="182"/>
      <c r="T41" s="573"/>
      <c r="U41" s="188"/>
      <c r="V41" s="188"/>
      <c r="W41" s="185"/>
      <c r="X41" s="182"/>
      <c r="Y41" s="573"/>
      <c r="Z41" s="188"/>
      <c r="AA41" s="188"/>
      <c r="AB41" s="185"/>
      <c r="AC41" s="182"/>
      <c r="AD41" s="573"/>
      <c r="AE41" s="188"/>
      <c r="AF41" s="188"/>
      <c r="AG41" s="185"/>
      <c r="AH41" s="182"/>
      <c r="AI41" s="573"/>
      <c r="AJ41" s="188"/>
      <c r="AK41" s="188"/>
      <c r="AL41" s="185"/>
      <c r="AM41" s="182"/>
      <c r="AN41" s="573"/>
      <c r="AO41" s="188"/>
      <c r="AP41" s="188"/>
      <c r="AQ41" s="185"/>
      <c r="AR41" s="182"/>
      <c r="AS41" s="573"/>
      <c r="AT41" s="188"/>
      <c r="AU41" s="188"/>
      <c r="AV41" s="185"/>
      <c r="AW41" s="182"/>
      <c r="AX41" s="573"/>
    </row>
  </sheetData>
  <mergeCells count="118"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P24:S24"/>
    <mergeCell ref="T24:T26"/>
    <mergeCell ref="U24:X24"/>
    <mergeCell ref="Y24:Y26"/>
    <mergeCell ref="Z24:AC24"/>
    <mergeCell ref="AD24:AD26"/>
    <mergeCell ref="AE24:AH24"/>
    <mergeCell ref="AI24:AI26"/>
    <mergeCell ref="AJ24:AM24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X27:AX4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S27:AS4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FFFFCC"/>
  </sheetPr>
  <dimension ref="A1:AX41"/>
  <sheetViews>
    <sheetView zoomScaleNormal="100" workbookViewId="0">
      <pane xSplit="13" ySplit="1" topLeftCell="N14" activePane="bottomRight" state="frozen"/>
      <selection activeCell="L95" sqref="L95"/>
      <selection pane="topRight" activeCell="L95" sqref="L95"/>
      <selection pane="bottomLeft" activeCell="L95" sqref="L95"/>
      <selection pane="bottomRight" activeCell="B22" sqref="B22:M2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55" t="s">
        <v>683</v>
      </c>
      <c r="C1" s="175">
        <f>AVERAGE(L27)</f>
        <v>156.7690587103622</v>
      </c>
    </row>
    <row r="2" spans="1:50" ht="14.25" customHeight="1">
      <c r="B2" s="586" t="s">
        <v>638</v>
      </c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8"/>
      <c r="N2" s="606" t="s">
        <v>364</v>
      </c>
      <c r="O2" s="606" t="s">
        <v>105</v>
      </c>
      <c r="P2" s="608">
        <v>46168</v>
      </c>
      <c r="Q2" s="609"/>
      <c r="R2" s="609"/>
      <c r="S2" s="609"/>
      <c r="T2" s="609"/>
      <c r="U2" s="610">
        <v>46169</v>
      </c>
      <c r="V2" s="611"/>
      <c r="W2" s="611"/>
      <c r="X2" s="611"/>
      <c r="Y2" s="611"/>
      <c r="Z2" s="608">
        <v>46170</v>
      </c>
      <c r="AA2" s="609"/>
      <c r="AB2" s="609"/>
      <c r="AC2" s="609"/>
      <c r="AD2" s="609"/>
      <c r="AE2" s="610">
        <v>46171</v>
      </c>
      <c r="AF2" s="611"/>
      <c r="AG2" s="611"/>
      <c r="AH2" s="611"/>
      <c r="AI2" s="611"/>
      <c r="AJ2" s="598">
        <v>46172</v>
      </c>
      <c r="AK2" s="599"/>
      <c r="AL2" s="599"/>
      <c r="AM2" s="599"/>
      <c r="AN2" s="600"/>
      <c r="AO2" s="610">
        <v>46173</v>
      </c>
      <c r="AP2" s="611"/>
      <c r="AQ2" s="611"/>
      <c r="AR2" s="611"/>
      <c r="AS2" s="611"/>
      <c r="AT2" s="598">
        <v>46174</v>
      </c>
      <c r="AU2" s="599"/>
      <c r="AV2" s="599"/>
      <c r="AW2" s="599"/>
      <c r="AX2" s="600"/>
    </row>
    <row r="3" spans="1:50" ht="14.25" customHeight="1"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90"/>
      <c r="N3" s="607"/>
      <c r="O3" s="607"/>
      <c r="P3" s="601">
        <v>46168</v>
      </c>
      <c r="Q3" s="601"/>
      <c r="R3" s="601"/>
      <c r="S3" s="601"/>
      <c r="T3" s="601"/>
      <c r="U3" s="602">
        <v>46169</v>
      </c>
      <c r="V3" s="602"/>
      <c r="W3" s="602"/>
      <c r="X3" s="602"/>
      <c r="Y3" s="602"/>
      <c r="Z3" s="601">
        <v>46170</v>
      </c>
      <c r="AA3" s="601"/>
      <c r="AB3" s="601"/>
      <c r="AC3" s="601"/>
      <c r="AD3" s="601"/>
      <c r="AE3" s="602">
        <v>46171</v>
      </c>
      <c r="AF3" s="602"/>
      <c r="AG3" s="602"/>
      <c r="AH3" s="602"/>
      <c r="AI3" s="602"/>
      <c r="AJ3" s="603">
        <v>46172</v>
      </c>
      <c r="AK3" s="604"/>
      <c r="AL3" s="604"/>
      <c r="AM3" s="604"/>
      <c r="AN3" s="605"/>
      <c r="AO3" s="602">
        <v>46173</v>
      </c>
      <c r="AP3" s="602"/>
      <c r="AQ3" s="602"/>
      <c r="AR3" s="602"/>
      <c r="AS3" s="602"/>
      <c r="AT3" s="603">
        <v>46174</v>
      </c>
      <c r="AU3" s="604"/>
      <c r="AV3" s="604"/>
      <c r="AW3" s="604"/>
      <c r="AX3" s="605"/>
    </row>
    <row r="4" spans="1:50" ht="14.25" customHeight="1">
      <c r="B4" s="572" t="s">
        <v>162</v>
      </c>
      <c r="C4" s="572" t="s">
        <v>157</v>
      </c>
      <c r="D4" s="572"/>
      <c r="E4" s="572" t="s">
        <v>158</v>
      </c>
      <c r="F4" s="572"/>
      <c r="G4" s="572"/>
      <c r="H4" s="572" t="s">
        <v>163</v>
      </c>
      <c r="I4" s="576" t="s">
        <v>365</v>
      </c>
      <c r="J4" s="576"/>
      <c r="K4" s="576"/>
      <c r="L4" s="576" t="s">
        <v>163</v>
      </c>
      <c r="M4" s="576" t="s">
        <v>165</v>
      </c>
      <c r="N4" s="572"/>
      <c r="O4" s="572" t="s">
        <v>164</v>
      </c>
      <c r="P4" s="572" t="s">
        <v>160</v>
      </c>
      <c r="Q4" s="572"/>
      <c r="R4" s="572"/>
      <c r="S4" s="572"/>
      <c r="T4" s="572" t="s">
        <v>163</v>
      </c>
      <c r="U4" s="572" t="s">
        <v>160</v>
      </c>
      <c r="V4" s="572"/>
      <c r="W4" s="572"/>
      <c r="X4" s="572"/>
      <c r="Y4" s="572" t="s">
        <v>163</v>
      </c>
      <c r="Z4" s="572" t="s">
        <v>160</v>
      </c>
      <c r="AA4" s="572"/>
      <c r="AB4" s="572"/>
      <c r="AC4" s="572"/>
      <c r="AD4" s="572" t="s">
        <v>163</v>
      </c>
      <c r="AE4" s="572" t="s">
        <v>160</v>
      </c>
      <c r="AF4" s="572"/>
      <c r="AG4" s="572"/>
      <c r="AH4" s="572"/>
      <c r="AI4" s="572" t="s">
        <v>163</v>
      </c>
      <c r="AJ4" s="572" t="s">
        <v>160</v>
      </c>
      <c r="AK4" s="572"/>
      <c r="AL4" s="572"/>
      <c r="AM4" s="572"/>
      <c r="AN4" s="572" t="s">
        <v>163</v>
      </c>
      <c r="AO4" s="572" t="s">
        <v>160</v>
      </c>
      <c r="AP4" s="572"/>
      <c r="AQ4" s="572"/>
      <c r="AR4" s="572"/>
      <c r="AS4" s="572" t="s">
        <v>163</v>
      </c>
      <c r="AT4" s="572" t="s">
        <v>160</v>
      </c>
      <c r="AU4" s="572"/>
      <c r="AV4" s="572"/>
      <c r="AW4" s="572"/>
      <c r="AX4" s="572" t="s">
        <v>163</v>
      </c>
    </row>
    <row r="5" spans="1:50" ht="14.25" customHeight="1">
      <c r="B5" s="572"/>
      <c r="C5" s="572"/>
      <c r="D5" s="572"/>
      <c r="E5" s="572" t="s">
        <v>366</v>
      </c>
      <c r="F5" s="572"/>
      <c r="G5" s="572"/>
      <c r="H5" s="572"/>
      <c r="I5" s="576" t="s">
        <v>366</v>
      </c>
      <c r="J5" s="576"/>
      <c r="K5" s="576"/>
      <c r="L5" s="576"/>
      <c r="M5" s="576"/>
      <c r="N5" s="572"/>
      <c r="O5" s="572"/>
      <c r="P5" s="572" t="s">
        <v>367</v>
      </c>
      <c r="Q5" s="572"/>
      <c r="R5" s="572"/>
      <c r="S5" s="572"/>
      <c r="T5" s="572"/>
      <c r="U5" s="572" t="s">
        <v>367</v>
      </c>
      <c r="V5" s="572"/>
      <c r="W5" s="572"/>
      <c r="X5" s="572"/>
      <c r="Y5" s="572"/>
      <c r="Z5" s="572" t="s">
        <v>367</v>
      </c>
      <c r="AA5" s="572"/>
      <c r="AB5" s="572"/>
      <c r="AC5" s="572"/>
      <c r="AD5" s="572"/>
      <c r="AE5" s="572" t="s">
        <v>367</v>
      </c>
      <c r="AF5" s="572"/>
      <c r="AG5" s="572"/>
      <c r="AH5" s="572"/>
      <c r="AI5" s="572"/>
      <c r="AJ5" s="572" t="s">
        <v>367</v>
      </c>
      <c r="AK5" s="572"/>
      <c r="AL5" s="572"/>
      <c r="AM5" s="572"/>
      <c r="AN5" s="572"/>
      <c r="AO5" s="572" t="s">
        <v>367</v>
      </c>
      <c r="AP5" s="572"/>
      <c r="AQ5" s="572"/>
      <c r="AR5" s="572"/>
      <c r="AS5" s="572"/>
      <c r="AT5" s="572" t="s">
        <v>367</v>
      </c>
      <c r="AU5" s="572"/>
      <c r="AV5" s="572"/>
      <c r="AW5" s="572"/>
      <c r="AX5" s="572"/>
    </row>
    <row r="6" spans="1:50" ht="14.25" customHeight="1">
      <c r="B6" s="572"/>
      <c r="C6" s="572"/>
      <c r="D6" s="572"/>
      <c r="E6" s="180" t="s">
        <v>159</v>
      </c>
      <c r="F6" s="180" t="s">
        <v>368</v>
      </c>
      <c r="G6" s="180" t="s">
        <v>161</v>
      </c>
      <c r="H6" s="572"/>
      <c r="I6" s="181" t="s">
        <v>159</v>
      </c>
      <c r="J6" s="181" t="s">
        <v>368</v>
      </c>
      <c r="K6" s="181" t="s">
        <v>161</v>
      </c>
      <c r="L6" s="576"/>
      <c r="M6" s="576"/>
      <c r="N6" s="572"/>
      <c r="O6" s="572"/>
      <c r="P6" s="180" t="s">
        <v>159</v>
      </c>
      <c r="Q6" s="180" t="s">
        <v>368</v>
      </c>
      <c r="R6" s="180" t="s">
        <v>161</v>
      </c>
      <c r="S6" s="182" t="s">
        <v>165</v>
      </c>
      <c r="T6" s="572"/>
      <c r="U6" s="180" t="s">
        <v>159</v>
      </c>
      <c r="V6" s="180" t="s">
        <v>368</v>
      </c>
      <c r="W6" s="180" t="s">
        <v>161</v>
      </c>
      <c r="X6" s="182" t="s">
        <v>165</v>
      </c>
      <c r="Y6" s="572"/>
      <c r="Z6" s="180" t="s">
        <v>159</v>
      </c>
      <c r="AA6" s="180" t="s">
        <v>368</v>
      </c>
      <c r="AB6" s="180" t="s">
        <v>161</v>
      </c>
      <c r="AC6" s="182" t="s">
        <v>165</v>
      </c>
      <c r="AD6" s="572"/>
      <c r="AE6" s="180" t="s">
        <v>159</v>
      </c>
      <c r="AF6" s="180" t="s">
        <v>368</v>
      </c>
      <c r="AG6" s="180" t="s">
        <v>161</v>
      </c>
      <c r="AH6" s="182" t="s">
        <v>165</v>
      </c>
      <c r="AI6" s="572"/>
      <c r="AJ6" s="180" t="s">
        <v>159</v>
      </c>
      <c r="AK6" s="180" t="s">
        <v>368</v>
      </c>
      <c r="AL6" s="180" t="s">
        <v>161</v>
      </c>
      <c r="AM6" s="182" t="s">
        <v>165</v>
      </c>
      <c r="AN6" s="572"/>
      <c r="AO6" s="180" t="s">
        <v>159</v>
      </c>
      <c r="AP6" s="180" t="s">
        <v>368</v>
      </c>
      <c r="AQ6" s="180" t="s">
        <v>161</v>
      </c>
      <c r="AR6" s="182" t="s">
        <v>165</v>
      </c>
      <c r="AS6" s="572"/>
      <c r="AT6" s="180" t="s">
        <v>159</v>
      </c>
      <c r="AU6" s="180" t="s">
        <v>368</v>
      </c>
      <c r="AV6" s="180" t="s">
        <v>161</v>
      </c>
      <c r="AW6" s="182" t="s">
        <v>165</v>
      </c>
      <c r="AX6" s="572"/>
    </row>
    <row r="7" spans="1:50" ht="14.25" customHeight="1">
      <c r="B7" s="572" t="s">
        <v>372</v>
      </c>
      <c r="C7" s="180">
        <v>1</v>
      </c>
      <c r="D7" s="183" t="s">
        <v>535</v>
      </c>
      <c r="E7" s="180">
        <v>20</v>
      </c>
      <c r="F7" s="180">
        <v>3600</v>
      </c>
      <c r="G7" s="185">
        <f t="shared" ref="G7:G13" si="0">F7/E7</f>
        <v>180</v>
      </c>
      <c r="H7" s="573">
        <f>AVERAGE(G7:G21)</f>
        <v>179.90332975295382</v>
      </c>
      <c r="I7" s="186">
        <f>AVERAGE(P7,U7,Z7,AE7,AJ7,AO7,AT7)</f>
        <v>20</v>
      </c>
      <c r="J7" s="186">
        <f>AVERAGE(Q7,V7,AA7,AF7,AK7,AP7,AU7)</f>
        <v>3255.1257156349843</v>
      </c>
      <c r="K7" s="187">
        <f>AVERAGE(R7,W7,AB7,AG7,AL7,AQ7,AV7)</f>
        <v>162.7562857817492</v>
      </c>
      <c r="L7" s="574">
        <f>IFERROR(AVERAGE(K7:K21),"-")</f>
        <v>159.97979588555501</v>
      </c>
      <c r="M7" s="186">
        <f>RANK(K7, K$7:$K$21)</f>
        <v>5</v>
      </c>
      <c r="N7" s="572"/>
      <c r="O7" s="572"/>
      <c r="P7" s="188">
        <v>20</v>
      </c>
      <c r="Q7" s="188">
        <v>3254.2514299206982</v>
      </c>
      <c r="R7" s="185">
        <f>IFERROR(Q7/P7,"")</f>
        <v>162.71257149603491</v>
      </c>
      <c r="S7" s="182">
        <f>RANK(R7, R$7:R$21)</f>
        <v>4</v>
      </c>
      <c r="T7" s="573">
        <f>AVERAGE(R7:R21)</f>
        <v>158.76159390009778</v>
      </c>
      <c r="U7" s="188">
        <v>20</v>
      </c>
      <c r="V7" s="188">
        <v>3254.2514299206982</v>
      </c>
      <c r="W7" s="185">
        <f t="shared" ref="W7:W13" si="1">IFERROR(V7/U7,"")</f>
        <v>162.71257149603491</v>
      </c>
      <c r="X7" s="182">
        <f>RANK(W7, W$7:W$21)</f>
        <v>4</v>
      </c>
      <c r="Y7" s="573">
        <f>AVERAGE(W7:W21)</f>
        <v>159.29535222448018</v>
      </c>
      <c r="Z7" s="188">
        <v>20</v>
      </c>
      <c r="AA7" s="188">
        <v>3253.5314299206984</v>
      </c>
      <c r="AB7" s="185">
        <f t="shared" ref="AB7:AB13" si="2">IFERROR(AA7/Z7,"")</f>
        <v>162.67657149603491</v>
      </c>
      <c r="AC7" s="182">
        <f>RANK(AB7, AB$7:AB$21)</f>
        <v>5</v>
      </c>
      <c r="AD7" s="573">
        <f>AVERAGE(AB7:AB21)</f>
        <v>159.83648632759511</v>
      </c>
      <c r="AE7" s="188">
        <v>20</v>
      </c>
      <c r="AF7" s="188">
        <v>3253.8914299206986</v>
      </c>
      <c r="AG7" s="185">
        <f>IFERROR(AF7/AE7,"")</f>
        <v>162.69457149603494</v>
      </c>
      <c r="AH7" s="182">
        <f>RANK(AG7, AG$7:AG$21)</f>
        <v>5</v>
      </c>
      <c r="AI7" s="573">
        <f>AVERAGE(AG7:AG21)</f>
        <v>160.45400239229724</v>
      </c>
      <c r="AJ7" s="188">
        <v>20</v>
      </c>
      <c r="AK7" s="188">
        <v>3255.6914299206983</v>
      </c>
      <c r="AL7" s="185">
        <f t="shared" ref="AL7:AL13" si="3">IFERROR(AK7/AJ7,"")</f>
        <v>162.78457149603491</v>
      </c>
      <c r="AM7" s="182">
        <f>RANK(AL7, AL$7:AL$21)</f>
        <v>5</v>
      </c>
      <c r="AN7" s="573">
        <f>AVERAGE(AL7:AL21)</f>
        <v>160.46136681892042</v>
      </c>
      <c r="AO7" s="188">
        <v>20</v>
      </c>
      <c r="AP7" s="188">
        <v>3256.7714299206987</v>
      </c>
      <c r="AQ7" s="185">
        <f t="shared" ref="AQ7:AQ13" si="4">IFERROR(AP7/AO7,"")</f>
        <v>162.83857149603494</v>
      </c>
      <c r="AR7" s="182">
        <f>RANK(AQ7, AQ$7:AQ$21)</f>
        <v>5</v>
      </c>
      <c r="AS7" s="573">
        <f>AVERAGE(AQ7:AQ21)</f>
        <v>160.51555447773643</v>
      </c>
      <c r="AT7" s="188">
        <v>20</v>
      </c>
      <c r="AU7" s="188">
        <v>3257.4914299206985</v>
      </c>
      <c r="AV7" s="185">
        <f t="shared" ref="AV7:AV13" si="5">IFERROR(AU7/AT7,"")</f>
        <v>162.87457149603492</v>
      </c>
      <c r="AW7" s="182">
        <f>RANK(AV7, AV$7:AV$21)</f>
        <v>5</v>
      </c>
      <c r="AX7" s="573">
        <f>AVERAGE(AV7:AV21)</f>
        <v>160.5342150577579</v>
      </c>
    </row>
    <row r="8" spans="1:50" ht="14.25" customHeight="1">
      <c r="B8" s="572"/>
      <c r="C8" s="180">
        <v>2</v>
      </c>
      <c r="D8" s="183" t="s">
        <v>536</v>
      </c>
      <c r="E8" s="180">
        <v>21</v>
      </c>
      <c r="F8" s="180">
        <v>3600</v>
      </c>
      <c r="G8" s="185">
        <f t="shared" si="0"/>
        <v>171.42857142857142</v>
      </c>
      <c r="H8" s="573"/>
      <c r="I8" s="186">
        <f t="shared" ref="I8:K13" si="6">AVERAGE(P8,U8,Z8,AE8,AJ8,AO8,AT8)</f>
        <v>21</v>
      </c>
      <c r="J8" s="186">
        <f t="shared" si="6"/>
        <v>3256.0238076767955</v>
      </c>
      <c r="K8" s="187">
        <f t="shared" si="6"/>
        <v>155.04875274651405</v>
      </c>
      <c r="L8" s="574"/>
      <c r="M8" s="186">
        <f>RANK(K8, K$7:$K$21)</f>
        <v>6</v>
      </c>
      <c r="N8" s="572"/>
      <c r="O8" s="572"/>
      <c r="P8" s="188">
        <v>21</v>
      </c>
      <c r="Q8" s="188">
        <v>3254.8923791053658</v>
      </c>
      <c r="R8" s="185">
        <f t="shared" ref="R8:R13" si="7">IFERROR(Q8/P8,"")</f>
        <v>154.99487519549362</v>
      </c>
      <c r="S8" s="182">
        <f t="shared" ref="S8:S13" si="8">RANK(R8, R$7:R$21)</f>
        <v>6</v>
      </c>
      <c r="T8" s="573"/>
      <c r="U8" s="188">
        <v>21</v>
      </c>
      <c r="V8" s="188">
        <v>3256.3323791053663</v>
      </c>
      <c r="W8" s="185">
        <f t="shared" si="1"/>
        <v>155.06344662406505</v>
      </c>
      <c r="X8" s="182">
        <f t="shared" ref="X8:X13" si="9">RANK(W8, W$7:W$21)</f>
        <v>6</v>
      </c>
      <c r="Y8" s="573"/>
      <c r="Z8" s="188">
        <v>21</v>
      </c>
      <c r="AA8" s="188">
        <v>3255.9723791053661</v>
      </c>
      <c r="AB8" s="185">
        <f t="shared" si="2"/>
        <v>155.04630376692219</v>
      </c>
      <c r="AC8" s="182">
        <f t="shared" ref="AC8:AC13" si="10">RANK(AB8, AB$7:AB$21)</f>
        <v>6</v>
      </c>
      <c r="AD8" s="573"/>
      <c r="AE8" s="188">
        <v>21</v>
      </c>
      <c r="AF8" s="188">
        <v>3256.3323791053663</v>
      </c>
      <c r="AG8" s="185">
        <f t="shared" ref="AG8:AG13" si="11">IFERROR(AF8/AE8,"")</f>
        <v>155.06344662406505</v>
      </c>
      <c r="AH8" s="182">
        <f t="shared" ref="AH8:AH13" si="12">RANK(AG8, AG$7:AG$21)</f>
        <v>6</v>
      </c>
      <c r="AI8" s="573"/>
      <c r="AJ8" s="188">
        <v>21</v>
      </c>
      <c r="AK8" s="188">
        <v>3255.9723791053666</v>
      </c>
      <c r="AL8" s="185">
        <f t="shared" si="3"/>
        <v>155.04630376692222</v>
      </c>
      <c r="AM8" s="182">
        <f t="shared" ref="AM8:AM13" si="13">RANK(AL8, AL$7:AL$21)</f>
        <v>6</v>
      </c>
      <c r="AN8" s="573"/>
      <c r="AO8" s="188">
        <v>21</v>
      </c>
      <c r="AP8" s="188">
        <v>3255.6123791053669</v>
      </c>
      <c r="AQ8" s="185">
        <f t="shared" si="4"/>
        <v>155.02916090977936</v>
      </c>
      <c r="AR8" s="182">
        <f t="shared" ref="AR8:AR13" si="14">RANK(AQ8, AQ$7:AQ$21)</f>
        <v>6</v>
      </c>
      <c r="AS8" s="573"/>
      <c r="AT8" s="188">
        <v>21</v>
      </c>
      <c r="AU8" s="188">
        <v>3257.0523791053674</v>
      </c>
      <c r="AV8" s="185">
        <f t="shared" si="5"/>
        <v>155.09773233835082</v>
      </c>
      <c r="AW8" s="182">
        <f t="shared" ref="AW8:AW13" si="15">RANK(AV8, AV$7:AV$21)</f>
        <v>6</v>
      </c>
      <c r="AX8" s="573"/>
    </row>
    <row r="9" spans="1:50" ht="14.25" customHeight="1">
      <c r="B9" s="572"/>
      <c r="C9" s="180">
        <v>3</v>
      </c>
      <c r="D9" s="183" t="s">
        <v>544</v>
      </c>
      <c r="E9" s="180">
        <v>19</v>
      </c>
      <c r="F9" s="180">
        <v>3600</v>
      </c>
      <c r="G9" s="185">
        <f t="shared" si="0"/>
        <v>189.47368421052633</v>
      </c>
      <c r="H9" s="573"/>
      <c r="I9" s="186">
        <f t="shared" si="6"/>
        <v>19</v>
      </c>
      <c r="J9" s="186">
        <f t="shared" si="6"/>
        <v>3182.1113747968475</v>
      </c>
      <c r="K9" s="187">
        <f t="shared" si="6"/>
        <v>167.47954604193933</v>
      </c>
      <c r="L9" s="574"/>
      <c r="M9" s="186">
        <f>RANK(K9, K$7:$K$21)</f>
        <v>2</v>
      </c>
      <c r="N9" s="572"/>
      <c r="O9" s="572"/>
      <c r="P9" s="188">
        <v>19</v>
      </c>
      <c r="Q9" s="188">
        <v>3181.5970890825615</v>
      </c>
      <c r="R9" s="185">
        <f t="shared" si="7"/>
        <v>167.45247837276639</v>
      </c>
      <c r="S9" s="182">
        <f t="shared" si="8"/>
        <v>3</v>
      </c>
      <c r="T9" s="573"/>
      <c r="U9" s="188">
        <v>19</v>
      </c>
      <c r="V9" s="188">
        <v>3181.9570890825617</v>
      </c>
      <c r="W9" s="185">
        <f t="shared" si="1"/>
        <v>167.47142574118746</v>
      </c>
      <c r="X9" s="182">
        <f t="shared" si="9"/>
        <v>3</v>
      </c>
      <c r="Y9" s="573"/>
      <c r="Z9" s="188">
        <v>19</v>
      </c>
      <c r="AA9" s="188">
        <v>3182.3170890825618</v>
      </c>
      <c r="AB9" s="185">
        <f t="shared" si="2"/>
        <v>167.49037310960853</v>
      </c>
      <c r="AC9" s="182">
        <f t="shared" si="10"/>
        <v>1</v>
      </c>
      <c r="AD9" s="573"/>
      <c r="AE9" s="188">
        <v>19</v>
      </c>
      <c r="AF9" s="188">
        <v>3181.9570890825617</v>
      </c>
      <c r="AG9" s="185">
        <f t="shared" si="11"/>
        <v>167.47142574118746</v>
      </c>
      <c r="AH9" s="182">
        <f t="shared" si="12"/>
        <v>2</v>
      </c>
      <c r="AI9" s="573"/>
      <c r="AJ9" s="188">
        <v>19</v>
      </c>
      <c r="AK9" s="188">
        <v>3180.8770890825617</v>
      </c>
      <c r="AL9" s="185">
        <f t="shared" si="3"/>
        <v>167.41458363592429</v>
      </c>
      <c r="AM9" s="182">
        <f t="shared" si="13"/>
        <v>3</v>
      </c>
      <c r="AN9" s="573"/>
      <c r="AO9" s="188">
        <v>19</v>
      </c>
      <c r="AP9" s="188">
        <v>3182.677089082561</v>
      </c>
      <c r="AQ9" s="185">
        <f t="shared" si="4"/>
        <v>167.50932047802954</v>
      </c>
      <c r="AR9" s="182">
        <f t="shared" si="14"/>
        <v>3</v>
      </c>
      <c r="AS9" s="573"/>
      <c r="AT9" s="188">
        <v>19</v>
      </c>
      <c r="AU9" s="188">
        <v>3183.3970890825613</v>
      </c>
      <c r="AV9" s="185">
        <f t="shared" si="5"/>
        <v>167.54721521487164</v>
      </c>
      <c r="AW9" s="182">
        <f t="shared" si="15"/>
        <v>1</v>
      </c>
      <c r="AX9" s="573"/>
    </row>
    <row r="10" spans="1:50" ht="14.25" customHeight="1">
      <c r="B10" s="572"/>
      <c r="C10" s="180">
        <v>4</v>
      </c>
      <c r="D10" s="183" t="s">
        <v>641</v>
      </c>
      <c r="E10" s="180">
        <v>19</v>
      </c>
      <c r="F10" s="180">
        <v>3600</v>
      </c>
      <c r="G10" s="185">
        <f t="shared" si="0"/>
        <v>189.47368421052633</v>
      </c>
      <c r="H10" s="573"/>
      <c r="I10" s="186">
        <f t="shared" si="6"/>
        <v>19</v>
      </c>
      <c r="J10" s="186">
        <f t="shared" si="6"/>
        <v>3115.1240072303513</v>
      </c>
      <c r="K10" s="187">
        <f t="shared" si="6"/>
        <v>163.95389511738693</v>
      </c>
      <c r="L10" s="574"/>
      <c r="M10" s="186">
        <f>RANK(K10, K$7:$K$21)</f>
        <v>4</v>
      </c>
      <c r="N10" s="572"/>
      <c r="O10" s="572"/>
      <c r="P10" s="188">
        <v>19</v>
      </c>
      <c r="Q10" s="188">
        <v>2951.9999999999995</v>
      </c>
      <c r="R10" s="185">
        <f t="shared" si="7"/>
        <v>155.36842105263156</v>
      </c>
      <c r="S10" s="182">
        <f t="shared" si="8"/>
        <v>5</v>
      </c>
      <c r="T10" s="573"/>
      <c r="U10" s="188">
        <v>19</v>
      </c>
      <c r="V10" s="188">
        <v>3025.061999999999</v>
      </c>
      <c r="W10" s="185">
        <f t="shared" si="1"/>
        <v>159.21378947368416</v>
      </c>
      <c r="X10" s="182">
        <f t="shared" si="9"/>
        <v>5</v>
      </c>
      <c r="Y10" s="573"/>
      <c r="Z10" s="188">
        <v>19</v>
      </c>
      <c r="AA10" s="188">
        <v>3101.0575499999982</v>
      </c>
      <c r="AB10" s="185">
        <f t="shared" si="2"/>
        <v>163.21355526315779</v>
      </c>
      <c r="AC10" s="182">
        <f t="shared" si="10"/>
        <v>4</v>
      </c>
      <c r="AD10" s="573"/>
      <c r="AE10" s="188">
        <v>19</v>
      </c>
      <c r="AF10" s="188">
        <v>3181.0371251531164</v>
      </c>
      <c r="AG10" s="185">
        <f t="shared" si="11"/>
        <v>167.42300658700614</v>
      </c>
      <c r="AH10" s="182">
        <f t="shared" si="12"/>
        <v>3</v>
      </c>
      <c r="AI10" s="573"/>
      <c r="AJ10" s="188">
        <v>19</v>
      </c>
      <c r="AK10" s="188">
        <v>3182.477125153116</v>
      </c>
      <c r="AL10" s="185">
        <f t="shared" si="3"/>
        <v>167.49879606069032</v>
      </c>
      <c r="AM10" s="182">
        <f t="shared" si="13"/>
        <v>1</v>
      </c>
      <c r="AN10" s="573"/>
      <c r="AO10" s="188">
        <v>19</v>
      </c>
      <c r="AP10" s="188">
        <v>3182.8371251531157</v>
      </c>
      <c r="AQ10" s="185">
        <f t="shared" si="4"/>
        <v>167.51774342911136</v>
      </c>
      <c r="AR10" s="182">
        <f t="shared" si="14"/>
        <v>2</v>
      </c>
      <c r="AS10" s="573"/>
      <c r="AT10" s="188">
        <v>19</v>
      </c>
      <c r="AU10" s="188">
        <v>3181.3971251531157</v>
      </c>
      <c r="AV10" s="185">
        <f t="shared" si="5"/>
        <v>167.44195395542715</v>
      </c>
      <c r="AW10" s="182">
        <f t="shared" si="15"/>
        <v>4</v>
      </c>
      <c r="AX10" s="573"/>
    </row>
    <row r="11" spans="1:50" ht="14.25" customHeight="1">
      <c r="B11" s="572"/>
      <c r="C11" s="180">
        <v>5</v>
      </c>
      <c r="D11" s="183" t="s">
        <v>549</v>
      </c>
      <c r="E11" s="180">
        <v>19</v>
      </c>
      <c r="F11" s="180">
        <v>3600</v>
      </c>
      <c r="G11" s="185">
        <f t="shared" si="0"/>
        <v>189.47368421052633</v>
      </c>
      <c r="H11" s="573"/>
      <c r="I11" s="186">
        <f t="shared" si="6"/>
        <v>19</v>
      </c>
      <c r="J11" s="186">
        <f t="shared" si="6"/>
        <v>3182.8924420708327</v>
      </c>
      <c r="K11" s="187">
        <f t="shared" si="6"/>
        <v>167.52065484583335</v>
      </c>
      <c r="L11" s="574"/>
      <c r="M11" s="186">
        <f>RANK(K11, K$7:$K$21)</f>
        <v>1</v>
      </c>
      <c r="N11" s="572"/>
      <c r="O11" s="572"/>
      <c r="P11" s="188">
        <v>19</v>
      </c>
      <c r="Q11" s="188">
        <v>3184.4352992136915</v>
      </c>
      <c r="R11" s="185">
        <f t="shared" si="7"/>
        <v>167.60185785335219</v>
      </c>
      <c r="S11" s="182">
        <f t="shared" si="8"/>
        <v>1</v>
      </c>
      <c r="T11" s="573"/>
      <c r="U11" s="188">
        <v>19</v>
      </c>
      <c r="V11" s="188">
        <v>3182.9952992136914</v>
      </c>
      <c r="W11" s="185">
        <f t="shared" si="1"/>
        <v>167.52606837966798</v>
      </c>
      <c r="X11" s="182">
        <f t="shared" si="9"/>
        <v>1</v>
      </c>
      <c r="Y11" s="573"/>
      <c r="Z11" s="188">
        <v>19</v>
      </c>
      <c r="AA11" s="188">
        <v>3182.2752992136911</v>
      </c>
      <c r="AB11" s="185">
        <f t="shared" si="2"/>
        <v>167.48817364282584</v>
      </c>
      <c r="AC11" s="182">
        <f t="shared" si="10"/>
        <v>2</v>
      </c>
      <c r="AD11" s="573"/>
      <c r="AE11" s="188">
        <v>19</v>
      </c>
      <c r="AF11" s="188">
        <v>3182.9952992136905</v>
      </c>
      <c r="AG11" s="185">
        <f t="shared" si="11"/>
        <v>167.52606837966792</v>
      </c>
      <c r="AH11" s="182">
        <f t="shared" si="12"/>
        <v>1</v>
      </c>
      <c r="AI11" s="573"/>
      <c r="AJ11" s="188">
        <v>19</v>
      </c>
      <c r="AK11" s="188">
        <v>3181.9152992136901</v>
      </c>
      <c r="AL11" s="185">
        <f t="shared" si="3"/>
        <v>167.46922627440475</v>
      </c>
      <c r="AM11" s="182">
        <f t="shared" si="13"/>
        <v>2</v>
      </c>
      <c r="AN11" s="573"/>
      <c r="AO11" s="188">
        <v>19</v>
      </c>
      <c r="AP11" s="188">
        <v>3183.3552992136897</v>
      </c>
      <c r="AQ11" s="185">
        <f t="shared" si="4"/>
        <v>167.54501574808893</v>
      </c>
      <c r="AR11" s="182">
        <f t="shared" si="14"/>
        <v>1</v>
      </c>
      <c r="AS11" s="573"/>
      <c r="AT11" s="188">
        <v>19</v>
      </c>
      <c r="AU11" s="188">
        <v>3182.2752992136893</v>
      </c>
      <c r="AV11" s="185">
        <f t="shared" si="5"/>
        <v>167.48817364282576</v>
      </c>
      <c r="AW11" s="182">
        <f t="shared" si="15"/>
        <v>3</v>
      </c>
      <c r="AX11" s="573"/>
    </row>
    <row r="12" spans="1:50" ht="14.25" customHeight="1">
      <c r="B12" s="572"/>
      <c r="C12" s="180">
        <v>6</v>
      </c>
      <c r="D12" s="183" t="s">
        <v>617</v>
      </c>
      <c r="E12" s="180">
        <v>24</v>
      </c>
      <c r="F12" s="180">
        <v>3600</v>
      </c>
      <c r="G12" s="185">
        <f t="shared" si="0"/>
        <v>150</v>
      </c>
      <c r="H12" s="573"/>
      <c r="I12" s="186">
        <f t="shared" si="6"/>
        <v>24</v>
      </c>
      <c r="J12" s="186">
        <f t="shared" si="6"/>
        <v>3255.9725099967227</v>
      </c>
      <c r="K12" s="187">
        <f t="shared" si="6"/>
        <v>135.66552124986345</v>
      </c>
      <c r="L12" s="574"/>
      <c r="M12" s="186">
        <f>RANK(K12, K$7:$K$21)</f>
        <v>7</v>
      </c>
      <c r="N12" s="572"/>
      <c r="O12" s="572"/>
      <c r="P12" s="188">
        <v>24</v>
      </c>
      <c r="Q12" s="188">
        <v>3255.0242505538363</v>
      </c>
      <c r="R12" s="185">
        <f t="shared" si="7"/>
        <v>135.62601043974317</v>
      </c>
      <c r="S12" s="182">
        <f t="shared" si="8"/>
        <v>7</v>
      </c>
      <c r="T12" s="573"/>
      <c r="U12" s="188">
        <v>24</v>
      </c>
      <c r="V12" s="188">
        <v>3253.9442505538359</v>
      </c>
      <c r="W12" s="185">
        <f t="shared" si="1"/>
        <v>135.58101043974315</v>
      </c>
      <c r="X12" s="182">
        <f t="shared" si="9"/>
        <v>7</v>
      </c>
      <c r="Y12" s="573"/>
      <c r="Z12" s="188">
        <v>24</v>
      </c>
      <c r="AA12" s="188">
        <v>3252.8642505538355</v>
      </c>
      <c r="AB12" s="185">
        <f t="shared" si="2"/>
        <v>135.53601043974314</v>
      </c>
      <c r="AC12" s="182">
        <f t="shared" si="10"/>
        <v>7</v>
      </c>
      <c r="AD12" s="573"/>
      <c r="AE12" s="188">
        <v>24</v>
      </c>
      <c r="AF12" s="188">
        <v>3256.1008996063183</v>
      </c>
      <c r="AG12" s="185">
        <f t="shared" si="11"/>
        <v>135.67087081692992</v>
      </c>
      <c r="AH12" s="182">
        <f t="shared" si="12"/>
        <v>7</v>
      </c>
      <c r="AI12" s="573"/>
      <c r="AJ12" s="188">
        <v>24</v>
      </c>
      <c r="AK12" s="188">
        <v>3258.3179729030785</v>
      </c>
      <c r="AL12" s="185">
        <f t="shared" si="3"/>
        <v>135.7632488709616</v>
      </c>
      <c r="AM12" s="182">
        <f t="shared" si="13"/>
        <v>7</v>
      </c>
      <c r="AN12" s="573"/>
      <c r="AO12" s="188">
        <v>24</v>
      </c>
      <c r="AP12" s="188">
        <v>3257.2379729030781</v>
      </c>
      <c r="AQ12" s="185">
        <f t="shared" si="4"/>
        <v>135.71824887096159</v>
      </c>
      <c r="AR12" s="182">
        <f t="shared" si="14"/>
        <v>7</v>
      </c>
      <c r="AS12" s="573"/>
      <c r="AT12" s="188">
        <v>24</v>
      </c>
      <c r="AU12" s="188">
        <v>3258.317972903078</v>
      </c>
      <c r="AV12" s="185">
        <f t="shared" si="5"/>
        <v>135.76324887096158</v>
      </c>
      <c r="AW12" s="182">
        <f t="shared" si="15"/>
        <v>7</v>
      </c>
      <c r="AX12" s="573"/>
    </row>
    <row r="13" spans="1:50" ht="14.25" customHeight="1">
      <c r="B13" s="572"/>
      <c r="C13" s="180">
        <v>7</v>
      </c>
      <c r="D13" s="183" t="s">
        <v>537</v>
      </c>
      <c r="E13" s="180">
        <v>19</v>
      </c>
      <c r="F13" s="180">
        <v>3600</v>
      </c>
      <c r="G13" s="185">
        <f t="shared" si="0"/>
        <v>189.47368421052633</v>
      </c>
      <c r="H13" s="573"/>
      <c r="I13" s="186">
        <f t="shared" si="6"/>
        <v>19</v>
      </c>
      <c r="J13" s="186">
        <f t="shared" si="6"/>
        <v>3181.2443928963771</v>
      </c>
      <c r="K13" s="187">
        <f t="shared" si="6"/>
        <v>167.43391541559882</v>
      </c>
      <c r="L13" s="574"/>
      <c r="M13" s="186">
        <f>RANK(K13, K$7:$K$21)</f>
        <v>3</v>
      </c>
      <c r="N13" s="572"/>
      <c r="O13" s="572"/>
      <c r="P13" s="188">
        <v>19</v>
      </c>
      <c r="Q13" s="188">
        <v>3183.9239149225923</v>
      </c>
      <c r="R13" s="185">
        <f t="shared" si="7"/>
        <v>167.57494289066275</v>
      </c>
      <c r="S13" s="182">
        <f t="shared" si="8"/>
        <v>2</v>
      </c>
      <c r="T13" s="573"/>
      <c r="U13" s="188">
        <v>19</v>
      </c>
      <c r="V13" s="188">
        <v>3182.4839149225922</v>
      </c>
      <c r="W13" s="185">
        <f t="shared" si="1"/>
        <v>167.49915341697854</v>
      </c>
      <c r="X13" s="182">
        <f t="shared" si="9"/>
        <v>2</v>
      </c>
      <c r="Y13" s="573"/>
      <c r="Z13" s="188">
        <v>19</v>
      </c>
      <c r="AA13" s="188">
        <v>3180.6839149225925</v>
      </c>
      <c r="AB13" s="185">
        <f t="shared" si="2"/>
        <v>167.4044165748733</v>
      </c>
      <c r="AC13" s="182">
        <f t="shared" si="10"/>
        <v>3</v>
      </c>
      <c r="AD13" s="573"/>
      <c r="AE13" s="188">
        <v>19</v>
      </c>
      <c r="AF13" s="188">
        <v>3179.2439149225929</v>
      </c>
      <c r="AG13" s="185">
        <f t="shared" si="11"/>
        <v>167.32862710118911</v>
      </c>
      <c r="AH13" s="182">
        <f t="shared" si="12"/>
        <v>4</v>
      </c>
      <c r="AI13" s="573"/>
      <c r="AJ13" s="188">
        <v>19</v>
      </c>
      <c r="AK13" s="188">
        <v>3177.8039149225933</v>
      </c>
      <c r="AL13" s="185">
        <f t="shared" si="3"/>
        <v>167.2528376275049</v>
      </c>
      <c r="AM13" s="182">
        <f t="shared" si="13"/>
        <v>4</v>
      </c>
      <c r="AN13" s="573"/>
      <c r="AO13" s="188">
        <v>19</v>
      </c>
      <c r="AP13" s="188">
        <v>3181.5655878308398</v>
      </c>
      <c r="AQ13" s="185">
        <f t="shared" si="4"/>
        <v>167.45082041214945</v>
      </c>
      <c r="AR13" s="182">
        <f t="shared" si="14"/>
        <v>4</v>
      </c>
      <c r="AS13" s="573"/>
      <c r="AT13" s="188">
        <v>19</v>
      </c>
      <c r="AU13" s="188">
        <v>3183.0055878308385</v>
      </c>
      <c r="AV13" s="185">
        <f t="shared" si="5"/>
        <v>167.52660988583361</v>
      </c>
      <c r="AW13" s="182">
        <f t="shared" si="15"/>
        <v>2</v>
      </c>
      <c r="AX13" s="573"/>
    </row>
    <row r="14" spans="1:50" ht="14.25" customHeight="1">
      <c r="B14" s="572"/>
      <c r="C14" s="180">
        <v>8</v>
      </c>
      <c r="D14" s="183"/>
      <c r="E14" s="180"/>
      <c r="F14" s="180"/>
      <c r="G14" s="185"/>
      <c r="H14" s="573"/>
      <c r="I14" s="186"/>
      <c r="J14" s="186"/>
      <c r="K14" s="187"/>
      <c r="L14" s="574"/>
      <c r="M14" s="186"/>
      <c r="N14" s="572"/>
      <c r="O14" s="572"/>
      <c r="P14" s="188"/>
      <c r="Q14" s="188"/>
      <c r="R14" s="185"/>
      <c r="S14" s="182"/>
      <c r="T14" s="573"/>
      <c r="U14" s="188"/>
      <c r="V14" s="188"/>
      <c r="W14" s="185"/>
      <c r="X14" s="182"/>
      <c r="Y14" s="573"/>
      <c r="Z14" s="188"/>
      <c r="AA14" s="188"/>
      <c r="AB14" s="185"/>
      <c r="AC14" s="182"/>
      <c r="AD14" s="573"/>
      <c r="AE14" s="188"/>
      <c r="AF14" s="188"/>
      <c r="AG14" s="185"/>
      <c r="AH14" s="182"/>
      <c r="AI14" s="573"/>
      <c r="AJ14" s="188"/>
      <c r="AK14" s="188"/>
      <c r="AL14" s="185"/>
      <c r="AM14" s="182"/>
      <c r="AN14" s="573"/>
      <c r="AO14" s="188"/>
      <c r="AP14" s="188"/>
      <c r="AQ14" s="185"/>
      <c r="AR14" s="182"/>
      <c r="AS14" s="573"/>
      <c r="AT14" s="188"/>
      <c r="AU14" s="188"/>
      <c r="AV14" s="185"/>
      <c r="AW14" s="182"/>
      <c r="AX14" s="573"/>
    </row>
    <row r="15" spans="1:50" ht="14.25" customHeight="1">
      <c r="B15" s="572"/>
      <c r="C15" s="180">
        <v>9</v>
      </c>
      <c r="D15" s="183"/>
      <c r="E15" s="180"/>
      <c r="F15" s="180"/>
      <c r="G15" s="185"/>
      <c r="H15" s="573"/>
      <c r="I15" s="186"/>
      <c r="J15" s="186"/>
      <c r="K15" s="187"/>
      <c r="L15" s="574"/>
      <c r="M15" s="186"/>
      <c r="N15" s="572"/>
      <c r="O15" s="572"/>
      <c r="P15" s="188"/>
      <c r="Q15" s="188"/>
      <c r="R15" s="185"/>
      <c r="S15" s="182"/>
      <c r="T15" s="573"/>
      <c r="U15" s="188"/>
      <c r="V15" s="188"/>
      <c r="W15" s="185"/>
      <c r="X15" s="182"/>
      <c r="Y15" s="573"/>
      <c r="Z15" s="188"/>
      <c r="AA15" s="188"/>
      <c r="AB15" s="185"/>
      <c r="AC15" s="182"/>
      <c r="AD15" s="573"/>
      <c r="AE15" s="188"/>
      <c r="AF15" s="188"/>
      <c r="AG15" s="185"/>
      <c r="AH15" s="182"/>
      <c r="AI15" s="573"/>
      <c r="AJ15" s="188"/>
      <c r="AK15" s="188"/>
      <c r="AL15" s="185"/>
      <c r="AM15" s="182"/>
      <c r="AN15" s="573"/>
      <c r="AO15" s="188"/>
      <c r="AP15" s="188"/>
      <c r="AQ15" s="185"/>
      <c r="AR15" s="182"/>
      <c r="AS15" s="573"/>
      <c r="AT15" s="188"/>
      <c r="AU15" s="188"/>
      <c r="AV15" s="185"/>
      <c r="AW15" s="182"/>
      <c r="AX15" s="573"/>
    </row>
    <row r="16" spans="1:50" ht="14.25" customHeight="1">
      <c r="B16" s="572"/>
      <c r="C16" s="180">
        <v>10</v>
      </c>
      <c r="D16" s="183"/>
      <c r="E16" s="180"/>
      <c r="F16" s="180"/>
      <c r="G16" s="185"/>
      <c r="H16" s="573"/>
      <c r="I16" s="186"/>
      <c r="J16" s="186"/>
      <c r="K16" s="187"/>
      <c r="L16" s="574"/>
      <c r="M16" s="186"/>
      <c r="N16" s="572"/>
      <c r="O16" s="572"/>
      <c r="P16" s="188"/>
      <c r="Q16" s="188"/>
      <c r="R16" s="185"/>
      <c r="S16" s="182"/>
      <c r="T16" s="573"/>
      <c r="U16" s="188"/>
      <c r="V16" s="188"/>
      <c r="W16" s="185"/>
      <c r="X16" s="182"/>
      <c r="Y16" s="573"/>
      <c r="Z16" s="188"/>
      <c r="AA16" s="188"/>
      <c r="AB16" s="185"/>
      <c r="AC16" s="182"/>
      <c r="AD16" s="573"/>
      <c r="AE16" s="188"/>
      <c r="AF16" s="188"/>
      <c r="AG16" s="185"/>
      <c r="AH16" s="182"/>
      <c r="AI16" s="573"/>
      <c r="AJ16" s="188"/>
      <c r="AK16" s="188"/>
      <c r="AL16" s="185"/>
      <c r="AM16" s="182"/>
      <c r="AN16" s="573"/>
      <c r="AO16" s="188"/>
      <c r="AP16" s="188"/>
      <c r="AQ16" s="185"/>
      <c r="AR16" s="182"/>
      <c r="AS16" s="573"/>
      <c r="AT16" s="188"/>
      <c r="AU16" s="188"/>
      <c r="AV16" s="185"/>
      <c r="AW16" s="182"/>
      <c r="AX16" s="573"/>
    </row>
    <row r="17" spans="2:50" ht="14.25" customHeight="1">
      <c r="B17" s="572"/>
      <c r="C17" s="180">
        <v>11</v>
      </c>
      <c r="D17" s="183"/>
      <c r="E17" s="180"/>
      <c r="F17" s="180"/>
      <c r="G17" s="185"/>
      <c r="H17" s="573"/>
      <c r="I17" s="186"/>
      <c r="J17" s="186"/>
      <c r="K17" s="187"/>
      <c r="L17" s="574"/>
      <c r="M17" s="186"/>
      <c r="N17" s="572"/>
      <c r="O17" s="572"/>
      <c r="P17" s="188"/>
      <c r="Q17" s="188"/>
      <c r="R17" s="185"/>
      <c r="S17" s="182"/>
      <c r="T17" s="573"/>
      <c r="U17" s="188"/>
      <c r="V17" s="188"/>
      <c r="W17" s="185"/>
      <c r="X17" s="182"/>
      <c r="Y17" s="573"/>
      <c r="Z17" s="188"/>
      <c r="AA17" s="188"/>
      <c r="AB17" s="185"/>
      <c r="AC17" s="182"/>
      <c r="AD17" s="573"/>
      <c r="AE17" s="188"/>
      <c r="AF17" s="188"/>
      <c r="AG17" s="185"/>
      <c r="AH17" s="182"/>
      <c r="AI17" s="573"/>
      <c r="AJ17" s="188"/>
      <c r="AK17" s="188"/>
      <c r="AL17" s="185"/>
      <c r="AM17" s="182"/>
      <c r="AN17" s="573"/>
      <c r="AO17" s="188"/>
      <c r="AP17" s="188"/>
      <c r="AQ17" s="185"/>
      <c r="AR17" s="182"/>
      <c r="AS17" s="573"/>
      <c r="AT17" s="188"/>
      <c r="AU17" s="188"/>
      <c r="AV17" s="185"/>
      <c r="AW17" s="182"/>
      <c r="AX17" s="573"/>
    </row>
    <row r="18" spans="2:50" ht="14.25" customHeight="1">
      <c r="B18" s="572"/>
      <c r="C18" s="180">
        <v>12</v>
      </c>
      <c r="D18" s="183"/>
      <c r="E18" s="180"/>
      <c r="F18" s="180"/>
      <c r="G18" s="185"/>
      <c r="H18" s="573"/>
      <c r="I18" s="186"/>
      <c r="J18" s="186"/>
      <c r="K18" s="187"/>
      <c r="L18" s="574"/>
      <c r="M18" s="186"/>
      <c r="N18" s="572"/>
      <c r="O18" s="572"/>
      <c r="P18" s="188"/>
      <c r="Q18" s="188"/>
      <c r="R18" s="185"/>
      <c r="S18" s="182"/>
      <c r="T18" s="573"/>
      <c r="U18" s="188"/>
      <c r="V18" s="188"/>
      <c r="W18" s="185"/>
      <c r="X18" s="182"/>
      <c r="Y18" s="573"/>
      <c r="Z18" s="188"/>
      <c r="AA18" s="188"/>
      <c r="AB18" s="185"/>
      <c r="AC18" s="182"/>
      <c r="AD18" s="573"/>
      <c r="AE18" s="188"/>
      <c r="AF18" s="188"/>
      <c r="AG18" s="185"/>
      <c r="AH18" s="182"/>
      <c r="AI18" s="573"/>
      <c r="AJ18" s="188"/>
      <c r="AK18" s="188"/>
      <c r="AL18" s="185"/>
      <c r="AM18" s="182"/>
      <c r="AN18" s="573"/>
      <c r="AO18" s="188"/>
      <c r="AP18" s="188"/>
      <c r="AQ18" s="185"/>
      <c r="AR18" s="182"/>
      <c r="AS18" s="573"/>
      <c r="AT18" s="188"/>
      <c r="AU18" s="188"/>
      <c r="AV18" s="185"/>
      <c r="AW18" s="182"/>
      <c r="AX18" s="573"/>
    </row>
    <row r="19" spans="2:50" ht="14.25" customHeight="1">
      <c r="B19" s="572"/>
      <c r="C19" s="180">
        <v>13</v>
      </c>
      <c r="D19" s="183"/>
      <c r="E19" s="180"/>
      <c r="F19" s="180"/>
      <c r="G19" s="185"/>
      <c r="H19" s="573"/>
      <c r="I19" s="186"/>
      <c r="J19" s="186"/>
      <c r="K19" s="187"/>
      <c r="L19" s="574"/>
      <c r="M19" s="186"/>
      <c r="N19" s="572"/>
      <c r="O19" s="572"/>
      <c r="P19" s="188"/>
      <c r="Q19" s="188"/>
      <c r="R19" s="185"/>
      <c r="S19" s="182"/>
      <c r="T19" s="573"/>
      <c r="U19" s="188"/>
      <c r="V19" s="188"/>
      <c r="W19" s="185"/>
      <c r="X19" s="182"/>
      <c r="Y19" s="573"/>
      <c r="Z19" s="188"/>
      <c r="AA19" s="188"/>
      <c r="AB19" s="185"/>
      <c r="AC19" s="182"/>
      <c r="AD19" s="573"/>
      <c r="AE19" s="188"/>
      <c r="AF19" s="188"/>
      <c r="AG19" s="185"/>
      <c r="AH19" s="182"/>
      <c r="AI19" s="573"/>
      <c r="AJ19" s="188"/>
      <c r="AK19" s="188"/>
      <c r="AL19" s="185"/>
      <c r="AM19" s="182"/>
      <c r="AN19" s="573"/>
      <c r="AO19" s="188"/>
      <c r="AP19" s="188"/>
      <c r="AQ19" s="185"/>
      <c r="AR19" s="182"/>
      <c r="AS19" s="573"/>
      <c r="AT19" s="188"/>
      <c r="AU19" s="188"/>
      <c r="AV19" s="185"/>
      <c r="AW19" s="182"/>
      <c r="AX19" s="573"/>
    </row>
    <row r="20" spans="2:50" ht="14.25" customHeight="1">
      <c r="B20" s="572"/>
      <c r="C20" s="180">
        <v>14</v>
      </c>
      <c r="D20" s="183"/>
      <c r="E20" s="180"/>
      <c r="F20" s="180"/>
      <c r="G20" s="185"/>
      <c r="H20" s="573"/>
      <c r="I20" s="186"/>
      <c r="J20" s="186"/>
      <c r="K20" s="187"/>
      <c r="L20" s="574"/>
      <c r="M20" s="186"/>
      <c r="N20" s="572"/>
      <c r="O20" s="572"/>
      <c r="P20" s="188"/>
      <c r="Q20" s="188"/>
      <c r="R20" s="185"/>
      <c r="S20" s="182"/>
      <c r="T20" s="573"/>
      <c r="U20" s="188"/>
      <c r="V20" s="188"/>
      <c r="W20" s="185"/>
      <c r="X20" s="182"/>
      <c r="Y20" s="573"/>
      <c r="Z20" s="188"/>
      <c r="AA20" s="188"/>
      <c r="AB20" s="185"/>
      <c r="AC20" s="182"/>
      <c r="AD20" s="573"/>
      <c r="AE20" s="188"/>
      <c r="AF20" s="188"/>
      <c r="AG20" s="185"/>
      <c r="AH20" s="182"/>
      <c r="AI20" s="573"/>
      <c r="AJ20" s="188"/>
      <c r="AK20" s="188"/>
      <c r="AL20" s="185"/>
      <c r="AM20" s="182"/>
      <c r="AN20" s="573"/>
      <c r="AO20" s="188"/>
      <c r="AP20" s="188"/>
      <c r="AQ20" s="185"/>
      <c r="AR20" s="182"/>
      <c r="AS20" s="573"/>
      <c r="AT20" s="188"/>
      <c r="AU20" s="188"/>
      <c r="AV20" s="185"/>
      <c r="AW20" s="182"/>
      <c r="AX20" s="573"/>
    </row>
    <row r="21" spans="2:50" ht="14.25" customHeight="1">
      <c r="B21" s="572"/>
      <c r="C21" s="180">
        <v>15</v>
      </c>
      <c r="D21" s="183"/>
      <c r="E21" s="180"/>
      <c r="F21" s="180"/>
      <c r="G21" s="185"/>
      <c r="H21" s="573"/>
      <c r="I21" s="186"/>
      <c r="J21" s="186"/>
      <c r="K21" s="187"/>
      <c r="L21" s="574"/>
      <c r="M21" s="186"/>
      <c r="N21" s="572"/>
      <c r="O21" s="572"/>
      <c r="P21" s="188"/>
      <c r="Q21" s="188"/>
      <c r="R21" s="185"/>
      <c r="S21" s="182"/>
      <c r="T21" s="573"/>
      <c r="U21" s="188"/>
      <c r="V21" s="188"/>
      <c r="W21" s="185"/>
      <c r="X21" s="182"/>
      <c r="Y21" s="573"/>
      <c r="Z21" s="188"/>
      <c r="AA21" s="188"/>
      <c r="AB21" s="185"/>
      <c r="AC21" s="182"/>
      <c r="AD21" s="573"/>
      <c r="AE21" s="188"/>
      <c r="AF21" s="188"/>
      <c r="AG21" s="185"/>
      <c r="AH21" s="182"/>
      <c r="AI21" s="573"/>
      <c r="AJ21" s="188"/>
      <c r="AK21" s="188"/>
      <c r="AL21" s="185"/>
      <c r="AM21" s="182"/>
      <c r="AN21" s="573"/>
      <c r="AO21" s="188"/>
      <c r="AP21" s="188"/>
      <c r="AQ21" s="185"/>
      <c r="AR21" s="182"/>
      <c r="AS21" s="573"/>
      <c r="AT21" s="188"/>
      <c r="AU21" s="188"/>
      <c r="AV21" s="185"/>
      <c r="AW21" s="182"/>
      <c r="AX21" s="573"/>
    </row>
    <row r="22" spans="2:50" ht="14.25" customHeight="1">
      <c r="B22" s="597" t="s">
        <v>684</v>
      </c>
      <c r="C22" s="587"/>
      <c r="D22" s="587"/>
      <c r="E22" s="587"/>
      <c r="F22" s="587"/>
      <c r="G22" s="587"/>
      <c r="H22" s="587"/>
      <c r="I22" s="587"/>
      <c r="J22" s="587"/>
      <c r="K22" s="587"/>
      <c r="L22" s="587"/>
      <c r="M22" s="588"/>
      <c r="N22" s="606" t="s">
        <v>364</v>
      </c>
      <c r="O22" s="606" t="s">
        <v>105</v>
      </c>
      <c r="P22" s="608">
        <v>46175</v>
      </c>
      <c r="Q22" s="609"/>
      <c r="R22" s="609"/>
      <c r="S22" s="609"/>
      <c r="T22" s="609"/>
      <c r="U22" s="610">
        <v>46176</v>
      </c>
      <c r="V22" s="611"/>
      <c r="W22" s="611"/>
      <c r="X22" s="611"/>
      <c r="Y22" s="611"/>
      <c r="Z22" s="608">
        <v>46177</v>
      </c>
      <c r="AA22" s="609"/>
      <c r="AB22" s="609"/>
      <c r="AC22" s="609"/>
      <c r="AD22" s="609"/>
      <c r="AE22" s="610">
        <v>46178</v>
      </c>
      <c r="AF22" s="611"/>
      <c r="AG22" s="611"/>
      <c r="AH22" s="611"/>
      <c r="AI22" s="611"/>
      <c r="AJ22" s="598">
        <v>46179</v>
      </c>
      <c r="AK22" s="599"/>
      <c r="AL22" s="599"/>
      <c r="AM22" s="599"/>
      <c r="AN22" s="600"/>
      <c r="AO22" s="610">
        <v>46180</v>
      </c>
      <c r="AP22" s="611"/>
      <c r="AQ22" s="611"/>
      <c r="AR22" s="611"/>
      <c r="AS22" s="611"/>
      <c r="AT22" s="598">
        <v>46181</v>
      </c>
      <c r="AU22" s="599"/>
      <c r="AV22" s="599"/>
      <c r="AW22" s="599"/>
      <c r="AX22" s="600"/>
    </row>
    <row r="23" spans="2:50" ht="14.25" customHeight="1">
      <c r="B23" s="589"/>
      <c r="C23" s="589"/>
      <c r="D23" s="589"/>
      <c r="E23" s="589"/>
      <c r="F23" s="589"/>
      <c r="G23" s="589"/>
      <c r="H23" s="589"/>
      <c r="I23" s="589"/>
      <c r="J23" s="589"/>
      <c r="K23" s="589"/>
      <c r="L23" s="589"/>
      <c r="M23" s="590"/>
      <c r="N23" s="607"/>
      <c r="O23" s="607"/>
      <c r="P23" s="601">
        <v>46175</v>
      </c>
      <c r="Q23" s="601"/>
      <c r="R23" s="601"/>
      <c r="S23" s="601"/>
      <c r="T23" s="601"/>
      <c r="U23" s="602">
        <v>46176</v>
      </c>
      <c r="V23" s="602"/>
      <c r="W23" s="602"/>
      <c r="X23" s="602"/>
      <c r="Y23" s="602"/>
      <c r="Z23" s="601">
        <v>46177</v>
      </c>
      <c r="AA23" s="601"/>
      <c r="AB23" s="601"/>
      <c r="AC23" s="601"/>
      <c r="AD23" s="601"/>
      <c r="AE23" s="602">
        <v>46178</v>
      </c>
      <c r="AF23" s="602"/>
      <c r="AG23" s="602"/>
      <c r="AH23" s="602"/>
      <c r="AI23" s="602"/>
      <c r="AJ23" s="603">
        <v>46179</v>
      </c>
      <c r="AK23" s="604"/>
      <c r="AL23" s="604"/>
      <c r="AM23" s="604"/>
      <c r="AN23" s="605"/>
      <c r="AO23" s="602">
        <v>46180</v>
      </c>
      <c r="AP23" s="602"/>
      <c r="AQ23" s="602"/>
      <c r="AR23" s="602"/>
      <c r="AS23" s="602"/>
      <c r="AT23" s="603">
        <v>46181</v>
      </c>
      <c r="AU23" s="604"/>
      <c r="AV23" s="604"/>
      <c r="AW23" s="604"/>
      <c r="AX23" s="605"/>
    </row>
    <row r="24" spans="2:50" ht="14.25" customHeight="1">
      <c r="B24" s="572" t="s">
        <v>162</v>
      </c>
      <c r="C24" s="572" t="s">
        <v>157</v>
      </c>
      <c r="D24" s="572"/>
      <c r="E24" s="572" t="s">
        <v>158</v>
      </c>
      <c r="F24" s="572"/>
      <c r="G24" s="572"/>
      <c r="H24" s="572" t="s">
        <v>163</v>
      </c>
      <c r="I24" s="576" t="s">
        <v>365</v>
      </c>
      <c r="J24" s="576"/>
      <c r="K24" s="576"/>
      <c r="L24" s="576" t="s">
        <v>163</v>
      </c>
      <c r="M24" s="576" t="s">
        <v>165</v>
      </c>
      <c r="N24" s="572"/>
      <c r="O24" s="572" t="s">
        <v>164</v>
      </c>
      <c r="P24" s="572" t="s">
        <v>160</v>
      </c>
      <c r="Q24" s="572"/>
      <c r="R24" s="572"/>
      <c r="S24" s="572"/>
      <c r="T24" s="572" t="s">
        <v>163</v>
      </c>
      <c r="U24" s="572" t="s">
        <v>160</v>
      </c>
      <c r="V24" s="572"/>
      <c r="W24" s="572"/>
      <c r="X24" s="572"/>
      <c r="Y24" s="572" t="s">
        <v>163</v>
      </c>
      <c r="Z24" s="572" t="s">
        <v>160</v>
      </c>
      <c r="AA24" s="572"/>
      <c r="AB24" s="572"/>
      <c r="AC24" s="572"/>
      <c r="AD24" s="572" t="s">
        <v>163</v>
      </c>
      <c r="AE24" s="572" t="s">
        <v>160</v>
      </c>
      <c r="AF24" s="572"/>
      <c r="AG24" s="572"/>
      <c r="AH24" s="572"/>
      <c r="AI24" s="572" t="s">
        <v>163</v>
      </c>
      <c r="AJ24" s="572" t="s">
        <v>160</v>
      </c>
      <c r="AK24" s="572"/>
      <c r="AL24" s="572"/>
      <c r="AM24" s="572"/>
      <c r="AN24" s="572" t="s">
        <v>163</v>
      </c>
      <c r="AO24" s="572" t="s">
        <v>160</v>
      </c>
      <c r="AP24" s="572"/>
      <c r="AQ24" s="572"/>
      <c r="AR24" s="572"/>
      <c r="AS24" s="572" t="s">
        <v>163</v>
      </c>
      <c r="AT24" s="572" t="s">
        <v>160</v>
      </c>
      <c r="AU24" s="572"/>
      <c r="AV24" s="572"/>
      <c r="AW24" s="572"/>
      <c r="AX24" s="572" t="s">
        <v>163</v>
      </c>
    </row>
    <row r="25" spans="2:50" ht="14.25" customHeight="1">
      <c r="B25" s="572"/>
      <c r="C25" s="572"/>
      <c r="D25" s="572"/>
      <c r="E25" s="572" t="s">
        <v>366</v>
      </c>
      <c r="F25" s="572"/>
      <c r="G25" s="572"/>
      <c r="H25" s="572"/>
      <c r="I25" s="576" t="s">
        <v>366</v>
      </c>
      <c r="J25" s="576"/>
      <c r="K25" s="576"/>
      <c r="L25" s="576"/>
      <c r="M25" s="576"/>
      <c r="N25" s="572"/>
      <c r="O25" s="572"/>
      <c r="P25" s="572" t="s">
        <v>367</v>
      </c>
      <c r="Q25" s="572"/>
      <c r="R25" s="572"/>
      <c r="S25" s="572"/>
      <c r="T25" s="572"/>
      <c r="U25" s="572" t="s">
        <v>367</v>
      </c>
      <c r="V25" s="572"/>
      <c r="W25" s="572"/>
      <c r="X25" s="572"/>
      <c r="Y25" s="572"/>
      <c r="Z25" s="572" t="s">
        <v>367</v>
      </c>
      <c r="AA25" s="572"/>
      <c r="AB25" s="572"/>
      <c r="AC25" s="572"/>
      <c r="AD25" s="572"/>
      <c r="AE25" s="572" t="s">
        <v>367</v>
      </c>
      <c r="AF25" s="572"/>
      <c r="AG25" s="572"/>
      <c r="AH25" s="572"/>
      <c r="AI25" s="572"/>
      <c r="AJ25" s="572" t="s">
        <v>367</v>
      </c>
      <c r="AK25" s="572"/>
      <c r="AL25" s="572"/>
      <c r="AM25" s="572"/>
      <c r="AN25" s="572"/>
      <c r="AO25" s="572" t="s">
        <v>367</v>
      </c>
      <c r="AP25" s="572"/>
      <c r="AQ25" s="572"/>
      <c r="AR25" s="572"/>
      <c r="AS25" s="572"/>
      <c r="AT25" s="572" t="s">
        <v>367</v>
      </c>
      <c r="AU25" s="572"/>
      <c r="AV25" s="572"/>
      <c r="AW25" s="572"/>
      <c r="AX25" s="572"/>
    </row>
    <row r="26" spans="2:50" ht="14.25" customHeight="1">
      <c r="B26" s="572"/>
      <c r="C26" s="572"/>
      <c r="D26" s="572"/>
      <c r="E26" s="180" t="s">
        <v>159</v>
      </c>
      <c r="F26" s="180" t="s">
        <v>368</v>
      </c>
      <c r="G26" s="180" t="s">
        <v>161</v>
      </c>
      <c r="H26" s="572"/>
      <c r="I26" s="181" t="s">
        <v>159</v>
      </c>
      <c r="J26" s="181" t="s">
        <v>368</v>
      </c>
      <c r="K26" s="181" t="s">
        <v>161</v>
      </c>
      <c r="L26" s="576"/>
      <c r="M26" s="576"/>
      <c r="N26" s="572"/>
      <c r="O26" s="572"/>
      <c r="P26" s="180" t="s">
        <v>159</v>
      </c>
      <c r="Q26" s="180" t="s">
        <v>368</v>
      </c>
      <c r="R26" s="180" t="s">
        <v>161</v>
      </c>
      <c r="S26" s="182" t="s">
        <v>165</v>
      </c>
      <c r="T26" s="572"/>
      <c r="U26" s="180" t="s">
        <v>159</v>
      </c>
      <c r="V26" s="180" t="s">
        <v>368</v>
      </c>
      <c r="W26" s="180" t="s">
        <v>161</v>
      </c>
      <c r="X26" s="182" t="s">
        <v>165</v>
      </c>
      <c r="Y26" s="572"/>
      <c r="Z26" s="180" t="s">
        <v>159</v>
      </c>
      <c r="AA26" s="180" t="s">
        <v>368</v>
      </c>
      <c r="AB26" s="180" t="s">
        <v>161</v>
      </c>
      <c r="AC26" s="182" t="s">
        <v>165</v>
      </c>
      <c r="AD26" s="572"/>
      <c r="AE26" s="180" t="s">
        <v>159</v>
      </c>
      <c r="AF26" s="180" t="s">
        <v>368</v>
      </c>
      <c r="AG26" s="180" t="s">
        <v>161</v>
      </c>
      <c r="AH26" s="182" t="s">
        <v>165</v>
      </c>
      <c r="AI26" s="572"/>
      <c r="AJ26" s="180" t="s">
        <v>159</v>
      </c>
      <c r="AK26" s="180" t="s">
        <v>368</v>
      </c>
      <c r="AL26" s="180" t="s">
        <v>161</v>
      </c>
      <c r="AM26" s="182" t="s">
        <v>165</v>
      </c>
      <c r="AN26" s="572"/>
      <c r="AO26" s="180" t="s">
        <v>159</v>
      </c>
      <c r="AP26" s="180" t="s">
        <v>368</v>
      </c>
      <c r="AQ26" s="180" t="s">
        <v>161</v>
      </c>
      <c r="AR26" s="182" t="s">
        <v>165</v>
      </c>
      <c r="AS26" s="572"/>
      <c r="AT26" s="180" t="s">
        <v>159</v>
      </c>
      <c r="AU26" s="180" t="s">
        <v>368</v>
      </c>
      <c r="AV26" s="180" t="s">
        <v>161</v>
      </c>
      <c r="AW26" s="182" t="s">
        <v>165</v>
      </c>
      <c r="AX26" s="572"/>
    </row>
    <row r="27" spans="2:50" ht="14.25" customHeight="1">
      <c r="B27" s="572" t="s">
        <v>372</v>
      </c>
      <c r="C27" s="180">
        <v>1</v>
      </c>
      <c r="D27" s="183" t="s">
        <v>535</v>
      </c>
      <c r="E27" s="180">
        <v>20</v>
      </c>
      <c r="F27" s="180">
        <v>3600</v>
      </c>
      <c r="G27" s="185">
        <f t="shared" ref="G27:G34" si="16">F27/E27</f>
        <v>180</v>
      </c>
      <c r="H27" s="573">
        <f>AVERAGE(G27:G41)</f>
        <v>176.1654135338346</v>
      </c>
      <c r="I27" s="186">
        <f>AVERAGE(P27,U27,Z27,AE27,AJ27,AO27,AT27)</f>
        <v>20</v>
      </c>
      <c r="J27" s="186">
        <f>AVERAGE(Q27,V27,AA27,AF27,AK27,AP27,AU27)</f>
        <v>3255.5885727778418</v>
      </c>
      <c r="K27" s="187">
        <f>AVERAGE(R27,W27,AB27,AG27,AL27,AQ27,AV27)</f>
        <v>162.77942863889211</v>
      </c>
      <c r="L27" s="574">
        <f>IFERROR(AVERAGE(K27:K41),"-")</f>
        <v>156.7690587103622</v>
      </c>
      <c r="M27" s="186">
        <f>RANK(K27, K$27:$K$41)</f>
        <v>5</v>
      </c>
      <c r="N27" s="572"/>
      <c r="O27" s="572"/>
      <c r="P27" s="188">
        <v>20</v>
      </c>
      <c r="Q27" s="188">
        <v>3256.7714299206987</v>
      </c>
      <c r="R27" s="185">
        <f>IFERROR(Q27/P27,"")</f>
        <v>162.83857149603494</v>
      </c>
      <c r="S27" s="182">
        <f>RANK(R27, R$27:R$41)</f>
        <v>5</v>
      </c>
      <c r="T27" s="573">
        <f>AVERAGE(R27:R41)</f>
        <v>155.81372567372659</v>
      </c>
      <c r="U27" s="188">
        <v>20</v>
      </c>
      <c r="V27" s="188">
        <v>3255.3314299206991</v>
      </c>
      <c r="W27" s="185">
        <f t="shared" ref="W27:W34" si="17">IFERROR(V27/U27,"")</f>
        <v>162.76657149603494</v>
      </c>
      <c r="X27" s="182">
        <f>RANK(W27, W$27:W$41)</f>
        <v>5</v>
      </c>
      <c r="Y27" s="573">
        <f>AVERAGE(W27:W41)</f>
        <v>156.12284847986621</v>
      </c>
      <c r="Z27" s="188">
        <v>20</v>
      </c>
      <c r="AA27" s="188">
        <v>3256.4114299206985</v>
      </c>
      <c r="AB27" s="185">
        <f t="shared" ref="AB27:AB34" si="18">IFERROR(AA27/Z27,"")</f>
        <v>162.82057149603492</v>
      </c>
      <c r="AC27" s="182">
        <f>RANK(AB27, AB$27:AB$41)</f>
        <v>5</v>
      </c>
      <c r="AD27" s="573">
        <f>AVERAGE(AB27:AB41)</f>
        <v>156.48855820289566</v>
      </c>
      <c r="AE27" s="188">
        <v>20</v>
      </c>
      <c r="AF27" s="188">
        <v>3255.6914299206992</v>
      </c>
      <c r="AG27" s="185">
        <f>IFERROR(AF27/AE27,"")</f>
        <v>162.78457149603497</v>
      </c>
      <c r="AH27" s="182">
        <f>RANK(AG27, AG$27:AG$41)</f>
        <v>5</v>
      </c>
      <c r="AI27" s="573">
        <f>AVERAGE(AG27:AG41)</f>
        <v>156.81125326866226</v>
      </c>
      <c r="AJ27" s="188">
        <v>20</v>
      </c>
      <c r="AK27" s="188">
        <v>3255.3314299206995</v>
      </c>
      <c r="AL27" s="185">
        <f t="shared" ref="AL27:AL34" si="19">IFERROR(AK27/AJ27,"")</f>
        <v>162.76657149603497</v>
      </c>
      <c r="AM27" s="182">
        <f>RANK(AL27, AL$27:AL$41)</f>
        <v>5</v>
      </c>
      <c r="AN27" s="573">
        <f>AVERAGE(AL27:AL41)</f>
        <v>157.14298289976054</v>
      </c>
      <c r="AO27" s="188">
        <v>20</v>
      </c>
      <c r="AP27" s="188">
        <v>3254.6114299206988</v>
      </c>
      <c r="AQ27" s="185">
        <f t="shared" ref="AQ27:AQ34" si="20">IFERROR(AP27/AO27,"")</f>
        <v>162.73057149603494</v>
      </c>
      <c r="AR27" s="182">
        <f>RANK(AQ27, AQ$27:AQ$41)</f>
        <v>5</v>
      </c>
      <c r="AS27" s="573">
        <f>AVERAGE(AQ27:AQ41)</f>
        <v>157.50095624660673</v>
      </c>
      <c r="AT27" s="188">
        <v>20</v>
      </c>
      <c r="AU27" s="188">
        <v>3254.9714299206994</v>
      </c>
      <c r="AV27" s="185">
        <f t="shared" ref="AV27:AV34" si="21">IFERROR(AU27/AT27,"")</f>
        <v>162.74857149603497</v>
      </c>
      <c r="AW27" s="182">
        <f>RANK(AV27, AV$27:AV$41)</f>
        <v>5</v>
      </c>
      <c r="AX27" s="573">
        <f>AVERAGE(AV27:AV41)</f>
        <v>157.50308620101737</v>
      </c>
    </row>
    <row r="28" spans="2:50" ht="14.25" customHeight="1">
      <c r="B28" s="572"/>
      <c r="C28" s="180">
        <v>2</v>
      </c>
      <c r="D28" s="183" t="s">
        <v>536</v>
      </c>
      <c r="E28" s="180">
        <v>21</v>
      </c>
      <c r="F28" s="180">
        <v>3600</v>
      </c>
      <c r="G28" s="185">
        <f t="shared" si="16"/>
        <v>171.42857142857142</v>
      </c>
      <c r="H28" s="573"/>
      <c r="I28" s="186">
        <f t="shared" ref="I28:K34" si="22">AVERAGE(P28,U28,Z28,AE28,AJ28,AO28,AT28)</f>
        <v>21</v>
      </c>
      <c r="J28" s="186">
        <f t="shared" si="22"/>
        <v>3258.2352362482256</v>
      </c>
      <c r="K28" s="187">
        <f t="shared" si="22"/>
        <v>155.15405886896309</v>
      </c>
      <c r="L28" s="574"/>
      <c r="M28" s="186">
        <f>RANK(K28, K$27:$K$41)</f>
        <v>6</v>
      </c>
      <c r="N28" s="572"/>
      <c r="O28" s="572"/>
      <c r="P28" s="188">
        <v>21</v>
      </c>
      <c r="Q28" s="188">
        <v>3258.492379105367</v>
      </c>
      <c r="R28" s="185">
        <f t="shared" ref="R28:R34" si="23">IFERROR(Q28/P28,"")</f>
        <v>155.16630376692223</v>
      </c>
      <c r="S28" s="182">
        <f t="shared" ref="S28:S34" si="24">RANK(R28, R$27:R$41)</f>
        <v>6</v>
      </c>
      <c r="T28" s="573"/>
      <c r="U28" s="188">
        <v>21</v>
      </c>
      <c r="V28" s="188">
        <v>3257.7723791053677</v>
      </c>
      <c r="W28" s="185">
        <f t="shared" si="17"/>
        <v>155.13201805263657</v>
      </c>
      <c r="X28" s="182">
        <f t="shared" ref="X28:X34" si="25">RANK(W28, W$27:W$41)</f>
        <v>6</v>
      </c>
      <c r="Y28" s="573"/>
      <c r="Z28" s="188">
        <v>21</v>
      </c>
      <c r="AA28" s="188">
        <v>3257.7723791053677</v>
      </c>
      <c r="AB28" s="185">
        <f t="shared" si="18"/>
        <v>155.13201805263657</v>
      </c>
      <c r="AC28" s="182">
        <f t="shared" ref="AC28:AC34" si="26">RANK(AB28, AB$27:AB$41)</f>
        <v>6</v>
      </c>
      <c r="AD28" s="573"/>
      <c r="AE28" s="188">
        <v>21</v>
      </c>
      <c r="AF28" s="188">
        <v>3258.8523791053681</v>
      </c>
      <c r="AG28" s="185">
        <f t="shared" ref="AG28:AG34" si="27">IFERROR(AF28/AE28,"")</f>
        <v>155.18344662406514</v>
      </c>
      <c r="AH28" s="182">
        <f t="shared" ref="AH28:AH34" si="28">RANK(AG28, AG$27:AG$41)</f>
        <v>6</v>
      </c>
      <c r="AI28" s="573"/>
      <c r="AJ28" s="188">
        <v>21</v>
      </c>
      <c r="AK28" s="188">
        <v>3257.7723791053686</v>
      </c>
      <c r="AL28" s="185">
        <f t="shared" si="19"/>
        <v>155.1320180526366</v>
      </c>
      <c r="AM28" s="182">
        <f t="shared" ref="AM28:AM34" si="29">RANK(AL28, AL$27:AL$41)</f>
        <v>6</v>
      </c>
      <c r="AN28" s="573"/>
      <c r="AO28" s="188">
        <v>21</v>
      </c>
      <c r="AP28" s="188">
        <v>3258.8523791053685</v>
      </c>
      <c r="AQ28" s="185">
        <f t="shared" si="20"/>
        <v>155.18344662406517</v>
      </c>
      <c r="AR28" s="182">
        <f t="shared" ref="AR28:AR34" si="30">RANK(AQ28, AQ$27:AQ$41)</f>
        <v>6</v>
      </c>
      <c r="AS28" s="573"/>
      <c r="AT28" s="188">
        <v>21</v>
      </c>
      <c r="AU28" s="188">
        <v>3258.1323791053701</v>
      </c>
      <c r="AV28" s="185">
        <f t="shared" si="21"/>
        <v>155.14916090977954</v>
      </c>
      <c r="AW28" s="182">
        <f t="shared" ref="AW28:AW34" si="31">RANK(AV28, AV$27:AV$41)</f>
        <v>6</v>
      </c>
      <c r="AX28" s="573"/>
    </row>
    <row r="29" spans="2:50" ht="14.25" customHeight="1">
      <c r="B29" s="572"/>
      <c r="C29" s="180">
        <v>3</v>
      </c>
      <c r="D29" s="183" t="s">
        <v>544</v>
      </c>
      <c r="E29" s="180">
        <v>19</v>
      </c>
      <c r="F29" s="180">
        <v>3600</v>
      </c>
      <c r="G29" s="185">
        <f t="shared" si="16"/>
        <v>189.47368421052633</v>
      </c>
      <c r="H29" s="573"/>
      <c r="I29" s="186">
        <f t="shared" si="22"/>
        <v>19</v>
      </c>
      <c r="J29" s="186">
        <f t="shared" si="22"/>
        <v>3184.9913747968467</v>
      </c>
      <c r="K29" s="187">
        <f t="shared" si="22"/>
        <v>167.63112498930769</v>
      </c>
      <c r="L29" s="574"/>
      <c r="M29" s="186">
        <f>RANK(K29, K$27:$K$41)</f>
        <v>1</v>
      </c>
      <c r="N29" s="572"/>
      <c r="O29" s="572"/>
      <c r="P29" s="188">
        <v>19</v>
      </c>
      <c r="Q29" s="188">
        <v>3184.8370890825613</v>
      </c>
      <c r="R29" s="185">
        <f t="shared" si="23"/>
        <v>167.62300468855585</v>
      </c>
      <c r="S29" s="182">
        <f t="shared" si="24"/>
        <v>1</v>
      </c>
      <c r="T29" s="573"/>
      <c r="U29" s="188">
        <v>19</v>
      </c>
      <c r="V29" s="188">
        <v>3184.1170890825611</v>
      </c>
      <c r="W29" s="185">
        <f t="shared" si="17"/>
        <v>167.58510995171375</v>
      </c>
      <c r="X29" s="182">
        <f t="shared" si="25"/>
        <v>1</v>
      </c>
      <c r="Y29" s="573"/>
      <c r="Z29" s="188">
        <v>19</v>
      </c>
      <c r="AA29" s="188">
        <v>3185.9170890825608</v>
      </c>
      <c r="AB29" s="185">
        <f t="shared" si="18"/>
        <v>167.679846793819</v>
      </c>
      <c r="AC29" s="182">
        <f t="shared" si="26"/>
        <v>1</v>
      </c>
      <c r="AD29" s="573"/>
      <c r="AE29" s="188">
        <v>19</v>
      </c>
      <c r="AF29" s="188">
        <v>3184.4770890825607</v>
      </c>
      <c r="AG29" s="185">
        <f t="shared" si="27"/>
        <v>167.60405732013479</v>
      </c>
      <c r="AH29" s="182">
        <f t="shared" si="28"/>
        <v>4</v>
      </c>
      <c r="AI29" s="573"/>
      <c r="AJ29" s="188">
        <v>19</v>
      </c>
      <c r="AK29" s="188">
        <v>3185.1970890825605</v>
      </c>
      <c r="AL29" s="185">
        <f t="shared" si="19"/>
        <v>167.64195205697686</v>
      </c>
      <c r="AM29" s="182">
        <f t="shared" si="29"/>
        <v>1</v>
      </c>
      <c r="AN29" s="573"/>
      <c r="AO29" s="188">
        <v>19</v>
      </c>
      <c r="AP29" s="188">
        <v>3185.5570890825607</v>
      </c>
      <c r="AQ29" s="185">
        <f t="shared" si="20"/>
        <v>167.66089942539793</v>
      </c>
      <c r="AR29" s="182">
        <f t="shared" si="30"/>
        <v>1</v>
      </c>
      <c r="AS29" s="573"/>
      <c r="AT29" s="188">
        <v>19</v>
      </c>
      <c r="AU29" s="188">
        <v>3184.8370890825604</v>
      </c>
      <c r="AV29" s="185">
        <f t="shared" si="21"/>
        <v>167.62300468855582</v>
      </c>
      <c r="AW29" s="182">
        <f t="shared" si="31"/>
        <v>3</v>
      </c>
      <c r="AX29" s="573"/>
    </row>
    <row r="30" spans="2:50" ht="14.25" customHeight="1">
      <c r="B30" s="572"/>
      <c r="C30" s="180">
        <v>4</v>
      </c>
      <c r="D30" s="183" t="s">
        <v>641</v>
      </c>
      <c r="E30" s="180">
        <v>19</v>
      </c>
      <c r="F30" s="180">
        <v>3600</v>
      </c>
      <c r="G30" s="185">
        <f t="shared" si="16"/>
        <v>189.47368421052633</v>
      </c>
      <c r="H30" s="573"/>
      <c r="I30" s="186">
        <f t="shared" si="22"/>
        <v>19</v>
      </c>
      <c r="J30" s="186">
        <f t="shared" si="22"/>
        <v>3184.6480541809933</v>
      </c>
      <c r="K30" s="187">
        <f t="shared" si="22"/>
        <v>167.61305548321019</v>
      </c>
      <c r="L30" s="574"/>
      <c r="M30" s="186">
        <f>RANK(K30, K$27:$K$41)</f>
        <v>2</v>
      </c>
      <c r="N30" s="572"/>
      <c r="O30" s="572"/>
      <c r="P30" s="188">
        <v>19</v>
      </c>
      <c r="Q30" s="188">
        <v>3182.8371251531157</v>
      </c>
      <c r="R30" s="185">
        <f t="shared" si="23"/>
        <v>167.51774342911136</v>
      </c>
      <c r="S30" s="182">
        <f t="shared" si="24"/>
        <v>3</v>
      </c>
      <c r="T30" s="573"/>
      <c r="U30" s="188">
        <v>19</v>
      </c>
      <c r="V30" s="188">
        <v>3183.9171251531156</v>
      </c>
      <c r="W30" s="185">
        <f t="shared" si="17"/>
        <v>167.57458553437451</v>
      </c>
      <c r="X30" s="182">
        <f t="shared" si="25"/>
        <v>2</v>
      </c>
      <c r="Y30" s="573"/>
      <c r="Z30" s="188">
        <v>19</v>
      </c>
      <c r="AA30" s="188">
        <v>3184.9971251531151</v>
      </c>
      <c r="AB30" s="185">
        <f t="shared" si="18"/>
        <v>167.63142763963765</v>
      </c>
      <c r="AC30" s="182">
        <f t="shared" si="26"/>
        <v>2</v>
      </c>
      <c r="AD30" s="573"/>
      <c r="AE30" s="188">
        <v>19</v>
      </c>
      <c r="AF30" s="188">
        <v>3184.6371251531145</v>
      </c>
      <c r="AG30" s="185">
        <f t="shared" si="27"/>
        <v>167.61248027121655</v>
      </c>
      <c r="AH30" s="182">
        <f t="shared" si="28"/>
        <v>3</v>
      </c>
      <c r="AI30" s="573"/>
      <c r="AJ30" s="188">
        <v>19</v>
      </c>
      <c r="AK30" s="188">
        <v>3184.2771251531144</v>
      </c>
      <c r="AL30" s="185">
        <f t="shared" si="19"/>
        <v>167.59353290279549</v>
      </c>
      <c r="AM30" s="182">
        <f t="shared" si="29"/>
        <v>2</v>
      </c>
      <c r="AN30" s="573"/>
      <c r="AO30" s="188">
        <v>19</v>
      </c>
      <c r="AP30" s="188">
        <v>3185.3953767506896</v>
      </c>
      <c r="AQ30" s="185">
        <f t="shared" si="20"/>
        <v>167.6523882500363</v>
      </c>
      <c r="AR30" s="182">
        <f t="shared" si="30"/>
        <v>2</v>
      </c>
      <c r="AS30" s="573"/>
      <c r="AT30" s="188">
        <v>19</v>
      </c>
      <c r="AU30" s="188">
        <v>3186.4753767506895</v>
      </c>
      <c r="AV30" s="185">
        <f t="shared" si="21"/>
        <v>167.70923035529944</v>
      </c>
      <c r="AW30" s="182">
        <f t="shared" si="31"/>
        <v>1</v>
      </c>
      <c r="AX30" s="573"/>
    </row>
    <row r="31" spans="2:50" ht="14.25" customHeight="1">
      <c r="B31" s="572"/>
      <c r="C31" s="180">
        <v>5</v>
      </c>
      <c r="D31" s="183" t="s">
        <v>549</v>
      </c>
      <c r="E31" s="180">
        <v>19</v>
      </c>
      <c r="F31" s="180">
        <v>3600</v>
      </c>
      <c r="G31" s="185">
        <f t="shared" si="16"/>
        <v>189.47368421052633</v>
      </c>
      <c r="H31" s="573"/>
      <c r="I31" s="186">
        <f t="shared" si="22"/>
        <v>19</v>
      </c>
      <c r="J31" s="186">
        <f t="shared" si="22"/>
        <v>3183.9205541720453</v>
      </c>
      <c r="K31" s="187">
        <f t="shared" si="22"/>
        <v>167.57476600905505</v>
      </c>
      <c r="L31" s="574"/>
      <c r="M31" s="186">
        <f>RANK(K31, K$27:$K$41)</f>
        <v>4</v>
      </c>
      <c r="N31" s="572"/>
      <c r="O31" s="572"/>
      <c r="P31" s="188">
        <v>19</v>
      </c>
      <c r="Q31" s="188">
        <v>3181.9152992136892</v>
      </c>
      <c r="R31" s="185">
        <f t="shared" si="23"/>
        <v>167.46922627440469</v>
      </c>
      <c r="S31" s="182">
        <f t="shared" si="24"/>
        <v>4</v>
      </c>
      <c r="T31" s="573"/>
      <c r="U31" s="188">
        <v>19</v>
      </c>
      <c r="V31" s="188">
        <v>3182.635299213689</v>
      </c>
      <c r="W31" s="185">
        <f t="shared" si="17"/>
        <v>167.5071210112468</v>
      </c>
      <c r="X31" s="182">
        <f t="shared" si="25"/>
        <v>4</v>
      </c>
      <c r="Y31" s="573"/>
      <c r="Z31" s="188">
        <v>19</v>
      </c>
      <c r="AA31" s="188">
        <v>3183.7152992136889</v>
      </c>
      <c r="AB31" s="185">
        <f t="shared" si="18"/>
        <v>167.56396311650994</v>
      </c>
      <c r="AC31" s="182">
        <f t="shared" si="26"/>
        <v>4</v>
      </c>
      <c r="AD31" s="573"/>
      <c r="AE31" s="188">
        <v>19</v>
      </c>
      <c r="AF31" s="188">
        <v>3184.704495390813</v>
      </c>
      <c r="AG31" s="185">
        <f t="shared" si="27"/>
        <v>167.61602607320069</v>
      </c>
      <c r="AH31" s="182">
        <f t="shared" si="28"/>
        <v>2</v>
      </c>
      <c r="AI31" s="573"/>
      <c r="AJ31" s="188">
        <v>19</v>
      </c>
      <c r="AK31" s="188">
        <v>3183.6244953908126</v>
      </c>
      <c r="AL31" s="185">
        <f t="shared" si="19"/>
        <v>167.55918396793751</v>
      </c>
      <c r="AM31" s="182">
        <f t="shared" si="29"/>
        <v>4</v>
      </c>
      <c r="AN31" s="573"/>
      <c r="AO31" s="188">
        <v>19</v>
      </c>
      <c r="AP31" s="188">
        <v>3185.0644953908122</v>
      </c>
      <c r="AQ31" s="185">
        <f t="shared" si="20"/>
        <v>167.6349734416217</v>
      </c>
      <c r="AR31" s="182">
        <f t="shared" si="30"/>
        <v>4</v>
      </c>
      <c r="AS31" s="573"/>
      <c r="AT31" s="188">
        <v>19</v>
      </c>
      <c r="AU31" s="188">
        <v>3185.784495390812</v>
      </c>
      <c r="AV31" s="185">
        <f t="shared" si="21"/>
        <v>167.6728681784638</v>
      </c>
      <c r="AW31" s="182">
        <f t="shared" si="31"/>
        <v>2</v>
      </c>
      <c r="AX31" s="573"/>
    </row>
    <row r="32" spans="2:50" ht="14.25" customHeight="1">
      <c r="B32" s="572"/>
      <c r="C32" s="180">
        <v>6</v>
      </c>
      <c r="D32" s="183" t="s">
        <v>617</v>
      </c>
      <c r="E32" s="180">
        <v>24</v>
      </c>
      <c r="F32" s="180">
        <v>3600</v>
      </c>
      <c r="G32" s="185">
        <f t="shared" si="16"/>
        <v>150</v>
      </c>
      <c r="H32" s="573"/>
      <c r="I32" s="186">
        <f t="shared" si="22"/>
        <v>24</v>
      </c>
      <c r="J32" s="186">
        <f t="shared" si="22"/>
        <v>3257.340830045935</v>
      </c>
      <c r="K32" s="187">
        <f t="shared" si="22"/>
        <v>135.7225345852473</v>
      </c>
      <c r="L32" s="574"/>
      <c r="M32" s="186">
        <f>RANK(K32, K$27:$K$41)</f>
        <v>7</v>
      </c>
      <c r="N32" s="572"/>
      <c r="O32" s="572"/>
      <c r="P32" s="188">
        <v>24</v>
      </c>
      <c r="Q32" s="188">
        <v>3256.5179729030779</v>
      </c>
      <c r="R32" s="185">
        <f t="shared" si="23"/>
        <v>135.68824887096159</v>
      </c>
      <c r="S32" s="182">
        <f t="shared" si="24"/>
        <v>7</v>
      </c>
      <c r="T32" s="573"/>
      <c r="U32" s="188">
        <v>24</v>
      </c>
      <c r="V32" s="188">
        <v>3257.9579729030779</v>
      </c>
      <c r="W32" s="185">
        <f t="shared" si="17"/>
        <v>135.74824887096159</v>
      </c>
      <c r="X32" s="182">
        <f t="shared" si="25"/>
        <v>7</v>
      </c>
      <c r="Y32" s="573"/>
      <c r="Z32" s="188">
        <v>24</v>
      </c>
      <c r="AA32" s="188">
        <v>3257.2379729030781</v>
      </c>
      <c r="AB32" s="185">
        <f t="shared" si="18"/>
        <v>135.71824887096159</v>
      </c>
      <c r="AC32" s="182">
        <f t="shared" si="26"/>
        <v>7</v>
      </c>
      <c r="AD32" s="573"/>
      <c r="AE32" s="188">
        <v>24</v>
      </c>
      <c r="AF32" s="188">
        <v>3257.5979729030778</v>
      </c>
      <c r="AG32" s="185">
        <f t="shared" si="27"/>
        <v>135.73324887096157</v>
      </c>
      <c r="AH32" s="182">
        <f t="shared" si="28"/>
        <v>7</v>
      </c>
      <c r="AI32" s="573"/>
      <c r="AJ32" s="188">
        <v>24</v>
      </c>
      <c r="AK32" s="188">
        <v>3256.877972903078</v>
      </c>
      <c r="AL32" s="185">
        <f t="shared" si="19"/>
        <v>135.70324887096157</v>
      </c>
      <c r="AM32" s="182">
        <f t="shared" si="29"/>
        <v>7</v>
      </c>
      <c r="AN32" s="573"/>
      <c r="AO32" s="188">
        <v>24</v>
      </c>
      <c r="AP32" s="188">
        <v>3256.877972903078</v>
      </c>
      <c r="AQ32" s="185">
        <f t="shared" si="20"/>
        <v>135.70324887096157</v>
      </c>
      <c r="AR32" s="182">
        <f t="shared" si="30"/>
        <v>8</v>
      </c>
      <c r="AS32" s="573"/>
      <c r="AT32" s="188">
        <v>24</v>
      </c>
      <c r="AU32" s="188">
        <v>3258.3179729030776</v>
      </c>
      <c r="AV32" s="185">
        <f t="shared" si="21"/>
        <v>135.76324887096158</v>
      </c>
      <c r="AW32" s="182">
        <f t="shared" si="31"/>
        <v>8</v>
      </c>
      <c r="AX32" s="573"/>
    </row>
    <row r="33" spans="2:50" ht="14.25" customHeight="1">
      <c r="B33" s="572"/>
      <c r="C33" s="180">
        <v>7</v>
      </c>
      <c r="D33" s="183" t="s">
        <v>537</v>
      </c>
      <c r="E33" s="180">
        <v>19</v>
      </c>
      <c r="F33" s="180">
        <v>3600</v>
      </c>
      <c r="G33" s="185">
        <f t="shared" si="16"/>
        <v>189.47368421052633</v>
      </c>
      <c r="H33" s="573"/>
      <c r="I33" s="186">
        <f t="shared" si="22"/>
        <v>19</v>
      </c>
      <c r="J33" s="186">
        <f t="shared" si="22"/>
        <v>3184.188444973694</v>
      </c>
      <c r="K33" s="187">
        <f t="shared" si="22"/>
        <v>167.58886552493126</v>
      </c>
      <c r="L33" s="574"/>
      <c r="M33" s="186">
        <f>RANK(K33, K$27:$K$41)</f>
        <v>3</v>
      </c>
      <c r="N33" s="572"/>
      <c r="O33" s="572"/>
      <c r="P33" s="188">
        <v>19</v>
      </c>
      <c r="Q33" s="188">
        <v>3183.7255878308383</v>
      </c>
      <c r="R33" s="185">
        <f t="shared" si="23"/>
        <v>167.56450462267571</v>
      </c>
      <c r="S33" s="182">
        <f t="shared" si="24"/>
        <v>2</v>
      </c>
      <c r="T33" s="573"/>
      <c r="U33" s="188">
        <v>19</v>
      </c>
      <c r="V33" s="188">
        <v>3183.3655878308382</v>
      </c>
      <c r="W33" s="185">
        <f t="shared" si="17"/>
        <v>167.54555725425465</v>
      </c>
      <c r="X33" s="182">
        <f t="shared" si="25"/>
        <v>3</v>
      </c>
      <c r="Y33" s="573"/>
      <c r="Z33" s="188">
        <v>19</v>
      </c>
      <c r="AA33" s="188">
        <v>3184.8055878308378</v>
      </c>
      <c r="AB33" s="185">
        <f t="shared" si="18"/>
        <v>167.62134672793883</v>
      </c>
      <c r="AC33" s="182">
        <f t="shared" si="26"/>
        <v>3</v>
      </c>
      <c r="AD33" s="573"/>
      <c r="AE33" s="188">
        <v>19</v>
      </c>
      <c r="AF33" s="188">
        <v>3185.165587830837</v>
      </c>
      <c r="AG33" s="185">
        <f t="shared" si="27"/>
        <v>167.64029409635984</v>
      </c>
      <c r="AH33" s="182">
        <f t="shared" si="28"/>
        <v>1</v>
      </c>
      <c r="AI33" s="573"/>
      <c r="AJ33" s="188">
        <v>19</v>
      </c>
      <c r="AK33" s="188">
        <v>3183.7255878308365</v>
      </c>
      <c r="AL33" s="185">
        <f t="shared" si="19"/>
        <v>167.5645046226756</v>
      </c>
      <c r="AM33" s="182">
        <f t="shared" si="29"/>
        <v>3</v>
      </c>
      <c r="AN33" s="573"/>
      <c r="AO33" s="188">
        <v>19</v>
      </c>
      <c r="AP33" s="188">
        <v>3185.1655878308361</v>
      </c>
      <c r="AQ33" s="185">
        <f t="shared" si="20"/>
        <v>167.64029409635978</v>
      </c>
      <c r="AR33" s="182">
        <f t="shared" si="30"/>
        <v>3</v>
      </c>
      <c r="AS33" s="573"/>
      <c r="AT33" s="188">
        <v>19</v>
      </c>
      <c r="AU33" s="188">
        <v>3183.3655878308364</v>
      </c>
      <c r="AV33" s="185">
        <f t="shared" si="21"/>
        <v>167.54555725425453</v>
      </c>
      <c r="AW33" s="182">
        <f t="shared" si="31"/>
        <v>4</v>
      </c>
      <c r="AX33" s="573"/>
    </row>
    <row r="34" spans="2:50" ht="14.25" customHeight="1">
      <c r="B34" s="572"/>
      <c r="C34" s="180">
        <v>8</v>
      </c>
      <c r="D34" s="183" t="s">
        <v>674</v>
      </c>
      <c r="E34" s="180">
        <v>24</v>
      </c>
      <c r="F34" s="180">
        <v>3600</v>
      </c>
      <c r="G34" s="185">
        <f t="shared" si="16"/>
        <v>150</v>
      </c>
      <c r="H34" s="573"/>
      <c r="I34" s="186">
        <f t="shared" si="22"/>
        <v>24</v>
      </c>
      <c r="J34" s="186">
        <f t="shared" si="22"/>
        <v>3122.1272539989782</v>
      </c>
      <c r="K34" s="187">
        <f t="shared" si="22"/>
        <v>130.08863558329077</v>
      </c>
      <c r="L34" s="574"/>
      <c r="M34" s="186">
        <f>RANK(K34, K$27:$K$41)</f>
        <v>8</v>
      </c>
      <c r="N34" s="572"/>
      <c r="O34" s="572"/>
      <c r="P34" s="188">
        <v>24</v>
      </c>
      <c r="Q34" s="188">
        <v>2943.4128537875104</v>
      </c>
      <c r="R34" s="185">
        <f t="shared" si="23"/>
        <v>122.64220224114626</v>
      </c>
      <c r="S34" s="182">
        <f t="shared" si="24"/>
        <v>8</v>
      </c>
      <c r="T34" s="573"/>
      <c r="U34" s="188">
        <v>24</v>
      </c>
      <c r="V34" s="188">
        <v>3002.965816024966</v>
      </c>
      <c r="W34" s="185">
        <f t="shared" si="17"/>
        <v>125.12357566770692</v>
      </c>
      <c r="X34" s="182">
        <f t="shared" si="25"/>
        <v>8</v>
      </c>
      <c r="Y34" s="573"/>
      <c r="Z34" s="188">
        <v>24</v>
      </c>
      <c r="AA34" s="188">
        <v>3065.78503021504</v>
      </c>
      <c r="AB34" s="185">
        <f t="shared" si="18"/>
        <v>127.74104292562667</v>
      </c>
      <c r="AC34" s="182">
        <f t="shared" si="26"/>
        <v>8</v>
      </c>
      <c r="AD34" s="573"/>
      <c r="AE34" s="188">
        <v>24</v>
      </c>
      <c r="AF34" s="188">
        <v>3127.5816335357868</v>
      </c>
      <c r="AG34" s="185">
        <f t="shared" si="27"/>
        <v>130.31590139732444</v>
      </c>
      <c r="AH34" s="182">
        <f t="shared" si="28"/>
        <v>8</v>
      </c>
      <c r="AI34" s="573"/>
      <c r="AJ34" s="188">
        <v>24</v>
      </c>
      <c r="AK34" s="188">
        <v>3196.3884294735735</v>
      </c>
      <c r="AL34" s="185">
        <f t="shared" si="19"/>
        <v>133.18285122806557</v>
      </c>
      <c r="AM34" s="182">
        <f t="shared" si="29"/>
        <v>8</v>
      </c>
      <c r="AN34" s="573"/>
      <c r="AO34" s="188">
        <v>24</v>
      </c>
      <c r="AP34" s="188">
        <v>3259.2438664410324</v>
      </c>
      <c r="AQ34" s="185">
        <f t="shared" si="20"/>
        <v>135.80182776837634</v>
      </c>
      <c r="AR34" s="182">
        <f t="shared" si="30"/>
        <v>7</v>
      </c>
      <c r="AS34" s="573"/>
      <c r="AT34" s="188">
        <v>24</v>
      </c>
      <c r="AU34" s="188">
        <v>3259.5131485149404</v>
      </c>
      <c r="AV34" s="185">
        <f t="shared" si="21"/>
        <v>135.81304785478918</v>
      </c>
      <c r="AW34" s="182">
        <f t="shared" si="31"/>
        <v>7</v>
      </c>
      <c r="AX34" s="573"/>
    </row>
    <row r="35" spans="2:50" ht="14.25" customHeight="1">
      <c r="B35" s="572"/>
      <c r="C35" s="180">
        <v>9</v>
      </c>
      <c r="D35" s="183"/>
      <c r="E35" s="180"/>
      <c r="F35" s="180"/>
      <c r="G35" s="185"/>
      <c r="H35" s="573"/>
      <c r="I35" s="186"/>
      <c r="J35" s="186"/>
      <c r="K35" s="187"/>
      <c r="L35" s="574"/>
      <c r="M35" s="186"/>
      <c r="N35" s="572"/>
      <c r="O35" s="572"/>
      <c r="P35" s="188"/>
      <c r="Q35" s="188"/>
      <c r="R35" s="185"/>
      <c r="S35" s="182"/>
      <c r="T35" s="573"/>
      <c r="U35" s="188"/>
      <c r="V35" s="188"/>
      <c r="W35" s="185"/>
      <c r="X35" s="182"/>
      <c r="Y35" s="573"/>
      <c r="Z35" s="188"/>
      <c r="AA35" s="188"/>
      <c r="AB35" s="185"/>
      <c r="AC35" s="182"/>
      <c r="AD35" s="573"/>
      <c r="AE35" s="188"/>
      <c r="AF35" s="188"/>
      <c r="AG35" s="185"/>
      <c r="AH35" s="182"/>
      <c r="AI35" s="573"/>
      <c r="AJ35" s="188"/>
      <c r="AK35" s="188"/>
      <c r="AL35" s="185"/>
      <c r="AM35" s="182"/>
      <c r="AN35" s="573"/>
      <c r="AO35" s="188"/>
      <c r="AP35" s="188"/>
      <c r="AQ35" s="185"/>
      <c r="AR35" s="182"/>
      <c r="AS35" s="573"/>
      <c r="AT35" s="188"/>
      <c r="AU35" s="188"/>
      <c r="AV35" s="185"/>
      <c r="AW35" s="182"/>
      <c r="AX35" s="573"/>
    </row>
    <row r="36" spans="2:50" ht="14.25" customHeight="1">
      <c r="B36" s="572"/>
      <c r="C36" s="180">
        <v>10</v>
      </c>
      <c r="D36" s="183"/>
      <c r="E36" s="180"/>
      <c r="F36" s="180"/>
      <c r="G36" s="185"/>
      <c r="H36" s="573"/>
      <c r="I36" s="186"/>
      <c r="J36" s="186"/>
      <c r="K36" s="187"/>
      <c r="L36" s="574"/>
      <c r="M36" s="186"/>
      <c r="N36" s="572"/>
      <c r="O36" s="572"/>
      <c r="P36" s="188"/>
      <c r="Q36" s="188"/>
      <c r="R36" s="185"/>
      <c r="S36" s="182"/>
      <c r="T36" s="573"/>
      <c r="U36" s="188"/>
      <c r="V36" s="188"/>
      <c r="W36" s="185"/>
      <c r="X36" s="182"/>
      <c r="Y36" s="573"/>
      <c r="Z36" s="188"/>
      <c r="AA36" s="188"/>
      <c r="AB36" s="185"/>
      <c r="AC36" s="182"/>
      <c r="AD36" s="573"/>
      <c r="AE36" s="188"/>
      <c r="AF36" s="188"/>
      <c r="AG36" s="185"/>
      <c r="AH36" s="182"/>
      <c r="AI36" s="573"/>
      <c r="AJ36" s="188"/>
      <c r="AK36" s="188"/>
      <c r="AL36" s="185"/>
      <c r="AM36" s="182"/>
      <c r="AN36" s="573"/>
      <c r="AO36" s="188"/>
      <c r="AP36" s="188"/>
      <c r="AQ36" s="185"/>
      <c r="AR36" s="182"/>
      <c r="AS36" s="573"/>
      <c r="AT36" s="188"/>
      <c r="AU36" s="188"/>
      <c r="AV36" s="185"/>
      <c r="AW36" s="182"/>
      <c r="AX36" s="573"/>
    </row>
    <row r="37" spans="2:50" ht="14.25" customHeight="1">
      <c r="B37" s="572"/>
      <c r="C37" s="180">
        <v>11</v>
      </c>
      <c r="D37" s="183"/>
      <c r="E37" s="180"/>
      <c r="F37" s="180"/>
      <c r="G37" s="185"/>
      <c r="H37" s="573"/>
      <c r="I37" s="186"/>
      <c r="J37" s="186"/>
      <c r="K37" s="187"/>
      <c r="L37" s="574"/>
      <c r="M37" s="186"/>
      <c r="N37" s="572"/>
      <c r="O37" s="572"/>
      <c r="P37" s="188"/>
      <c r="Q37" s="188"/>
      <c r="R37" s="185"/>
      <c r="S37" s="182"/>
      <c r="T37" s="573"/>
      <c r="U37" s="188"/>
      <c r="V37" s="188"/>
      <c r="W37" s="185"/>
      <c r="X37" s="182"/>
      <c r="Y37" s="573"/>
      <c r="Z37" s="188"/>
      <c r="AA37" s="188"/>
      <c r="AB37" s="185"/>
      <c r="AC37" s="182"/>
      <c r="AD37" s="573"/>
      <c r="AE37" s="188"/>
      <c r="AF37" s="188"/>
      <c r="AG37" s="185"/>
      <c r="AH37" s="182"/>
      <c r="AI37" s="573"/>
      <c r="AJ37" s="188"/>
      <c r="AK37" s="188"/>
      <c r="AL37" s="185"/>
      <c r="AM37" s="182"/>
      <c r="AN37" s="573"/>
      <c r="AO37" s="188"/>
      <c r="AP37" s="188"/>
      <c r="AQ37" s="185"/>
      <c r="AR37" s="182"/>
      <c r="AS37" s="573"/>
      <c r="AT37" s="188"/>
      <c r="AU37" s="188"/>
      <c r="AV37" s="185"/>
      <c r="AW37" s="182"/>
      <c r="AX37" s="573"/>
    </row>
    <row r="38" spans="2:50" ht="14.25" customHeight="1">
      <c r="B38" s="572"/>
      <c r="C38" s="180">
        <v>12</v>
      </c>
      <c r="D38" s="183"/>
      <c r="E38" s="180"/>
      <c r="F38" s="180"/>
      <c r="G38" s="185"/>
      <c r="H38" s="573"/>
      <c r="I38" s="186"/>
      <c r="J38" s="186"/>
      <c r="K38" s="187"/>
      <c r="L38" s="574"/>
      <c r="M38" s="186"/>
      <c r="N38" s="572"/>
      <c r="O38" s="572"/>
      <c r="P38" s="188"/>
      <c r="Q38" s="188"/>
      <c r="R38" s="185"/>
      <c r="S38" s="182"/>
      <c r="T38" s="573"/>
      <c r="U38" s="188"/>
      <c r="V38" s="188"/>
      <c r="W38" s="185"/>
      <c r="X38" s="182"/>
      <c r="Y38" s="573"/>
      <c r="Z38" s="188"/>
      <c r="AA38" s="188"/>
      <c r="AB38" s="185"/>
      <c r="AC38" s="182"/>
      <c r="AD38" s="573"/>
      <c r="AE38" s="188"/>
      <c r="AF38" s="188"/>
      <c r="AG38" s="185"/>
      <c r="AH38" s="182"/>
      <c r="AI38" s="573"/>
      <c r="AJ38" s="188"/>
      <c r="AK38" s="188"/>
      <c r="AL38" s="185"/>
      <c r="AM38" s="182"/>
      <c r="AN38" s="573"/>
      <c r="AO38" s="188"/>
      <c r="AP38" s="188"/>
      <c r="AQ38" s="185"/>
      <c r="AR38" s="182"/>
      <c r="AS38" s="573"/>
      <c r="AT38" s="188"/>
      <c r="AU38" s="188"/>
      <c r="AV38" s="185"/>
      <c r="AW38" s="182"/>
      <c r="AX38" s="573"/>
    </row>
    <row r="39" spans="2:50" ht="14.25" customHeight="1">
      <c r="B39" s="572"/>
      <c r="C39" s="180">
        <v>13</v>
      </c>
      <c r="D39" s="183"/>
      <c r="E39" s="180"/>
      <c r="F39" s="180"/>
      <c r="G39" s="185"/>
      <c r="H39" s="573"/>
      <c r="I39" s="186"/>
      <c r="J39" s="186"/>
      <c r="K39" s="187"/>
      <c r="L39" s="574"/>
      <c r="M39" s="186"/>
      <c r="N39" s="572"/>
      <c r="O39" s="572"/>
      <c r="P39" s="188"/>
      <c r="Q39" s="188"/>
      <c r="R39" s="185"/>
      <c r="S39" s="182"/>
      <c r="T39" s="573"/>
      <c r="U39" s="188"/>
      <c r="V39" s="188"/>
      <c r="W39" s="185"/>
      <c r="X39" s="182"/>
      <c r="Y39" s="573"/>
      <c r="Z39" s="188"/>
      <c r="AA39" s="188"/>
      <c r="AB39" s="185"/>
      <c r="AC39" s="182"/>
      <c r="AD39" s="573"/>
      <c r="AE39" s="188"/>
      <c r="AF39" s="188"/>
      <c r="AG39" s="185"/>
      <c r="AH39" s="182"/>
      <c r="AI39" s="573"/>
      <c r="AJ39" s="188"/>
      <c r="AK39" s="188"/>
      <c r="AL39" s="185"/>
      <c r="AM39" s="182"/>
      <c r="AN39" s="573"/>
      <c r="AO39" s="188"/>
      <c r="AP39" s="188"/>
      <c r="AQ39" s="185"/>
      <c r="AR39" s="182"/>
      <c r="AS39" s="573"/>
      <c r="AT39" s="188"/>
      <c r="AU39" s="188"/>
      <c r="AV39" s="185"/>
      <c r="AW39" s="182"/>
      <c r="AX39" s="573"/>
    </row>
    <row r="40" spans="2:50" ht="14.25" customHeight="1">
      <c r="B40" s="572"/>
      <c r="C40" s="180">
        <v>14</v>
      </c>
      <c r="D40" s="183"/>
      <c r="E40" s="180"/>
      <c r="F40" s="180"/>
      <c r="G40" s="185"/>
      <c r="H40" s="573"/>
      <c r="I40" s="186"/>
      <c r="J40" s="186"/>
      <c r="K40" s="187"/>
      <c r="L40" s="574"/>
      <c r="M40" s="186"/>
      <c r="N40" s="572"/>
      <c r="O40" s="572"/>
      <c r="P40" s="188"/>
      <c r="Q40" s="188"/>
      <c r="R40" s="185"/>
      <c r="S40" s="182"/>
      <c r="T40" s="573"/>
      <c r="U40" s="188"/>
      <c r="V40" s="188"/>
      <c r="W40" s="185"/>
      <c r="X40" s="182"/>
      <c r="Y40" s="573"/>
      <c r="Z40" s="188"/>
      <c r="AA40" s="188"/>
      <c r="AB40" s="185"/>
      <c r="AC40" s="182"/>
      <c r="AD40" s="573"/>
      <c r="AE40" s="188"/>
      <c r="AF40" s="188"/>
      <c r="AG40" s="185"/>
      <c r="AH40" s="182"/>
      <c r="AI40" s="573"/>
      <c r="AJ40" s="188"/>
      <c r="AK40" s="188"/>
      <c r="AL40" s="185"/>
      <c r="AM40" s="182"/>
      <c r="AN40" s="573"/>
      <c r="AO40" s="188"/>
      <c r="AP40" s="188"/>
      <c r="AQ40" s="185"/>
      <c r="AR40" s="182"/>
      <c r="AS40" s="573"/>
      <c r="AT40" s="188"/>
      <c r="AU40" s="188"/>
      <c r="AV40" s="185"/>
      <c r="AW40" s="182"/>
      <c r="AX40" s="573"/>
    </row>
    <row r="41" spans="2:50" ht="14.25" customHeight="1">
      <c r="B41" s="572"/>
      <c r="C41" s="180">
        <v>15</v>
      </c>
      <c r="D41" s="183"/>
      <c r="E41" s="180"/>
      <c r="F41" s="180"/>
      <c r="G41" s="185"/>
      <c r="H41" s="573"/>
      <c r="I41" s="186"/>
      <c r="J41" s="186"/>
      <c r="K41" s="187"/>
      <c r="L41" s="574"/>
      <c r="M41" s="186"/>
      <c r="N41" s="572"/>
      <c r="O41" s="572"/>
      <c r="P41" s="188"/>
      <c r="Q41" s="188"/>
      <c r="R41" s="185"/>
      <c r="S41" s="182"/>
      <c r="T41" s="573"/>
      <c r="U41" s="188"/>
      <c r="V41" s="188"/>
      <c r="W41" s="185"/>
      <c r="X41" s="182"/>
      <c r="Y41" s="573"/>
      <c r="Z41" s="188"/>
      <c r="AA41" s="188"/>
      <c r="AB41" s="185"/>
      <c r="AC41" s="182"/>
      <c r="AD41" s="573"/>
      <c r="AE41" s="188"/>
      <c r="AF41" s="188"/>
      <c r="AG41" s="185"/>
      <c r="AH41" s="182"/>
      <c r="AI41" s="573"/>
      <c r="AJ41" s="188"/>
      <c r="AK41" s="188"/>
      <c r="AL41" s="185"/>
      <c r="AM41" s="182"/>
      <c r="AN41" s="573"/>
      <c r="AO41" s="188"/>
      <c r="AP41" s="188"/>
      <c r="AQ41" s="185"/>
      <c r="AR41" s="182"/>
      <c r="AS41" s="573"/>
      <c r="AT41" s="188"/>
      <c r="AU41" s="188"/>
      <c r="AV41" s="185"/>
      <c r="AW41" s="182"/>
      <c r="AX41" s="573"/>
    </row>
  </sheetData>
  <mergeCells count="118"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P24:S24"/>
    <mergeCell ref="T24:T26"/>
    <mergeCell ref="U24:X24"/>
    <mergeCell ref="Y24:Y26"/>
    <mergeCell ref="Z24:AC24"/>
    <mergeCell ref="AD24:AD26"/>
    <mergeCell ref="AE24:AH24"/>
    <mergeCell ref="AI24:AI26"/>
    <mergeCell ref="AJ24:AM24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X27:AX4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S27:AS4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FFFFCC"/>
  </sheetPr>
  <dimension ref="A1:AX41"/>
  <sheetViews>
    <sheetView zoomScaleNormal="100" workbookViewId="0">
      <pane xSplit="13" ySplit="1" topLeftCell="N17" activePane="bottomRight" state="frozen"/>
      <selection activeCell="L95" sqref="L95"/>
      <selection pane="topRight" activeCell="L95" sqref="L95"/>
      <selection pane="bottomLeft" activeCell="L95" sqref="L95"/>
      <selection pane="bottomRight" activeCell="AW27" sqref="AW27:AW30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51" width="9" style="78" customWidth="1"/>
    <col min="52" max="16384" width="8.81640625" style="78"/>
  </cols>
  <sheetData>
    <row r="1" spans="1:50" ht="24.5">
      <c r="A1" s="74"/>
      <c r="B1" s="355" t="s">
        <v>683</v>
      </c>
      <c r="C1" s="175">
        <f>AVERAGE(L27)</f>
        <v>121.82807875885263</v>
      </c>
    </row>
    <row r="2" spans="1:50" ht="14.25" customHeight="1">
      <c r="B2" s="586" t="s">
        <v>638</v>
      </c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8"/>
      <c r="N2" s="606" t="s">
        <v>364</v>
      </c>
      <c r="O2" s="606" t="s">
        <v>105</v>
      </c>
      <c r="P2" s="608">
        <v>46168</v>
      </c>
      <c r="Q2" s="609"/>
      <c r="R2" s="609"/>
      <c r="S2" s="609"/>
      <c r="T2" s="609"/>
      <c r="U2" s="610">
        <v>46169</v>
      </c>
      <c r="V2" s="611"/>
      <c r="W2" s="611"/>
      <c r="X2" s="611"/>
      <c r="Y2" s="611"/>
      <c r="Z2" s="608">
        <v>46170</v>
      </c>
      <c r="AA2" s="609"/>
      <c r="AB2" s="609"/>
      <c r="AC2" s="609"/>
      <c r="AD2" s="609"/>
      <c r="AE2" s="610">
        <v>46171</v>
      </c>
      <c r="AF2" s="611"/>
      <c r="AG2" s="611"/>
      <c r="AH2" s="611"/>
      <c r="AI2" s="611"/>
      <c r="AJ2" s="598">
        <v>46172</v>
      </c>
      <c r="AK2" s="599"/>
      <c r="AL2" s="599"/>
      <c r="AM2" s="599"/>
      <c r="AN2" s="600"/>
      <c r="AO2" s="610">
        <v>46173</v>
      </c>
      <c r="AP2" s="611"/>
      <c r="AQ2" s="611"/>
      <c r="AR2" s="611"/>
      <c r="AS2" s="611"/>
      <c r="AT2" s="598">
        <v>46174</v>
      </c>
      <c r="AU2" s="599"/>
      <c r="AV2" s="599"/>
      <c r="AW2" s="599"/>
      <c r="AX2" s="600"/>
    </row>
    <row r="3" spans="1:50" ht="14.25" customHeight="1"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90"/>
      <c r="N3" s="607"/>
      <c r="O3" s="607"/>
      <c r="P3" s="601">
        <v>46168</v>
      </c>
      <c r="Q3" s="601"/>
      <c r="R3" s="601"/>
      <c r="S3" s="601"/>
      <c r="T3" s="601"/>
      <c r="U3" s="602">
        <v>46169</v>
      </c>
      <c r="V3" s="602"/>
      <c r="W3" s="602"/>
      <c r="X3" s="602"/>
      <c r="Y3" s="602"/>
      <c r="Z3" s="601">
        <v>46170</v>
      </c>
      <c r="AA3" s="601"/>
      <c r="AB3" s="601"/>
      <c r="AC3" s="601"/>
      <c r="AD3" s="601"/>
      <c r="AE3" s="602">
        <v>46171</v>
      </c>
      <c r="AF3" s="602"/>
      <c r="AG3" s="602"/>
      <c r="AH3" s="602"/>
      <c r="AI3" s="602"/>
      <c r="AJ3" s="603">
        <v>46172</v>
      </c>
      <c r="AK3" s="604"/>
      <c r="AL3" s="604"/>
      <c r="AM3" s="604"/>
      <c r="AN3" s="605"/>
      <c r="AO3" s="602">
        <v>46173</v>
      </c>
      <c r="AP3" s="602"/>
      <c r="AQ3" s="602"/>
      <c r="AR3" s="602"/>
      <c r="AS3" s="602"/>
      <c r="AT3" s="603">
        <v>46174</v>
      </c>
      <c r="AU3" s="604"/>
      <c r="AV3" s="604"/>
      <c r="AW3" s="604"/>
      <c r="AX3" s="605"/>
    </row>
    <row r="4" spans="1:50" ht="14.25" customHeight="1">
      <c r="B4" s="572" t="s">
        <v>162</v>
      </c>
      <c r="C4" s="572" t="s">
        <v>157</v>
      </c>
      <c r="D4" s="572"/>
      <c r="E4" s="572" t="s">
        <v>158</v>
      </c>
      <c r="F4" s="572"/>
      <c r="G4" s="572"/>
      <c r="H4" s="572" t="s">
        <v>163</v>
      </c>
      <c r="I4" s="576" t="s">
        <v>365</v>
      </c>
      <c r="J4" s="576"/>
      <c r="K4" s="576"/>
      <c r="L4" s="576" t="s">
        <v>163</v>
      </c>
      <c r="M4" s="576" t="s">
        <v>165</v>
      </c>
      <c r="N4" s="572"/>
      <c r="O4" s="572" t="s">
        <v>164</v>
      </c>
      <c r="P4" s="572" t="s">
        <v>160</v>
      </c>
      <c r="Q4" s="572"/>
      <c r="R4" s="572"/>
      <c r="S4" s="572"/>
      <c r="T4" s="572" t="s">
        <v>163</v>
      </c>
      <c r="U4" s="572" t="s">
        <v>160</v>
      </c>
      <c r="V4" s="572"/>
      <c r="W4" s="572"/>
      <c r="X4" s="572"/>
      <c r="Y4" s="572" t="s">
        <v>163</v>
      </c>
      <c r="Z4" s="572" t="s">
        <v>160</v>
      </c>
      <c r="AA4" s="572"/>
      <c r="AB4" s="572"/>
      <c r="AC4" s="572"/>
      <c r="AD4" s="572" t="s">
        <v>163</v>
      </c>
      <c r="AE4" s="572" t="s">
        <v>160</v>
      </c>
      <c r="AF4" s="572"/>
      <c r="AG4" s="572"/>
      <c r="AH4" s="572"/>
      <c r="AI4" s="572" t="s">
        <v>163</v>
      </c>
      <c r="AJ4" s="572" t="s">
        <v>160</v>
      </c>
      <c r="AK4" s="572"/>
      <c r="AL4" s="572"/>
      <c r="AM4" s="572"/>
      <c r="AN4" s="572" t="s">
        <v>163</v>
      </c>
      <c r="AO4" s="572" t="s">
        <v>160</v>
      </c>
      <c r="AP4" s="572"/>
      <c r="AQ4" s="572"/>
      <c r="AR4" s="572"/>
      <c r="AS4" s="572" t="s">
        <v>163</v>
      </c>
      <c r="AT4" s="572" t="s">
        <v>160</v>
      </c>
      <c r="AU4" s="572"/>
      <c r="AV4" s="572"/>
      <c r="AW4" s="572"/>
      <c r="AX4" s="572" t="s">
        <v>163</v>
      </c>
    </row>
    <row r="5" spans="1:50" ht="14.25" customHeight="1">
      <c r="B5" s="572"/>
      <c r="C5" s="572"/>
      <c r="D5" s="572"/>
      <c r="E5" s="572" t="s">
        <v>366</v>
      </c>
      <c r="F5" s="572"/>
      <c r="G5" s="572"/>
      <c r="H5" s="572"/>
      <c r="I5" s="576" t="s">
        <v>366</v>
      </c>
      <c r="J5" s="576"/>
      <c r="K5" s="576"/>
      <c r="L5" s="576"/>
      <c r="M5" s="576"/>
      <c r="N5" s="572"/>
      <c r="O5" s="572"/>
      <c r="P5" s="572" t="s">
        <v>367</v>
      </c>
      <c r="Q5" s="572"/>
      <c r="R5" s="572"/>
      <c r="S5" s="572"/>
      <c r="T5" s="572"/>
      <c r="U5" s="572" t="s">
        <v>367</v>
      </c>
      <c r="V5" s="572"/>
      <c r="W5" s="572"/>
      <c r="X5" s="572"/>
      <c r="Y5" s="572"/>
      <c r="Z5" s="572" t="s">
        <v>367</v>
      </c>
      <c r="AA5" s="572"/>
      <c r="AB5" s="572"/>
      <c r="AC5" s="572"/>
      <c r="AD5" s="572"/>
      <c r="AE5" s="572" t="s">
        <v>367</v>
      </c>
      <c r="AF5" s="572"/>
      <c r="AG5" s="572"/>
      <c r="AH5" s="572"/>
      <c r="AI5" s="572"/>
      <c r="AJ5" s="572" t="s">
        <v>367</v>
      </c>
      <c r="AK5" s="572"/>
      <c r="AL5" s="572"/>
      <c r="AM5" s="572"/>
      <c r="AN5" s="572"/>
      <c r="AO5" s="572" t="s">
        <v>367</v>
      </c>
      <c r="AP5" s="572"/>
      <c r="AQ5" s="572"/>
      <c r="AR5" s="572"/>
      <c r="AS5" s="572"/>
      <c r="AT5" s="572" t="s">
        <v>367</v>
      </c>
      <c r="AU5" s="572"/>
      <c r="AV5" s="572"/>
      <c r="AW5" s="572"/>
      <c r="AX5" s="572"/>
    </row>
    <row r="6" spans="1:50" ht="14.25" customHeight="1">
      <c r="B6" s="572"/>
      <c r="C6" s="572"/>
      <c r="D6" s="572"/>
      <c r="E6" s="180" t="s">
        <v>159</v>
      </c>
      <c r="F6" s="180" t="s">
        <v>368</v>
      </c>
      <c r="G6" s="180" t="s">
        <v>161</v>
      </c>
      <c r="H6" s="572"/>
      <c r="I6" s="181" t="s">
        <v>159</v>
      </c>
      <c r="J6" s="181" t="s">
        <v>368</v>
      </c>
      <c r="K6" s="181" t="s">
        <v>161</v>
      </c>
      <c r="L6" s="576"/>
      <c r="M6" s="576"/>
      <c r="N6" s="572"/>
      <c r="O6" s="572"/>
      <c r="P6" s="180" t="s">
        <v>159</v>
      </c>
      <c r="Q6" s="180" t="s">
        <v>368</v>
      </c>
      <c r="R6" s="180" t="s">
        <v>161</v>
      </c>
      <c r="S6" s="182" t="s">
        <v>165</v>
      </c>
      <c r="T6" s="572"/>
      <c r="U6" s="180" t="s">
        <v>159</v>
      </c>
      <c r="V6" s="180" t="s">
        <v>368</v>
      </c>
      <c r="W6" s="180" t="s">
        <v>161</v>
      </c>
      <c r="X6" s="182" t="s">
        <v>165</v>
      </c>
      <c r="Y6" s="572"/>
      <c r="Z6" s="180" t="s">
        <v>159</v>
      </c>
      <c r="AA6" s="180" t="s">
        <v>368</v>
      </c>
      <c r="AB6" s="180" t="s">
        <v>161</v>
      </c>
      <c r="AC6" s="182" t="s">
        <v>165</v>
      </c>
      <c r="AD6" s="572"/>
      <c r="AE6" s="180" t="s">
        <v>159</v>
      </c>
      <c r="AF6" s="180" t="s">
        <v>368</v>
      </c>
      <c r="AG6" s="180" t="s">
        <v>161</v>
      </c>
      <c r="AH6" s="182" t="s">
        <v>165</v>
      </c>
      <c r="AI6" s="572"/>
      <c r="AJ6" s="180" t="s">
        <v>159</v>
      </c>
      <c r="AK6" s="180" t="s">
        <v>368</v>
      </c>
      <c r="AL6" s="180" t="s">
        <v>161</v>
      </c>
      <c r="AM6" s="182" t="s">
        <v>165</v>
      </c>
      <c r="AN6" s="572"/>
      <c r="AO6" s="180" t="s">
        <v>159</v>
      </c>
      <c r="AP6" s="180" t="s">
        <v>368</v>
      </c>
      <c r="AQ6" s="180" t="s">
        <v>161</v>
      </c>
      <c r="AR6" s="182" t="s">
        <v>165</v>
      </c>
      <c r="AS6" s="572"/>
      <c r="AT6" s="180" t="s">
        <v>159</v>
      </c>
      <c r="AU6" s="180" t="s">
        <v>368</v>
      </c>
      <c r="AV6" s="180" t="s">
        <v>161</v>
      </c>
      <c r="AW6" s="182" t="s">
        <v>165</v>
      </c>
      <c r="AX6" s="572"/>
    </row>
    <row r="7" spans="1:50" ht="14.25" customHeight="1">
      <c r="B7" s="572" t="s">
        <v>143</v>
      </c>
      <c r="C7" s="180">
        <v>1</v>
      </c>
      <c r="D7" s="183" t="s">
        <v>355</v>
      </c>
      <c r="E7" s="180">
        <v>13</v>
      </c>
      <c r="F7" s="180">
        <v>1200</v>
      </c>
      <c r="G7" s="185">
        <f t="shared" ref="G7:G10" si="0">F7/E7</f>
        <v>92.307692307692307</v>
      </c>
      <c r="H7" s="573">
        <f>AVERAGE(G7:G21)</f>
        <v>136.71328671328672</v>
      </c>
      <c r="I7" s="186">
        <f>AVERAGE(P7,U7,Z7,AE7,AJ7,AO7,AT7)</f>
        <v>13</v>
      </c>
      <c r="J7" s="186">
        <f>AVERAGE(Q7,V7,AA7,AF7,AK7,AP7,AU7)</f>
        <v>1079.9105606466485</v>
      </c>
      <c r="K7" s="187">
        <f>AVERAGE(R7,W7,AB7,AG7,AL7,AQ7,AV7)</f>
        <v>83.070043126665269</v>
      </c>
      <c r="L7" s="574">
        <f>IFERROR(AVERAGE(K7:K21),"-")</f>
        <v>114.90234457160523</v>
      </c>
      <c r="M7" s="186">
        <f>RANK(K7, K$7:$K$21)</f>
        <v>3</v>
      </c>
      <c r="N7" s="572"/>
      <c r="O7" s="572"/>
      <c r="P7" s="188">
        <v>13</v>
      </c>
      <c r="Q7" s="188">
        <v>1080.6477035037913</v>
      </c>
      <c r="R7" s="185">
        <f>IFERROR(Q7/P7,"")</f>
        <v>83.126746423368559</v>
      </c>
      <c r="S7" s="182">
        <f>RANK(R7, R$7:R$931)</f>
        <v>3</v>
      </c>
      <c r="T7" s="573">
        <f>AVERAGE(R7:R21)</f>
        <v>83.126746423368559</v>
      </c>
      <c r="U7" s="188">
        <v>13</v>
      </c>
      <c r="V7" s="188">
        <v>1080.5277035037911</v>
      </c>
      <c r="W7" s="185">
        <f t="shared" ref="W7" si="1">IFERROR(V7/U7,"")</f>
        <v>83.117515654137776</v>
      </c>
      <c r="X7" s="182">
        <f>RANK(W7, W$7:W$931)</f>
        <v>3</v>
      </c>
      <c r="Y7" s="573">
        <f>AVERAGE(W7:W21)</f>
        <v>83.117515654137776</v>
      </c>
      <c r="Z7" s="188">
        <v>13</v>
      </c>
      <c r="AA7" s="188">
        <v>1080.407703503791</v>
      </c>
      <c r="AB7" s="185">
        <f t="shared" ref="AB7" si="2">IFERROR(AA7/Z7,"")</f>
        <v>83.108284884907007</v>
      </c>
      <c r="AC7" s="182">
        <f>RANK(AB7, AB$7:AB$931)</f>
        <v>3</v>
      </c>
      <c r="AD7" s="573">
        <f>AVERAGE(AB7:AB21)</f>
        <v>83.108284884907007</v>
      </c>
      <c r="AE7" s="188">
        <v>13</v>
      </c>
      <c r="AF7" s="188">
        <v>1079.9277035037912</v>
      </c>
      <c r="AG7" s="185">
        <f>IFERROR(AF7/AE7,"")</f>
        <v>83.071361807983948</v>
      </c>
      <c r="AH7" s="182">
        <f>RANK(AG7, AG$7:AG$931)</f>
        <v>3</v>
      </c>
      <c r="AI7" s="573">
        <f>AVERAGE(AG7:AG21)</f>
        <v>83.071361807983948</v>
      </c>
      <c r="AJ7" s="188">
        <v>13</v>
      </c>
      <c r="AK7" s="188">
        <v>1079.5677035037916</v>
      </c>
      <c r="AL7" s="185">
        <f t="shared" ref="AL7" si="3">IFERROR(AK7/AJ7,"")</f>
        <v>83.043669500291657</v>
      </c>
      <c r="AM7" s="182">
        <f>RANK(AL7, AL$7:AL$931)</f>
        <v>3</v>
      </c>
      <c r="AN7" s="573">
        <f>AVERAGE(AL7:AL21)</f>
        <v>83.043669500291657</v>
      </c>
      <c r="AO7" s="188">
        <v>13</v>
      </c>
      <c r="AP7" s="188">
        <v>1079.2077035037917</v>
      </c>
      <c r="AQ7" s="185">
        <f t="shared" ref="AQ7:AQ10" si="4">IFERROR(AP7/AO7,"")</f>
        <v>83.015977192599365</v>
      </c>
      <c r="AR7" s="182">
        <f>RANK(AQ7, AQ$7:AQ$931)</f>
        <v>6</v>
      </c>
      <c r="AS7" s="573">
        <f>AVERAGE(AQ7:AQ21)</f>
        <v>113.93499535029457</v>
      </c>
      <c r="AT7" s="188">
        <v>13</v>
      </c>
      <c r="AU7" s="188">
        <v>1079.0877035037918</v>
      </c>
      <c r="AV7" s="185">
        <f t="shared" ref="AV7:AV10" si="5">IFERROR(AU7/AT7,"")</f>
        <v>83.006746423368597</v>
      </c>
      <c r="AW7" s="182">
        <f>RANK(AV7, AV$7:AV$931)</f>
        <v>6</v>
      </c>
      <c r="AX7" s="573">
        <f>AVERAGE(AV7:AV21)</f>
        <v>115.84035313357522</v>
      </c>
    </row>
    <row r="8" spans="1:50" ht="14.25" customHeight="1">
      <c r="B8" s="572"/>
      <c r="C8" s="180">
        <v>2</v>
      </c>
      <c r="D8" s="183" t="s">
        <v>642</v>
      </c>
      <c r="E8" s="180">
        <v>11</v>
      </c>
      <c r="F8" s="180">
        <v>2000</v>
      </c>
      <c r="G8" s="185">
        <f t="shared" si="0"/>
        <v>181.81818181818181</v>
      </c>
      <c r="H8" s="573"/>
      <c r="I8" s="186">
        <f t="shared" ref="I8:K10" si="6">AVERAGE(P8,U8,Z8,AE8,AJ8,AO8,AT8)</f>
        <v>11</v>
      </c>
      <c r="J8" s="186">
        <f t="shared" si="6"/>
        <v>1659.5514821747352</v>
      </c>
      <c r="K8" s="187">
        <f t="shared" si="6"/>
        <v>150.86831656133955</v>
      </c>
      <c r="L8" s="574"/>
      <c r="M8" s="186">
        <f>RANK(K8, K$7:$K$21)</f>
        <v>1</v>
      </c>
      <c r="N8" s="572"/>
      <c r="O8" s="572"/>
      <c r="P8" s="188"/>
      <c r="Q8" s="188"/>
      <c r="R8" s="185"/>
      <c r="S8" s="182"/>
      <c r="T8" s="573"/>
      <c r="U8" s="188"/>
      <c r="V8" s="188"/>
      <c r="W8" s="185"/>
      <c r="X8" s="182"/>
      <c r="Y8" s="573"/>
      <c r="Z8" s="188"/>
      <c r="AA8" s="188"/>
      <c r="AB8" s="185"/>
      <c r="AC8" s="182"/>
      <c r="AD8" s="573"/>
      <c r="AE8" s="188"/>
      <c r="AF8" s="188"/>
      <c r="AG8" s="185"/>
      <c r="AH8" s="182"/>
      <c r="AI8" s="573"/>
      <c r="AJ8" s="188"/>
      <c r="AK8" s="188"/>
      <c r="AL8" s="185"/>
      <c r="AM8" s="182"/>
      <c r="AN8" s="573"/>
      <c r="AO8" s="188">
        <v>11</v>
      </c>
      <c r="AP8" s="188">
        <v>1642.8173090838961</v>
      </c>
      <c r="AQ8" s="185">
        <f t="shared" si="4"/>
        <v>149.34702809853601</v>
      </c>
      <c r="AR8" s="182">
        <f t="shared" ref="AR8:AR10" si="7">RANK(AQ8, AQ$7:AQ$931)</f>
        <v>3</v>
      </c>
      <c r="AS8" s="573"/>
      <c r="AT8" s="188">
        <v>11</v>
      </c>
      <c r="AU8" s="188">
        <v>1676.2856552655742</v>
      </c>
      <c r="AV8" s="185">
        <f t="shared" si="5"/>
        <v>152.38960502414309</v>
      </c>
      <c r="AW8" s="182">
        <f t="shared" ref="AW8:AW10" si="8">RANK(AV8, AV$7:AV$931)</f>
        <v>3</v>
      </c>
      <c r="AX8" s="573"/>
    </row>
    <row r="9" spans="1:50" ht="14.25" customHeight="1">
      <c r="B9" s="572"/>
      <c r="C9" s="180">
        <v>3</v>
      </c>
      <c r="D9" s="183" t="s">
        <v>643</v>
      </c>
      <c r="E9" s="180">
        <v>22</v>
      </c>
      <c r="F9" s="180">
        <v>2000</v>
      </c>
      <c r="G9" s="185">
        <f t="shared" si="0"/>
        <v>90.909090909090907</v>
      </c>
      <c r="H9" s="573"/>
      <c r="I9" s="186">
        <f t="shared" si="6"/>
        <v>22</v>
      </c>
      <c r="J9" s="186">
        <f t="shared" si="6"/>
        <v>1646.6060000000002</v>
      </c>
      <c r="K9" s="187">
        <f t="shared" si="6"/>
        <v>74.845727272727288</v>
      </c>
      <c r="L9" s="574"/>
      <c r="M9" s="186">
        <f>RANK(K9, K$7:$K$21)</f>
        <v>4</v>
      </c>
      <c r="N9" s="572"/>
      <c r="O9" s="572"/>
      <c r="P9" s="188"/>
      <c r="Q9" s="188"/>
      <c r="R9" s="185"/>
      <c r="S9" s="182"/>
      <c r="T9" s="573"/>
      <c r="U9" s="188"/>
      <c r="V9" s="188"/>
      <c r="W9" s="185"/>
      <c r="X9" s="182"/>
      <c r="Y9" s="573"/>
      <c r="Z9" s="188"/>
      <c r="AA9" s="188"/>
      <c r="AB9" s="185"/>
      <c r="AC9" s="182"/>
      <c r="AD9" s="573"/>
      <c r="AE9" s="188"/>
      <c r="AF9" s="188"/>
      <c r="AG9" s="185"/>
      <c r="AH9" s="182"/>
      <c r="AI9" s="573"/>
      <c r="AJ9" s="188"/>
      <c r="AK9" s="188"/>
      <c r="AL9" s="185"/>
      <c r="AM9" s="182"/>
      <c r="AN9" s="573"/>
      <c r="AO9" s="188">
        <v>22</v>
      </c>
      <c r="AP9" s="188">
        <v>1630</v>
      </c>
      <c r="AQ9" s="185">
        <f t="shared" si="4"/>
        <v>74.090909090909093</v>
      </c>
      <c r="AR9" s="182">
        <f t="shared" si="7"/>
        <v>8</v>
      </c>
      <c r="AS9" s="573"/>
      <c r="AT9" s="188">
        <v>22</v>
      </c>
      <c r="AU9" s="188">
        <v>1663.2120000000004</v>
      </c>
      <c r="AV9" s="185">
        <f t="shared" si="5"/>
        <v>75.600545454545468</v>
      </c>
      <c r="AW9" s="182">
        <f t="shared" si="8"/>
        <v>8</v>
      </c>
      <c r="AX9" s="573"/>
    </row>
    <row r="10" spans="1:50" ht="14.25" customHeight="1">
      <c r="B10" s="572"/>
      <c r="C10" s="180">
        <v>4</v>
      </c>
      <c r="D10" s="183" t="s">
        <v>644</v>
      </c>
      <c r="E10" s="180">
        <v>11</v>
      </c>
      <c r="F10" s="180">
        <v>2000</v>
      </c>
      <c r="G10" s="185">
        <f t="shared" si="0"/>
        <v>181.81818181818181</v>
      </c>
      <c r="H10" s="573"/>
      <c r="I10" s="186">
        <f t="shared" si="6"/>
        <v>11</v>
      </c>
      <c r="J10" s="186">
        <f t="shared" si="6"/>
        <v>1659.0782045825765</v>
      </c>
      <c r="K10" s="187">
        <f t="shared" si="6"/>
        <v>150.8252913256888</v>
      </c>
      <c r="L10" s="574"/>
      <c r="M10" s="186">
        <f>RANK(K10, K$7:$K$21)</f>
        <v>2</v>
      </c>
      <c r="N10" s="572"/>
      <c r="O10" s="572"/>
      <c r="P10" s="188"/>
      <c r="Q10" s="188"/>
      <c r="R10" s="185"/>
      <c r="S10" s="182"/>
      <c r="T10" s="573"/>
      <c r="U10" s="188"/>
      <c r="V10" s="188"/>
      <c r="W10" s="185"/>
      <c r="X10" s="182"/>
      <c r="Y10" s="573"/>
      <c r="Z10" s="188"/>
      <c r="AA10" s="188"/>
      <c r="AB10" s="185"/>
      <c r="AC10" s="182"/>
      <c r="AD10" s="573"/>
      <c r="AE10" s="188"/>
      <c r="AF10" s="188"/>
      <c r="AG10" s="185"/>
      <c r="AH10" s="182"/>
      <c r="AI10" s="573"/>
      <c r="AJ10" s="188"/>
      <c r="AK10" s="188"/>
      <c r="AL10" s="185"/>
      <c r="AM10" s="182"/>
      <c r="AN10" s="573"/>
      <c r="AO10" s="188">
        <v>11</v>
      </c>
      <c r="AP10" s="188">
        <v>1642.1467372104719</v>
      </c>
      <c r="AQ10" s="185">
        <f t="shared" si="4"/>
        <v>149.28606701913381</v>
      </c>
      <c r="AR10" s="182">
        <f t="shared" si="7"/>
        <v>4</v>
      </c>
      <c r="AS10" s="573"/>
      <c r="AT10" s="188">
        <v>11</v>
      </c>
      <c r="AU10" s="188">
        <v>1676.0096719546812</v>
      </c>
      <c r="AV10" s="185">
        <f t="shared" si="5"/>
        <v>152.36451563224375</v>
      </c>
      <c r="AW10" s="182">
        <f t="shared" si="8"/>
        <v>4</v>
      </c>
      <c r="AX10" s="573"/>
    </row>
    <row r="11" spans="1:50" ht="14.25" customHeight="1">
      <c r="B11" s="572"/>
      <c r="C11" s="180">
        <v>5</v>
      </c>
      <c r="D11" s="183"/>
      <c r="E11" s="180"/>
      <c r="F11" s="180"/>
      <c r="G11" s="185"/>
      <c r="H11" s="573"/>
      <c r="I11" s="186"/>
      <c r="J11" s="186"/>
      <c r="K11" s="187"/>
      <c r="L11" s="574"/>
      <c r="M11" s="186"/>
      <c r="N11" s="572"/>
      <c r="O11" s="572"/>
      <c r="P11" s="188"/>
      <c r="Q11" s="188"/>
      <c r="R11" s="185"/>
      <c r="S11" s="182"/>
      <c r="T11" s="573"/>
      <c r="U11" s="188"/>
      <c r="V11" s="188"/>
      <c r="W11" s="185"/>
      <c r="X11" s="182"/>
      <c r="Y11" s="573"/>
      <c r="Z11" s="188"/>
      <c r="AA11" s="188"/>
      <c r="AB11" s="185"/>
      <c r="AC11" s="182"/>
      <c r="AD11" s="573"/>
      <c r="AE11" s="188"/>
      <c r="AF11" s="188"/>
      <c r="AG11" s="185"/>
      <c r="AH11" s="182"/>
      <c r="AI11" s="573"/>
      <c r="AJ11" s="188"/>
      <c r="AK11" s="188"/>
      <c r="AL11" s="185"/>
      <c r="AM11" s="182"/>
      <c r="AN11" s="573"/>
      <c r="AO11" s="188"/>
      <c r="AP11" s="188"/>
      <c r="AQ11" s="185"/>
      <c r="AR11" s="182"/>
      <c r="AS11" s="573"/>
      <c r="AT11" s="188"/>
      <c r="AU11" s="188"/>
      <c r="AV11" s="185"/>
      <c r="AW11" s="182"/>
      <c r="AX11" s="573"/>
    </row>
    <row r="12" spans="1:50" ht="14.25" customHeight="1">
      <c r="B12" s="572"/>
      <c r="C12" s="180">
        <v>6</v>
      </c>
      <c r="D12" s="183"/>
      <c r="E12" s="180"/>
      <c r="F12" s="180"/>
      <c r="G12" s="185"/>
      <c r="H12" s="573"/>
      <c r="I12" s="186"/>
      <c r="J12" s="186"/>
      <c r="K12" s="187"/>
      <c r="L12" s="574"/>
      <c r="M12" s="186"/>
      <c r="N12" s="572"/>
      <c r="O12" s="572"/>
      <c r="P12" s="188"/>
      <c r="Q12" s="188"/>
      <c r="R12" s="185"/>
      <c r="S12" s="182"/>
      <c r="T12" s="573"/>
      <c r="U12" s="188"/>
      <c r="V12" s="188"/>
      <c r="W12" s="185"/>
      <c r="X12" s="182"/>
      <c r="Y12" s="573"/>
      <c r="Z12" s="188"/>
      <c r="AA12" s="188"/>
      <c r="AB12" s="185"/>
      <c r="AC12" s="182"/>
      <c r="AD12" s="573"/>
      <c r="AE12" s="188"/>
      <c r="AF12" s="188"/>
      <c r="AG12" s="185"/>
      <c r="AH12" s="182"/>
      <c r="AI12" s="573"/>
      <c r="AJ12" s="188"/>
      <c r="AK12" s="188"/>
      <c r="AL12" s="185"/>
      <c r="AM12" s="182"/>
      <c r="AN12" s="573"/>
      <c r="AO12" s="188"/>
      <c r="AP12" s="188"/>
      <c r="AQ12" s="185"/>
      <c r="AR12" s="182"/>
      <c r="AS12" s="573"/>
      <c r="AT12" s="188"/>
      <c r="AU12" s="188"/>
      <c r="AV12" s="185"/>
      <c r="AW12" s="182"/>
      <c r="AX12" s="573"/>
    </row>
    <row r="13" spans="1:50" ht="14.25" customHeight="1">
      <c r="B13" s="572"/>
      <c r="C13" s="180">
        <v>7</v>
      </c>
      <c r="D13" s="183"/>
      <c r="E13" s="180"/>
      <c r="F13" s="180"/>
      <c r="G13" s="185"/>
      <c r="H13" s="573"/>
      <c r="I13" s="186"/>
      <c r="J13" s="186"/>
      <c r="K13" s="187"/>
      <c r="L13" s="574"/>
      <c r="M13" s="186"/>
      <c r="N13" s="572"/>
      <c r="O13" s="572"/>
      <c r="P13" s="188"/>
      <c r="Q13" s="188"/>
      <c r="R13" s="185"/>
      <c r="S13" s="182"/>
      <c r="T13" s="573"/>
      <c r="U13" s="188"/>
      <c r="V13" s="188"/>
      <c r="W13" s="185"/>
      <c r="X13" s="182"/>
      <c r="Y13" s="573"/>
      <c r="Z13" s="188"/>
      <c r="AA13" s="188"/>
      <c r="AB13" s="185"/>
      <c r="AC13" s="182"/>
      <c r="AD13" s="573"/>
      <c r="AE13" s="188"/>
      <c r="AF13" s="188"/>
      <c r="AG13" s="185"/>
      <c r="AH13" s="182"/>
      <c r="AI13" s="573"/>
      <c r="AJ13" s="188"/>
      <c r="AK13" s="188"/>
      <c r="AL13" s="185"/>
      <c r="AM13" s="182"/>
      <c r="AN13" s="573"/>
      <c r="AO13" s="188"/>
      <c r="AP13" s="188"/>
      <c r="AQ13" s="185"/>
      <c r="AR13" s="182"/>
      <c r="AS13" s="573"/>
      <c r="AT13" s="188"/>
      <c r="AU13" s="188"/>
      <c r="AV13" s="185"/>
      <c r="AW13" s="182"/>
      <c r="AX13" s="573"/>
    </row>
    <row r="14" spans="1:50" ht="14.25" customHeight="1">
      <c r="B14" s="572"/>
      <c r="C14" s="180">
        <v>8</v>
      </c>
      <c r="D14" s="183"/>
      <c r="E14" s="180"/>
      <c r="F14" s="180"/>
      <c r="G14" s="185"/>
      <c r="H14" s="573"/>
      <c r="I14" s="186"/>
      <c r="J14" s="186"/>
      <c r="K14" s="187"/>
      <c r="L14" s="574"/>
      <c r="M14" s="186"/>
      <c r="N14" s="572"/>
      <c r="O14" s="572"/>
      <c r="P14" s="188"/>
      <c r="Q14" s="188"/>
      <c r="R14" s="185"/>
      <c r="S14" s="182"/>
      <c r="T14" s="573"/>
      <c r="U14" s="188"/>
      <c r="V14" s="188"/>
      <c r="W14" s="185"/>
      <c r="X14" s="182"/>
      <c r="Y14" s="573"/>
      <c r="Z14" s="188"/>
      <c r="AA14" s="188"/>
      <c r="AB14" s="185"/>
      <c r="AC14" s="182"/>
      <c r="AD14" s="573"/>
      <c r="AE14" s="188"/>
      <c r="AF14" s="188"/>
      <c r="AG14" s="185"/>
      <c r="AH14" s="182"/>
      <c r="AI14" s="573"/>
      <c r="AJ14" s="188"/>
      <c r="AK14" s="188"/>
      <c r="AL14" s="185"/>
      <c r="AM14" s="182"/>
      <c r="AN14" s="573"/>
      <c r="AO14" s="188"/>
      <c r="AP14" s="188"/>
      <c r="AQ14" s="185"/>
      <c r="AR14" s="182"/>
      <c r="AS14" s="573"/>
      <c r="AT14" s="188"/>
      <c r="AU14" s="188"/>
      <c r="AV14" s="185"/>
      <c r="AW14" s="182"/>
      <c r="AX14" s="573"/>
    </row>
    <row r="15" spans="1:50" ht="14.25" customHeight="1">
      <c r="B15" s="572"/>
      <c r="C15" s="180">
        <v>9</v>
      </c>
      <c r="D15" s="183"/>
      <c r="E15" s="180"/>
      <c r="F15" s="180"/>
      <c r="G15" s="185"/>
      <c r="H15" s="573"/>
      <c r="I15" s="186"/>
      <c r="J15" s="186"/>
      <c r="K15" s="187"/>
      <c r="L15" s="574"/>
      <c r="M15" s="186"/>
      <c r="N15" s="572"/>
      <c r="O15" s="572"/>
      <c r="P15" s="188"/>
      <c r="Q15" s="188"/>
      <c r="R15" s="185"/>
      <c r="S15" s="182"/>
      <c r="T15" s="573"/>
      <c r="U15" s="188"/>
      <c r="V15" s="188"/>
      <c r="W15" s="185"/>
      <c r="X15" s="182"/>
      <c r="Y15" s="573"/>
      <c r="Z15" s="188"/>
      <c r="AA15" s="188"/>
      <c r="AB15" s="185"/>
      <c r="AC15" s="182"/>
      <c r="AD15" s="573"/>
      <c r="AE15" s="188"/>
      <c r="AF15" s="188"/>
      <c r="AG15" s="185"/>
      <c r="AH15" s="182"/>
      <c r="AI15" s="573"/>
      <c r="AJ15" s="188"/>
      <c r="AK15" s="188"/>
      <c r="AL15" s="185"/>
      <c r="AM15" s="182"/>
      <c r="AN15" s="573"/>
      <c r="AO15" s="188"/>
      <c r="AP15" s="188"/>
      <c r="AQ15" s="185"/>
      <c r="AR15" s="182"/>
      <c r="AS15" s="573"/>
      <c r="AT15" s="188"/>
      <c r="AU15" s="188"/>
      <c r="AV15" s="185"/>
      <c r="AW15" s="182"/>
      <c r="AX15" s="573"/>
    </row>
    <row r="16" spans="1:50" ht="14.25" customHeight="1">
      <c r="B16" s="572"/>
      <c r="C16" s="180">
        <v>10</v>
      </c>
      <c r="D16" s="183"/>
      <c r="E16" s="180"/>
      <c r="F16" s="180"/>
      <c r="G16" s="185"/>
      <c r="H16" s="573"/>
      <c r="I16" s="186"/>
      <c r="J16" s="186"/>
      <c r="K16" s="187"/>
      <c r="L16" s="574"/>
      <c r="M16" s="186"/>
      <c r="N16" s="572"/>
      <c r="O16" s="572"/>
      <c r="P16" s="188"/>
      <c r="Q16" s="188"/>
      <c r="R16" s="185"/>
      <c r="S16" s="182"/>
      <c r="T16" s="573"/>
      <c r="U16" s="188"/>
      <c r="V16" s="188"/>
      <c r="W16" s="185"/>
      <c r="X16" s="182"/>
      <c r="Y16" s="573"/>
      <c r="Z16" s="188"/>
      <c r="AA16" s="188"/>
      <c r="AB16" s="185"/>
      <c r="AC16" s="182"/>
      <c r="AD16" s="573"/>
      <c r="AE16" s="188"/>
      <c r="AF16" s="188"/>
      <c r="AG16" s="185"/>
      <c r="AH16" s="182"/>
      <c r="AI16" s="573"/>
      <c r="AJ16" s="188"/>
      <c r="AK16" s="188"/>
      <c r="AL16" s="185"/>
      <c r="AM16" s="182"/>
      <c r="AN16" s="573"/>
      <c r="AO16" s="188"/>
      <c r="AP16" s="188"/>
      <c r="AQ16" s="185"/>
      <c r="AR16" s="182"/>
      <c r="AS16" s="573"/>
      <c r="AT16" s="188"/>
      <c r="AU16" s="188"/>
      <c r="AV16" s="185"/>
      <c r="AW16" s="182"/>
      <c r="AX16" s="573"/>
    </row>
    <row r="17" spans="2:50" ht="14.25" customHeight="1">
      <c r="B17" s="572"/>
      <c r="C17" s="180">
        <v>11</v>
      </c>
      <c r="D17" s="183"/>
      <c r="E17" s="180"/>
      <c r="F17" s="180"/>
      <c r="G17" s="185"/>
      <c r="H17" s="573"/>
      <c r="I17" s="186"/>
      <c r="J17" s="186"/>
      <c r="K17" s="187"/>
      <c r="L17" s="574"/>
      <c r="M17" s="186"/>
      <c r="N17" s="572"/>
      <c r="O17" s="572"/>
      <c r="P17" s="188"/>
      <c r="Q17" s="188"/>
      <c r="R17" s="185"/>
      <c r="S17" s="182"/>
      <c r="T17" s="573"/>
      <c r="U17" s="188"/>
      <c r="V17" s="188"/>
      <c r="W17" s="185"/>
      <c r="X17" s="182"/>
      <c r="Y17" s="573"/>
      <c r="Z17" s="188"/>
      <c r="AA17" s="188"/>
      <c r="AB17" s="185"/>
      <c r="AC17" s="182"/>
      <c r="AD17" s="573"/>
      <c r="AE17" s="188"/>
      <c r="AF17" s="188"/>
      <c r="AG17" s="185"/>
      <c r="AH17" s="182"/>
      <c r="AI17" s="573"/>
      <c r="AJ17" s="188"/>
      <c r="AK17" s="188"/>
      <c r="AL17" s="185"/>
      <c r="AM17" s="182"/>
      <c r="AN17" s="573"/>
      <c r="AO17" s="188"/>
      <c r="AP17" s="188"/>
      <c r="AQ17" s="185"/>
      <c r="AR17" s="182"/>
      <c r="AS17" s="573"/>
      <c r="AT17" s="188"/>
      <c r="AU17" s="188"/>
      <c r="AV17" s="185"/>
      <c r="AW17" s="182"/>
      <c r="AX17" s="573"/>
    </row>
    <row r="18" spans="2:50" ht="14.25" customHeight="1">
      <c r="B18" s="572"/>
      <c r="C18" s="180">
        <v>12</v>
      </c>
      <c r="D18" s="183"/>
      <c r="E18" s="180"/>
      <c r="F18" s="180"/>
      <c r="G18" s="185"/>
      <c r="H18" s="573"/>
      <c r="I18" s="186"/>
      <c r="J18" s="186"/>
      <c r="K18" s="187"/>
      <c r="L18" s="574"/>
      <c r="M18" s="186"/>
      <c r="N18" s="572"/>
      <c r="O18" s="572"/>
      <c r="P18" s="188"/>
      <c r="Q18" s="188"/>
      <c r="R18" s="185"/>
      <c r="S18" s="182"/>
      <c r="T18" s="573"/>
      <c r="U18" s="188"/>
      <c r="V18" s="188"/>
      <c r="W18" s="185"/>
      <c r="X18" s="182"/>
      <c r="Y18" s="573"/>
      <c r="Z18" s="188"/>
      <c r="AA18" s="188"/>
      <c r="AB18" s="185"/>
      <c r="AC18" s="182"/>
      <c r="AD18" s="573"/>
      <c r="AE18" s="188"/>
      <c r="AF18" s="188"/>
      <c r="AG18" s="185"/>
      <c r="AH18" s="182"/>
      <c r="AI18" s="573"/>
      <c r="AJ18" s="188"/>
      <c r="AK18" s="188"/>
      <c r="AL18" s="185"/>
      <c r="AM18" s="182"/>
      <c r="AN18" s="573"/>
      <c r="AO18" s="188"/>
      <c r="AP18" s="188"/>
      <c r="AQ18" s="185"/>
      <c r="AR18" s="182"/>
      <c r="AS18" s="573"/>
      <c r="AT18" s="188"/>
      <c r="AU18" s="188"/>
      <c r="AV18" s="185"/>
      <c r="AW18" s="182"/>
      <c r="AX18" s="573"/>
    </row>
    <row r="19" spans="2:50" ht="14.25" customHeight="1">
      <c r="B19" s="572"/>
      <c r="C19" s="180">
        <v>13</v>
      </c>
      <c r="D19" s="183"/>
      <c r="E19" s="180"/>
      <c r="F19" s="180"/>
      <c r="G19" s="185"/>
      <c r="H19" s="573"/>
      <c r="I19" s="186"/>
      <c r="J19" s="186"/>
      <c r="K19" s="187"/>
      <c r="L19" s="574"/>
      <c r="M19" s="186"/>
      <c r="N19" s="572"/>
      <c r="O19" s="572"/>
      <c r="P19" s="188"/>
      <c r="Q19" s="188"/>
      <c r="R19" s="185"/>
      <c r="S19" s="182"/>
      <c r="T19" s="573"/>
      <c r="U19" s="188"/>
      <c r="V19" s="188"/>
      <c r="W19" s="185"/>
      <c r="X19" s="182"/>
      <c r="Y19" s="573"/>
      <c r="Z19" s="188"/>
      <c r="AA19" s="188"/>
      <c r="AB19" s="185"/>
      <c r="AC19" s="182"/>
      <c r="AD19" s="573"/>
      <c r="AE19" s="188"/>
      <c r="AF19" s="188"/>
      <c r="AG19" s="185"/>
      <c r="AH19" s="182"/>
      <c r="AI19" s="573"/>
      <c r="AJ19" s="188"/>
      <c r="AK19" s="188"/>
      <c r="AL19" s="185"/>
      <c r="AM19" s="182"/>
      <c r="AN19" s="573"/>
      <c r="AO19" s="188"/>
      <c r="AP19" s="188"/>
      <c r="AQ19" s="185"/>
      <c r="AR19" s="182"/>
      <c r="AS19" s="573"/>
      <c r="AT19" s="188"/>
      <c r="AU19" s="188"/>
      <c r="AV19" s="185"/>
      <c r="AW19" s="182"/>
      <c r="AX19" s="573"/>
    </row>
    <row r="20" spans="2:50" ht="14.25" customHeight="1">
      <c r="B20" s="572"/>
      <c r="C20" s="180">
        <v>14</v>
      </c>
      <c r="D20" s="183"/>
      <c r="E20" s="180"/>
      <c r="F20" s="180"/>
      <c r="G20" s="185"/>
      <c r="H20" s="573"/>
      <c r="I20" s="186"/>
      <c r="J20" s="186"/>
      <c r="K20" s="187"/>
      <c r="L20" s="574"/>
      <c r="M20" s="186"/>
      <c r="N20" s="572"/>
      <c r="O20" s="572"/>
      <c r="P20" s="188"/>
      <c r="Q20" s="188"/>
      <c r="R20" s="185"/>
      <c r="S20" s="182"/>
      <c r="T20" s="573"/>
      <c r="U20" s="188"/>
      <c r="V20" s="188"/>
      <c r="W20" s="185"/>
      <c r="X20" s="182"/>
      <c r="Y20" s="573"/>
      <c r="Z20" s="188"/>
      <c r="AA20" s="188"/>
      <c r="AB20" s="185"/>
      <c r="AC20" s="182"/>
      <c r="AD20" s="573"/>
      <c r="AE20" s="188"/>
      <c r="AF20" s="188"/>
      <c r="AG20" s="185"/>
      <c r="AH20" s="182"/>
      <c r="AI20" s="573"/>
      <c r="AJ20" s="188"/>
      <c r="AK20" s="188"/>
      <c r="AL20" s="185"/>
      <c r="AM20" s="182"/>
      <c r="AN20" s="573"/>
      <c r="AO20" s="188"/>
      <c r="AP20" s="188"/>
      <c r="AQ20" s="185"/>
      <c r="AR20" s="182"/>
      <c r="AS20" s="573"/>
      <c r="AT20" s="188"/>
      <c r="AU20" s="188"/>
      <c r="AV20" s="185"/>
      <c r="AW20" s="182"/>
      <c r="AX20" s="573"/>
    </row>
    <row r="21" spans="2:50" ht="14.25" customHeight="1">
      <c r="B21" s="572"/>
      <c r="C21" s="180">
        <v>15</v>
      </c>
      <c r="D21" s="183"/>
      <c r="E21" s="180"/>
      <c r="F21" s="180"/>
      <c r="G21" s="185"/>
      <c r="H21" s="573"/>
      <c r="I21" s="186"/>
      <c r="J21" s="186"/>
      <c r="K21" s="187"/>
      <c r="L21" s="574"/>
      <c r="M21" s="186"/>
      <c r="N21" s="572"/>
      <c r="O21" s="572"/>
      <c r="P21" s="188"/>
      <c r="Q21" s="188"/>
      <c r="R21" s="185"/>
      <c r="S21" s="182"/>
      <c r="T21" s="573"/>
      <c r="U21" s="188"/>
      <c r="V21" s="188"/>
      <c r="W21" s="185"/>
      <c r="X21" s="182"/>
      <c r="Y21" s="573"/>
      <c r="Z21" s="188"/>
      <c r="AA21" s="188"/>
      <c r="AB21" s="185"/>
      <c r="AC21" s="182"/>
      <c r="AD21" s="573"/>
      <c r="AE21" s="188"/>
      <c r="AF21" s="188"/>
      <c r="AG21" s="185"/>
      <c r="AH21" s="182"/>
      <c r="AI21" s="573"/>
      <c r="AJ21" s="188"/>
      <c r="AK21" s="188"/>
      <c r="AL21" s="185"/>
      <c r="AM21" s="182"/>
      <c r="AN21" s="573"/>
      <c r="AO21" s="188"/>
      <c r="AP21" s="188"/>
      <c r="AQ21" s="185"/>
      <c r="AR21" s="182"/>
      <c r="AS21" s="573"/>
      <c r="AT21" s="188"/>
      <c r="AU21" s="188"/>
      <c r="AV21" s="185"/>
      <c r="AW21" s="182"/>
      <c r="AX21" s="573"/>
    </row>
    <row r="22" spans="2:50" ht="14.25" customHeight="1">
      <c r="B22" s="597" t="s">
        <v>684</v>
      </c>
      <c r="C22" s="587"/>
      <c r="D22" s="587"/>
      <c r="E22" s="587"/>
      <c r="F22" s="587"/>
      <c r="G22" s="587"/>
      <c r="H22" s="587"/>
      <c r="I22" s="587"/>
      <c r="J22" s="587"/>
      <c r="K22" s="587"/>
      <c r="L22" s="587"/>
      <c r="M22" s="588"/>
      <c r="N22" s="606" t="s">
        <v>364</v>
      </c>
      <c r="O22" s="606" t="s">
        <v>105</v>
      </c>
      <c r="P22" s="608">
        <v>46175</v>
      </c>
      <c r="Q22" s="609"/>
      <c r="R22" s="609"/>
      <c r="S22" s="609"/>
      <c r="T22" s="609"/>
      <c r="U22" s="610">
        <v>46176</v>
      </c>
      <c r="V22" s="611"/>
      <c r="W22" s="611"/>
      <c r="X22" s="611"/>
      <c r="Y22" s="611"/>
      <c r="Z22" s="608">
        <v>46177</v>
      </c>
      <c r="AA22" s="609"/>
      <c r="AB22" s="609"/>
      <c r="AC22" s="609"/>
      <c r="AD22" s="609"/>
      <c r="AE22" s="610">
        <v>46178</v>
      </c>
      <c r="AF22" s="611"/>
      <c r="AG22" s="611"/>
      <c r="AH22" s="611"/>
      <c r="AI22" s="611"/>
      <c r="AJ22" s="598">
        <v>46179</v>
      </c>
      <c r="AK22" s="599"/>
      <c r="AL22" s="599"/>
      <c r="AM22" s="599"/>
      <c r="AN22" s="600"/>
      <c r="AO22" s="610">
        <v>46180</v>
      </c>
      <c r="AP22" s="611"/>
      <c r="AQ22" s="611"/>
      <c r="AR22" s="611"/>
      <c r="AS22" s="611"/>
      <c r="AT22" s="598">
        <v>46181</v>
      </c>
      <c r="AU22" s="599"/>
      <c r="AV22" s="599"/>
      <c r="AW22" s="599"/>
      <c r="AX22" s="600"/>
    </row>
    <row r="23" spans="2:50" ht="14.25" customHeight="1">
      <c r="B23" s="589"/>
      <c r="C23" s="589"/>
      <c r="D23" s="589"/>
      <c r="E23" s="589"/>
      <c r="F23" s="589"/>
      <c r="G23" s="589"/>
      <c r="H23" s="589"/>
      <c r="I23" s="589"/>
      <c r="J23" s="589"/>
      <c r="K23" s="589"/>
      <c r="L23" s="589"/>
      <c r="M23" s="590"/>
      <c r="N23" s="607"/>
      <c r="O23" s="607"/>
      <c r="P23" s="601">
        <v>46175</v>
      </c>
      <c r="Q23" s="601"/>
      <c r="R23" s="601"/>
      <c r="S23" s="601"/>
      <c r="T23" s="601"/>
      <c r="U23" s="602">
        <v>46176</v>
      </c>
      <c r="V23" s="602"/>
      <c r="W23" s="602"/>
      <c r="X23" s="602"/>
      <c r="Y23" s="602"/>
      <c r="Z23" s="601">
        <v>46177</v>
      </c>
      <c r="AA23" s="601"/>
      <c r="AB23" s="601"/>
      <c r="AC23" s="601"/>
      <c r="AD23" s="601"/>
      <c r="AE23" s="602">
        <v>46178</v>
      </c>
      <c r="AF23" s="602"/>
      <c r="AG23" s="602"/>
      <c r="AH23" s="602"/>
      <c r="AI23" s="602"/>
      <c r="AJ23" s="603">
        <v>46179</v>
      </c>
      <c r="AK23" s="604"/>
      <c r="AL23" s="604"/>
      <c r="AM23" s="604"/>
      <c r="AN23" s="605"/>
      <c r="AO23" s="602">
        <v>46180</v>
      </c>
      <c r="AP23" s="602"/>
      <c r="AQ23" s="602"/>
      <c r="AR23" s="602"/>
      <c r="AS23" s="602"/>
      <c r="AT23" s="603">
        <v>46181</v>
      </c>
      <c r="AU23" s="604"/>
      <c r="AV23" s="604"/>
      <c r="AW23" s="604"/>
      <c r="AX23" s="605"/>
    </row>
    <row r="24" spans="2:50" ht="14.25" customHeight="1">
      <c r="B24" s="572" t="s">
        <v>162</v>
      </c>
      <c r="C24" s="572" t="s">
        <v>157</v>
      </c>
      <c r="D24" s="572"/>
      <c r="E24" s="572" t="s">
        <v>158</v>
      </c>
      <c r="F24" s="572"/>
      <c r="G24" s="572"/>
      <c r="H24" s="572" t="s">
        <v>163</v>
      </c>
      <c r="I24" s="576" t="s">
        <v>365</v>
      </c>
      <c r="J24" s="576"/>
      <c r="K24" s="576"/>
      <c r="L24" s="576" t="s">
        <v>163</v>
      </c>
      <c r="M24" s="576" t="s">
        <v>165</v>
      </c>
      <c r="N24" s="572"/>
      <c r="O24" s="572" t="s">
        <v>164</v>
      </c>
      <c r="P24" s="572" t="s">
        <v>160</v>
      </c>
      <c r="Q24" s="572"/>
      <c r="R24" s="572"/>
      <c r="S24" s="572"/>
      <c r="T24" s="572" t="s">
        <v>163</v>
      </c>
      <c r="U24" s="572" t="s">
        <v>160</v>
      </c>
      <c r="V24" s="572"/>
      <c r="W24" s="572"/>
      <c r="X24" s="572"/>
      <c r="Y24" s="572" t="s">
        <v>163</v>
      </c>
      <c r="Z24" s="572" t="s">
        <v>160</v>
      </c>
      <c r="AA24" s="572"/>
      <c r="AB24" s="572"/>
      <c r="AC24" s="572"/>
      <c r="AD24" s="572" t="s">
        <v>163</v>
      </c>
      <c r="AE24" s="572" t="s">
        <v>160</v>
      </c>
      <c r="AF24" s="572"/>
      <c r="AG24" s="572"/>
      <c r="AH24" s="572"/>
      <c r="AI24" s="572" t="s">
        <v>163</v>
      </c>
      <c r="AJ24" s="572" t="s">
        <v>160</v>
      </c>
      <c r="AK24" s="572"/>
      <c r="AL24" s="572"/>
      <c r="AM24" s="572"/>
      <c r="AN24" s="572" t="s">
        <v>163</v>
      </c>
      <c r="AO24" s="572" t="s">
        <v>160</v>
      </c>
      <c r="AP24" s="572"/>
      <c r="AQ24" s="572"/>
      <c r="AR24" s="572"/>
      <c r="AS24" s="572" t="s">
        <v>163</v>
      </c>
      <c r="AT24" s="572" t="s">
        <v>160</v>
      </c>
      <c r="AU24" s="572"/>
      <c r="AV24" s="572"/>
      <c r="AW24" s="572"/>
      <c r="AX24" s="572" t="s">
        <v>163</v>
      </c>
    </row>
    <row r="25" spans="2:50" ht="14.25" customHeight="1">
      <c r="B25" s="572"/>
      <c r="C25" s="572"/>
      <c r="D25" s="572"/>
      <c r="E25" s="572" t="s">
        <v>366</v>
      </c>
      <c r="F25" s="572"/>
      <c r="G25" s="572"/>
      <c r="H25" s="572"/>
      <c r="I25" s="576" t="s">
        <v>366</v>
      </c>
      <c r="J25" s="576"/>
      <c r="K25" s="576"/>
      <c r="L25" s="576"/>
      <c r="M25" s="576"/>
      <c r="N25" s="572"/>
      <c r="O25" s="572"/>
      <c r="P25" s="572" t="s">
        <v>367</v>
      </c>
      <c r="Q25" s="572"/>
      <c r="R25" s="572"/>
      <c r="S25" s="572"/>
      <c r="T25" s="572"/>
      <c r="U25" s="572" t="s">
        <v>367</v>
      </c>
      <c r="V25" s="572"/>
      <c r="W25" s="572"/>
      <c r="X25" s="572"/>
      <c r="Y25" s="572"/>
      <c r="Z25" s="572" t="s">
        <v>367</v>
      </c>
      <c r="AA25" s="572"/>
      <c r="AB25" s="572"/>
      <c r="AC25" s="572"/>
      <c r="AD25" s="572"/>
      <c r="AE25" s="572" t="s">
        <v>367</v>
      </c>
      <c r="AF25" s="572"/>
      <c r="AG25" s="572"/>
      <c r="AH25" s="572"/>
      <c r="AI25" s="572"/>
      <c r="AJ25" s="572" t="s">
        <v>367</v>
      </c>
      <c r="AK25" s="572"/>
      <c r="AL25" s="572"/>
      <c r="AM25" s="572"/>
      <c r="AN25" s="572"/>
      <c r="AO25" s="572" t="s">
        <v>367</v>
      </c>
      <c r="AP25" s="572"/>
      <c r="AQ25" s="572"/>
      <c r="AR25" s="572"/>
      <c r="AS25" s="572"/>
      <c r="AT25" s="572" t="s">
        <v>367</v>
      </c>
      <c r="AU25" s="572"/>
      <c r="AV25" s="572"/>
      <c r="AW25" s="572"/>
      <c r="AX25" s="572"/>
    </row>
    <row r="26" spans="2:50" ht="14.25" customHeight="1">
      <c r="B26" s="572"/>
      <c r="C26" s="572"/>
      <c r="D26" s="572"/>
      <c r="E26" s="180" t="s">
        <v>159</v>
      </c>
      <c r="F26" s="180" t="s">
        <v>368</v>
      </c>
      <c r="G26" s="180" t="s">
        <v>161</v>
      </c>
      <c r="H26" s="572"/>
      <c r="I26" s="181" t="s">
        <v>159</v>
      </c>
      <c r="J26" s="181" t="s">
        <v>368</v>
      </c>
      <c r="K26" s="181" t="s">
        <v>161</v>
      </c>
      <c r="L26" s="576"/>
      <c r="M26" s="576"/>
      <c r="N26" s="572"/>
      <c r="O26" s="572"/>
      <c r="P26" s="180" t="s">
        <v>159</v>
      </c>
      <c r="Q26" s="180" t="s">
        <v>368</v>
      </c>
      <c r="R26" s="180" t="s">
        <v>161</v>
      </c>
      <c r="S26" s="182" t="s">
        <v>165</v>
      </c>
      <c r="T26" s="572"/>
      <c r="U26" s="180" t="s">
        <v>159</v>
      </c>
      <c r="V26" s="180" t="s">
        <v>368</v>
      </c>
      <c r="W26" s="180" t="s">
        <v>161</v>
      </c>
      <c r="X26" s="182" t="s">
        <v>165</v>
      </c>
      <c r="Y26" s="572"/>
      <c r="Z26" s="180" t="s">
        <v>159</v>
      </c>
      <c r="AA26" s="180" t="s">
        <v>368</v>
      </c>
      <c r="AB26" s="180" t="s">
        <v>161</v>
      </c>
      <c r="AC26" s="182" t="s">
        <v>165</v>
      </c>
      <c r="AD26" s="572"/>
      <c r="AE26" s="180" t="s">
        <v>159</v>
      </c>
      <c r="AF26" s="180" t="s">
        <v>368</v>
      </c>
      <c r="AG26" s="180" t="s">
        <v>161</v>
      </c>
      <c r="AH26" s="182" t="s">
        <v>165</v>
      </c>
      <c r="AI26" s="572"/>
      <c r="AJ26" s="180" t="s">
        <v>159</v>
      </c>
      <c r="AK26" s="180" t="s">
        <v>368</v>
      </c>
      <c r="AL26" s="180" t="s">
        <v>161</v>
      </c>
      <c r="AM26" s="182" t="s">
        <v>165</v>
      </c>
      <c r="AN26" s="572"/>
      <c r="AO26" s="180" t="s">
        <v>159</v>
      </c>
      <c r="AP26" s="180" t="s">
        <v>368</v>
      </c>
      <c r="AQ26" s="180" t="s">
        <v>161</v>
      </c>
      <c r="AR26" s="182" t="s">
        <v>165</v>
      </c>
      <c r="AS26" s="572"/>
      <c r="AT26" s="180" t="s">
        <v>159</v>
      </c>
      <c r="AU26" s="180" t="s">
        <v>368</v>
      </c>
      <c r="AV26" s="180" t="s">
        <v>161</v>
      </c>
      <c r="AW26" s="182" t="s">
        <v>165</v>
      </c>
      <c r="AX26" s="572"/>
    </row>
    <row r="27" spans="2:50" ht="14.25" customHeight="1">
      <c r="B27" s="572" t="s">
        <v>143</v>
      </c>
      <c r="C27" s="180">
        <v>1</v>
      </c>
      <c r="D27" s="183" t="s">
        <v>355</v>
      </c>
      <c r="E27" s="180">
        <v>13</v>
      </c>
      <c r="F27" s="180">
        <v>1200</v>
      </c>
      <c r="G27" s="185">
        <f t="shared" ref="G27:G30" si="9">F27/E27</f>
        <v>92.307692307692307</v>
      </c>
      <c r="H27" s="573">
        <f>AVERAGE(G27:G41)</f>
        <v>136.71328671328672</v>
      </c>
      <c r="I27" s="186">
        <f>AVERAGE(P27,U27,Z27,AE27,AJ27,AO27,AT27)</f>
        <v>13</v>
      </c>
      <c r="J27" s="186">
        <f>AVERAGE(Q27,V27,AA27,AF27,AK27,AP27,AU27)</f>
        <v>1079.1391320752207</v>
      </c>
      <c r="K27" s="187">
        <f>AVERAGE(R27,W27,AB27,AG27,AL27,AQ27,AV27)</f>
        <v>83.010702467324677</v>
      </c>
      <c r="L27" s="574">
        <f>IFERROR(AVERAGE(K27:K41),"-")</f>
        <v>121.82807875885263</v>
      </c>
      <c r="M27" s="186">
        <f>RANK(K27, K$27:$K$41)</f>
        <v>3</v>
      </c>
      <c r="N27" s="572"/>
      <c r="O27" s="572"/>
      <c r="P27" s="188">
        <v>13</v>
      </c>
      <c r="Q27" s="188">
        <v>1078.9677035037919</v>
      </c>
      <c r="R27" s="185">
        <f>IFERROR(Q27/P27,"")</f>
        <v>82.997515654137842</v>
      </c>
      <c r="S27" s="182">
        <f>RANK(R27, R$27:R$41)</f>
        <v>3</v>
      </c>
      <c r="T27" s="573">
        <f>AVERAGE(R27:R41)</f>
        <v>117.76995513545857</v>
      </c>
      <c r="U27" s="188">
        <v>13</v>
      </c>
      <c r="V27" s="188">
        <v>1078.7277035037919</v>
      </c>
      <c r="W27" s="185">
        <f t="shared" ref="W27:W30" si="10">IFERROR(V27/U27,"")</f>
        <v>82.979054115676291</v>
      </c>
      <c r="X27" s="182">
        <f>RANK(W27, W$27:W$41)</f>
        <v>3</v>
      </c>
      <c r="Y27" s="573">
        <f>AVERAGE(W27:W41)</f>
        <v>119.76376080173969</v>
      </c>
      <c r="Z27" s="188">
        <v>13</v>
      </c>
      <c r="AA27" s="188">
        <v>1078.9677035037921</v>
      </c>
      <c r="AB27" s="185">
        <f t="shared" ref="AB27:AB30" si="11">IFERROR(AA27/Z27,"")</f>
        <v>82.997515654137857</v>
      </c>
      <c r="AC27" s="182">
        <f>RANK(AB27, AB$27:AB$41)</f>
        <v>3</v>
      </c>
      <c r="AD27" s="573">
        <f>AVERAGE(AB27:AB41)</f>
        <v>121.77193794999333</v>
      </c>
      <c r="AE27" s="188">
        <v>13</v>
      </c>
      <c r="AF27" s="188">
        <v>1079.4477035037921</v>
      </c>
      <c r="AG27" s="185">
        <f>IFERROR(AF27/AE27,"")</f>
        <v>83.034438731060931</v>
      </c>
      <c r="AH27" s="182">
        <f>RANK(AG27, AG$27:AG$41)</f>
        <v>3</v>
      </c>
      <c r="AI27" s="573">
        <f>AVERAGE(AG27:AG41)</f>
        <v>123.40372632986733</v>
      </c>
      <c r="AJ27" s="188">
        <v>13</v>
      </c>
      <c r="AK27" s="188">
        <v>1078.9677035037921</v>
      </c>
      <c r="AL27" s="185">
        <f t="shared" ref="AL27:AL30" si="12">IFERROR(AK27/AJ27,"")</f>
        <v>82.997515654137857</v>
      </c>
      <c r="AM27" s="182">
        <f>RANK(AL27, AL$27:AL$41)</f>
        <v>3</v>
      </c>
      <c r="AN27" s="573">
        <f>AVERAGE(AL27:AL41)</f>
        <v>123.36267737881838</v>
      </c>
      <c r="AO27" s="188">
        <v>13</v>
      </c>
      <c r="AP27" s="188">
        <v>1079.3277035037922</v>
      </c>
      <c r="AQ27" s="185">
        <f t="shared" ref="AQ27:AQ30" si="13">IFERROR(AP27/AO27,"")</f>
        <v>83.025207961830176</v>
      </c>
      <c r="AR27" s="182">
        <f>RANK(AQ27, AQ$27:AQ$41)</f>
        <v>3</v>
      </c>
      <c r="AS27" s="573">
        <f>AVERAGE(AQ27:AQ41)</f>
        <v>123.36050954665055</v>
      </c>
      <c r="AT27" s="188">
        <v>13</v>
      </c>
      <c r="AU27" s="188">
        <v>1079.5677035037922</v>
      </c>
      <c r="AV27" s="185">
        <f t="shared" ref="AV27:AV30" si="14">IFERROR(AU27/AT27,"")</f>
        <v>83.043669500291713</v>
      </c>
      <c r="AW27" s="182">
        <f>RANK(AV27, AV$27:AV$41)</f>
        <v>3</v>
      </c>
      <c r="AX27" s="573">
        <f>AVERAGE(AV27:AV41)</f>
        <v>123.36398416944063</v>
      </c>
    </row>
    <row r="28" spans="2:50" ht="14.25" customHeight="1">
      <c r="B28" s="572"/>
      <c r="C28" s="180">
        <v>2</v>
      </c>
      <c r="D28" s="183" t="s">
        <v>642</v>
      </c>
      <c r="E28" s="180">
        <v>11</v>
      </c>
      <c r="F28" s="180">
        <v>2000</v>
      </c>
      <c r="G28" s="185">
        <f t="shared" si="9"/>
        <v>181.81818181818181</v>
      </c>
      <c r="H28" s="573"/>
      <c r="I28" s="186">
        <f t="shared" ref="I28:K30" si="15">AVERAGE(P28,U28,Z28,AE28,AJ28,AO28,AT28)</f>
        <v>11</v>
      </c>
      <c r="J28" s="186">
        <f t="shared" si="15"/>
        <v>1780.4888780893891</v>
      </c>
      <c r="K28" s="187">
        <f t="shared" si="15"/>
        <v>161.86262528085354</v>
      </c>
      <c r="L28" s="574"/>
      <c r="M28" s="186">
        <f>RANK(K28, K$27:$K$41)</f>
        <v>2</v>
      </c>
      <c r="N28" s="572"/>
      <c r="O28" s="572"/>
      <c r="P28" s="188">
        <v>11</v>
      </c>
      <c r="Q28" s="188">
        <v>1710.2193683708856</v>
      </c>
      <c r="R28" s="185">
        <f t="shared" ref="R28:R30" si="16">IFERROR(Q28/P28,"")</f>
        <v>155.47448803371688</v>
      </c>
      <c r="S28" s="182">
        <f t="shared" ref="S28:S30" si="17">RANK(R28, R$27:R$41)</f>
        <v>2</v>
      </c>
      <c r="T28" s="573"/>
      <c r="U28" s="188">
        <v>11</v>
      </c>
      <c r="V28" s="188">
        <v>1745.0357557383036</v>
      </c>
      <c r="W28" s="185">
        <f t="shared" si="10"/>
        <v>158.6396141580276</v>
      </c>
      <c r="X28" s="182">
        <f t="shared" ref="X28:X30" si="18">RANK(W28, W$27:W$41)</f>
        <v>2</v>
      </c>
      <c r="Y28" s="573"/>
      <c r="Z28" s="188">
        <v>11</v>
      </c>
      <c r="AA28" s="188">
        <v>1780.3444708530699</v>
      </c>
      <c r="AB28" s="185">
        <f t="shared" si="11"/>
        <v>161.84949735027908</v>
      </c>
      <c r="AC28" s="182">
        <f t="shared" ref="AC28:AC30" si="19">RANK(AB28, AB$27:AB$41)</f>
        <v>2</v>
      </c>
      <c r="AD28" s="573"/>
      <c r="AE28" s="188">
        <v>11</v>
      </c>
      <c r="AF28" s="188">
        <v>1807.4556379158657</v>
      </c>
      <c r="AG28" s="185">
        <f t="shared" ref="AG28:AG30" si="20">IFERROR(AF28/AE28,"")</f>
        <v>164.31414890144234</v>
      </c>
      <c r="AH28" s="182">
        <f t="shared" ref="AH28:AH30" si="21">RANK(AG28, AG$27:AG$41)</f>
        <v>2</v>
      </c>
      <c r="AI28" s="573"/>
      <c r="AJ28" s="188">
        <v>11</v>
      </c>
      <c r="AK28" s="188">
        <v>1806.6556379158658</v>
      </c>
      <c r="AL28" s="185">
        <f t="shared" si="12"/>
        <v>164.24142162871507</v>
      </c>
      <c r="AM28" s="182">
        <f t="shared" ref="AM28:AM30" si="22">RANK(AL28, AL$27:AL$41)</f>
        <v>2</v>
      </c>
      <c r="AN28" s="573"/>
      <c r="AO28" s="188">
        <v>11</v>
      </c>
      <c r="AP28" s="188">
        <v>1807.0556379158661</v>
      </c>
      <c r="AQ28" s="185">
        <f t="shared" si="13"/>
        <v>164.27778526507873</v>
      </c>
      <c r="AR28" s="182">
        <f t="shared" ref="AR28:AR30" si="23">RANK(AQ28, AQ$27:AQ$41)</f>
        <v>1</v>
      </c>
      <c r="AS28" s="573"/>
      <c r="AT28" s="188">
        <v>11</v>
      </c>
      <c r="AU28" s="188">
        <v>1806.6556379158665</v>
      </c>
      <c r="AV28" s="185">
        <f t="shared" si="14"/>
        <v>164.24142162871513</v>
      </c>
      <c r="AW28" s="182">
        <f t="shared" ref="AW28:AW30" si="24">RANK(AV28, AV$27:AV$41)</f>
        <v>2</v>
      </c>
      <c r="AX28" s="573"/>
    </row>
    <row r="29" spans="2:50" ht="14.25" customHeight="1">
      <c r="B29" s="572"/>
      <c r="C29" s="180">
        <v>3</v>
      </c>
      <c r="D29" s="183" t="s">
        <v>643</v>
      </c>
      <c r="E29" s="180">
        <v>22</v>
      </c>
      <c r="F29" s="180">
        <v>2000</v>
      </c>
      <c r="G29" s="185">
        <f t="shared" si="9"/>
        <v>90.909090909090907</v>
      </c>
      <c r="H29" s="573"/>
      <c r="I29" s="186">
        <f t="shared" si="15"/>
        <v>22</v>
      </c>
      <c r="J29" s="186">
        <f t="shared" si="15"/>
        <v>1771.0740250250076</v>
      </c>
      <c r="K29" s="187">
        <f t="shared" si="15"/>
        <v>80.503364773863964</v>
      </c>
      <c r="L29" s="574"/>
      <c r="M29" s="186">
        <f>RANK(K29, K$27:$K$41)</f>
        <v>4</v>
      </c>
      <c r="N29" s="572"/>
      <c r="O29" s="572"/>
      <c r="P29" s="188">
        <v>22</v>
      </c>
      <c r="Q29" s="188">
        <v>1696.6802400000004</v>
      </c>
      <c r="R29" s="185">
        <f t="shared" si="16"/>
        <v>77.121829090909102</v>
      </c>
      <c r="S29" s="182">
        <f t="shared" si="17"/>
        <v>4</v>
      </c>
      <c r="T29" s="573"/>
      <c r="U29" s="188">
        <v>22</v>
      </c>
      <c r="V29" s="188">
        <v>1731.2258448</v>
      </c>
      <c r="W29" s="185">
        <f t="shared" si="10"/>
        <v>78.692083854545459</v>
      </c>
      <c r="X29" s="182">
        <f t="shared" si="18"/>
        <v>4</v>
      </c>
      <c r="Y29" s="573"/>
      <c r="Z29" s="188">
        <v>22</v>
      </c>
      <c r="AA29" s="188">
        <v>1766.2583616960001</v>
      </c>
      <c r="AB29" s="185">
        <f t="shared" si="11"/>
        <v>80.284470986181816</v>
      </c>
      <c r="AC29" s="182">
        <f t="shared" si="19"/>
        <v>4</v>
      </c>
      <c r="AD29" s="573"/>
      <c r="AE29" s="188">
        <v>22</v>
      </c>
      <c r="AF29" s="188">
        <v>1800.5635289299203</v>
      </c>
      <c r="AG29" s="185">
        <f t="shared" si="20"/>
        <v>81.843796769541825</v>
      </c>
      <c r="AH29" s="182">
        <f t="shared" si="21"/>
        <v>4</v>
      </c>
      <c r="AI29" s="573"/>
      <c r="AJ29" s="188">
        <v>22</v>
      </c>
      <c r="AK29" s="188">
        <v>1800.9635289299199</v>
      </c>
      <c r="AL29" s="185">
        <f t="shared" si="12"/>
        <v>81.861978587723627</v>
      </c>
      <c r="AM29" s="182">
        <f t="shared" si="22"/>
        <v>4</v>
      </c>
      <c r="AN29" s="573"/>
      <c r="AO29" s="188">
        <v>22</v>
      </c>
      <c r="AP29" s="188">
        <v>1800.9635289299197</v>
      </c>
      <c r="AQ29" s="185">
        <f t="shared" si="13"/>
        <v>81.861978587723627</v>
      </c>
      <c r="AR29" s="182">
        <f t="shared" si="23"/>
        <v>4</v>
      </c>
      <c r="AS29" s="573"/>
      <c r="AT29" s="188">
        <v>22</v>
      </c>
      <c r="AU29" s="188">
        <v>1800.8631418892912</v>
      </c>
      <c r="AV29" s="185">
        <f t="shared" si="14"/>
        <v>81.857415540422323</v>
      </c>
      <c r="AW29" s="182">
        <f t="shared" si="24"/>
        <v>4</v>
      </c>
      <c r="AX29" s="573"/>
    </row>
    <row r="30" spans="2:50" ht="14.25" customHeight="1">
      <c r="B30" s="572"/>
      <c r="C30" s="180">
        <v>4</v>
      </c>
      <c r="D30" s="183" t="s">
        <v>644</v>
      </c>
      <c r="E30" s="180">
        <v>11</v>
      </c>
      <c r="F30" s="180">
        <v>2000</v>
      </c>
      <c r="G30" s="185">
        <f t="shared" si="9"/>
        <v>181.81818181818181</v>
      </c>
      <c r="H30" s="573"/>
      <c r="I30" s="186">
        <f t="shared" si="15"/>
        <v>11</v>
      </c>
      <c r="J30" s="186">
        <f t="shared" si="15"/>
        <v>1781.291847647052</v>
      </c>
      <c r="K30" s="187">
        <f t="shared" si="15"/>
        <v>161.93562251336837</v>
      </c>
      <c r="L30" s="574"/>
      <c r="M30" s="186">
        <f>RANK(K30, K$27:$K$41)</f>
        <v>1</v>
      </c>
      <c r="N30" s="572"/>
      <c r="O30" s="572"/>
      <c r="P30" s="188">
        <v>11</v>
      </c>
      <c r="Q30" s="188">
        <v>1710.3458653937751</v>
      </c>
      <c r="R30" s="185">
        <f t="shared" si="16"/>
        <v>155.48598776307045</v>
      </c>
      <c r="S30" s="182">
        <f t="shared" si="17"/>
        <v>1</v>
      </c>
      <c r="T30" s="573"/>
      <c r="U30" s="188">
        <v>11</v>
      </c>
      <c r="V30" s="188">
        <v>1746.1872018658037</v>
      </c>
      <c r="W30" s="185">
        <f t="shared" si="10"/>
        <v>158.74429107870944</v>
      </c>
      <c r="X30" s="182">
        <f t="shared" si="18"/>
        <v>1</v>
      </c>
      <c r="Y30" s="573"/>
      <c r="Z30" s="188">
        <v>11</v>
      </c>
      <c r="AA30" s="188">
        <v>1781.5189459031199</v>
      </c>
      <c r="AB30" s="185">
        <f t="shared" si="11"/>
        <v>161.95626780937454</v>
      </c>
      <c r="AC30" s="182">
        <f t="shared" si="19"/>
        <v>1</v>
      </c>
      <c r="AD30" s="573"/>
      <c r="AE30" s="188">
        <v>11</v>
      </c>
      <c r="AF30" s="188">
        <v>1808.6477300916663</v>
      </c>
      <c r="AG30" s="185">
        <f t="shared" si="20"/>
        <v>164.42252091742421</v>
      </c>
      <c r="AH30" s="182">
        <f t="shared" si="21"/>
        <v>1</v>
      </c>
      <c r="AI30" s="573"/>
      <c r="AJ30" s="188">
        <v>11</v>
      </c>
      <c r="AK30" s="188">
        <v>1807.8477300916666</v>
      </c>
      <c r="AL30" s="185">
        <f t="shared" si="12"/>
        <v>164.34979364469697</v>
      </c>
      <c r="AM30" s="182">
        <f t="shared" si="22"/>
        <v>1</v>
      </c>
      <c r="AN30" s="573"/>
      <c r="AO30" s="188">
        <v>11</v>
      </c>
      <c r="AP30" s="188">
        <v>1807.0477300916668</v>
      </c>
      <c r="AQ30" s="185">
        <f t="shared" si="13"/>
        <v>164.27706637196971</v>
      </c>
      <c r="AR30" s="182">
        <f t="shared" si="23"/>
        <v>2</v>
      </c>
      <c r="AS30" s="573"/>
      <c r="AT30" s="188">
        <v>11</v>
      </c>
      <c r="AU30" s="188">
        <v>1807.4477300916667</v>
      </c>
      <c r="AV30" s="185">
        <f t="shared" si="14"/>
        <v>164.31343000833334</v>
      </c>
      <c r="AW30" s="182">
        <f t="shared" si="24"/>
        <v>1</v>
      </c>
      <c r="AX30" s="573"/>
    </row>
    <row r="31" spans="2:50" ht="14.25" customHeight="1">
      <c r="B31" s="572"/>
      <c r="C31" s="180">
        <v>5</v>
      </c>
      <c r="D31" s="183"/>
      <c r="E31" s="180"/>
      <c r="F31" s="180"/>
      <c r="G31" s="185"/>
      <c r="H31" s="573"/>
      <c r="I31" s="186"/>
      <c r="J31" s="186"/>
      <c r="K31" s="187"/>
      <c r="L31" s="574"/>
      <c r="M31" s="186"/>
      <c r="N31" s="572"/>
      <c r="O31" s="572"/>
      <c r="P31" s="188"/>
      <c r="Q31" s="188"/>
      <c r="R31" s="185"/>
      <c r="S31" s="182"/>
      <c r="T31" s="573"/>
      <c r="U31" s="188"/>
      <c r="V31" s="188"/>
      <c r="W31" s="185"/>
      <c r="X31" s="182"/>
      <c r="Y31" s="573"/>
      <c r="Z31" s="188"/>
      <c r="AA31" s="188"/>
      <c r="AB31" s="185"/>
      <c r="AC31" s="182"/>
      <c r="AD31" s="573"/>
      <c r="AE31" s="188"/>
      <c r="AF31" s="188"/>
      <c r="AG31" s="185"/>
      <c r="AH31" s="182"/>
      <c r="AI31" s="573"/>
      <c r="AJ31" s="188"/>
      <c r="AK31" s="188"/>
      <c r="AL31" s="185"/>
      <c r="AM31" s="182"/>
      <c r="AN31" s="573"/>
      <c r="AO31" s="188"/>
      <c r="AP31" s="188"/>
      <c r="AQ31" s="185"/>
      <c r="AR31" s="182"/>
      <c r="AS31" s="573"/>
      <c r="AT31" s="188"/>
      <c r="AU31" s="188"/>
      <c r="AV31" s="185"/>
      <c r="AW31" s="182"/>
      <c r="AX31" s="573"/>
    </row>
    <row r="32" spans="2:50" ht="14.25" customHeight="1">
      <c r="B32" s="572"/>
      <c r="C32" s="180">
        <v>6</v>
      </c>
      <c r="D32" s="183"/>
      <c r="E32" s="180"/>
      <c r="F32" s="180"/>
      <c r="G32" s="185"/>
      <c r="H32" s="573"/>
      <c r="I32" s="186"/>
      <c r="J32" s="186"/>
      <c r="K32" s="187"/>
      <c r="L32" s="574"/>
      <c r="M32" s="186"/>
      <c r="N32" s="572"/>
      <c r="O32" s="572"/>
      <c r="P32" s="188"/>
      <c r="Q32" s="188"/>
      <c r="R32" s="185"/>
      <c r="S32" s="182"/>
      <c r="T32" s="573"/>
      <c r="U32" s="188"/>
      <c r="V32" s="188"/>
      <c r="W32" s="185"/>
      <c r="X32" s="182"/>
      <c r="Y32" s="573"/>
      <c r="Z32" s="188"/>
      <c r="AA32" s="188"/>
      <c r="AB32" s="185"/>
      <c r="AC32" s="182"/>
      <c r="AD32" s="573"/>
      <c r="AE32" s="188"/>
      <c r="AF32" s="188"/>
      <c r="AG32" s="185"/>
      <c r="AH32" s="182"/>
      <c r="AI32" s="573"/>
      <c r="AJ32" s="188"/>
      <c r="AK32" s="188"/>
      <c r="AL32" s="185"/>
      <c r="AM32" s="182"/>
      <c r="AN32" s="573"/>
      <c r="AO32" s="188"/>
      <c r="AP32" s="188"/>
      <c r="AQ32" s="185"/>
      <c r="AR32" s="182"/>
      <c r="AS32" s="573"/>
      <c r="AT32" s="188"/>
      <c r="AU32" s="188"/>
      <c r="AV32" s="185"/>
      <c r="AW32" s="182"/>
      <c r="AX32" s="573"/>
    </row>
    <row r="33" spans="2:50" ht="14.25" customHeight="1">
      <c r="B33" s="572"/>
      <c r="C33" s="180">
        <v>7</v>
      </c>
      <c r="D33" s="183"/>
      <c r="E33" s="180"/>
      <c r="F33" s="180"/>
      <c r="G33" s="185"/>
      <c r="H33" s="573"/>
      <c r="I33" s="186"/>
      <c r="J33" s="186"/>
      <c r="K33" s="187"/>
      <c r="L33" s="574"/>
      <c r="M33" s="186"/>
      <c r="N33" s="572"/>
      <c r="O33" s="572"/>
      <c r="P33" s="188"/>
      <c r="Q33" s="188"/>
      <c r="R33" s="185"/>
      <c r="S33" s="182"/>
      <c r="T33" s="573"/>
      <c r="U33" s="188"/>
      <c r="V33" s="188"/>
      <c r="W33" s="185"/>
      <c r="X33" s="182"/>
      <c r="Y33" s="573"/>
      <c r="Z33" s="188"/>
      <c r="AA33" s="188"/>
      <c r="AB33" s="185"/>
      <c r="AC33" s="182"/>
      <c r="AD33" s="573"/>
      <c r="AE33" s="188"/>
      <c r="AF33" s="188"/>
      <c r="AG33" s="185"/>
      <c r="AH33" s="182"/>
      <c r="AI33" s="573"/>
      <c r="AJ33" s="188"/>
      <c r="AK33" s="188"/>
      <c r="AL33" s="185"/>
      <c r="AM33" s="182"/>
      <c r="AN33" s="573"/>
      <c r="AO33" s="188"/>
      <c r="AP33" s="188"/>
      <c r="AQ33" s="185"/>
      <c r="AR33" s="182"/>
      <c r="AS33" s="573"/>
      <c r="AT33" s="188"/>
      <c r="AU33" s="188"/>
      <c r="AV33" s="185"/>
      <c r="AW33" s="182"/>
      <c r="AX33" s="573"/>
    </row>
    <row r="34" spans="2:50" ht="14.25" customHeight="1">
      <c r="B34" s="572"/>
      <c r="C34" s="180">
        <v>8</v>
      </c>
      <c r="D34" s="183"/>
      <c r="E34" s="180"/>
      <c r="F34" s="180"/>
      <c r="G34" s="185"/>
      <c r="H34" s="573"/>
      <c r="I34" s="186"/>
      <c r="J34" s="186"/>
      <c r="K34" s="187"/>
      <c r="L34" s="574"/>
      <c r="M34" s="186"/>
      <c r="N34" s="572"/>
      <c r="O34" s="572"/>
      <c r="P34" s="188"/>
      <c r="Q34" s="188"/>
      <c r="R34" s="185"/>
      <c r="S34" s="182"/>
      <c r="T34" s="573"/>
      <c r="U34" s="188"/>
      <c r="V34" s="188"/>
      <c r="W34" s="185"/>
      <c r="X34" s="182"/>
      <c r="Y34" s="573"/>
      <c r="Z34" s="188"/>
      <c r="AA34" s="188"/>
      <c r="AB34" s="185"/>
      <c r="AC34" s="182"/>
      <c r="AD34" s="573"/>
      <c r="AE34" s="188"/>
      <c r="AF34" s="188"/>
      <c r="AG34" s="185"/>
      <c r="AH34" s="182"/>
      <c r="AI34" s="573"/>
      <c r="AJ34" s="188"/>
      <c r="AK34" s="188"/>
      <c r="AL34" s="185"/>
      <c r="AM34" s="182"/>
      <c r="AN34" s="573"/>
      <c r="AO34" s="188"/>
      <c r="AP34" s="188"/>
      <c r="AQ34" s="185"/>
      <c r="AR34" s="182"/>
      <c r="AS34" s="573"/>
      <c r="AT34" s="188"/>
      <c r="AU34" s="188"/>
      <c r="AV34" s="185"/>
      <c r="AW34" s="182"/>
      <c r="AX34" s="573"/>
    </row>
    <row r="35" spans="2:50" ht="14.25" customHeight="1">
      <c r="B35" s="572"/>
      <c r="C35" s="180">
        <v>9</v>
      </c>
      <c r="D35" s="183"/>
      <c r="E35" s="180"/>
      <c r="F35" s="180"/>
      <c r="G35" s="185"/>
      <c r="H35" s="573"/>
      <c r="I35" s="186"/>
      <c r="J35" s="186"/>
      <c r="K35" s="187"/>
      <c r="L35" s="574"/>
      <c r="M35" s="186"/>
      <c r="N35" s="572"/>
      <c r="O35" s="572"/>
      <c r="P35" s="188"/>
      <c r="Q35" s="188"/>
      <c r="R35" s="185"/>
      <c r="S35" s="182"/>
      <c r="T35" s="573"/>
      <c r="U35" s="188"/>
      <c r="V35" s="188"/>
      <c r="W35" s="185"/>
      <c r="X35" s="182"/>
      <c r="Y35" s="573"/>
      <c r="Z35" s="188"/>
      <c r="AA35" s="188"/>
      <c r="AB35" s="185"/>
      <c r="AC35" s="182"/>
      <c r="AD35" s="573"/>
      <c r="AE35" s="188"/>
      <c r="AF35" s="188"/>
      <c r="AG35" s="185"/>
      <c r="AH35" s="182"/>
      <c r="AI35" s="573"/>
      <c r="AJ35" s="188"/>
      <c r="AK35" s="188"/>
      <c r="AL35" s="185"/>
      <c r="AM35" s="182"/>
      <c r="AN35" s="573"/>
      <c r="AO35" s="188"/>
      <c r="AP35" s="188"/>
      <c r="AQ35" s="185"/>
      <c r="AR35" s="182"/>
      <c r="AS35" s="573"/>
      <c r="AT35" s="188"/>
      <c r="AU35" s="188"/>
      <c r="AV35" s="185"/>
      <c r="AW35" s="182"/>
      <c r="AX35" s="573"/>
    </row>
    <row r="36" spans="2:50" ht="14.25" customHeight="1">
      <c r="B36" s="572"/>
      <c r="C36" s="180">
        <v>10</v>
      </c>
      <c r="D36" s="183"/>
      <c r="E36" s="180"/>
      <c r="F36" s="180"/>
      <c r="G36" s="185"/>
      <c r="H36" s="573"/>
      <c r="I36" s="186"/>
      <c r="J36" s="186"/>
      <c r="K36" s="187"/>
      <c r="L36" s="574"/>
      <c r="M36" s="186"/>
      <c r="N36" s="572"/>
      <c r="O36" s="572"/>
      <c r="P36" s="188"/>
      <c r="Q36" s="188"/>
      <c r="R36" s="185"/>
      <c r="S36" s="182"/>
      <c r="T36" s="573"/>
      <c r="U36" s="188"/>
      <c r="V36" s="188"/>
      <c r="W36" s="185"/>
      <c r="X36" s="182"/>
      <c r="Y36" s="573"/>
      <c r="Z36" s="188"/>
      <c r="AA36" s="188"/>
      <c r="AB36" s="185"/>
      <c r="AC36" s="182"/>
      <c r="AD36" s="573"/>
      <c r="AE36" s="188"/>
      <c r="AF36" s="188"/>
      <c r="AG36" s="185"/>
      <c r="AH36" s="182"/>
      <c r="AI36" s="573"/>
      <c r="AJ36" s="188"/>
      <c r="AK36" s="188"/>
      <c r="AL36" s="185"/>
      <c r="AM36" s="182"/>
      <c r="AN36" s="573"/>
      <c r="AO36" s="188"/>
      <c r="AP36" s="188"/>
      <c r="AQ36" s="185"/>
      <c r="AR36" s="182"/>
      <c r="AS36" s="573"/>
      <c r="AT36" s="188"/>
      <c r="AU36" s="188"/>
      <c r="AV36" s="185"/>
      <c r="AW36" s="182"/>
      <c r="AX36" s="573"/>
    </row>
    <row r="37" spans="2:50" ht="14.25" customHeight="1">
      <c r="B37" s="572"/>
      <c r="C37" s="180">
        <v>11</v>
      </c>
      <c r="D37" s="183"/>
      <c r="E37" s="180"/>
      <c r="F37" s="180"/>
      <c r="G37" s="185"/>
      <c r="H37" s="573"/>
      <c r="I37" s="186"/>
      <c r="J37" s="186"/>
      <c r="K37" s="187"/>
      <c r="L37" s="574"/>
      <c r="M37" s="186"/>
      <c r="N37" s="572"/>
      <c r="O37" s="572"/>
      <c r="P37" s="188"/>
      <c r="Q37" s="188"/>
      <c r="R37" s="185"/>
      <c r="S37" s="182"/>
      <c r="T37" s="573"/>
      <c r="U37" s="188"/>
      <c r="V37" s="188"/>
      <c r="W37" s="185"/>
      <c r="X37" s="182"/>
      <c r="Y37" s="573"/>
      <c r="Z37" s="188"/>
      <c r="AA37" s="188"/>
      <c r="AB37" s="185"/>
      <c r="AC37" s="182"/>
      <c r="AD37" s="573"/>
      <c r="AE37" s="188"/>
      <c r="AF37" s="188"/>
      <c r="AG37" s="185"/>
      <c r="AH37" s="182"/>
      <c r="AI37" s="573"/>
      <c r="AJ37" s="188"/>
      <c r="AK37" s="188"/>
      <c r="AL37" s="185"/>
      <c r="AM37" s="182"/>
      <c r="AN37" s="573"/>
      <c r="AO37" s="188"/>
      <c r="AP37" s="188"/>
      <c r="AQ37" s="185"/>
      <c r="AR37" s="182"/>
      <c r="AS37" s="573"/>
      <c r="AT37" s="188"/>
      <c r="AU37" s="188"/>
      <c r="AV37" s="185"/>
      <c r="AW37" s="182"/>
      <c r="AX37" s="573"/>
    </row>
    <row r="38" spans="2:50" ht="14.25" customHeight="1">
      <c r="B38" s="572"/>
      <c r="C38" s="180">
        <v>12</v>
      </c>
      <c r="D38" s="183"/>
      <c r="E38" s="180"/>
      <c r="F38" s="180"/>
      <c r="G38" s="185"/>
      <c r="H38" s="573"/>
      <c r="I38" s="186"/>
      <c r="J38" s="186"/>
      <c r="K38" s="187"/>
      <c r="L38" s="574"/>
      <c r="M38" s="186"/>
      <c r="N38" s="572"/>
      <c r="O38" s="572"/>
      <c r="P38" s="188"/>
      <c r="Q38" s="188"/>
      <c r="R38" s="185"/>
      <c r="S38" s="182"/>
      <c r="T38" s="573"/>
      <c r="U38" s="188"/>
      <c r="V38" s="188"/>
      <c r="W38" s="185"/>
      <c r="X38" s="182"/>
      <c r="Y38" s="573"/>
      <c r="Z38" s="188"/>
      <c r="AA38" s="188"/>
      <c r="AB38" s="185"/>
      <c r="AC38" s="182"/>
      <c r="AD38" s="573"/>
      <c r="AE38" s="188"/>
      <c r="AF38" s="188"/>
      <c r="AG38" s="185"/>
      <c r="AH38" s="182"/>
      <c r="AI38" s="573"/>
      <c r="AJ38" s="188"/>
      <c r="AK38" s="188"/>
      <c r="AL38" s="185"/>
      <c r="AM38" s="182"/>
      <c r="AN38" s="573"/>
      <c r="AO38" s="188"/>
      <c r="AP38" s="188"/>
      <c r="AQ38" s="185"/>
      <c r="AR38" s="182"/>
      <c r="AS38" s="573"/>
      <c r="AT38" s="188"/>
      <c r="AU38" s="188"/>
      <c r="AV38" s="185"/>
      <c r="AW38" s="182"/>
      <c r="AX38" s="573"/>
    </row>
    <row r="39" spans="2:50" ht="14.25" customHeight="1">
      <c r="B39" s="572"/>
      <c r="C39" s="180">
        <v>13</v>
      </c>
      <c r="D39" s="183"/>
      <c r="E39" s="180"/>
      <c r="F39" s="180"/>
      <c r="G39" s="185"/>
      <c r="H39" s="573"/>
      <c r="I39" s="186"/>
      <c r="J39" s="186"/>
      <c r="K39" s="187"/>
      <c r="L39" s="574"/>
      <c r="M39" s="186"/>
      <c r="N39" s="572"/>
      <c r="O39" s="572"/>
      <c r="P39" s="188"/>
      <c r="Q39" s="188"/>
      <c r="R39" s="185"/>
      <c r="S39" s="182"/>
      <c r="T39" s="573"/>
      <c r="U39" s="188"/>
      <c r="V39" s="188"/>
      <c r="W39" s="185"/>
      <c r="X39" s="182"/>
      <c r="Y39" s="573"/>
      <c r="Z39" s="188"/>
      <c r="AA39" s="188"/>
      <c r="AB39" s="185"/>
      <c r="AC39" s="182"/>
      <c r="AD39" s="573"/>
      <c r="AE39" s="188"/>
      <c r="AF39" s="188"/>
      <c r="AG39" s="185"/>
      <c r="AH39" s="182"/>
      <c r="AI39" s="573"/>
      <c r="AJ39" s="188"/>
      <c r="AK39" s="188"/>
      <c r="AL39" s="185"/>
      <c r="AM39" s="182"/>
      <c r="AN39" s="573"/>
      <c r="AO39" s="188"/>
      <c r="AP39" s="188"/>
      <c r="AQ39" s="185"/>
      <c r="AR39" s="182"/>
      <c r="AS39" s="573"/>
      <c r="AT39" s="188"/>
      <c r="AU39" s="188"/>
      <c r="AV39" s="185"/>
      <c r="AW39" s="182"/>
      <c r="AX39" s="573"/>
    </row>
    <row r="40" spans="2:50" ht="14.25" customHeight="1">
      <c r="B40" s="572"/>
      <c r="C40" s="180">
        <v>14</v>
      </c>
      <c r="D40" s="183"/>
      <c r="E40" s="180"/>
      <c r="F40" s="180"/>
      <c r="G40" s="185"/>
      <c r="H40" s="573"/>
      <c r="I40" s="186"/>
      <c r="J40" s="186"/>
      <c r="K40" s="187"/>
      <c r="L40" s="574"/>
      <c r="M40" s="186"/>
      <c r="N40" s="572"/>
      <c r="O40" s="572"/>
      <c r="P40" s="188"/>
      <c r="Q40" s="188"/>
      <c r="R40" s="185"/>
      <c r="S40" s="182"/>
      <c r="T40" s="573"/>
      <c r="U40" s="188"/>
      <c r="V40" s="188"/>
      <c r="W40" s="185"/>
      <c r="X40" s="182"/>
      <c r="Y40" s="573"/>
      <c r="Z40" s="188"/>
      <c r="AA40" s="188"/>
      <c r="AB40" s="185"/>
      <c r="AC40" s="182"/>
      <c r="AD40" s="573"/>
      <c r="AE40" s="188"/>
      <c r="AF40" s="188"/>
      <c r="AG40" s="185"/>
      <c r="AH40" s="182"/>
      <c r="AI40" s="573"/>
      <c r="AJ40" s="188"/>
      <c r="AK40" s="188"/>
      <c r="AL40" s="185"/>
      <c r="AM40" s="182"/>
      <c r="AN40" s="573"/>
      <c r="AO40" s="188"/>
      <c r="AP40" s="188"/>
      <c r="AQ40" s="185"/>
      <c r="AR40" s="182"/>
      <c r="AS40" s="573"/>
      <c r="AT40" s="188"/>
      <c r="AU40" s="188"/>
      <c r="AV40" s="185"/>
      <c r="AW40" s="182"/>
      <c r="AX40" s="573"/>
    </row>
    <row r="41" spans="2:50" ht="14.25" customHeight="1">
      <c r="B41" s="572"/>
      <c r="C41" s="180">
        <v>15</v>
      </c>
      <c r="D41" s="183"/>
      <c r="E41" s="180"/>
      <c r="F41" s="180"/>
      <c r="G41" s="185"/>
      <c r="H41" s="573"/>
      <c r="I41" s="186"/>
      <c r="J41" s="186"/>
      <c r="K41" s="187"/>
      <c r="L41" s="574"/>
      <c r="M41" s="186"/>
      <c r="N41" s="572"/>
      <c r="O41" s="572"/>
      <c r="P41" s="188"/>
      <c r="Q41" s="188"/>
      <c r="R41" s="185"/>
      <c r="S41" s="182"/>
      <c r="T41" s="573"/>
      <c r="U41" s="188"/>
      <c r="V41" s="188"/>
      <c r="W41" s="185"/>
      <c r="X41" s="182"/>
      <c r="Y41" s="573"/>
      <c r="Z41" s="188"/>
      <c r="AA41" s="188"/>
      <c r="AB41" s="185"/>
      <c r="AC41" s="182"/>
      <c r="AD41" s="573"/>
      <c r="AE41" s="188"/>
      <c r="AF41" s="188"/>
      <c r="AG41" s="185"/>
      <c r="AH41" s="182"/>
      <c r="AI41" s="573"/>
      <c r="AJ41" s="188"/>
      <c r="AK41" s="188"/>
      <c r="AL41" s="185"/>
      <c r="AM41" s="182"/>
      <c r="AN41" s="573"/>
      <c r="AO41" s="188"/>
      <c r="AP41" s="188"/>
      <c r="AQ41" s="185"/>
      <c r="AR41" s="182"/>
      <c r="AS41" s="573"/>
      <c r="AT41" s="188"/>
      <c r="AU41" s="188"/>
      <c r="AV41" s="185"/>
      <c r="AW41" s="182"/>
      <c r="AX41" s="573"/>
    </row>
  </sheetData>
  <mergeCells count="118"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R80"/>
  <sheetViews>
    <sheetView view="pageBreakPreview" topLeftCell="A29" zoomScale="110" zoomScaleNormal="60" zoomScaleSheetLayoutView="110" workbookViewId="0">
      <selection activeCell="J35" sqref="J35"/>
    </sheetView>
  </sheetViews>
  <sheetFormatPr defaultColWidth="12.54296875" defaultRowHeight="15.75" customHeight="1"/>
  <cols>
    <col min="1" max="1" width="6.453125" style="189" customWidth="1"/>
    <col min="2" max="10" width="11.54296875" style="189" customWidth="1"/>
    <col min="11" max="11" width="12.81640625" style="189" customWidth="1"/>
    <col min="12" max="12" width="41.81640625" style="189" customWidth="1"/>
    <col min="13" max="13" width="12.54296875" style="190"/>
    <col min="14" max="16384" width="12.54296875" style="189"/>
  </cols>
  <sheetData>
    <row r="1" spans="1:18" ht="15.75" customHeight="1">
      <c r="A1" s="502" t="s">
        <v>373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189"/>
    </row>
    <row r="2" spans="1:18" s="190" customFormat="1" ht="15.75" customHeight="1">
      <c r="A2" s="502"/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</row>
    <row r="3" spans="1:18" ht="15.75" customHeight="1">
      <c r="A3" s="615" t="s">
        <v>622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189"/>
    </row>
    <row r="4" spans="1:18" s="190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8" s="178" customFormat="1" ht="15.75" customHeight="1">
      <c r="A5" s="616" t="s">
        <v>162</v>
      </c>
      <c r="B5" s="191">
        <v>1</v>
      </c>
      <c r="C5" s="191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ht="16.399999999999999" customHeight="1">
      <c r="A6" s="616"/>
      <c r="B6" s="194" t="s">
        <v>206</v>
      </c>
      <c r="C6" s="194" t="s">
        <v>155</v>
      </c>
      <c r="D6" s="195" t="s">
        <v>207</v>
      </c>
      <c r="E6" s="195" t="s">
        <v>156</v>
      </c>
      <c r="F6" s="195" t="s">
        <v>348</v>
      </c>
      <c r="G6" s="196" t="s">
        <v>136</v>
      </c>
      <c r="H6" s="197" t="s">
        <v>208</v>
      </c>
      <c r="I6" s="196" t="s">
        <v>374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78" customFormat="1" ht="15.75" customHeight="1">
      <c r="A7" s="617" t="s">
        <v>188</v>
      </c>
      <c r="B7" s="617"/>
      <c r="C7" s="160" t="s">
        <v>47</v>
      </c>
      <c r="D7" s="617" t="s">
        <v>12</v>
      </c>
      <c r="E7" s="618"/>
      <c r="F7" s="618"/>
      <c r="G7" s="160" t="s">
        <v>46</v>
      </c>
      <c r="H7" s="160" t="s">
        <v>375</v>
      </c>
      <c r="I7" s="160" t="s">
        <v>376</v>
      </c>
      <c r="J7" s="160" t="s">
        <v>332</v>
      </c>
      <c r="K7" s="617" t="s">
        <v>51</v>
      </c>
      <c r="L7" s="618"/>
      <c r="M7" s="193"/>
      <c r="N7" s="189"/>
      <c r="P7" s="393"/>
      <c r="Q7" s="393"/>
    </row>
    <row r="8" spans="1:18" ht="15.75" customHeight="1">
      <c r="A8" s="616">
        <v>1</v>
      </c>
      <c r="B8" s="617" t="s">
        <v>377</v>
      </c>
      <c r="C8" s="200">
        <v>1</v>
      </c>
      <c r="D8" s="613" t="s">
        <v>436</v>
      </c>
      <c r="E8" s="614"/>
      <c r="F8" s="614"/>
      <c r="G8" s="200">
        <v>3</v>
      </c>
      <c r="H8" s="202">
        <v>3199.0937792936334</v>
      </c>
      <c r="I8" s="203">
        <v>1066.3645930978778</v>
      </c>
      <c r="J8" s="221">
        <v>1.5942857142858884</v>
      </c>
      <c r="K8" s="613" t="s">
        <v>429</v>
      </c>
      <c r="L8" s="614"/>
      <c r="N8" s="178"/>
      <c r="O8" s="178"/>
      <c r="P8" s="393"/>
      <c r="Q8" s="393"/>
      <c r="R8" s="178"/>
    </row>
    <row r="9" spans="1:18" ht="15.75" customHeight="1">
      <c r="A9" s="616"/>
      <c r="B9" s="617"/>
      <c r="C9" s="200">
        <v>2</v>
      </c>
      <c r="D9" s="613" t="s">
        <v>399</v>
      </c>
      <c r="E9" s="614"/>
      <c r="F9" s="614"/>
      <c r="G9" s="200">
        <v>3</v>
      </c>
      <c r="H9" s="202">
        <v>3193.7446312300958</v>
      </c>
      <c r="I9" s="203">
        <v>1064.5815437433653</v>
      </c>
      <c r="J9" s="221">
        <v>1.405714285714339</v>
      </c>
      <c r="K9" s="613" t="s">
        <v>429</v>
      </c>
      <c r="L9" s="614"/>
      <c r="N9" s="178"/>
      <c r="O9" s="178"/>
      <c r="P9" s="393"/>
      <c r="Q9" s="393"/>
      <c r="R9" s="178"/>
    </row>
    <row r="10" spans="1:18" ht="15.75" customHeight="1">
      <c r="A10" s="616"/>
      <c r="B10" s="617"/>
      <c r="C10" s="200">
        <v>3</v>
      </c>
      <c r="D10" s="613" t="s">
        <v>391</v>
      </c>
      <c r="E10" s="614"/>
      <c r="F10" s="614"/>
      <c r="G10" s="200">
        <v>3</v>
      </c>
      <c r="H10" s="202">
        <v>3192.5916216428864</v>
      </c>
      <c r="I10" s="203">
        <v>1064.1972072142955</v>
      </c>
      <c r="J10" s="221">
        <v>1.0799999999992451</v>
      </c>
      <c r="K10" s="613" t="s">
        <v>429</v>
      </c>
      <c r="L10" s="614"/>
      <c r="N10" s="178"/>
      <c r="O10" s="178"/>
      <c r="P10" s="393"/>
      <c r="Q10" s="393"/>
      <c r="R10" s="178"/>
    </row>
    <row r="11" spans="1:18" ht="15.75" customHeight="1">
      <c r="A11" s="616"/>
      <c r="B11" s="617"/>
      <c r="C11" s="200">
        <v>4</v>
      </c>
      <c r="D11" s="613" t="s">
        <v>396</v>
      </c>
      <c r="E11" s="614"/>
      <c r="F11" s="614"/>
      <c r="G11" s="200">
        <v>3</v>
      </c>
      <c r="H11" s="202">
        <v>3190.5805466218089</v>
      </c>
      <c r="I11" s="203">
        <v>1063.5268488739362</v>
      </c>
      <c r="J11" s="221"/>
      <c r="K11" s="613" t="s">
        <v>429</v>
      </c>
      <c r="L11" s="614"/>
      <c r="N11" s="178"/>
      <c r="O11" s="178"/>
      <c r="P11" s="393"/>
      <c r="Q11" s="393"/>
      <c r="R11" s="178"/>
    </row>
    <row r="12" spans="1:18" ht="15.75" customHeight="1">
      <c r="A12" s="616"/>
      <c r="B12" s="617"/>
      <c r="C12" s="200">
        <v>5</v>
      </c>
      <c r="D12" s="613" t="s">
        <v>615</v>
      </c>
      <c r="E12" s="614"/>
      <c r="F12" s="614"/>
      <c r="G12" s="200">
        <v>3</v>
      </c>
      <c r="H12" s="202">
        <v>3190.1522678836695</v>
      </c>
      <c r="I12" s="203">
        <v>1063.3840892945566</v>
      </c>
      <c r="J12" s="221"/>
      <c r="K12" s="613" t="s">
        <v>429</v>
      </c>
      <c r="L12" s="614"/>
      <c r="O12" s="178"/>
      <c r="P12" s="393"/>
      <c r="Q12" s="393"/>
      <c r="R12" s="178"/>
    </row>
    <row r="13" spans="1:18" ht="15.75" customHeight="1">
      <c r="A13" s="616"/>
      <c r="B13" s="617"/>
      <c r="C13" s="204" t="s">
        <v>204</v>
      </c>
      <c r="D13" s="614" t="s">
        <v>486</v>
      </c>
      <c r="E13" s="614"/>
      <c r="F13" s="614"/>
      <c r="G13" s="201">
        <v>13</v>
      </c>
      <c r="H13" s="205">
        <v>3262.6305663935286</v>
      </c>
      <c r="I13" s="206">
        <v>250.97158203027143</v>
      </c>
      <c r="J13" s="221">
        <v>1.4986168898303731E-2</v>
      </c>
      <c r="K13" s="613" t="s">
        <v>429</v>
      </c>
      <c r="L13" s="614"/>
      <c r="N13" s="178"/>
      <c r="O13" s="178"/>
      <c r="P13" s="393"/>
      <c r="Q13" s="393"/>
      <c r="R13" s="178"/>
    </row>
    <row r="14" spans="1:18" ht="15.75" customHeight="1">
      <c r="A14" s="616"/>
      <c r="B14" s="617"/>
      <c r="C14" s="204" t="s">
        <v>209</v>
      </c>
      <c r="D14" s="614" t="s">
        <v>438</v>
      </c>
      <c r="E14" s="614"/>
      <c r="F14" s="614"/>
      <c r="G14" s="201">
        <v>12</v>
      </c>
      <c r="H14" s="205">
        <v>3114.3857862169289</v>
      </c>
      <c r="I14" s="206">
        <v>259.5321488514108</v>
      </c>
      <c r="J14" s="221">
        <v>-0.26571428571412525</v>
      </c>
      <c r="K14" s="613" t="s">
        <v>429</v>
      </c>
      <c r="L14" s="614"/>
      <c r="N14" s="178"/>
      <c r="O14" s="178"/>
      <c r="P14" s="393"/>
      <c r="Q14" s="393"/>
      <c r="R14" s="178"/>
    </row>
    <row r="15" spans="1:18" ht="15.75" customHeight="1">
      <c r="A15" s="616"/>
      <c r="B15" s="617"/>
      <c r="C15" s="204" t="s">
        <v>205</v>
      </c>
      <c r="D15" s="614" t="s">
        <v>441</v>
      </c>
      <c r="E15" s="614"/>
      <c r="F15" s="614"/>
      <c r="G15" s="201">
        <v>12</v>
      </c>
      <c r="H15" s="205">
        <v>3114.7349047418725</v>
      </c>
      <c r="I15" s="206">
        <v>259.56124206182267</v>
      </c>
      <c r="J15" s="221">
        <v>-0.17333622820734718</v>
      </c>
      <c r="K15" s="613" t="s">
        <v>429</v>
      </c>
      <c r="L15" s="614"/>
      <c r="N15" s="178"/>
      <c r="O15" s="178"/>
      <c r="P15" s="393"/>
      <c r="Q15" s="393"/>
      <c r="R15" s="178"/>
    </row>
    <row r="16" spans="1:18" ht="15.75" customHeight="1">
      <c r="A16" s="616"/>
      <c r="B16" s="617"/>
      <c r="C16" s="204" t="s">
        <v>210</v>
      </c>
      <c r="D16" s="614" t="s">
        <v>509</v>
      </c>
      <c r="E16" s="614"/>
      <c r="F16" s="614"/>
      <c r="G16" s="201">
        <v>5</v>
      </c>
      <c r="H16" s="205">
        <v>2707.7365084199596</v>
      </c>
      <c r="I16" s="206">
        <v>541.5473016839918</v>
      </c>
      <c r="J16" s="221">
        <v>0.25466633318069398</v>
      </c>
      <c r="K16" s="613" t="s">
        <v>429</v>
      </c>
      <c r="L16" s="614"/>
      <c r="M16" s="189"/>
      <c r="N16" s="178"/>
      <c r="O16" s="178"/>
      <c r="P16" s="393"/>
      <c r="Q16" s="393"/>
      <c r="R16" s="178"/>
    </row>
    <row r="17" spans="1:18" ht="15.75" customHeight="1">
      <c r="A17" s="616"/>
      <c r="B17" s="617"/>
      <c r="C17" s="204" t="s">
        <v>211</v>
      </c>
      <c r="D17" s="614" t="s">
        <v>344</v>
      </c>
      <c r="E17" s="614"/>
      <c r="F17" s="614"/>
      <c r="G17" s="201">
        <v>5</v>
      </c>
      <c r="H17" s="205">
        <v>2976.873801579578</v>
      </c>
      <c r="I17" s="206">
        <v>595.37476031591552</v>
      </c>
      <c r="J17" s="221"/>
      <c r="K17" s="613" t="s">
        <v>429</v>
      </c>
      <c r="L17" s="614"/>
      <c r="M17" s="189"/>
      <c r="N17" s="178"/>
      <c r="O17" s="178"/>
      <c r="P17" s="393"/>
      <c r="Q17" s="393"/>
      <c r="R17" s="178"/>
    </row>
    <row r="18" spans="1:18" s="199" customFormat="1" ht="15.75" customHeight="1">
      <c r="A18" s="619" t="s">
        <v>188</v>
      </c>
      <c r="B18" s="619"/>
      <c r="C18" s="207" t="s">
        <v>47</v>
      </c>
      <c r="D18" s="619" t="s">
        <v>12</v>
      </c>
      <c r="E18" s="620"/>
      <c r="F18" s="620"/>
      <c r="G18" s="207" t="s">
        <v>46</v>
      </c>
      <c r="H18" s="207" t="s">
        <v>375</v>
      </c>
      <c r="I18" s="207" t="s">
        <v>376</v>
      </c>
      <c r="J18" s="160" t="s">
        <v>332</v>
      </c>
      <c r="K18" s="619" t="s">
        <v>50</v>
      </c>
      <c r="L18" s="620"/>
      <c r="M18" s="208"/>
      <c r="N18" s="178"/>
      <c r="O18" s="178"/>
      <c r="P18" s="393"/>
      <c r="Q18" s="393"/>
      <c r="R18" s="178"/>
    </row>
    <row r="19" spans="1:18" ht="15.75" customHeight="1">
      <c r="A19" s="616">
        <v>2</v>
      </c>
      <c r="B19" s="617" t="s">
        <v>155</v>
      </c>
      <c r="C19" s="200">
        <v>1</v>
      </c>
      <c r="D19" s="613" t="s">
        <v>346</v>
      </c>
      <c r="E19" s="614"/>
      <c r="F19" s="614"/>
      <c r="G19" s="200">
        <v>10</v>
      </c>
      <c r="H19" s="202">
        <v>3205.7942364786863</v>
      </c>
      <c r="I19" s="203">
        <v>320.57942364786862</v>
      </c>
      <c r="J19" s="221">
        <v>1.0768680248779674</v>
      </c>
      <c r="K19" s="613" t="s">
        <v>429</v>
      </c>
      <c r="L19" s="614"/>
      <c r="M19" s="189"/>
      <c r="N19" s="178"/>
      <c r="O19" s="178"/>
      <c r="P19" s="393"/>
      <c r="Q19" s="393"/>
      <c r="R19" s="178"/>
    </row>
    <row r="20" spans="1:18" ht="15.75" customHeight="1">
      <c r="A20" s="616"/>
      <c r="B20" s="617"/>
      <c r="C20" s="200">
        <v>2</v>
      </c>
      <c r="D20" s="613" t="s">
        <v>523</v>
      </c>
      <c r="E20" s="614"/>
      <c r="F20" s="614"/>
      <c r="G20" s="200">
        <v>11</v>
      </c>
      <c r="H20" s="202">
        <v>3150.2151328282075</v>
      </c>
      <c r="I20" s="203">
        <v>286.38319389347333</v>
      </c>
      <c r="J20" s="221">
        <v>-0.18233766233754523</v>
      </c>
      <c r="K20" s="613" t="s">
        <v>429</v>
      </c>
      <c r="L20" s="614"/>
      <c r="M20" s="189"/>
      <c r="N20" s="178"/>
      <c r="O20" s="178"/>
      <c r="P20" s="393"/>
      <c r="Q20" s="393"/>
      <c r="R20" s="178"/>
    </row>
    <row r="21" spans="1:18" ht="15.75" customHeight="1">
      <c r="A21" s="616"/>
      <c r="B21" s="617"/>
      <c r="C21" s="200">
        <v>3</v>
      </c>
      <c r="D21" s="613" t="s">
        <v>524</v>
      </c>
      <c r="E21" s="614"/>
      <c r="F21" s="614"/>
      <c r="G21" s="200">
        <v>11</v>
      </c>
      <c r="H21" s="202">
        <v>3149.880738052881</v>
      </c>
      <c r="I21" s="203">
        <v>286.35279436844371</v>
      </c>
      <c r="J21" s="221">
        <v>-0.23376623376617545</v>
      </c>
      <c r="K21" s="613" t="s">
        <v>429</v>
      </c>
      <c r="L21" s="614"/>
      <c r="M21" s="189"/>
      <c r="N21" s="178"/>
      <c r="O21" s="178"/>
      <c r="P21" s="393"/>
      <c r="Q21" s="393"/>
      <c r="R21" s="178"/>
    </row>
    <row r="22" spans="1:18" ht="15.75" customHeight="1">
      <c r="A22" s="616"/>
      <c r="B22" s="617"/>
      <c r="C22" s="200">
        <v>4</v>
      </c>
      <c r="D22" s="613"/>
      <c r="E22" s="614"/>
      <c r="F22" s="614"/>
      <c r="G22" s="200"/>
      <c r="H22" s="202"/>
      <c r="I22" s="203"/>
      <c r="J22" s="221"/>
      <c r="K22" s="613"/>
      <c r="L22" s="614"/>
      <c r="M22" s="189"/>
      <c r="N22" s="178"/>
      <c r="O22" s="178"/>
      <c r="P22" s="393"/>
      <c r="Q22" s="393"/>
      <c r="R22" s="178"/>
    </row>
    <row r="23" spans="1:18" ht="15.75" customHeight="1">
      <c r="A23" s="616"/>
      <c r="B23" s="617"/>
      <c r="C23" s="200">
        <v>5</v>
      </c>
      <c r="D23" s="613"/>
      <c r="E23" s="614"/>
      <c r="F23" s="614"/>
      <c r="G23" s="200"/>
      <c r="H23" s="202"/>
      <c r="I23" s="203"/>
      <c r="J23" s="221"/>
      <c r="K23" s="613"/>
      <c r="L23" s="614"/>
      <c r="M23" s="189"/>
      <c r="N23" s="178"/>
      <c r="O23" s="178"/>
      <c r="P23" s="393"/>
      <c r="Q23" s="393"/>
      <c r="R23" s="178"/>
    </row>
    <row r="24" spans="1:18" ht="15.75" customHeight="1">
      <c r="A24" s="616"/>
      <c r="B24" s="617"/>
      <c r="C24" s="204" t="s">
        <v>204</v>
      </c>
      <c r="D24" s="613"/>
      <c r="E24" s="614"/>
      <c r="F24" s="614"/>
      <c r="G24" s="200"/>
      <c r="H24" s="202"/>
      <c r="I24" s="203"/>
      <c r="J24" s="200"/>
      <c r="K24" s="613"/>
      <c r="L24" s="614"/>
      <c r="M24" s="189"/>
      <c r="N24" s="178"/>
      <c r="O24" s="178"/>
      <c r="P24" s="393"/>
      <c r="Q24" s="393"/>
      <c r="R24" s="178"/>
    </row>
    <row r="25" spans="1:18" ht="15.75" customHeight="1">
      <c r="A25" s="616"/>
      <c r="B25" s="617"/>
      <c r="C25" s="204" t="s">
        <v>209</v>
      </c>
      <c r="D25" s="613"/>
      <c r="E25" s="614"/>
      <c r="F25" s="614"/>
      <c r="G25" s="200"/>
      <c r="H25" s="202"/>
      <c r="I25" s="203"/>
      <c r="J25" s="200"/>
      <c r="K25" s="613"/>
      <c r="L25" s="614"/>
      <c r="M25" s="189"/>
      <c r="N25" s="178"/>
      <c r="O25" s="178"/>
      <c r="P25" s="393"/>
      <c r="Q25" s="393"/>
      <c r="R25" s="178"/>
    </row>
    <row r="26" spans="1:18" ht="15.75" customHeight="1">
      <c r="A26" s="616"/>
      <c r="B26" s="617"/>
      <c r="C26" s="204" t="s">
        <v>205</v>
      </c>
      <c r="D26" s="613"/>
      <c r="E26" s="614"/>
      <c r="F26" s="614"/>
      <c r="G26" s="200"/>
      <c r="H26" s="202"/>
      <c r="I26" s="203"/>
      <c r="J26" s="200"/>
      <c r="K26" s="613"/>
      <c r="L26" s="614"/>
      <c r="M26" s="189"/>
      <c r="N26" s="178"/>
      <c r="O26" s="178"/>
      <c r="P26" s="393"/>
      <c r="Q26" s="393"/>
      <c r="R26" s="178"/>
    </row>
    <row r="27" spans="1:18" ht="15.75" customHeight="1">
      <c r="A27" s="616"/>
      <c r="B27" s="617"/>
      <c r="C27" s="204" t="s">
        <v>210</v>
      </c>
      <c r="D27" s="613"/>
      <c r="E27" s="614"/>
      <c r="F27" s="614"/>
      <c r="G27" s="200"/>
      <c r="H27" s="202"/>
      <c r="I27" s="203"/>
      <c r="J27" s="200"/>
      <c r="K27" s="613"/>
      <c r="L27" s="614"/>
      <c r="M27" s="189"/>
      <c r="N27" s="178"/>
      <c r="O27" s="178"/>
      <c r="P27" s="393"/>
      <c r="Q27" s="393"/>
      <c r="R27" s="178"/>
    </row>
    <row r="28" spans="1:18" ht="15.75" customHeight="1">
      <c r="A28" s="616"/>
      <c r="B28" s="617"/>
      <c r="C28" s="204" t="s">
        <v>211</v>
      </c>
      <c r="D28" s="613"/>
      <c r="E28" s="614"/>
      <c r="F28" s="614"/>
      <c r="G28" s="200"/>
      <c r="H28" s="202"/>
      <c r="I28" s="203"/>
      <c r="J28" s="200"/>
      <c r="K28" s="613"/>
      <c r="L28" s="614"/>
      <c r="M28" s="189"/>
      <c r="N28" s="178"/>
      <c r="O28" s="178"/>
      <c r="P28" s="393"/>
      <c r="Q28" s="393"/>
      <c r="R28" s="178"/>
    </row>
    <row r="29" spans="1:18" ht="15.75" customHeight="1">
      <c r="A29" s="615" t="s">
        <v>659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  <c r="M29" s="189"/>
    </row>
    <row r="30" spans="1:18" s="190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8" s="178" customFormat="1" ht="15.75" customHeight="1">
      <c r="A31" s="616" t="s">
        <v>162</v>
      </c>
      <c r="B31" s="191">
        <v>1</v>
      </c>
      <c r="C31" s="191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ht="16.399999999999999" customHeight="1">
      <c r="A32" s="616"/>
      <c r="B32" s="194" t="s">
        <v>206</v>
      </c>
      <c r="C32" s="194" t="s">
        <v>155</v>
      </c>
      <c r="D32" s="195" t="s">
        <v>207</v>
      </c>
      <c r="E32" s="195" t="s">
        <v>156</v>
      </c>
      <c r="F32" s="195" t="s">
        <v>348</v>
      </c>
      <c r="G32" s="196" t="s">
        <v>136</v>
      </c>
      <c r="H32" s="197" t="s">
        <v>208</v>
      </c>
      <c r="I32" s="196" t="s">
        <v>374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78" customFormat="1" ht="15.75" customHeight="1">
      <c r="A33" s="617" t="s">
        <v>188</v>
      </c>
      <c r="B33" s="617"/>
      <c r="C33" s="160" t="s">
        <v>47</v>
      </c>
      <c r="D33" s="617" t="s">
        <v>12</v>
      </c>
      <c r="E33" s="618"/>
      <c r="F33" s="618"/>
      <c r="G33" s="160" t="s">
        <v>46</v>
      </c>
      <c r="H33" s="160" t="s">
        <v>375</v>
      </c>
      <c r="I33" s="160" t="s">
        <v>376</v>
      </c>
      <c r="J33" s="160" t="s">
        <v>332</v>
      </c>
      <c r="K33" s="617" t="s">
        <v>51</v>
      </c>
      <c r="L33" s="618"/>
      <c r="M33" s="193"/>
      <c r="N33" s="189"/>
      <c r="P33" s="393"/>
      <c r="Q33" s="393"/>
    </row>
    <row r="34" spans="1:18" ht="15.75" customHeight="1">
      <c r="A34" s="616">
        <v>1</v>
      </c>
      <c r="B34" s="617" t="s">
        <v>377</v>
      </c>
      <c r="C34" s="200">
        <v>1</v>
      </c>
      <c r="D34" s="613" t="s">
        <v>436</v>
      </c>
      <c r="E34" s="614"/>
      <c r="F34" s="614"/>
      <c r="G34" s="200">
        <v>3</v>
      </c>
      <c r="H34" s="202">
        <v>3197.6023507222039</v>
      </c>
      <c r="I34" s="203">
        <v>1065.8674502407346</v>
      </c>
      <c r="J34" s="221">
        <f>I34-I8</f>
        <v>-0.49714285714321704</v>
      </c>
      <c r="K34" s="613"/>
      <c r="L34" s="614"/>
      <c r="N34" s="178"/>
      <c r="O34" s="178"/>
      <c r="P34" s="393"/>
      <c r="Q34" s="393"/>
      <c r="R34" s="178"/>
    </row>
    <row r="35" spans="1:18" ht="15.75" customHeight="1">
      <c r="A35" s="616"/>
      <c r="B35" s="617"/>
      <c r="C35" s="200">
        <v>2</v>
      </c>
      <c r="D35" s="613" t="s">
        <v>399</v>
      </c>
      <c r="E35" s="614"/>
      <c r="F35" s="614"/>
      <c r="G35" s="200">
        <v>3</v>
      </c>
      <c r="H35" s="202">
        <v>3196.3674883729523</v>
      </c>
      <c r="I35" s="203">
        <v>1065.4558294576509</v>
      </c>
      <c r="J35" s="221">
        <f>I35-I9</f>
        <v>0.87428571428563373</v>
      </c>
      <c r="K35" s="613"/>
      <c r="L35" s="614"/>
      <c r="N35" s="178"/>
      <c r="O35" s="178"/>
      <c r="P35" s="393"/>
      <c r="Q35" s="393"/>
      <c r="R35" s="178"/>
    </row>
    <row r="36" spans="1:18" ht="15.75" customHeight="1">
      <c r="A36" s="616"/>
      <c r="B36" s="617"/>
      <c r="C36" s="200">
        <v>3</v>
      </c>
      <c r="D36" s="613" t="s">
        <v>391</v>
      </c>
      <c r="E36" s="614"/>
      <c r="F36" s="614"/>
      <c r="G36" s="200">
        <v>3</v>
      </c>
      <c r="H36" s="202">
        <v>3194.751621642888</v>
      </c>
      <c r="I36" s="203">
        <v>1064.917207214296</v>
      </c>
      <c r="J36" s="221">
        <f>I36-I10</f>
        <v>0.72000000000048203</v>
      </c>
      <c r="K36" s="613"/>
      <c r="L36" s="614"/>
      <c r="N36" s="178"/>
      <c r="O36" s="178"/>
      <c r="P36" s="393"/>
      <c r="Q36" s="393"/>
      <c r="R36" s="178"/>
    </row>
    <row r="37" spans="1:18" ht="15.75" customHeight="1">
      <c r="A37" s="616"/>
      <c r="B37" s="617"/>
      <c r="C37" s="200">
        <v>4</v>
      </c>
      <c r="D37" s="613" t="s">
        <v>615</v>
      </c>
      <c r="E37" s="614"/>
      <c r="F37" s="614"/>
      <c r="G37" s="200">
        <v>3</v>
      </c>
      <c r="H37" s="202">
        <v>3194.4208393122403</v>
      </c>
      <c r="I37" s="203">
        <v>1064.8069464374137</v>
      </c>
      <c r="J37" s="221">
        <f>I37-I12</f>
        <v>1.4228571428570831</v>
      </c>
      <c r="K37" s="613"/>
      <c r="L37" s="614"/>
      <c r="N37" s="178"/>
      <c r="O37" s="178"/>
      <c r="P37" s="393"/>
      <c r="Q37" s="393"/>
      <c r="R37" s="178"/>
    </row>
    <row r="38" spans="1:18" ht="15.75" customHeight="1">
      <c r="A38" s="616"/>
      <c r="B38" s="617"/>
      <c r="C38" s="200">
        <v>5</v>
      </c>
      <c r="D38" s="613" t="s">
        <v>396</v>
      </c>
      <c r="E38" s="614"/>
      <c r="F38" s="614"/>
      <c r="G38" s="200">
        <v>3</v>
      </c>
      <c r="H38" s="202">
        <v>3194.0262609075221</v>
      </c>
      <c r="I38" s="203">
        <v>1064.6754203025075</v>
      </c>
      <c r="J38" s="221">
        <f>I38-I11</f>
        <v>1.1485714285713584</v>
      </c>
      <c r="K38" s="613"/>
      <c r="L38" s="614"/>
      <c r="O38" s="178"/>
      <c r="P38" s="393"/>
      <c r="Q38" s="393"/>
      <c r="R38" s="178"/>
    </row>
    <row r="39" spans="1:18" ht="15.75" customHeight="1">
      <c r="A39" s="616"/>
      <c r="B39" s="617"/>
      <c r="C39" s="204" t="s">
        <v>204</v>
      </c>
      <c r="D39" s="614" t="s">
        <v>486</v>
      </c>
      <c r="E39" s="614"/>
      <c r="F39" s="614"/>
      <c r="G39" s="201">
        <v>13</v>
      </c>
      <c r="H39" s="205">
        <v>3257.6523398549684</v>
      </c>
      <c r="I39" s="206">
        <v>250.5886415273053</v>
      </c>
      <c r="J39" s="221">
        <f>I39-I13</f>
        <v>-0.38294050296613591</v>
      </c>
      <c r="K39" s="613"/>
      <c r="L39" s="614"/>
      <c r="N39" s="178"/>
      <c r="O39" s="178"/>
      <c r="P39" s="393"/>
      <c r="Q39" s="393"/>
      <c r="R39" s="178"/>
    </row>
    <row r="40" spans="1:18" ht="15.75" customHeight="1">
      <c r="A40" s="616"/>
      <c r="B40" s="617"/>
      <c r="C40" s="204" t="s">
        <v>209</v>
      </c>
      <c r="D40" s="614" t="s">
        <v>441</v>
      </c>
      <c r="E40" s="614"/>
      <c r="F40" s="614"/>
      <c r="G40" s="201">
        <v>12</v>
      </c>
      <c r="H40" s="205">
        <v>3111.9063333133008</v>
      </c>
      <c r="I40" s="206">
        <v>259.3255277761084</v>
      </c>
      <c r="J40" s="221">
        <f>I40-I15</f>
        <v>-0.23571428571426623</v>
      </c>
      <c r="K40" s="613"/>
      <c r="L40" s="614"/>
      <c r="N40" s="178"/>
      <c r="O40" s="178"/>
      <c r="P40" s="393"/>
      <c r="Q40" s="393"/>
      <c r="R40" s="178"/>
    </row>
    <row r="41" spans="1:18" ht="15.75" customHeight="1">
      <c r="A41" s="616"/>
      <c r="B41" s="617"/>
      <c r="C41" s="204" t="s">
        <v>205</v>
      </c>
      <c r="D41" s="614" t="s">
        <v>438</v>
      </c>
      <c r="E41" s="614"/>
      <c r="F41" s="614"/>
      <c r="G41" s="201">
        <v>12</v>
      </c>
      <c r="H41" s="205">
        <v>3113.1000719312165</v>
      </c>
      <c r="I41" s="206">
        <v>259.42500599426802</v>
      </c>
      <c r="J41" s="221">
        <f>I41-I14</f>
        <v>-0.10714285714277594</v>
      </c>
      <c r="K41" s="613"/>
      <c r="L41" s="614"/>
      <c r="N41" s="178"/>
      <c r="O41" s="178"/>
      <c r="P41" s="393"/>
      <c r="Q41" s="393"/>
      <c r="R41" s="178"/>
    </row>
    <row r="42" spans="1:18" ht="15.75" customHeight="1">
      <c r="A42" s="616"/>
      <c r="B42" s="617"/>
      <c r="C42" s="204" t="s">
        <v>210</v>
      </c>
      <c r="D42" s="614" t="s">
        <v>509</v>
      </c>
      <c r="E42" s="614"/>
      <c r="F42" s="614"/>
      <c r="G42" s="201">
        <v>5</v>
      </c>
      <c r="H42" s="205">
        <v>2707.191266156151</v>
      </c>
      <c r="I42" s="206">
        <v>541.43825323123019</v>
      </c>
      <c r="J42" s="221">
        <f>I42-I17</f>
        <v>-53.936507084685331</v>
      </c>
      <c r="K42" s="613"/>
      <c r="L42" s="614"/>
      <c r="M42" s="189"/>
      <c r="N42" s="178"/>
      <c r="O42" s="178"/>
      <c r="P42" s="393"/>
      <c r="Q42" s="393"/>
      <c r="R42" s="178"/>
    </row>
    <row r="43" spans="1:18" ht="15.75" customHeight="1">
      <c r="A43" s="616"/>
      <c r="B43" s="617"/>
      <c r="C43" s="204" t="s">
        <v>211</v>
      </c>
      <c r="D43" s="614" t="s">
        <v>344</v>
      </c>
      <c r="E43" s="614"/>
      <c r="F43" s="614"/>
      <c r="G43" s="201">
        <v>5</v>
      </c>
      <c r="H43" s="205">
        <v>2979.2918303610886</v>
      </c>
      <c r="I43" s="206">
        <v>595.85836607221756</v>
      </c>
      <c r="J43" s="221"/>
      <c r="K43" s="613"/>
      <c r="L43" s="614"/>
      <c r="M43" s="189"/>
      <c r="N43" s="178"/>
      <c r="O43" s="178"/>
      <c r="P43" s="393"/>
      <c r="Q43" s="393"/>
      <c r="R43" s="178"/>
    </row>
    <row r="44" spans="1:18" s="199" customFormat="1" ht="15.75" customHeight="1">
      <c r="A44" s="619" t="s">
        <v>188</v>
      </c>
      <c r="B44" s="619"/>
      <c r="C44" s="207" t="s">
        <v>47</v>
      </c>
      <c r="D44" s="619" t="s">
        <v>12</v>
      </c>
      <c r="E44" s="620"/>
      <c r="F44" s="620"/>
      <c r="G44" s="207" t="s">
        <v>46</v>
      </c>
      <c r="H44" s="207" t="s">
        <v>375</v>
      </c>
      <c r="I44" s="207" t="s">
        <v>376</v>
      </c>
      <c r="J44" s="160" t="s">
        <v>332</v>
      </c>
      <c r="K44" s="619" t="s">
        <v>50</v>
      </c>
      <c r="L44" s="620"/>
      <c r="M44" s="208"/>
      <c r="N44" s="178"/>
      <c r="O44" s="178"/>
      <c r="P44" s="393"/>
      <c r="Q44" s="393"/>
      <c r="R44" s="178"/>
    </row>
    <row r="45" spans="1:18" ht="15.75" customHeight="1">
      <c r="A45" s="616">
        <v>2</v>
      </c>
      <c r="B45" s="617" t="s">
        <v>155</v>
      </c>
      <c r="C45" s="200">
        <v>1</v>
      </c>
      <c r="D45" s="613" t="s">
        <v>346</v>
      </c>
      <c r="E45" s="614"/>
      <c r="F45" s="614"/>
      <c r="G45" s="200">
        <v>10</v>
      </c>
      <c r="H45" s="202">
        <v>3211.1413054686013</v>
      </c>
      <c r="I45" s="203">
        <v>321.11413054686011</v>
      </c>
      <c r="J45" s="221">
        <f>I45-I19</f>
        <v>0.53470689899148738</v>
      </c>
      <c r="K45" s="613"/>
      <c r="L45" s="614"/>
      <c r="M45" s="189"/>
      <c r="N45" s="178"/>
      <c r="O45" s="178"/>
      <c r="P45" s="393"/>
      <c r="Q45" s="393"/>
      <c r="R45" s="178"/>
    </row>
    <row r="46" spans="1:18" ht="15.75" customHeight="1">
      <c r="A46" s="616"/>
      <c r="B46" s="617"/>
      <c r="C46" s="200">
        <v>2</v>
      </c>
      <c r="D46" s="613" t="s">
        <v>523</v>
      </c>
      <c r="E46" s="614"/>
      <c r="F46" s="614"/>
      <c r="G46" s="200">
        <v>11</v>
      </c>
      <c r="H46" s="202">
        <v>3152.0151328282082</v>
      </c>
      <c r="I46" s="203">
        <v>286.54683025710983</v>
      </c>
      <c r="J46" s="221">
        <f>I46-I20</f>
        <v>0.16363636363649903</v>
      </c>
      <c r="K46" s="613"/>
      <c r="L46" s="614"/>
      <c r="M46" s="189"/>
      <c r="N46" s="178"/>
      <c r="O46" s="178"/>
      <c r="P46" s="393"/>
      <c r="Q46" s="393"/>
      <c r="R46" s="178"/>
    </row>
    <row r="47" spans="1:18" ht="15.75" customHeight="1">
      <c r="A47" s="616"/>
      <c r="B47" s="617"/>
      <c r="C47" s="200">
        <v>3</v>
      </c>
      <c r="D47" s="613" t="s">
        <v>524</v>
      </c>
      <c r="E47" s="614"/>
      <c r="F47" s="614"/>
      <c r="G47" s="200">
        <v>11</v>
      </c>
      <c r="H47" s="202">
        <v>3150.8064523385983</v>
      </c>
      <c r="I47" s="203">
        <v>286.43695021259981</v>
      </c>
      <c r="J47" s="221">
        <f>I47-I21</f>
        <v>8.4155844156100557E-2</v>
      </c>
      <c r="K47" s="613"/>
      <c r="L47" s="614"/>
      <c r="M47" s="189"/>
      <c r="N47" s="178"/>
      <c r="O47" s="178"/>
      <c r="P47" s="393"/>
      <c r="Q47" s="393"/>
      <c r="R47" s="178"/>
    </row>
    <row r="48" spans="1:18" ht="15.75" customHeight="1">
      <c r="A48" s="616"/>
      <c r="B48" s="617"/>
      <c r="C48" s="200">
        <v>4</v>
      </c>
      <c r="D48" s="613"/>
      <c r="E48" s="614"/>
      <c r="F48" s="614"/>
      <c r="G48" s="200"/>
      <c r="H48" s="202"/>
      <c r="I48" s="203"/>
      <c r="J48" s="221"/>
      <c r="K48" s="613"/>
      <c r="L48" s="614"/>
      <c r="M48" s="189"/>
      <c r="N48" s="178"/>
      <c r="O48" s="178"/>
      <c r="P48" s="393"/>
      <c r="Q48" s="393"/>
      <c r="R48" s="178"/>
    </row>
    <row r="49" spans="1:18" ht="15.75" customHeight="1">
      <c r="A49" s="616"/>
      <c r="B49" s="617"/>
      <c r="C49" s="200">
        <v>5</v>
      </c>
      <c r="D49" s="613"/>
      <c r="E49" s="614"/>
      <c r="F49" s="614"/>
      <c r="G49" s="200"/>
      <c r="H49" s="202"/>
      <c r="I49" s="203"/>
      <c r="J49" s="221"/>
      <c r="K49" s="613"/>
      <c r="L49" s="614"/>
      <c r="M49" s="189"/>
      <c r="N49" s="178"/>
      <c r="O49" s="178"/>
      <c r="P49" s="393"/>
      <c r="Q49" s="393"/>
      <c r="R49" s="178"/>
    </row>
    <row r="50" spans="1:18" ht="15.75" customHeight="1">
      <c r="A50" s="616"/>
      <c r="B50" s="617"/>
      <c r="C50" s="204" t="s">
        <v>204</v>
      </c>
      <c r="D50" s="613"/>
      <c r="E50" s="614"/>
      <c r="F50" s="614"/>
      <c r="G50" s="200"/>
      <c r="H50" s="202"/>
      <c r="I50" s="203"/>
      <c r="J50" s="200"/>
      <c r="K50" s="613"/>
      <c r="L50" s="614"/>
      <c r="M50" s="189"/>
      <c r="N50" s="178"/>
      <c r="O50" s="178"/>
      <c r="P50" s="393"/>
      <c r="Q50" s="393"/>
      <c r="R50" s="178"/>
    </row>
    <row r="51" spans="1:18" ht="15.75" customHeight="1">
      <c r="A51" s="616"/>
      <c r="B51" s="617"/>
      <c r="C51" s="204" t="s">
        <v>209</v>
      </c>
      <c r="D51" s="613"/>
      <c r="E51" s="614"/>
      <c r="F51" s="614"/>
      <c r="G51" s="200"/>
      <c r="H51" s="202"/>
      <c r="I51" s="203"/>
      <c r="J51" s="200"/>
      <c r="K51" s="613"/>
      <c r="L51" s="614"/>
      <c r="M51" s="189"/>
      <c r="N51" s="178"/>
      <c r="O51" s="178"/>
      <c r="P51" s="393"/>
      <c r="Q51" s="393"/>
      <c r="R51" s="178"/>
    </row>
    <row r="52" spans="1:18" ht="15.75" customHeight="1">
      <c r="A52" s="616"/>
      <c r="B52" s="617"/>
      <c r="C52" s="204" t="s">
        <v>205</v>
      </c>
      <c r="D52" s="613"/>
      <c r="E52" s="614"/>
      <c r="F52" s="614"/>
      <c r="G52" s="200"/>
      <c r="H52" s="202"/>
      <c r="I52" s="203"/>
      <c r="J52" s="200"/>
      <c r="K52" s="613"/>
      <c r="L52" s="614"/>
      <c r="M52" s="189"/>
      <c r="N52" s="178"/>
      <c r="O52" s="178"/>
      <c r="P52" s="393"/>
      <c r="Q52" s="393"/>
      <c r="R52" s="178"/>
    </row>
    <row r="53" spans="1:18" ht="15.75" customHeight="1">
      <c r="A53" s="616"/>
      <c r="B53" s="617"/>
      <c r="C53" s="204" t="s">
        <v>210</v>
      </c>
      <c r="D53" s="613"/>
      <c r="E53" s="614"/>
      <c r="F53" s="614"/>
      <c r="G53" s="200"/>
      <c r="H53" s="202"/>
      <c r="I53" s="203"/>
      <c r="J53" s="200"/>
      <c r="K53" s="613"/>
      <c r="L53" s="614"/>
      <c r="M53" s="189"/>
      <c r="N53" s="178"/>
      <c r="O53" s="178"/>
      <c r="P53" s="393"/>
      <c r="Q53" s="393"/>
      <c r="R53" s="178"/>
    </row>
    <row r="54" spans="1:18" ht="15.75" customHeight="1">
      <c r="A54" s="616"/>
      <c r="B54" s="617"/>
      <c r="C54" s="204" t="s">
        <v>211</v>
      </c>
      <c r="D54" s="613"/>
      <c r="E54" s="614"/>
      <c r="F54" s="614"/>
      <c r="G54" s="200"/>
      <c r="H54" s="202"/>
      <c r="I54" s="203"/>
      <c r="J54" s="200"/>
      <c r="K54" s="613"/>
      <c r="L54" s="614"/>
      <c r="M54" s="189"/>
      <c r="N54" s="178"/>
      <c r="O54" s="178"/>
      <c r="P54" s="393"/>
      <c r="Q54" s="393"/>
      <c r="R54" s="178"/>
    </row>
    <row r="55" spans="1:18" ht="15.75" customHeight="1">
      <c r="A55" s="615" t="s">
        <v>660</v>
      </c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  <c r="M55" s="189"/>
    </row>
    <row r="56" spans="1:18" s="190" customFormat="1" ht="15.75" customHeight="1">
      <c r="A56" s="615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</row>
    <row r="57" spans="1:18" s="178" customFormat="1" ht="15.75" customHeight="1">
      <c r="A57" s="616" t="s">
        <v>162</v>
      </c>
      <c r="B57" s="191">
        <v>1</v>
      </c>
      <c r="C57" s="191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ht="16.399999999999999" customHeight="1">
      <c r="A58" s="616"/>
      <c r="B58" s="194" t="s">
        <v>206</v>
      </c>
      <c r="C58" s="194" t="s">
        <v>155</v>
      </c>
      <c r="D58" s="195" t="s">
        <v>207</v>
      </c>
      <c r="E58" s="195" t="s">
        <v>156</v>
      </c>
      <c r="F58" s="195" t="s">
        <v>348</v>
      </c>
      <c r="G58" s="196" t="s">
        <v>136</v>
      </c>
      <c r="H58" s="197" t="s">
        <v>208</v>
      </c>
      <c r="I58" s="196" t="s">
        <v>374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78" customFormat="1" ht="15.75" customHeight="1">
      <c r="A59" s="617" t="s">
        <v>188</v>
      </c>
      <c r="B59" s="617"/>
      <c r="C59" s="160" t="s">
        <v>47</v>
      </c>
      <c r="D59" s="617" t="s">
        <v>12</v>
      </c>
      <c r="E59" s="618"/>
      <c r="F59" s="618"/>
      <c r="G59" s="160" t="s">
        <v>46</v>
      </c>
      <c r="H59" s="160" t="s">
        <v>375</v>
      </c>
      <c r="I59" s="160" t="s">
        <v>376</v>
      </c>
      <c r="J59" s="160" t="s">
        <v>332</v>
      </c>
      <c r="K59" s="617" t="s">
        <v>51</v>
      </c>
      <c r="L59" s="618"/>
      <c r="M59" s="193"/>
      <c r="N59" s="189"/>
      <c r="P59" s="393"/>
      <c r="Q59" s="393"/>
    </row>
    <row r="60" spans="1:18" ht="15.75" customHeight="1">
      <c r="A60" s="616">
        <v>1</v>
      </c>
      <c r="B60" s="617" t="s">
        <v>377</v>
      </c>
      <c r="C60" s="200">
        <v>1</v>
      </c>
      <c r="D60" s="613"/>
      <c r="E60" s="614"/>
      <c r="F60" s="614"/>
      <c r="G60" s="200"/>
      <c r="H60" s="202"/>
      <c r="I60" s="203"/>
      <c r="J60" s="221">
        <f>I60-I34</f>
        <v>-1065.8674502407346</v>
      </c>
      <c r="K60" s="613"/>
      <c r="L60" s="614"/>
      <c r="N60" s="178"/>
      <c r="O60" s="178"/>
      <c r="P60" s="393"/>
      <c r="Q60" s="393"/>
      <c r="R60" s="178"/>
    </row>
    <row r="61" spans="1:18" ht="15.75" customHeight="1">
      <c r="A61" s="616"/>
      <c r="B61" s="617"/>
      <c r="C61" s="200">
        <v>2</v>
      </c>
      <c r="D61" s="613"/>
      <c r="E61" s="614"/>
      <c r="F61" s="614"/>
      <c r="G61" s="200"/>
      <c r="H61" s="202"/>
      <c r="I61" s="203"/>
      <c r="J61" s="221">
        <f>I61-I35</f>
        <v>-1065.4558294576509</v>
      </c>
      <c r="K61" s="613"/>
      <c r="L61" s="614"/>
      <c r="N61" s="178"/>
      <c r="O61" s="178"/>
      <c r="P61" s="393"/>
      <c r="Q61" s="393"/>
      <c r="R61" s="178"/>
    </row>
    <row r="62" spans="1:18" ht="15.75" customHeight="1">
      <c r="A62" s="616"/>
      <c r="B62" s="617"/>
      <c r="C62" s="200">
        <v>3</v>
      </c>
      <c r="D62" s="613"/>
      <c r="E62" s="614"/>
      <c r="F62" s="614"/>
      <c r="G62" s="200"/>
      <c r="H62" s="202"/>
      <c r="I62" s="203"/>
      <c r="J62" s="221">
        <f>I62-I36</f>
        <v>-1064.917207214296</v>
      </c>
      <c r="K62" s="613"/>
      <c r="L62" s="614"/>
      <c r="N62" s="178"/>
      <c r="O62" s="178"/>
      <c r="P62" s="393"/>
      <c r="Q62" s="393"/>
      <c r="R62" s="178"/>
    </row>
    <row r="63" spans="1:18" ht="15.75" customHeight="1">
      <c r="A63" s="616"/>
      <c r="B63" s="617"/>
      <c r="C63" s="200">
        <v>4</v>
      </c>
      <c r="D63" s="613"/>
      <c r="E63" s="614"/>
      <c r="F63" s="614"/>
      <c r="G63" s="200"/>
      <c r="H63" s="202"/>
      <c r="I63" s="203"/>
      <c r="J63" s="221"/>
      <c r="K63" s="613"/>
      <c r="L63" s="614"/>
      <c r="N63" s="178"/>
      <c r="O63" s="178"/>
      <c r="P63" s="393"/>
      <c r="Q63" s="393"/>
      <c r="R63" s="178"/>
    </row>
    <row r="64" spans="1:18" ht="15.75" customHeight="1">
      <c r="A64" s="616"/>
      <c r="B64" s="617"/>
      <c r="C64" s="200">
        <v>5</v>
      </c>
      <c r="D64" s="613"/>
      <c r="E64" s="614"/>
      <c r="F64" s="614"/>
      <c r="G64" s="200"/>
      <c r="H64" s="202"/>
      <c r="I64" s="203"/>
      <c r="J64" s="221"/>
      <c r="K64" s="613"/>
      <c r="L64" s="614"/>
      <c r="O64" s="178"/>
      <c r="P64" s="393"/>
      <c r="Q64" s="393"/>
      <c r="R64" s="178"/>
    </row>
    <row r="65" spans="1:18" ht="15.75" customHeight="1">
      <c r="A65" s="616"/>
      <c r="B65" s="617"/>
      <c r="C65" s="204" t="s">
        <v>204</v>
      </c>
      <c r="D65" s="614"/>
      <c r="E65" s="614"/>
      <c r="F65" s="614"/>
      <c r="G65" s="201"/>
      <c r="H65" s="205"/>
      <c r="I65" s="206"/>
      <c r="J65" s="221">
        <f>I65-I39</f>
        <v>-250.5886415273053</v>
      </c>
      <c r="K65" s="613"/>
      <c r="L65" s="614"/>
      <c r="N65" s="178"/>
      <c r="O65" s="178"/>
      <c r="P65" s="393"/>
      <c r="Q65" s="393"/>
      <c r="R65" s="178"/>
    </row>
    <row r="66" spans="1:18" ht="15.75" customHeight="1">
      <c r="A66" s="616"/>
      <c r="B66" s="617"/>
      <c r="C66" s="204" t="s">
        <v>209</v>
      </c>
      <c r="D66" s="614"/>
      <c r="E66" s="614"/>
      <c r="F66" s="614"/>
      <c r="G66" s="201"/>
      <c r="H66" s="205"/>
      <c r="I66" s="206"/>
      <c r="J66" s="221">
        <f>I66-I41</f>
        <v>-259.42500599426802</v>
      </c>
      <c r="K66" s="613"/>
      <c r="L66" s="614"/>
      <c r="N66" s="178"/>
      <c r="O66" s="178"/>
      <c r="P66" s="393"/>
      <c r="Q66" s="393"/>
      <c r="R66" s="178"/>
    </row>
    <row r="67" spans="1:18" ht="15.75" customHeight="1">
      <c r="A67" s="616"/>
      <c r="B67" s="617"/>
      <c r="C67" s="204" t="s">
        <v>205</v>
      </c>
      <c r="D67" s="614"/>
      <c r="E67" s="614"/>
      <c r="F67" s="614"/>
      <c r="G67" s="201"/>
      <c r="H67" s="205"/>
      <c r="I67" s="206"/>
      <c r="J67" s="221">
        <f>I67-I40</f>
        <v>-259.3255277761084</v>
      </c>
      <c r="K67" s="613"/>
      <c r="L67" s="614"/>
      <c r="N67" s="178"/>
      <c r="O67" s="178"/>
      <c r="P67" s="393"/>
      <c r="Q67" s="393"/>
      <c r="R67" s="178"/>
    </row>
    <row r="68" spans="1:18" ht="15.75" customHeight="1">
      <c r="A68" s="616"/>
      <c r="B68" s="617"/>
      <c r="C68" s="204" t="s">
        <v>210</v>
      </c>
      <c r="D68" s="614"/>
      <c r="E68" s="614"/>
      <c r="F68" s="614"/>
      <c r="G68" s="201"/>
      <c r="H68" s="205"/>
      <c r="I68" s="206"/>
      <c r="J68" s="221">
        <f>I68-I43</f>
        <v>-595.85836607221756</v>
      </c>
      <c r="K68" s="613"/>
      <c r="L68" s="614"/>
      <c r="M68" s="189"/>
      <c r="N68" s="178"/>
      <c r="O68" s="178"/>
      <c r="P68" s="393"/>
      <c r="Q68" s="393"/>
      <c r="R68" s="178"/>
    </row>
    <row r="69" spans="1:18" ht="15.75" customHeight="1">
      <c r="A69" s="616"/>
      <c r="B69" s="617"/>
      <c r="C69" s="204" t="s">
        <v>211</v>
      </c>
      <c r="D69" s="614"/>
      <c r="E69" s="614"/>
      <c r="F69" s="614"/>
      <c r="G69" s="201"/>
      <c r="H69" s="205"/>
      <c r="I69" s="206"/>
      <c r="J69" s="221"/>
      <c r="K69" s="613"/>
      <c r="L69" s="614"/>
      <c r="M69" s="189"/>
      <c r="N69" s="178"/>
      <c r="O69" s="178"/>
      <c r="P69" s="393"/>
      <c r="Q69" s="393"/>
      <c r="R69" s="178"/>
    </row>
    <row r="70" spans="1:18" s="199" customFormat="1" ht="15.75" customHeight="1">
      <c r="A70" s="619" t="s">
        <v>188</v>
      </c>
      <c r="B70" s="619"/>
      <c r="C70" s="207" t="s">
        <v>47</v>
      </c>
      <c r="D70" s="619" t="s">
        <v>12</v>
      </c>
      <c r="E70" s="620"/>
      <c r="F70" s="620"/>
      <c r="G70" s="207" t="s">
        <v>46</v>
      </c>
      <c r="H70" s="207" t="s">
        <v>375</v>
      </c>
      <c r="I70" s="207" t="s">
        <v>376</v>
      </c>
      <c r="J70" s="160" t="s">
        <v>332</v>
      </c>
      <c r="K70" s="619" t="s">
        <v>50</v>
      </c>
      <c r="L70" s="620"/>
      <c r="M70" s="208"/>
      <c r="N70" s="178"/>
      <c r="O70" s="178"/>
      <c r="P70" s="393"/>
      <c r="Q70" s="393"/>
      <c r="R70" s="178"/>
    </row>
    <row r="71" spans="1:18" ht="15.75" customHeight="1">
      <c r="A71" s="616">
        <v>2</v>
      </c>
      <c r="B71" s="617" t="s">
        <v>155</v>
      </c>
      <c r="C71" s="200">
        <v>1</v>
      </c>
      <c r="D71" s="613"/>
      <c r="E71" s="614"/>
      <c r="F71" s="614"/>
      <c r="G71" s="200"/>
      <c r="H71" s="202"/>
      <c r="I71" s="203"/>
      <c r="J71" s="221">
        <f>I71-I45</f>
        <v>-321.11413054686011</v>
      </c>
      <c r="K71" s="613"/>
      <c r="L71" s="614"/>
      <c r="M71" s="189"/>
      <c r="N71" s="178"/>
      <c r="O71" s="178"/>
      <c r="P71" s="393"/>
      <c r="Q71" s="393"/>
      <c r="R71" s="178"/>
    </row>
    <row r="72" spans="1:18" ht="15.75" customHeight="1">
      <c r="A72" s="616"/>
      <c r="B72" s="617"/>
      <c r="C72" s="200">
        <v>2</v>
      </c>
      <c r="D72" s="613"/>
      <c r="E72" s="614"/>
      <c r="F72" s="614"/>
      <c r="G72" s="200"/>
      <c r="H72" s="202"/>
      <c r="I72" s="203"/>
      <c r="J72" s="221">
        <f>I72-I47</f>
        <v>-286.43695021259981</v>
      </c>
      <c r="K72" s="613"/>
      <c r="L72" s="614"/>
      <c r="M72" s="189"/>
      <c r="N72" s="178"/>
      <c r="O72" s="178"/>
      <c r="P72" s="393"/>
      <c r="Q72" s="393"/>
      <c r="R72" s="178"/>
    </row>
    <row r="73" spans="1:18" ht="15.75" customHeight="1">
      <c r="A73" s="616"/>
      <c r="B73" s="617"/>
      <c r="C73" s="200">
        <v>3</v>
      </c>
      <c r="D73" s="613"/>
      <c r="E73" s="614"/>
      <c r="F73" s="614"/>
      <c r="G73" s="200"/>
      <c r="H73" s="202"/>
      <c r="I73" s="203"/>
      <c r="J73" s="221">
        <f>I73-I46</f>
        <v>-286.54683025710983</v>
      </c>
      <c r="K73" s="613"/>
      <c r="L73" s="614"/>
      <c r="M73" s="189"/>
      <c r="N73" s="178"/>
      <c r="O73" s="178"/>
      <c r="P73" s="393"/>
      <c r="Q73" s="393"/>
      <c r="R73" s="178"/>
    </row>
    <row r="74" spans="1:18" ht="15.75" customHeight="1">
      <c r="A74" s="616"/>
      <c r="B74" s="617"/>
      <c r="C74" s="200">
        <v>4</v>
      </c>
      <c r="D74" s="613"/>
      <c r="E74" s="614"/>
      <c r="F74" s="614"/>
      <c r="G74" s="200"/>
      <c r="H74" s="202"/>
      <c r="I74" s="203"/>
      <c r="J74" s="221"/>
      <c r="K74" s="613"/>
      <c r="L74" s="614"/>
      <c r="M74" s="189"/>
      <c r="N74" s="178"/>
      <c r="O74" s="178"/>
      <c r="P74" s="393"/>
      <c r="Q74" s="393"/>
      <c r="R74" s="178"/>
    </row>
    <row r="75" spans="1:18" ht="15.75" customHeight="1">
      <c r="A75" s="616"/>
      <c r="B75" s="617"/>
      <c r="C75" s="200">
        <v>5</v>
      </c>
      <c r="D75" s="613"/>
      <c r="E75" s="614"/>
      <c r="F75" s="614"/>
      <c r="G75" s="200"/>
      <c r="H75" s="202"/>
      <c r="I75" s="203"/>
      <c r="J75" s="221"/>
      <c r="K75" s="613"/>
      <c r="L75" s="614"/>
      <c r="M75" s="189"/>
      <c r="N75" s="178"/>
      <c r="O75" s="178"/>
      <c r="P75" s="393"/>
      <c r="Q75" s="393"/>
      <c r="R75" s="178"/>
    </row>
    <row r="76" spans="1:18" ht="15.75" customHeight="1">
      <c r="A76" s="616"/>
      <c r="B76" s="617"/>
      <c r="C76" s="204" t="s">
        <v>204</v>
      </c>
      <c r="D76" s="613"/>
      <c r="E76" s="614"/>
      <c r="F76" s="614"/>
      <c r="G76" s="200"/>
      <c r="H76" s="202"/>
      <c r="I76" s="203"/>
      <c r="J76" s="200"/>
      <c r="K76" s="613"/>
      <c r="L76" s="614"/>
      <c r="M76" s="189"/>
      <c r="N76" s="178"/>
      <c r="O76" s="178"/>
      <c r="P76" s="393"/>
      <c r="Q76" s="393"/>
      <c r="R76" s="178"/>
    </row>
    <row r="77" spans="1:18" ht="15.75" customHeight="1">
      <c r="A77" s="616"/>
      <c r="B77" s="617"/>
      <c r="C77" s="204" t="s">
        <v>209</v>
      </c>
      <c r="D77" s="613"/>
      <c r="E77" s="614"/>
      <c r="F77" s="614"/>
      <c r="G77" s="200"/>
      <c r="H77" s="202"/>
      <c r="I77" s="203"/>
      <c r="J77" s="200"/>
      <c r="K77" s="613"/>
      <c r="L77" s="614"/>
      <c r="M77" s="189"/>
      <c r="N77" s="178"/>
      <c r="O77" s="178"/>
      <c r="P77" s="393"/>
      <c r="Q77" s="393"/>
      <c r="R77" s="178"/>
    </row>
    <row r="78" spans="1:18" ht="15.75" customHeight="1">
      <c r="A78" s="616"/>
      <c r="B78" s="617"/>
      <c r="C78" s="204" t="s">
        <v>205</v>
      </c>
      <c r="D78" s="613"/>
      <c r="E78" s="614"/>
      <c r="F78" s="614"/>
      <c r="G78" s="200"/>
      <c r="H78" s="202"/>
      <c r="I78" s="203"/>
      <c r="J78" s="200"/>
      <c r="K78" s="613"/>
      <c r="L78" s="614"/>
      <c r="M78" s="189"/>
      <c r="N78" s="178"/>
      <c r="O78" s="178"/>
      <c r="P78" s="393"/>
      <c r="Q78" s="393"/>
      <c r="R78" s="178"/>
    </row>
    <row r="79" spans="1:18" ht="15.75" customHeight="1">
      <c r="A79" s="616"/>
      <c r="B79" s="617"/>
      <c r="C79" s="204" t="s">
        <v>210</v>
      </c>
      <c r="D79" s="613"/>
      <c r="E79" s="614"/>
      <c r="F79" s="614"/>
      <c r="G79" s="200"/>
      <c r="H79" s="202"/>
      <c r="I79" s="203"/>
      <c r="J79" s="200"/>
      <c r="K79" s="613"/>
      <c r="L79" s="614"/>
      <c r="M79" s="189"/>
      <c r="N79" s="178"/>
      <c r="O79" s="178"/>
      <c r="P79" s="393"/>
      <c r="Q79" s="393"/>
      <c r="R79" s="178"/>
    </row>
    <row r="80" spans="1:18" ht="15.75" customHeight="1">
      <c r="A80" s="616"/>
      <c r="B80" s="617"/>
      <c r="C80" s="204" t="s">
        <v>211</v>
      </c>
      <c r="D80" s="613"/>
      <c r="E80" s="614"/>
      <c r="F80" s="614"/>
      <c r="G80" s="200"/>
      <c r="H80" s="202"/>
      <c r="I80" s="203"/>
      <c r="J80" s="200"/>
      <c r="K80" s="613"/>
      <c r="L80" s="614"/>
      <c r="M80" s="189"/>
      <c r="N80" s="178"/>
      <c r="O80" s="178"/>
      <c r="P80" s="393"/>
      <c r="Q80" s="393"/>
      <c r="R80" s="178"/>
    </row>
  </sheetData>
  <mergeCells count="157"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80:F80"/>
    <mergeCell ref="K80:L80"/>
    <mergeCell ref="A1:L2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14:L14"/>
    <mergeCell ref="D15:F15"/>
    <mergeCell ref="K15:L15"/>
    <mergeCell ref="D16:F16"/>
    <mergeCell ref="D25:F25"/>
    <mergeCell ref="K25:L25"/>
    <mergeCell ref="D26:F26"/>
    <mergeCell ref="K26:L26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54:F54"/>
    <mergeCell ref="K54:L54"/>
    <mergeCell ref="K68:L68"/>
    <mergeCell ref="D69:F69"/>
    <mergeCell ref="K69:L69"/>
    <mergeCell ref="D79:F79"/>
    <mergeCell ref="K79:L79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70:B70"/>
    <mergeCell ref="D70:F7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  <rowBreaks count="1" manualBreakCount="1">
    <brk id="28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92D050"/>
    <outlinePr summaryBelow="0" summaryRight="0"/>
  </sheetPr>
  <dimension ref="A1:R80"/>
  <sheetViews>
    <sheetView view="pageBreakPreview" topLeftCell="A32" zoomScale="110" zoomScaleNormal="60" zoomScaleSheetLayoutView="110" workbookViewId="0">
      <selection activeCell="J50" sqref="J50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2" t="s">
        <v>373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99"/>
    </row>
    <row r="2" spans="1:18" s="100" customFormat="1" ht="15.75" customHeight="1">
      <c r="A2" s="502"/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N2" s="190"/>
      <c r="O2" s="190"/>
      <c r="P2" s="190"/>
      <c r="Q2" s="190"/>
      <c r="R2" s="190"/>
    </row>
    <row r="3" spans="1:18" s="189" customFormat="1" ht="15.75" customHeight="1">
      <c r="A3" s="615" t="s">
        <v>622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</row>
    <row r="4" spans="1:18" s="190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8" s="178" customFormat="1" ht="16.399999999999999" customHeight="1">
      <c r="A5" s="616" t="s">
        <v>162</v>
      </c>
      <c r="B5" s="170">
        <v>1</v>
      </c>
      <c r="C5" s="170">
        <v>2</v>
      </c>
      <c r="D5" s="191">
        <v>3</v>
      </c>
      <c r="E5" s="191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s="189" customFormat="1" ht="16.399999999999999" customHeight="1">
      <c r="A6" s="616"/>
      <c r="B6" s="195" t="s">
        <v>206</v>
      </c>
      <c r="C6" s="195" t="s">
        <v>155</v>
      </c>
      <c r="D6" s="194" t="s">
        <v>207</v>
      </c>
      <c r="E6" s="194" t="s">
        <v>156</v>
      </c>
      <c r="F6" s="195" t="s">
        <v>348</v>
      </c>
      <c r="G6" s="196" t="s">
        <v>136</v>
      </c>
      <c r="H6" s="197" t="s">
        <v>208</v>
      </c>
      <c r="I6" s="196" t="s">
        <v>374</v>
      </c>
      <c r="J6" s="196" t="s">
        <v>142</v>
      </c>
      <c r="K6" s="198"/>
      <c r="L6" s="198"/>
      <c r="M6" s="190"/>
      <c r="N6" s="199"/>
      <c r="O6" s="199"/>
      <c r="P6" s="199"/>
      <c r="Q6" s="199"/>
      <c r="R6" s="199"/>
    </row>
    <row r="7" spans="1:18" s="178" customFormat="1" ht="15.75" customHeight="1">
      <c r="A7" s="617" t="s">
        <v>188</v>
      </c>
      <c r="B7" s="617"/>
      <c r="C7" s="160" t="s">
        <v>47</v>
      </c>
      <c r="D7" s="617" t="s">
        <v>12</v>
      </c>
      <c r="E7" s="618"/>
      <c r="F7" s="618"/>
      <c r="G7" s="160" t="s">
        <v>46</v>
      </c>
      <c r="H7" s="160" t="s">
        <v>375</v>
      </c>
      <c r="I7" s="160" t="s">
        <v>376</v>
      </c>
      <c r="J7" s="160" t="s">
        <v>332</v>
      </c>
      <c r="K7" s="617" t="s">
        <v>51</v>
      </c>
      <c r="L7" s="618"/>
      <c r="M7" s="193"/>
      <c r="N7" s="189"/>
      <c r="O7" s="199"/>
      <c r="P7" s="394"/>
      <c r="Q7" s="394"/>
      <c r="R7" s="199"/>
    </row>
    <row r="8" spans="1:18" s="189" customFormat="1" ht="15.75" customHeight="1">
      <c r="A8" s="616">
        <v>3</v>
      </c>
      <c r="B8" s="617" t="s">
        <v>378</v>
      </c>
      <c r="C8" s="200">
        <v>1</v>
      </c>
      <c r="D8" s="621" t="s">
        <v>645</v>
      </c>
      <c r="E8" s="614"/>
      <c r="F8" s="614"/>
      <c r="G8" s="200">
        <v>25</v>
      </c>
      <c r="H8" s="202">
        <v>2964.9807692307691</v>
      </c>
      <c r="I8" s="203">
        <v>118.59923076923076</v>
      </c>
      <c r="J8" s="221">
        <v>-0.36721452460584203</v>
      </c>
      <c r="K8" s="613" t="s">
        <v>429</v>
      </c>
      <c r="L8" s="614"/>
      <c r="M8" s="190"/>
      <c r="O8" s="199"/>
      <c r="P8" s="394"/>
      <c r="Q8" s="394"/>
      <c r="R8" s="199"/>
    </row>
    <row r="9" spans="1:18" s="189" customFormat="1" ht="15.75" customHeight="1">
      <c r="A9" s="616"/>
      <c r="B9" s="617"/>
      <c r="C9" s="200">
        <v>2</v>
      </c>
      <c r="D9" s="613"/>
      <c r="E9" s="614"/>
      <c r="F9" s="614"/>
      <c r="G9" s="200"/>
      <c r="H9" s="202"/>
      <c r="I9" s="203"/>
      <c r="J9" s="221"/>
      <c r="K9" s="613"/>
      <c r="L9" s="614"/>
      <c r="M9" s="190"/>
      <c r="O9" s="199"/>
      <c r="P9" s="394"/>
      <c r="Q9" s="394"/>
      <c r="R9" s="199"/>
    </row>
    <row r="10" spans="1:18" s="189" customFormat="1" ht="15.75" customHeight="1">
      <c r="A10" s="616"/>
      <c r="B10" s="617"/>
      <c r="C10" s="200">
        <v>3</v>
      </c>
      <c r="D10" s="613"/>
      <c r="E10" s="614"/>
      <c r="F10" s="614"/>
      <c r="G10" s="200"/>
      <c r="H10" s="202"/>
      <c r="I10" s="203"/>
      <c r="J10" s="200"/>
      <c r="K10" s="613"/>
      <c r="L10" s="614"/>
      <c r="M10" s="190"/>
      <c r="O10" s="199"/>
      <c r="P10" s="394"/>
      <c r="Q10" s="394"/>
      <c r="R10" s="199"/>
    </row>
    <row r="11" spans="1:18" s="189" customFormat="1" ht="15.75" customHeight="1">
      <c r="A11" s="616"/>
      <c r="B11" s="617"/>
      <c r="C11" s="200">
        <v>4</v>
      </c>
      <c r="D11" s="613"/>
      <c r="E11" s="614"/>
      <c r="F11" s="614"/>
      <c r="G11" s="200"/>
      <c r="H11" s="202"/>
      <c r="I11" s="203"/>
      <c r="J11" s="200"/>
      <c r="K11" s="613"/>
      <c r="L11" s="614"/>
      <c r="M11" s="190"/>
      <c r="O11" s="199"/>
      <c r="P11" s="394"/>
      <c r="Q11" s="394"/>
      <c r="R11" s="199"/>
    </row>
    <row r="12" spans="1:18" s="189" customFormat="1" ht="15.75" customHeight="1">
      <c r="A12" s="616"/>
      <c r="B12" s="617"/>
      <c r="C12" s="200">
        <v>5</v>
      </c>
      <c r="D12" s="613"/>
      <c r="E12" s="614"/>
      <c r="F12" s="614"/>
      <c r="G12" s="200"/>
      <c r="H12" s="202"/>
      <c r="I12" s="203"/>
      <c r="J12" s="200"/>
      <c r="K12" s="613"/>
      <c r="L12" s="614"/>
      <c r="M12" s="190"/>
      <c r="O12" s="199"/>
      <c r="P12" s="394"/>
      <c r="Q12" s="394"/>
      <c r="R12" s="199"/>
    </row>
    <row r="13" spans="1:18" s="189" customFormat="1" ht="15.75" customHeight="1">
      <c r="A13" s="616"/>
      <c r="B13" s="617"/>
      <c r="C13" s="204" t="s">
        <v>204</v>
      </c>
      <c r="D13" s="613"/>
      <c r="E13" s="614"/>
      <c r="F13" s="614"/>
      <c r="G13" s="200"/>
      <c r="H13" s="202"/>
      <c r="I13" s="203"/>
      <c r="J13" s="200"/>
      <c r="K13" s="613"/>
      <c r="L13" s="614"/>
      <c r="M13" s="190"/>
      <c r="O13" s="199"/>
      <c r="P13" s="394"/>
      <c r="Q13" s="394"/>
      <c r="R13" s="199"/>
    </row>
    <row r="14" spans="1:18" s="189" customFormat="1" ht="15.75" customHeight="1">
      <c r="A14" s="616"/>
      <c r="B14" s="617"/>
      <c r="C14" s="204" t="s">
        <v>209</v>
      </c>
      <c r="D14" s="613"/>
      <c r="E14" s="614"/>
      <c r="F14" s="614"/>
      <c r="G14" s="200"/>
      <c r="H14" s="202"/>
      <c r="I14" s="203"/>
      <c r="J14" s="200"/>
      <c r="K14" s="613"/>
      <c r="L14" s="614"/>
      <c r="M14" s="190"/>
      <c r="N14" s="178"/>
      <c r="O14" s="178"/>
      <c r="P14" s="393"/>
      <c r="Q14" s="393"/>
      <c r="R14" s="178"/>
    </row>
    <row r="15" spans="1:18" s="189" customFormat="1" ht="15.75" customHeight="1">
      <c r="A15" s="616"/>
      <c r="B15" s="617"/>
      <c r="C15" s="204" t="s">
        <v>205</v>
      </c>
      <c r="D15" s="613"/>
      <c r="E15" s="614"/>
      <c r="F15" s="614"/>
      <c r="G15" s="202"/>
      <c r="H15" s="202"/>
      <c r="I15" s="203"/>
      <c r="J15" s="200"/>
      <c r="K15" s="613"/>
      <c r="L15" s="614"/>
      <c r="M15" s="190"/>
      <c r="O15" s="199"/>
      <c r="P15" s="394"/>
      <c r="Q15" s="394"/>
      <c r="R15" s="199"/>
    </row>
    <row r="16" spans="1:18" s="189" customFormat="1" ht="15.75" customHeight="1">
      <c r="A16" s="616"/>
      <c r="B16" s="617"/>
      <c r="C16" s="204" t="s">
        <v>210</v>
      </c>
      <c r="D16" s="613"/>
      <c r="E16" s="614"/>
      <c r="F16" s="614"/>
      <c r="G16" s="200"/>
      <c r="H16" s="202"/>
      <c r="I16" s="203"/>
      <c r="J16" s="200"/>
      <c r="K16" s="613"/>
      <c r="L16" s="614"/>
      <c r="O16" s="199"/>
      <c r="P16" s="394"/>
      <c r="Q16" s="394"/>
      <c r="R16" s="199"/>
    </row>
    <row r="17" spans="1:18" s="189" customFormat="1" ht="15.75" customHeight="1">
      <c r="A17" s="616"/>
      <c r="B17" s="617"/>
      <c r="C17" s="204" t="s">
        <v>211</v>
      </c>
      <c r="D17" s="613"/>
      <c r="E17" s="614"/>
      <c r="F17" s="614"/>
      <c r="G17" s="200"/>
      <c r="H17" s="202"/>
      <c r="I17" s="203"/>
      <c r="J17" s="200"/>
      <c r="K17" s="613"/>
      <c r="L17" s="614"/>
      <c r="O17" s="199"/>
      <c r="P17" s="394"/>
      <c r="Q17" s="394"/>
      <c r="R17" s="199"/>
    </row>
    <row r="18" spans="1:18" s="199" customFormat="1" ht="15.75" customHeight="1">
      <c r="A18" s="619" t="s">
        <v>188</v>
      </c>
      <c r="B18" s="619"/>
      <c r="C18" s="207" t="s">
        <v>47</v>
      </c>
      <c r="D18" s="619" t="s">
        <v>12</v>
      </c>
      <c r="E18" s="620"/>
      <c r="F18" s="620"/>
      <c r="G18" s="207" t="s">
        <v>46</v>
      </c>
      <c r="H18" s="207" t="s">
        <v>375</v>
      </c>
      <c r="I18" s="207" t="s">
        <v>376</v>
      </c>
      <c r="J18" s="160" t="s">
        <v>332</v>
      </c>
      <c r="K18" s="619" t="s">
        <v>51</v>
      </c>
      <c r="L18" s="620"/>
      <c r="M18" s="208"/>
      <c r="N18" s="189"/>
      <c r="P18" s="394"/>
      <c r="Q18" s="394"/>
    </row>
    <row r="19" spans="1:18" s="189" customFormat="1" ht="15.75" customHeight="1">
      <c r="A19" s="616">
        <v>4</v>
      </c>
      <c r="B19" s="617" t="s">
        <v>156</v>
      </c>
      <c r="C19" s="200">
        <v>1</v>
      </c>
      <c r="D19" s="613" t="s">
        <v>616</v>
      </c>
      <c r="E19" s="614"/>
      <c r="F19" s="614"/>
      <c r="G19" s="200">
        <v>6</v>
      </c>
      <c r="H19" s="202">
        <v>2957.4337347350456</v>
      </c>
      <c r="I19" s="203">
        <v>492.90562245584096</v>
      </c>
      <c r="J19" s="221">
        <v>18.475671114463296</v>
      </c>
      <c r="K19" s="613" t="s">
        <v>624</v>
      </c>
      <c r="L19" s="614"/>
      <c r="N19" s="199"/>
      <c r="O19" s="199"/>
      <c r="P19" s="394"/>
      <c r="Q19" s="394"/>
      <c r="R19" s="199"/>
    </row>
    <row r="20" spans="1:18" s="189" customFormat="1" ht="15.75" customHeight="1">
      <c r="A20" s="616"/>
      <c r="B20" s="617"/>
      <c r="C20" s="200">
        <v>2</v>
      </c>
      <c r="D20" s="613" t="s">
        <v>596</v>
      </c>
      <c r="E20" s="614"/>
      <c r="F20" s="614"/>
      <c r="G20" s="200">
        <v>6</v>
      </c>
      <c r="H20" s="202">
        <v>2349.5244705252539</v>
      </c>
      <c r="I20" s="203">
        <v>391.58741175420897</v>
      </c>
      <c r="J20" s="221">
        <v>-0.27857142857146755</v>
      </c>
      <c r="K20" s="613" t="s">
        <v>429</v>
      </c>
      <c r="L20" s="614"/>
      <c r="O20" s="199"/>
      <c r="P20" s="394"/>
      <c r="Q20" s="394"/>
      <c r="R20" s="199"/>
    </row>
    <row r="21" spans="1:18" s="189" customFormat="1" ht="15.75" customHeight="1">
      <c r="A21" s="616"/>
      <c r="B21" s="617"/>
      <c r="C21" s="200">
        <v>3</v>
      </c>
      <c r="D21" s="613" t="s">
        <v>597</v>
      </c>
      <c r="E21" s="614"/>
      <c r="F21" s="614"/>
      <c r="G21" s="200">
        <v>6</v>
      </c>
      <c r="H21" s="202">
        <v>2348.463109736856</v>
      </c>
      <c r="I21" s="203">
        <v>391.4105182894761</v>
      </c>
      <c r="J21" s="221">
        <v>-0.35699229257960496</v>
      </c>
      <c r="K21" s="613" t="s">
        <v>429</v>
      </c>
      <c r="L21" s="614"/>
      <c r="O21" s="199"/>
      <c r="P21" s="394"/>
      <c r="Q21" s="394"/>
      <c r="R21" s="199"/>
    </row>
    <row r="22" spans="1:18" s="189" customFormat="1" ht="15.75" customHeight="1">
      <c r="A22" s="616"/>
      <c r="B22" s="617"/>
      <c r="C22" s="200">
        <v>4</v>
      </c>
      <c r="D22" s="613" t="s">
        <v>534</v>
      </c>
      <c r="E22" s="614"/>
      <c r="F22" s="614"/>
      <c r="G22" s="200">
        <v>6</v>
      </c>
      <c r="H22" s="202">
        <v>2265.0330622654751</v>
      </c>
      <c r="I22" s="203">
        <v>377.50551037757924</v>
      </c>
      <c r="J22" s="221">
        <v>0.44600755192004726</v>
      </c>
      <c r="K22" s="613" t="s">
        <v>429</v>
      </c>
      <c r="L22" s="614"/>
      <c r="O22" s="199"/>
      <c r="P22" s="394"/>
      <c r="Q22" s="394"/>
      <c r="R22" s="199"/>
    </row>
    <row r="23" spans="1:18" s="189" customFormat="1" ht="15.75" customHeight="1">
      <c r="A23" s="616"/>
      <c r="B23" s="617"/>
      <c r="C23" s="200">
        <v>5</v>
      </c>
      <c r="D23" s="613" t="s">
        <v>543</v>
      </c>
      <c r="E23" s="614"/>
      <c r="F23" s="614"/>
      <c r="G23" s="200">
        <v>6</v>
      </c>
      <c r="H23" s="202">
        <v>2264.9509332107891</v>
      </c>
      <c r="I23" s="203">
        <v>377.49182220179819</v>
      </c>
      <c r="J23" s="221">
        <v>0.37777404576308982</v>
      </c>
      <c r="K23" s="613" t="s">
        <v>429</v>
      </c>
      <c r="L23" s="614"/>
      <c r="O23" s="199"/>
      <c r="P23" s="394"/>
      <c r="Q23" s="394"/>
      <c r="R23" s="199"/>
    </row>
    <row r="24" spans="1:18" s="189" customFormat="1" ht="15.75" customHeight="1">
      <c r="A24" s="616"/>
      <c r="B24" s="617"/>
      <c r="C24" s="204" t="s">
        <v>204</v>
      </c>
      <c r="D24" s="613" t="s">
        <v>639</v>
      </c>
      <c r="E24" s="614"/>
      <c r="F24" s="614"/>
      <c r="G24" s="200">
        <v>20</v>
      </c>
      <c r="H24" s="202">
        <v>1816.1631639750315</v>
      </c>
      <c r="I24" s="203">
        <v>90.80815819875157</v>
      </c>
      <c r="J24" s="200"/>
      <c r="K24" s="613" t="s">
        <v>602</v>
      </c>
      <c r="L24" s="614"/>
      <c r="O24" s="199"/>
      <c r="P24" s="394"/>
      <c r="Q24" s="394"/>
      <c r="R24" s="199"/>
    </row>
    <row r="25" spans="1:18" s="189" customFormat="1" ht="15.75" customHeight="1">
      <c r="A25" s="616"/>
      <c r="B25" s="617"/>
      <c r="C25" s="204" t="s">
        <v>209</v>
      </c>
      <c r="D25" s="613"/>
      <c r="E25" s="614"/>
      <c r="F25" s="614"/>
      <c r="G25" s="200"/>
      <c r="H25" s="202"/>
      <c r="I25" s="203"/>
      <c r="J25" s="200"/>
      <c r="K25" s="613"/>
      <c r="L25" s="614"/>
      <c r="O25" s="199"/>
      <c r="P25" s="394"/>
      <c r="Q25" s="394"/>
      <c r="R25" s="199"/>
    </row>
    <row r="26" spans="1:18" s="189" customFormat="1" ht="15.75" customHeight="1">
      <c r="A26" s="616"/>
      <c r="B26" s="617"/>
      <c r="C26" s="204" t="s">
        <v>205</v>
      </c>
      <c r="D26" s="613"/>
      <c r="E26" s="614"/>
      <c r="F26" s="614"/>
      <c r="G26" s="200"/>
      <c r="H26" s="202"/>
      <c r="I26" s="203"/>
      <c r="J26" s="200"/>
      <c r="K26" s="613"/>
      <c r="L26" s="614"/>
      <c r="O26" s="199"/>
      <c r="P26" s="394"/>
      <c r="Q26" s="394"/>
      <c r="R26" s="199"/>
    </row>
    <row r="27" spans="1:18" s="189" customFormat="1" ht="15.75" customHeight="1">
      <c r="A27" s="616"/>
      <c r="B27" s="617"/>
      <c r="C27" s="204" t="s">
        <v>210</v>
      </c>
      <c r="D27" s="613"/>
      <c r="E27" s="614"/>
      <c r="F27" s="614"/>
      <c r="G27" s="200"/>
      <c r="H27" s="202"/>
      <c r="I27" s="203"/>
      <c r="J27" s="200"/>
      <c r="K27" s="613"/>
      <c r="L27" s="614"/>
      <c r="O27" s="199"/>
      <c r="P27" s="394"/>
      <c r="Q27" s="394"/>
      <c r="R27" s="199"/>
    </row>
    <row r="28" spans="1:18" s="189" customFormat="1" ht="15.75" customHeight="1">
      <c r="A28" s="616"/>
      <c r="B28" s="617"/>
      <c r="C28" s="204" t="s">
        <v>211</v>
      </c>
      <c r="D28" s="613"/>
      <c r="E28" s="614"/>
      <c r="F28" s="614"/>
      <c r="G28" s="200"/>
      <c r="H28" s="202"/>
      <c r="I28" s="203"/>
      <c r="J28" s="200"/>
      <c r="K28" s="613"/>
      <c r="L28" s="614"/>
      <c r="O28" s="199"/>
      <c r="P28" s="394"/>
      <c r="Q28" s="394"/>
      <c r="R28" s="199"/>
    </row>
    <row r="29" spans="1:18" s="189" customFormat="1" ht="15.75" customHeight="1">
      <c r="A29" s="615" t="s">
        <v>659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</row>
    <row r="30" spans="1:18" s="190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8" s="178" customFormat="1" ht="16.399999999999999" customHeight="1">
      <c r="A31" s="616" t="s">
        <v>162</v>
      </c>
      <c r="B31" s="170">
        <v>1</v>
      </c>
      <c r="C31" s="170">
        <v>2</v>
      </c>
      <c r="D31" s="191">
        <v>3</v>
      </c>
      <c r="E31" s="191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s="189" customFormat="1" ht="16.399999999999999" customHeight="1">
      <c r="A32" s="616"/>
      <c r="B32" s="195" t="s">
        <v>206</v>
      </c>
      <c r="C32" s="195" t="s">
        <v>155</v>
      </c>
      <c r="D32" s="194" t="s">
        <v>207</v>
      </c>
      <c r="E32" s="194" t="s">
        <v>156</v>
      </c>
      <c r="F32" s="195" t="s">
        <v>348</v>
      </c>
      <c r="G32" s="196" t="s">
        <v>136</v>
      </c>
      <c r="H32" s="197" t="s">
        <v>208</v>
      </c>
      <c r="I32" s="196" t="s">
        <v>374</v>
      </c>
      <c r="J32" s="196" t="s">
        <v>142</v>
      </c>
      <c r="K32" s="198"/>
      <c r="L32" s="198"/>
      <c r="M32" s="190"/>
      <c r="N32" s="199"/>
      <c r="O32" s="199"/>
      <c r="P32" s="199"/>
      <c r="Q32" s="199"/>
      <c r="R32" s="199"/>
    </row>
    <row r="33" spans="1:18" s="178" customFormat="1" ht="15.75" customHeight="1">
      <c r="A33" s="617" t="s">
        <v>188</v>
      </c>
      <c r="B33" s="617"/>
      <c r="C33" s="160" t="s">
        <v>47</v>
      </c>
      <c r="D33" s="617" t="s">
        <v>12</v>
      </c>
      <c r="E33" s="618"/>
      <c r="F33" s="618"/>
      <c r="G33" s="160" t="s">
        <v>46</v>
      </c>
      <c r="H33" s="160" t="s">
        <v>375</v>
      </c>
      <c r="I33" s="160" t="s">
        <v>376</v>
      </c>
      <c r="J33" s="160" t="s">
        <v>332</v>
      </c>
      <c r="K33" s="617" t="s">
        <v>51</v>
      </c>
      <c r="L33" s="618"/>
      <c r="M33" s="193"/>
      <c r="N33" s="189"/>
      <c r="O33" s="199"/>
      <c r="P33" s="394"/>
      <c r="Q33" s="394"/>
      <c r="R33" s="199"/>
    </row>
    <row r="34" spans="1:18" s="189" customFormat="1" ht="15.75" customHeight="1">
      <c r="A34" s="616">
        <v>3</v>
      </c>
      <c r="B34" s="617" t="s">
        <v>378</v>
      </c>
      <c r="C34" s="200">
        <v>1</v>
      </c>
      <c r="D34" s="613" t="s">
        <v>347</v>
      </c>
      <c r="E34" s="614"/>
      <c r="F34" s="614"/>
      <c r="G34" s="200">
        <v>25</v>
      </c>
      <c r="H34" s="202">
        <v>2964.9807692307691</v>
      </c>
      <c r="I34" s="203">
        <v>118.59923076923076</v>
      </c>
      <c r="J34" s="221">
        <f>I34-I8</f>
        <v>0</v>
      </c>
      <c r="K34" s="613"/>
      <c r="L34" s="614"/>
      <c r="M34" s="190"/>
      <c r="O34" s="199"/>
      <c r="P34" s="394"/>
      <c r="Q34" s="394"/>
      <c r="R34" s="199"/>
    </row>
    <row r="35" spans="1:18" s="189" customFormat="1" ht="15.75" customHeight="1">
      <c r="A35" s="616"/>
      <c r="B35" s="617"/>
      <c r="C35" s="200">
        <v>2</v>
      </c>
      <c r="D35" s="613"/>
      <c r="E35" s="614"/>
      <c r="F35" s="614"/>
      <c r="G35" s="200"/>
      <c r="H35" s="202"/>
      <c r="I35" s="203"/>
      <c r="J35" s="221"/>
      <c r="K35" s="613"/>
      <c r="L35" s="614"/>
      <c r="M35" s="190"/>
      <c r="O35" s="199"/>
      <c r="P35" s="394"/>
      <c r="Q35" s="394"/>
      <c r="R35" s="199"/>
    </row>
    <row r="36" spans="1:18" s="189" customFormat="1" ht="15.75" customHeight="1">
      <c r="A36" s="616"/>
      <c r="B36" s="617"/>
      <c r="C36" s="200">
        <v>3</v>
      </c>
      <c r="D36" s="613"/>
      <c r="E36" s="614"/>
      <c r="F36" s="614"/>
      <c r="G36" s="200"/>
      <c r="H36" s="202"/>
      <c r="I36" s="203"/>
      <c r="J36" s="200"/>
      <c r="K36" s="613"/>
      <c r="L36" s="614"/>
      <c r="M36" s="190"/>
      <c r="O36" s="199"/>
      <c r="P36" s="394"/>
      <c r="Q36" s="394"/>
      <c r="R36" s="199"/>
    </row>
    <row r="37" spans="1:18" s="189" customFormat="1" ht="15.75" customHeight="1">
      <c r="A37" s="616"/>
      <c r="B37" s="617"/>
      <c r="C37" s="200">
        <v>4</v>
      </c>
      <c r="D37" s="613"/>
      <c r="E37" s="614"/>
      <c r="F37" s="614"/>
      <c r="G37" s="200"/>
      <c r="H37" s="202"/>
      <c r="I37" s="203"/>
      <c r="J37" s="200"/>
      <c r="K37" s="613"/>
      <c r="L37" s="614"/>
      <c r="M37" s="190"/>
      <c r="O37" s="199"/>
      <c r="P37" s="394"/>
      <c r="Q37" s="394"/>
      <c r="R37" s="199"/>
    </row>
    <row r="38" spans="1:18" s="189" customFormat="1" ht="15.75" customHeight="1">
      <c r="A38" s="616"/>
      <c r="B38" s="617"/>
      <c r="C38" s="200">
        <v>5</v>
      </c>
      <c r="D38" s="613"/>
      <c r="E38" s="614"/>
      <c r="F38" s="614"/>
      <c r="G38" s="200"/>
      <c r="H38" s="202"/>
      <c r="I38" s="203"/>
      <c r="J38" s="200"/>
      <c r="K38" s="613"/>
      <c r="L38" s="614"/>
      <c r="M38" s="190"/>
      <c r="O38" s="199"/>
      <c r="P38" s="394"/>
      <c r="Q38" s="394"/>
      <c r="R38" s="199"/>
    </row>
    <row r="39" spans="1:18" s="189" customFormat="1" ht="15.75" customHeight="1">
      <c r="A39" s="616"/>
      <c r="B39" s="617"/>
      <c r="C39" s="204" t="s">
        <v>204</v>
      </c>
      <c r="D39" s="613"/>
      <c r="E39" s="614"/>
      <c r="F39" s="614"/>
      <c r="G39" s="200"/>
      <c r="H39" s="202"/>
      <c r="I39" s="203"/>
      <c r="J39" s="200"/>
      <c r="K39" s="613"/>
      <c r="L39" s="614"/>
      <c r="M39" s="190"/>
      <c r="O39" s="199"/>
      <c r="P39" s="394"/>
      <c r="Q39" s="394"/>
      <c r="R39" s="199"/>
    </row>
    <row r="40" spans="1:18" s="189" customFormat="1" ht="15.75" customHeight="1">
      <c r="A40" s="616"/>
      <c r="B40" s="617"/>
      <c r="C40" s="204" t="s">
        <v>209</v>
      </c>
      <c r="D40" s="613"/>
      <c r="E40" s="614"/>
      <c r="F40" s="614"/>
      <c r="G40" s="200"/>
      <c r="H40" s="202"/>
      <c r="I40" s="203"/>
      <c r="J40" s="200"/>
      <c r="K40" s="613"/>
      <c r="L40" s="614"/>
      <c r="M40" s="190"/>
      <c r="N40" s="178"/>
      <c r="O40" s="178"/>
      <c r="P40" s="393"/>
      <c r="Q40" s="393"/>
      <c r="R40" s="178"/>
    </row>
    <row r="41" spans="1:18" s="189" customFormat="1" ht="15.75" customHeight="1">
      <c r="A41" s="616"/>
      <c r="B41" s="617"/>
      <c r="C41" s="204" t="s">
        <v>205</v>
      </c>
      <c r="D41" s="613"/>
      <c r="E41" s="614"/>
      <c r="F41" s="614"/>
      <c r="G41" s="202"/>
      <c r="H41" s="202"/>
      <c r="I41" s="203"/>
      <c r="J41" s="200"/>
      <c r="K41" s="613"/>
      <c r="L41" s="614"/>
      <c r="M41" s="190"/>
      <c r="O41" s="199"/>
      <c r="P41" s="394"/>
      <c r="Q41" s="394"/>
      <c r="R41" s="199"/>
    </row>
    <row r="42" spans="1:18" s="189" customFormat="1" ht="15.75" customHeight="1">
      <c r="A42" s="616"/>
      <c r="B42" s="617"/>
      <c r="C42" s="204" t="s">
        <v>210</v>
      </c>
      <c r="D42" s="613"/>
      <c r="E42" s="614"/>
      <c r="F42" s="614"/>
      <c r="G42" s="200"/>
      <c r="H42" s="202"/>
      <c r="I42" s="203"/>
      <c r="J42" s="200"/>
      <c r="K42" s="613"/>
      <c r="L42" s="614"/>
      <c r="O42" s="199"/>
      <c r="P42" s="394"/>
      <c r="Q42" s="394"/>
      <c r="R42" s="199"/>
    </row>
    <row r="43" spans="1:18" s="189" customFormat="1" ht="15.75" customHeight="1">
      <c r="A43" s="616"/>
      <c r="B43" s="617"/>
      <c r="C43" s="204" t="s">
        <v>211</v>
      </c>
      <c r="D43" s="613"/>
      <c r="E43" s="614"/>
      <c r="F43" s="614"/>
      <c r="G43" s="200"/>
      <c r="H43" s="202"/>
      <c r="I43" s="203"/>
      <c r="J43" s="200"/>
      <c r="K43" s="613"/>
      <c r="L43" s="614"/>
      <c r="O43" s="199"/>
      <c r="P43" s="394"/>
      <c r="Q43" s="394"/>
      <c r="R43" s="199"/>
    </row>
    <row r="44" spans="1:18" s="199" customFormat="1" ht="15.75" customHeight="1">
      <c r="A44" s="619" t="s">
        <v>188</v>
      </c>
      <c r="B44" s="619"/>
      <c r="C44" s="207" t="s">
        <v>47</v>
      </c>
      <c r="D44" s="619" t="s">
        <v>12</v>
      </c>
      <c r="E44" s="620"/>
      <c r="F44" s="620"/>
      <c r="G44" s="207" t="s">
        <v>46</v>
      </c>
      <c r="H44" s="207" t="s">
        <v>375</v>
      </c>
      <c r="I44" s="207" t="s">
        <v>376</v>
      </c>
      <c r="J44" s="160" t="s">
        <v>332</v>
      </c>
      <c r="K44" s="619" t="s">
        <v>51</v>
      </c>
      <c r="L44" s="620"/>
      <c r="M44" s="208"/>
      <c r="N44" s="189"/>
      <c r="P44" s="394"/>
      <c r="Q44" s="394"/>
    </row>
    <row r="45" spans="1:18" s="189" customFormat="1" ht="15.75" customHeight="1">
      <c r="A45" s="616">
        <v>4</v>
      </c>
      <c r="B45" s="617" t="s">
        <v>156</v>
      </c>
      <c r="C45" s="200">
        <v>1</v>
      </c>
      <c r="D45" s="613" t="s">
        <v>616</v>
      </c>
      <c r="E45" s="614"/>
      <c r="F45" s="614"/>
      <c r="G45" s="200">
        <v>6</v>
      </c>
      <c r="H45" s="202">
        <v>2958.8832061636181</v>
      </c>
      <c r="I45" s="203">
        <v>493.14720102726972</v>
      </c>
      <c r="J45" s="221">
        <f>I45-I19</f>
        <v>0.24157857142876082</v>
      </c>
      <c r="K45" s="613"/>
      <c r="L45" s="614"/>
      <c r="N45" s="199"/>
      <c r="O45" s="199"/>
      <c r="P45" s="394"/>
      <c r="Q45" s="394"/>
      <c r="R45" s="199"/>
    </row>
    <row r="46" spans="1:18" s="189" customFormat="1" ht="15.75" customHeight="1">
      <c r="A46" s="616"/>
      <c r="B46" s="617"/>
      <c r="C46" s="200">
        <v>2</v>
      </c>
      <c r="D46" s="613" t="s">
        <v>673</v>
      </c>
      <c r="E46" s="614"/>
      <c r="F46" s="614"/>
      <c r="G46" s="200">
        <v>6</v>
      </c>
      <c r="H46" s="202">
        <v>2846.1064947372238</v>
      </c>
      <c r="I46" s="203">
        <v>474.35108245620398</v>
      </c>
      <c r="J46" s="221"/>
      <c r="K46" s="613"/>
      <c r="L46" s="614"/>
      <c r="O46" s="199"/>
      <c r="P46" s="394"/>
      <c r="Q46" s="394"/>
      <c r="R46" s="199"/>
    </row>
    <row r="47" spans="1:18" s="189" customFormat="1" ht="15.75" customHeight="1">
      <c r="A47" s="616"/>
      <c r="B47" s="617"/>
      <c r="C47" s="200">
        <v>3</v>
      </c>
      <c r="D47" s="613" t="s">
        <v>596</v>
      </c>
      <c r="E47" s="614"/>
      <c r="F47" s="614"/>
      <c r="G47" s="200">
        <v>6</v>
      </c>
      <c r="H47" s="202">
        <v>2348.967327668111</v>
      </c>
      <c r="I47" s="203">
        <v>391.49455461135182</v>
      </c>
      <c r="J47" s="221">
        <f>I47-I20</f>
        <v>-9.285714285715585E-2</v>
      </c>
      <c r="K47" s="613"/>
      <c r="L47" s="614"/>
      <c r="O47" s="199"/>
      <c r="P47" s="394"/>
      <c r="Q47" s="394"/>
      <c r="R47" s="199"/>
    </row>
    <row r="48" spans="1:18" s="189" customFormat="1" ht="15.75" customHeight="1">
      <c r="A48" s="616"/>
      <c r="B48" s="617"/>
      <c r="C48" s="200">
        <v>4</v>
      </c>
      <c r="D48" s="613" t="s">
        <v>597</v>
      </c>
      <c r="E48" s="614"/>
      <c r="F48" s="614"/>
      <c r="G48" s="200">
        <v>6</v>
      </c>
      <c r="H48" s="202">
        <v>2347.8396254690269</v>
      </c>
      <c r="I48" s="203">
        <v>391.30660424483779</v>
      </c>
      <c r="J48" s="221">
        <f>I48-I21</f>
        <v>-0.10391404463831577</v>
      </c>
      <c r="K48" s="613"/>
      <c r="L48" s="614"/>
      <c r="O48" s="199"/>
      <c r="P48" s="394"/>
      <c r="Q48" s="394"/>
      <c r="R48" s="199"/>
    </row>
    <row r="49" spans="1:18" s="189" customFormat="1" ht="15.75" customHeight="1">
      <c r="A49" s="616"/>
      <c r="B49" s="617"/>
      <c r="C49" s="200">
        <v>5</v>
      </c>
      <c r="D49" s="613" t="s">
        <v>534</v>
      </c>
      <c r="E49" s="614"/>
      <c r="F49" s="614"/>
      <c r="G49" s="200">
        <v>6</v>
      </c>
      <c r="H49" s="202">
        <v>2260.3405159341914</v>
      </c>
      <c r="I49" s="203">
        <v>376.72341932236532</v>
      </c>
      <c r="J49" s="221">
        <f>I49-I22</f>
        <v>-0.7820910552139253</v>
      </c>
      <c r="K49" s="613"/>
      <c r="L49" s="614"/>
      <c r="O49" s="199"/>
      <c r="P49" s="394"/>
      <c r="Q49" s="394"/>
      <c r="R49" s="199"/>
    </row>
    <row r="50" spans="1:18" s="189" customFormat="1" ht="15.75" customHeight="1">
      <c r="A50" s="616"/>
      <c r="B50" s="617"/>
      <c r="C50" s="204" t="s">
        <v>204</v>
      </c>
      <c r="D50" s="613" t="s">
        <v>639</v>
      </c>
      <c r="E50" s="614"/>
      <c r="F50" s="614"/>
      <c r="G50" s="200">
        <v>20</v>
      </c>
      <c r="H50" s="202">
        <v>1894.6658710424931</v>
      </c>
      <c r="I50" s="203">
        <v>94.73329355212465</v>
      </c>
      <c r="J50" s="200"/>
      <c r="K50" s="613"/>
      <c r="L50" s="614"/>
      <c r="O50" s="199"/>
      <c r="P50" s="394"/>
      <c r="Q50" s="394"/>
      <c r="R50" s="199"/>
    </row>
    <row r="51" spans="1:18" s="189" customFormat="1" ht="15.75" customHeight="1">
      <c r="A51" s="616"/>
      <c r="B51" s="617"/>
      <c r="C51" s="204" t="s">
        <v>209</v>
      </c>
      <c r="D51" s="613"/>
      <c r="E51" s="614"/>
      <c r="F51" s="614"/>
      <c r="G51" s="200"/>
      <c r="H51" s="202"/>
      <c r="I51" s="203"/>
      <c r="J51" s="200"/>
      <c r="K51" s="613"/>
      <c r="L51" s="614"/>
      <c r="O51" s="199"/>
      <c r="P51" s="394"/>
      <c r="Q51" s="394"/>
      <c r="R51" s="199"/>
    </row>
    <row r="52" spans="1:18" s="189" customFormat="1" ht="15.75" customHeight="1">
      <c r="A52" s="616"/>
      <c r="B52" s="617"/>
      <c r="C52" s="204" t="s">
        <v>205</v>
      </c>
      <c r="D52" s="613"/>
      <c r="E52" s="614"/>
      <c r="F52" s="614"/>
      <c r="G52" s="200"/>
      <c r="H52" s="202"/>
      <c r="I52" s="203"/>
      <c r="J52" s="200"/>
      <c r="K52" s="613"/>
      <c r="L52" s="614"/>
      <c r="O52" s="199"/>
      <c r="P52" s="394"/>
      <c r="Q52" s="394"/>
      <c r="R52" s="199"/>
    </row>
    <row r="53" spans="1:18" s="189" customFormat="1" ht="15.75" customHeight="1">
      <c r="A53" s="616"/>
      <c r="B53" s="617"/>
      <c r="C53" s="204" t="s">
        <v>210</v>
      </c>
      <c r="D53" s="613"/>
      <c r="E53" s="614"/>
      <c r="F53" s="614"/>
      <c r="G53" s="200"/>
      <c r="H53" s="202"/>
      <c r="I53" s="203"/>
      <c r="J53" s="200"/>
      <c r="K53" s="613"/>
      <c r="L53" s="614"/>
      <c r="O53" s="199"/>
      <c r="P53" s="394"/>
      <c r="Q53" s="394"/>
      <c r="R53" s="199"/>
    </row>
    <row r="54" spans="1:18" s="189" customFormat="1" ht="15.75" customHeight="1">
      <c r="A54" s="616"/>
      <c r="B54" s="617"/>
      <c r="C54" s="204" t="s">
        <v>211</v>
      </c>
      <c r="D54" s="613"/>
      <c r="E54" s="614"/>
      <c r="F54" s="614"/>
      <c r="G54" s="200"/>
      <c r="H54" s="202"/>
      <c r="I54" s="203"/>
      <c r="J54" s="200"/>
      <c r="K54" s="613"/>
      <c r="L54" s="614"/>
      <c r="O54" s="199"/>
      <c r="P54" s="394"/>
      <c r="Q54" s="394"/>
      <c r="R54" s="199"/>
    </row>
    <row r="55" spans="1:18" s="189" customFormat="1" ht="15.75" customHeight="1">
      <c r="A55" s="615" t="s">
        <v>660</v>
      </c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</row>
    <row r="56" spans="1:18" s="190" customFormat="1" ht="15.75" customHeight="1">
      <c r="A56" s="615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</row>
    <row r="57" spans="1:18" s="178" customFormat="1" ht="16.399999999999999" customHeight="1">
      <c r="A57" s="616" t="s">
        <v>162</v>
      </c>
      <c r="B57" s="170">
        <v>1</v>
      </c>
      <c r="C57" s="170">
        <v>2</v>
      </c>
      <c r="D57" s="191">
        <v>3</v>
      </c>
      <c r="E57" s="191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s="189" customFormat="1" ht="16.399999999999999" customHeight="1">
      <c r="A58" s="616"/>
      <c r="B58" s="195" t="s">
        <v>206</v>
      </c>
      <c r="C58" s="195" t="s">
        <v>155</v>
      </c>
      <c r="D58" s="194" t="s">
        <v>207</v>
      </c>
      <c r="E58" s="194" t="s">
        <v>156</v>
      </c>
      <c r="F58" s="195" t="s">
        <v>348</v>
      </c>
      <c r="G58" s="196" t="s">
        <v>136</v>
      </c>
      <c r="H58" s="197" t="s">
        <v>208</v>
      </c>
      <c r="I58" s="196" t="s">
        <v>374</v>
      </c>
      <c r="J58" s="196" t="s">
        <v>142</v>
      </c>
      <c r="K58" s="198"/>
      <c r="L58" s="198"/>
      <c r="M58" s="190"/>
      <c r="N58" s="199"/>
      <c r="O58" s="199"/>
      <c r="P58" s="199"/>
      <c r="Q58" s="199"/>
      <c r="R58" s="199"/>
    </row>
    <row r="59" spans="1:18" s="178" customFormat="1" ht="15.75" customHeight="1">
      <c r="A59" s="617" t="s">
        <v>188</v>
      </c>
      <c r="B59" s="617"/>
      <c r="C59" s="160" t="s">
        <v>47</v>
      </c>
      <c r="D59" s="617" t="s">
        <v>12</v>
      </c>
      <c r="E59" s="618"/>
      <c r="F59" s="618"/>
      <c r="G59" s="160" t="s">
        <v>46</v>
      </c>
      <c r="H59" s="160" t="s">
        <v>375</v>
      </c>
      <c r="I59" s="160" t="s">
        <v>376</v>
      </c>
      <c r="J59" s="160" t="s">
        <v>332</v>
      </c>
      <c r="K59" s="617" t="s">
        <v>51</v>
      </c>
      <c r="L59" s="618"/>
      <c r="M59" s="193"/>
      <c r="N59" s="189"/>
      <c r="O59" s="199"/>
      <c r="P59" s="394"/>
      <c r="Q59" s="394"/>
      <c r="R59" s="199"/>
    </row>
    <row r="60" spans="1:18" s="189" customFormat="1" ht="15.75" customHeight="1">
      <c r="A60" s="616">
        <v>3</v>
      </c>
      <c r="B60" s="617" t="s">
        <v>378</v>
      </c>
      <c r="C60" s="200">
        <v>1</v>
      </c>
      <c r="D60" s="621"/>
      <c r="E60" s="614"/>
      <c r="F60" s="614"/>
      <c r="G60" s="200"/>
      <c r="H60" s="202"/>
      <c r="I60" s="203"/>
      <c r="J60" s="221">
        <f>I60-I34</f>
        <v>-118.59923076923076</v>
      </c>
      <c r="K60" s="613"/>
      <c r="L60" s="614"/>
      <c r="M60" s="190"/>
      <c r="O60" s="199"/>
      <c r="P60" s="394"/>
      <c r="Q60" s="394"/>
      <c r="R60" s="199"/>
    </row>
    <row r="61" spans="1:18" s="189" customFormat="1" ht="15.75" customHeight="1">
      <c r="A61" s="616"/>
      <c r="B61" s="617"/>
      <c r="C61" s="200">
        <v>2</v>
      </c>
      <c r="D61" s="613"/>
      <c r="E61" s="614"/>
      <c r="F61" s="614"/>
      <c r="G61" s="200"/>
      <c r="H61" s="202"/>
      <c r="I61" s="203"/>
      <c r="J61" s="221"/>
      <c r="K61" s="613"/>
      <c r="L61" s="614"/>
      <c r="M61" s="190"/>
      <c r="O61" s="199"/>
      <c r="P61" s="394"/>
      <c r="Q61" s="394"/>
      <c r="R61" s="199"/>
    </row>
    <row r="62" spans="1:18" s="189" customFormat="1" ht="15.75" customHeight="1">
      <c r="A62" s="616"/>
      <c r="B62" s="617"/>
      <c r="C62" s="200">
        <v>3</v>
      </c>
      <c r="D62" s="613"/>
      <c r="E62" s="614"/>
      <c r="F62" s="614"/>
      <c r="G62" s="200"/>
      <c r="H62" s="202"/>
      <c r="I62" s="203"/>
      <c r="J62" s="200"/>
      <c r="K62" s="613"/>
      <c r="L62" s="614"/>
      <c r="M62" s="190"/>
      <c r="O62" s="199"/>
      <c r="P62" s="394"/>
      <c r="Q62" s="394"/>
      <c r="R62" s="199"/>
    </row>
    <row r="63" spans="1:18" s="189" customFormat="1" ht="15.75" customHeight="1">
      <c r="A63" s="616"/>
      <c r="B63" s="617"/>
      <c r="C63" s="200">
        <v>4</v>
      </c>
      <c r="D63" s="613"/>
      <c r="E63" s="614"/>
      <c r="F63" s="614"/>
      <c r="G63" s="200"/>
      <c r="H63" s="202"/>
      <c r="I63" s="203"/>
      <c r="J63" s="200"/>
      <c r="K63" s="613"/>
      <c r="L63" s="614"/>
      <c r="M63" s="190"/>
      <c r="O63" s="199"/>
      <c r="P63" s="394"/>
      <c r="Q63" s="394"/>
      <c r="R63" s="199"/>
    </row>
    <row r="64" spans="1:18" s="189" customFormat="1" ht="15.75" customHeight="1">
      <c r="A64" s="616"/>
      <c r="B64" s="617"/>
      <c r="C64" s="200">
        <v>5</v>
      </c>
      <c r="D64" s="613"/>
      <c r="E64" s="614"/>
      <c r="F64" s="614"/>
      <c r="G64" s="200"/>
      <c r="H64" s="202"/>
      <c r="I64" s="203"/>
      <c r="J64" s="200"/>
      <c r="K64" s="613"/>
      <c r="L64" s="614"/>
      <c r="M64" s="190"/>
      <c r="O64" s="199"/>
      <c r="P64" s="394"/>
      <c r="Q64" s="394"/>
      <c r="R64" s="199"/>
    </row>
    <row r="65" spans="1:18" s="189" customFormat="1" ht="15.75" customHeight="1">
      <c r="A65" s="616"/>
      <c r="B65" s="617"/>
      <c r="C65" s="204" t="s">
        <v>204</v>
      </c>
      <c r="D65" s="613"/>
      <c r="E65" s="614"/>
      <c r="F65" s="614"/>
      <c r="G65" s="200"/>
      <c r="H65" s="202"/>
      <c r="I65" s="203"/>
      <c r="J65" s="200"/>
      <c r="K65" s="613"/>
      <c r="L65" s="614"/>
      <c r="M65" s="190"/>
      <c r="O65" s="199"/>
      <c r="P65" s="394"/>
      <c r="Q65" s="394"/>
      <c r="R65" s="199"/>
    </row>
    <row r="66" spans="1:18" s="189" customFormat="1" ht="15.75" customHeight="1">
      <c r="A66" s="616"/>
      <c r="B66" s="617"/>
      <c r="C66" s="204" t="s">
        <v>209</v>
      </c>
      <c r="D66" s="613"/>
      <c r="E66" s="614"/>
      <c r="F66" s="614"/>
      <c r="G66" s="200"/>
      <c r="H66" s="202"/>
      <c r="I66" s="203"/>
      <c r="J66" s="200"/>
      <c r="K66" s="613"/>
      <c r="L66" s="614"/>
      <c r="M66" s="190"/>
      <c r="N66" s="178"/>
      <c r="O66" s="178"/>
      <c r="P66" s="393"/>
      <c r="Q66" s="393"/>
      <c r="R66" s="178"/>
    </row>
    <row r="67" spans="1:18" s="189" customFormat="1" ht="15.75" customHeight="1">
      <c r="A67" s="616"/>
      <c r="B67" s="617"/>
      <c r="C67" s="204" t="s">
        <v>205</v>
      </c>
      <c r="D67" s="613"/>
      <c r="E67" s="614"/>
      <c r="F67" s="614"/>
      <c r="G67" s="202"/>
      <c r="H67" s="202"/>
      <c r="I67" s="203"/>
      <c r="J67" s="200"/>
      <c r="K67" s="613"/>
      <c r="L67" s="614"/>
      <c r="M67" s="190"/>
      <c r="O67" s="199"/>
      <c r="P67" s="394"/>
      <c r="Q67" s="394"/>
      <c r="R67" s="199"/>
    </row>
    <row r="68" spans="1:18" s="189" customFormat="1" ht="15.75" customHeight="1">
      <c r="A68" s="616"/>
      <c r="B68" s="617"/>
      <c r="C68" s="204" t="s">
        <v>210</v>
      </c>
      <c r="D68" s="613"/>
      <c r="E68" s="614"/>
      <c r="F68" s="614"/>
      <c r="G68" s="200"/>
      <c r="H68" s="202"/>
      <c r="I68" s="203"/>
      <c r="J68" s="200"/>
      <c r="K68" s="613"/>
      <c r="L68" s="614"/>
      <c r="O68" s="199"/>
      <c r="P68" s="394"/>
      <c r="Q68" s="394"/>
      <c r="R68" s="199"/>
    </row>
    <row r="69" spans="1:18" s="189" customFormat="1" ht="15.75" customHeight="1">
      <c r="A69" s="616"/>
      <c r="B69" s="617"/>
      <c r="C69" s="204" t="s">
        <v>211</v>
      </c>
      <c r="D69" s="613"/>
      <c r="E69" s="614"/>
      <c r="F69" s="614"/>
      <c r="G69" s="200"/>
      <c r="H69" s="202"/>
      <c r="I69" s="203"/>
      <c r="J69" s="200"/>
      <c r="K69" s="613"/>
      <c r="L69" s="614"/>
      <c r="O69" s="199"/>
      <c r="P69" s="394"/>
      <c r="Q69" s="394"/>
      <c r="R69" s="199"/>
    </row>
    <row r="70" spans="1:18" s="199" customFormat="1" ht="15.75" customHeight="1">
      <c r="A70" s="619" t="s">
        <v>188</v>
      </c>
      <c r="B70" s="619"/>
      <c r="C70" s="207" t="s">
        <v>47</v>
      </c>
      <c r="D70" s="619" t="s">
        <v>12</v>
      </c>
      <c r="E70" s="620"/>
      <c r="F70" s="620"/>
      <c r="G70" s="207" t="s">
        <v>46</v>
      </c>
      <c r="H70" s="207" t="s">
        <v>375</v>
      </c>
      <c r="I70" s="207" t="s">
        <v>376</v>
      </c>
      <c r="J70" s="160" t="s">
        <v>332</v>
      </c>
      <c r="K70" s="619" t="s">
        <v>51</v>
      </c>
      <c r="L70" s="620"/>
      <c r="M70" s="208"/>
      <c r="N70" s="189"/>
      <c r="P70" s="394"/>
      <c r="Q70" s="394"/>
    </row>
    <row r="71" spans="1:18" s="189" customFormat="1" ht="15.75" customHeight="1">
      <c r="A71" s="616">
        <v>4</v>
      </c>
      <c r="B71" s="617" t="s">
        <v>156</v>
      </c>
      <c r="C71" s="200">
        <v>1</v>
      </c>
      <c r="D71" s="613"/>
      <c r="E71" s="614"/>
      <c r="F71" s="614"/>
      <c r="G71" s="200"/>
      <c r="H71" s="202"/>
      <c r="I71" s="203"/>
      <c r="J71" s="221">
        <f>I71-I45</f>
        <v>-493.14720102726972</v>
      </c>
      <c r="K71" s="613"/>
      <c r="L71" s="614"/>
      <c r="N71" s="199"/>
      <c r="O71" s="199"/>
      <c r="P71" s="394"/>
      <c r="Q71" s="394"/>
      <c r="R71" s="199"/>
    </row>
    <row r="72" spans="1:18" s="189" customFormat="1" ht="15.75" customHeight="1">
      <c r="A72" s="616"/>
      <c r="B72" s="617"/>
      <c r="C72" s="200">
        <v>2</v>
      </c>
      <c r="D72" s="613"/>
      <c r="E72" s="614"/>
      <c r="F72" s="614"/>
      <c r="G72" s="200"/>
      <c r="H72" s="202"/>
      <c r="I72" s="203"/>
      <c r="J72" s="221">
        <f>I72-I46</f>
        <v>-474.35108245620398</v>
      </c>
      <c r="K72" s="613"/>
      <c r="L72" s="614"/>
      <c r="O72" s="199"/>
      <c r="P72" s="394"/>
      <c r="Q72" s="394"/>
      <c r="R72" s="199"/>
    </row>
    <row r="73" spans="1:18" s="189" customFormat="1" ht="15.75" customHeight="1">
      <c r="A73" s="616"/>
      <c r="B73" s="617"/>
      <c r="C73" s="200">
        <v>3</v>
      </c>
      <c r="D73" s="613"/>
      <c r="E73" s="614"/>
      <c r="F73" s="614"/>
      <c r="G73" s="200"/>
      <c r="H73" s="202"/>
      <c r="I73" s="203"/>
      <c r="J73" s="221">
        <f>I73-I47</f>
        <v>-391.49455461135182</v>
      </c>
      <c r="K73" s="613"/>
      <c r="L73" s="614"/>
      <c r="O73" s="199"/>
      <c r="P73" s="394"/>
      <c r="Q73" s="394"/>
      <c r="R73" s="199"/>
    </row>
    <row r="74" spans="1:18" s="189" customFormat="1" ht="15.75" customHeight="1">
      <c r="A74" s="616"/>
      <c r="B74" s="617"/>
      <c r="C74" s="200">
        <v>4</v>
      </c>
      <c r="D74" s="613"/>
      <c r="E74" s="614"/>
      <c r="F74" s="614"/>
      <c r="G74" s="200"/>
      <c r="H74" s="202"/>
      <c r="I74" s="203"/>
      <c r="J74" s="221">
        <f>I74-I49</f>
        <v>-376.72341932236532</v>
      </c>
      <c r="K74" s="613"/>
      <c r="L74" s="614"/>
      <c r="O74" s="199"/>
      <c r="P74" s="394"/>
      <c r="Q74" s="394"/>
      <c r="R74" s="199"/>
    </row>
    <row r="75" spans="1:18" s="189" customFormat="1" ht="15.75" customHeight="1">
      <c r="A75" s="616"/>
      <c r="B75" s="617"/>
      <c r="C75" s="200">
        <v>5</v>
      </c>
      <c r="D75" s="613"/>
      <c r="E75" s="614"/>
      <c r="F75" s="614"/>
      <c r="G75" s="200"/>
      <c r="H75" s="202"/>
      <c r="I75" s="203"/>
      <c r="J75" s="221">
        <f>I75-I48</f>
        <v>-391.30660424483779</v>
      </c>
      <c r="K75" s="613"/>
      <c r="L75" s="614"/>
      <c r="O75" s="199"/>
      <c r="P75" s="394"/>
      <c r="Q75" s="394"/>
      <c r="R75" s="199"/>
    </row>
    <row r="76" spans="1:18" s="189" customFormat="1" ht="15.75" customHeight="1">
      <c r="A76" s="616"/>
      <c r="B76" s="617"/>
      <c r="C76" s="204" t="s">
        <v>204</v>
      </c>
      <c r="D76" s="613"/>
      <c r="E76" s="614"/>
      <c r="F76" s="614"/>
      <c r="G76" s="200"/>
      <c r="H76" s="202"/>
      <c r="I76" s="203"/>
      <c r="J76" s="200"/>
      <c r="K76" s="613"/>
      <c r="L76" s="614"/>
      <c r="O76" s="199"/>
      <c r="P76" s="394"/>
      <c r="Q76" s="394"/>
      <c r="R76" s="199"/>
    </row>
    <row r="77" spans="1:18" s="189" customFormat="1" ht="15.75" customHeight="1">
      <c r="A77" s="616"/>
      <c r="B77" s="617"/>
      <c r="C77" s="204" t="s">
        <v>209</v>
      </c>
      <c r="D77" s="613"/>
      <c r="E77" s="614"/>
      <c r="F77" s="614"/>
      <c r="G77" s="200"/>
      <c r="H77" s="202"/>
      <c r="I77" s="203"/>
      <c r="J77" s="200"/>
      <c r="K77" s="613"/>
      <c r="L77" s="614"/>
      <c r="O77" s="199"/>
      <c r="P77" s="394"/>
      <c r="Q77" s="394"/>
      <c r="R77" s="199"/>
    </row>
    <row r="78" spans="1:18" s="189" customFormat="1" ht="15.75" customHeight="1">
      <c r="A78" s="616"/>
      <c r="B78" s="617"/>
      <c r="C78" s="204" t="s">
        <v>205</v>
      </c>
      <c r="D78" s="613"/>
      <c r="E78" s="614"/>
      <c r="F78" s="614"/>
      <c r="G78" s="200"/>
      <c r="H78" s="202"/>
      <c r="I78" s="203"/>
      <c r="J78" s="200"/>
      <c r="K78" s="613"/>
      <c r="L78" s="614"/>
      <c r="O78" s="199"/>
      <c r="P78" s="394"/>
      <c r="Q78" s="394"/>
      <c r="R78" s="199"/>
    </row>
    <row r="79" spans="1:18" s="189" customFormat="1" ht="15.75" customHeight="1">
      <c r="A79" s="616"/>
      <c r="B79" s="617"/>
      <c r="C79" s="204" t="s">
        <v>210</v>
      </c>
      <c r="D79" s="613"/>
      <c r="E79" s="614"/>
      <c r="F79" s="614"/>
      <c r="G79" s="200"/>
      <c r="H79" s="202"/>
      <c r="I79" s="203"/>
      <c r="J79" s="200"/>
      <c r="K79" s="613"/>
      <c r="L79" s="614"/>
      <c r="O79" s="199"/>
      <c r="P79" s="394"/>
      <c r="Q79" s="394"/>
      <c r="R79" s="199"/>
    </row>
    <row r="80" spans="1:18" s="189" customFormat="1" ht="15.75" customHeight="1">
      <c r="A80" s="616"/>
      <c r="B80" s="617"/>
      <c r="C80" s="204" t="s">
        <v>211</v>
      </c>
      <c r="D80" s="613"/>
      <c r="E80" s="614"/>
      <c r="F80" s="614"/>
      <c r="G80" s="200"/>
      <c r="H80" s="202"/>
      <c r="I80" s="203"/>
      <c r="J80" s="200"/>
      <c r="K80" s="613"/>
      <c r="L80" s="614"/>
      <c r="O80" s="199"/>
      <c r="P80" s="394"/>
      <c r="Q80" s="394"/>
      <c r="R80" s="199"/>
    </row>
  </sheetData>
  <mergeCells count="157"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80:L80"/>
    <mergeCell ref="D53:F53"/>
    <mergeCell ref="K53:L53"/>
    <mergeCell ref="D54:F54"/>
    <mergeCell ref="K54:L54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R80"/>
  <sheetViews>
    <sheetView view="pageBreakPreview" topLeftCell="A24" zoomScale="110" zoomScaleNormal="60" zoomScaleSheetLayoutView="110" workbookViewId="0">
      <selection activeCell="J54" sqref="J54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2" t="s">
        <v>373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99"/>
    </row>
    <row r="2" spans="1:18" s="100" customFormat="1" ht="15.75" customHeight="1">
      <c r="A2" s="502"/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N2" s="190"/>
      <c r="O2" s="190"/>
      <c r="P2" s="190"/>
      <c r="Q2" s="190"/>
      <c r="R2" s="190"/>
    </row>
    <row r="3" spans="1:18" s="189" customFormat="1" ht="15.75" customHeight="1">
      <c r="A3" s="615" t="s">
        <v>622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</row>
    <row r="4" spans="1:18" s="190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8" s="106" customFormat="1" ht="16.399999999999999" customHeight="1">
      <c r="A5" s="616" t="s">
        <v>162</v>
      </c>
      <c r="B5" s="170">
        <v>1</v>
      </c>
      <c r="C5" s="170">
        <v>2</v>
      </c>
      <c r="D5" s="170">
        <v>3</v>
      </c>
      <c r="E5" s="170">
        <v>4</v>
      </c>
      <c r="F5" s="191">
        <v>5</v>
      </c>
      <c r="G5" s="191">
        <v>6</v>
      </c>
      <c r="H5" s="170">
        <v>7</v>
      </c>
      <c r="I5" s="170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99999999999999" customHeight="1">
      <c r="A6" s="616"/>
      <c r="B6" s="195" t="s">
        <v>206</v>
      </c>
      <c r="C6" s="195" t="s">
        <v>155</v>
      </c>
      <c r="D6" s="195" t="s">
        <v>207</v>
      </c>
      <c r="E6" s="195" t="s">
        <v>156</v>
      </c>
      <c r="F6" s="194" t="s">
        <v>348</v>
      </c>
      <c r="G6" s="209" t="s">
        <v>136</v>
      </c>
      <c r="H6" s="197" t="s">
        <v>208</v>
      </c>
      <c r="I6" s="196" t="s">
        <v>374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17" t="s">
        <v>188</v>
      </c>
      <c r="B7" s="617"/>
      <c r="C7" s="160" t="s">
        <v>47</v>
      </c>
      <c r="D7" s="617" t="s">
        <v>12</v>
      </c>
      <c r="E7" s="618"/>
      <c r="F7" s="618"/>
      <c r="G7" s="160" t="s">
        <v>46</v>
      </c>
      <c r="H7" s="160" t="s">
        <v>375</v>
      </c>
      <c r="I7" s="160" t="s">
        <v>376</v>
      </c>
      <c r="J7" s="160" t="s">
        <v>332</v>
      </c>
      <c r="K7" s="617" t="s">
        <v>51</v>
      </c>
      <c r="L7" s="618"/>
      <c r="M7" s="127"/>
      <c r="N7" s="189"/>
      <c r="O7" s="395"/>
      <c r="P7" s="394"/>
      <c r="Q7" s="394"/>
      <c r="R7" s="199"/>
    </row>
    <row r="8" spans="1:18" ht="15.75" customHeight="1">
      <c r="A8" s="616">
        <v>5</v>
      </c>
      <c r="B8" s="617" t="s">
        <v>348</v>
      </c>
      <c r="C8" s="200">
        <v>1</v>
      </c>
      <c r="D8" s="613" t="s">
        <v>582</v>
      </c>
      <c r="E8" s="614"/>
      <c r="F8" s="614"/>
      <c r="G8" s="202">
        <v>17</v>
      </c>
      <c r="H8" s="202">
        <v>1788</v>
      </c>
      <c r="I8" s="203">
        <v>105.17647058823528</v>
      </c>
      <c r="J8" s="357">
        <v>0</v>
      </c>
      <c r="K8" s="613" t="s">
        <v>429</v>
      </c>
      <c r="L8" s="614"/>
      <c r="O8" s="395"/>
      <c r="P8" s="394"/>
      <c r="Q8" s="394"/>
      <c r="R8" s="199"/>
    </row>
    <row r="9" spans="1:18" ht="15.75" customHeight="1">
      <c r="A9" s="616"/>
      <c r="B9" s="617"/>
      <c r="C9" s="200">
        <v>2</v>
      </c>
      <c r="D9" s="613" t="s">
        <v>475</v>
      </c>
      <c r="E9" s="614"/>
      <c r="F9" s="614"/>
      <c r="G9" s="202">
        <v>19</v>
      </c>
      <c r="H9" s="202">
        <v>1788</v>
      </c>
      <c r="I9" s="203">
        <v>94.105263157894711</v>
      </c>
      <c r="J9" s="357">
        <v>0</v>
      </c>
      <c r="K9" s="613" t="s">
        <v>429</v>
      </c>
      <c r="L9" s="614"/>
      <c r="O9" s="395"/>
      <c r="P9" s="394"/>
      <c r="Q9" s="394"/>
      <c r="R9" s="199"/>
    </row>
    <row r="10" spans="1:18" ht="15.75" customHeight="1">
      <c r="A10" s="616"/>
      <c r="B10" s="617"/>
      <c r="C10" s="200">
        <v>3</v>
      </c>
      <c r="D10" s="613" t="s">
        <v>349</v>
      </c>
      <c r="E10" s="614"/>
      <c r="F10" s="614"/>
      <c r="G10" s="202">
        <v>23</v>
      </c>
      <c r="H10" s="202">
        <v>1790.9321897120831</v>
      </c>
      <c r="I10" s="203">
        <v>77.86661694400361</v>
      </c>
      <c r="J10" s="357">
        <v>8.8198757763919389E-2</v>
      </c>
      <c r="K10" s="613" t="s">
        <v>429</v>
      </c>
      <c r="L10" s="614"/>
      <c r="O10" s="395"/>
      <c r="P10" s="394"/>
      <c r="Q10" s="394"/>
      <c r="R10" s="199"/>
    </row>
    <row r="11" spans="1:18" ht="15.75" customHeight="1">
      <c r="A11" s="616"/>
      <c r="B11" s="617"/>
      <c r="C11" s="200">
        <v>4</v>
      </c>
      <c r="D11" s="613" t="s">
        <v>341</v>
      </c>
      <c r="E11" s="614"/>
      <c r="F11" s="614"/>
      <c r="G11" s="202">
        <v>23</v>
      </c>
      <c r="H11" s="202">
        <v>1788.1142857142841</v>
      </c>
      <c r="I11" s="203">
        <v>77.744099378881927</v>
      </c>
      <c r="J11" s="357">
        <v>-3.3540372670771035E-2</v>
      </c>
      <c r="K11" s="613" t="s">
        <v>429</v>
      </c>
      <c r="L11" s="614"/>
      <c r="O11" s="395"/>
      <c r="P11" s="394"/>
      <c r="Q11" s="394"/>
      <c r="R11" s="199"/>
    </row>
    <row r="12" spans="1:18" ht="15.75" customHeight="1">
      <c r="A12" s="616"/>
      <c r="B12" s="617"/>
      <c r="C12" s="200">
        <v>5</v>
      </c>
      <c r="D12" s="613" t="s">
        <v>343</v>
      </c>
      <c r="E12" s="614"/>
      <c r="F12" s="614"/>
      <c r="G12" s="202">
        <v>23</v>
      </c>
      <c r="H12" s="202">
        <v>1787.7142857142856</v>
      </c>
      <c r="I12" s="203">
        <v>77.726708074534145</v>
      </c>
      <c r="J12" s="357">
        <v>-7.4534161490618089E-3</v>
      </c>
      <c r="K12" s="613" t="s">
        <v>429</v>
      </c>
      <c r="L12" s="614"/>
      <c r="O12" s="395"/>
      <c r="P12" s="394"/>
      <c r="Q12" s="394"/>
      <c r="R12" s="199"/>
    </row>
    <row r="13" spans="1:18" ht="15.75" customHeight="1">
      <c r="A13" s="616"/>
      <c r="B13" s="617"/>
      <c r="C13" s="204" t="s">
        <v>204</v>
      </c>
      <c r="D13" s="613" t="s">
        <v>342</v>
      </c>
      <c r="E13" s="614"/>
      <c r="F13" s="614"/>
      <c r="G13" s="202">
        <v>24</v>
      </c>
      <c r="H13" s="202">
        <v>1791.1908290871488</v>
      </c>
      <c r="I13" s="203">
        <v>74.632951211964524</v>
      </c>
      <c r="J13" s="357">
        <v>4.8809523809566713E-2</v>
      </c>
      <c r="K13" s="613" t="s">
        <v>429</v>
      </c>
      <c r="L13" s="614"/>
      <c r="O13" s="199"/>
      <c r="P13" s="394"/>
      <c r="Q13" s="394"/>
      <c r="R13" s="199"/>
    </row>
    <row r="14" spans="1:18" ht="15.75" customHeight="1">
      <c r="A14" s="616"/>
      <c r="B14" s="617"/>
      <c r="C14" s="204" t="s">
        <v>209</v>
      </c>
      <c r="D14" s="613" t="s">
        <v>474</v>
      </c>
      <c r="E14" s="614"/>
      <c r="F14" s="614"/>
      <c r="G14" s="202">
        <v>21</v>
      </c>
      <c r="H14" s="202">
        <v>1610.6505000645489</v>
      </c>
      <c r="I14" s="203">
        <v>76.69764286021659</v>
      </c>
      <c r="J14" s="357">
        <v>5.6562292209747511E-3</v>
      </c>
      <c r="K14" s="613" t="s">
        <v>429</v>
      </c>
      <c r="L14" s="614"/>
      <c r="O14" s="395"/>
      <c r="P14" s="394"/>
      <c r="Q14" s="394"/>
      <c r="R14" s="199"/>
    </row>
    <row r="15" spans="1:18" ht="15.75" customHeight="1">
      <c r="A15" s="616"/>
      <c r="B15" s="617"/>
      <c r="C15" s="204" t="s">
        <v>205</v>
      </c>
      <c r="D15" s="613"/>
      <c r="E15" s="614"/>
      <c r="F15" s="614"/>
      <c r="G15" s="202"/>
      <c r="H15" s="202"/>
      <c r="I15" s="203"/>
      <c r="J15" s="357"/>
      <c r="K15" s="613"/>
      <c r="L15" s="614"/>
      <c r="N15" s="178"/>
      <c r="O15" s="396"/>
      <c r="P15" s="393"/>
      <c r="Q15" s="393"/>
      <c r="R15" s="178"/>
    </row>
    <row r="16" spans="1:18" ht="15.75" customHeight="1">
      <c r="A16" s="616"/>
      <c r="B16" s="617"/>
      <c r="C16" s="204" t="s">
        <v>210</v>
      </c>
      <c r="D16" s="613"/>
      <c r="E16" s="614"/>
      <c r="F16" s="614"/>
      <c r="G16" s="202"/>
      <c r="H16" s="202"/>
      <c r="I16" s="203"/>
      <c r="J16" s="357"/>
      <c r="K16" s="613"/>
      <c r="L16" s="614"/>
      <c r="M16" s="99"/>
      <c r="O16" s="395"/>
      <c r="P16" s="394"/>
      <c r="Q16" s="394"/>
      <c r="R16" s="199"/>
    </row>
    <row r="17" spans="1:18" ht="15.75" customHeight="1">
      <c r="A17" s="616"/>
      <c r="B17" s="617"/>
      <c r="C17" s="204" t="s">
        <v>211</v>
      </c>
      <c r="D17" s="613"/>
      <c r="E17" s="614"/>
      <c r="F17" s="614"/>
      <c r="G17" s="202"/>
      <c r="H17" s="202"/>
      <c r="I17" s="203"/>
      <c r="J17" s="200"/>
      <c r="K17" s="613"/>
      <c r="L17" s="614"/>
      <c r="M17" s="99"/>
      <c r="O17" s="395"/>
      <c r="P17" s="394"/>
      <c r="Q17" s="394"/>
      <c r="R17" s="199"/>
    </row>
    <row r="18" spans="1:18" s="104" customFormat="1" ht="15.75" customHeight="1">
      <c r="A18" s="619" t="s">
        <v>188</v>
      </c>
      <c r="B18" s="619"/>
      <c r="C18" s="207" t="s">
        <v>47</v>
      </c>
      <c r="D18" s="619" t="s">
        <v>12</v>
      </c>
      <c r="E18" s="620"/>
      <c r="F18" s="620"/>
      <c r="G18" s="207" t="s">
        <v>46</v>
      </c>
      <c r="H18" s="207" t="s">
        <v>375</v>
      </c>
      <c r="I18" s="207" t="s">
        <v>376</v>
      </c>
      <c r="J18" s="160" t="s">
        <v>332</v>
      </c>
      <c r="K18" s="619" t="s">
        <v>51</v>
      </c>
      <c r="L18" s="620"/>
      <c r="M18" s="128"/>
      <c r="N18" s="189"/>
      <c r="O18" s="395"/>
      <c r="P18" s="394"/>
      <c r="Q18" s="394"/>
      <c r="R18" s="199"/>
    </row>
    <row r="19" spans="1:18" ht="15.75" customHeight="1">
      <c r="A19" s="616">
        <v>6</v>
      </c>
      <c r="B19" s="617" t="s">
        <v>136</v>
      </c>
      <c r="C19" s="200">
        <v>1</v>
      </c>
      <c r="D19" s="613" t="s">
        <v>598</v>
      </c>
      <c r="E19" s="614"/>
      <c r="F19" s="614"/>
      <c r="G19" s="200">
        <v>20</v>
      </c>
      <c r="H19" s="202">
        <v>1789.3170144394003</v>
      </c>
      <c r="I19" s="203">
        <v>89.465850721970014</v>
      </c>
      <c r="J19" s="357">
        <v>-2.8571428571382285E-2</v>
      </c>
      <c r="K19" s="613" t="s">
        <v>429</v>
      </c>
      <c r="L19" s="614"/>
      <c r="M19" s="99"/>
      <c r="N19" s="199"/>
      <c r="O19" s="199"/>
      <c r="P19" s="394"/>
      <c r="Q19" s="394"/>
      <c r="R19" s="199"/>
    </row>
    <row r="20" spans="1:18" ht="15.75" customHeight="1">
      <c r="A20" s="616"/>
      <c r="B20" s="617"/>
      <c r="C20" s="200">
        <v>2</v>
      </c>
      <c r="D20" s="613" t="s">
        <v>439</v>
      </c>
      <c r="E20" s="614"/>
      <c r="F20" s="614"/>
      <c r="G20" s="202">
        <v>20</v>
      </c>
      <c r="H20" s="202">
        <v>1785.2895177600742</v>
      </c>
      <c r="I20" s="203">
        <v>89.264475888003716</v>
      </c>
      <c r="J20" s="357">
        <v>-0.17285714285713993</v>
      </c>
      <c r="K20" s="613" t="s">
        <v>429</v>
      </c>
      <c r="L20" s="614"/>
      <c r="M20" s="99"/>
      <c r="O20" s="199"/>
      <c r="P20" s="394"/>
      <c r="Q20" s="394"/>
      <c r="R20" s="199"/>
    </row>
    <row r="21" spans="1:18" ht="15.75" customHeight="1">
      <c r="A21" s="616"/>
      <c r="B21" s="617"/>
      <c r="C21" s="200">
        <v>3</v>
      </c>
      <c r="D21" s="613" t="s">
        <v>351</v>
      </c>
      <c r="E21" s="614"/>
      <c r="F21" s="614"/>
      <c r="G21" s="202">
        <v>21</v>
      </c>
      <c r="H21" s="202">
        <v>1789.953518478361</v>
      </c>
      <c r="I21" s="203">
        <v>85.235881832302908</v>
      </c>
      <c r="J21" s="357">
        <v>3.2653061224465318E-2</v>
      </c>
      <c r="K21" s="613" t="s">
        <v>429</v>
      </c>
      <c r="L21" s="614"/>
      <c r="M21" s="99"/>
      <c r="O21" s="199"/>
      <c r="P21" s="394"/>
      <c r="Q21" s="394"/>
      <c r="R21" s="199"/>
    </row>
    <row r="22" spans="1:18" ht="15.75" customHeight="1">
      <c r="A22" s="616"/>
      <c r="B22" s="617"/>
      <c r="C22" s="200">
        <v>4</v>
      </c>
      <c r="D22" s="613" t="s">
        <v>437</v>
      </c>
      <c r="E22" s="614"/>
      <c r="F22" s="614"/>
      <c r="G22" s="200">
        <v>22</v>
      </c>
      <c r="H22" s="202">
        <v>1786.6176388619199</v>
      </c>
      <c r="I22" s="203">
        <v>81.209892675541795</v>
      </c>
      <c r="J22" s="357">
        <v>1.8181818181801646E-2</v>
      </c>
      <c r="K22" s="613" t="s">
        <v>429</v>
      </c>
      <c r="L22" s="614"/>
      <c r="M22" s="99"/>
      <c r="O22" s="199"/>
      <c r="P22" s="394"/>
      <c r="Q22" s="394"/>
      <c r="R22" s="199"/>
    </row>
    <row r="23" spans="1:18" ht="15.75" customHeight="1">
      <c r="A23" s="616"/>
      <c r="B23" s="617"/>
      <c r="C23" s="200">
        <v>5</v>
      </c>
      <c r="D23" s="613" t="s">
        <v>435</v>
      </c>
      <c r="E23" s="614"/>
      <c r="F23" s="614"/>
      <c r="G23" s="202">
        <v>23</v>
      </c>
      <c r="H23" s="202">
        <v>1791.8815964524722</v>
      </c>
      <c r="I23" s="203">
        <v>77.90789549793358</v>
      </c>
      <c r="J23" s="357">
        <v>3.3540372670799457E-2</v>
      </c>
      <c r="K23" s="613" t="s">
        <v>429</v>
      </c>
      <c r="L23" s="614"/>
      <c r="M23" s="99"/>
      <c r="O23" s="199"/>
      <c r="P23" s="394"/>
      <c r="Q23" s="394"/>
      <c r="R23" s="199"/>
    </row>
    <row r="24" spans="1:18" ht="15.75" customHeight="1">
      <c r="A24" s="616"/>
      <c r="B24" s="617"/>
      <c r="C24" s="204" t="s">
        <v>204</v>
      </c>
      <c r="D24" s="613" t="s">
        <v>510</v>
      </c>
      <c r="E24" s="614"/>
      <c r="F24" s="614"/>
      <c r="G24" s="200">
        <v>25.857142857142858</v>
      </c>
      <c r="H24" s="202">
        <v>1792.4804883067029</v>
      </c>
      <c r="I24" s="203">
        <v>69.335527836541843</v>
      </c>
      <c r="J24" s="357">
        <v>0.42034422035000318</v>
      </c>
      <c r="K24" s="622" t="s">
        <v>603</v>
      </c>
      <c r="L24" s="623"/>
      <c r="M24" s="99"/>
      <c r="O24" s="199"/>
      <c r="P24" s="394"/>
      <c r="Q24" s="394"/>
      <c r="R24" s="199"/>
    </row>
    <row r="25" spans="1:18" ht="15.75" customHeight="1">
      <c r="A25" s="616"/>
      <c r="B25" s="617"/>
      <c r="C25" s="204" t="s">
        <v>209</v>
      </c>
      <c r="D25" s="613" t="s">
        <v>354</v>
      </c>
      <c r="E25" s="614"/>
      <c r="F25" s="614"/>
      <c r="G25" s="200">
        <v>24</v>
      </c>
      <c r="H25" s="202">
        <v>1788.5225170337944</v>
      </c>
      <c r="I25" s="203">
        <v>74.521771543074763</v>
      </c>
      <c r="J25" s="357">
        <v>-9.0476190476167062E-2</v>
      </c>
      <c r="K25" s="613" t="s">
        <v>429</v>
      </c>
      <c r="L25" s="614"/>
      <c r="M25" s="99"/>
      <c r="O25" s="199"/>
      <c r="P25" s="394"/>
      <c r="Q25" s="394"/>
      <c r="R25" s="199"/>
    </row>
    <row r="26" spans="1:18" ht="15.75" customHeight="1">
      <c r="A26" s="616"/>
      <c r="B26" s="617"/>
      <c r="C26" s="204" t="s">
        <v>205</v>
      </c>
      <c r="D26" s="613" t="s">
        <v>352</v>
      </c>
      <c r="E26" s="614"/>
      <c r="F26" s="614"/>
      <c r="G26" s="200">
        <v>24</v>
      </c>
      <c r="H26" s="202">
        <v>1794.0688153631079</v>
      </c>
      <c r="I26" s="203">
        <v>74.752867306796162</v>
      </c>
      <c r="J26" s="357">
        <v>2.857142857146755E-2</v>
      </c>
      <c r="K26" s="613" t="s">
        <v>429</v>
      </c>
      <c r="L26" s="614"/>
      <c r="M26" s="99"/>
      <c r="O26" s="199"/>
      <c r="P26" s="394"/>
      <c r="Q26" s="394"/>
      <c r="R26" s="199"/>
    </row>
    <row r="27" spans="1:18" ht="15.75" customHeight="1">
      <c r="A27" s="616"/>
      <c r="B27" s="617"/>
      <c r="C27" s="204" t="s">
        <v>210</v>
      </c>
      <c r="D27" s="613" t="s">
        <v>350</v>
      </c>
      <c r="E27" s="614"/>
      <c r="F27" s="614"/>
      <c r="G27" s="200">
        <v>23</v>
      </c>
      <c r="H27" s="202">
        <v>1789.8192297084656</v>
      </c>
      <c r="I27" s="203">
        <v>77.818227378628919</v>
      </c>
      <c r="J27" s="357">
        <v>8.9440993788770129E-2</v>
      </c>
      <c r="K27" s="613" t="s">
        <v>429</v>
      </c>
      <c r="L27" s="614"/>
      <c r="M27" s="99"/>
      <c r="O27" s="199"/>
      <c r="P27" s="394"/>
      <c r="Q27" s="394"/>
      <c r="R27" s="199"/>
    </row>
    <row r="28" spans="1:18" ht="15.75" customHeight="1">
      <c r="A28" s="616"/>
      <c r="B28" s="617"/>
      <c r="C28" s="204" t="s">
        <v>211</v>
      </c>
      <c r="D28" s="613" t="s">
        <v>353</v>
      </c>
      <c r="E28" s="614"/>
      <c r="F28" s="614"/>
      <c r="G28" s="200">
        <v>23</v>
      </c>
      <c r="H28" s="202">
        <v>1791.2698623984668</v>
      </c>
      <c r="I28" s="203">
        <v>77.881298365150741</v>
      </c>
      <c r="J28" s="357">
        <v>6.3354037267046692E-2</v>
      </c>
      <c r="K28" s="613" t="s">
        <v>429</v>
      </c>
      <c r="L28" s="614"/>
      <c r="M28" s="99"/>
      <c r="O28" s="199"/>
      <c r="P28" s="394"/>
      <c r="Q28" s="394"/>
      <c r="R28" s="199"/>
    </row>
    <row r="29" spans="1:18" s="189" customFormat="1" ht="15.75" customHeight="1">
      <c r="A29" s="615" t="s">
        <v>659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</row>
    <row r="30" spans="1:18" s="190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8" s="106" customFormat="1" ht="16.399999999999999" customHeight="1">
      <c r="A31" s="616" t="s">
        <v>162</v>
      </c>
      <c r="B31" s="170">
        <v>1</v>
      </c>
      <c r="C31" s="170">
        <v>2</v>
      </c>
      <c r="D31" s="170">
        <v>3</v>
      </c>
      <c r="E31" s="170">
        <v>4</v>
      </c>
      <c r="F31" s="191">
        <v>5</v>
      </c>
      <c r="G31" s="191">
        <v>6</v>
      </c>
      <c r="H31" s="170">
        <v>7</v>
      </c>
      <c r="I31" s="170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99999999999999" customHeight="1">
      <c r="A32" s="616"/>
      <c r="B32" s="195" t="s">
        <v>206</v>
      </c>
      <c r="C32" s="195" t="s">
        <v>155</v>
      </c>
      <c r="D32" s="195" t="s">
        <v>207</v>
      </c>
      <c r="E32" s="195" t="s">
        <v>156</v>
      </c>
      <c r="F32" s="194" t="s">
        <v>348</v>
      </c>
      <c r="G32" s="209" t="s">
        <v>136</v>
      </c>
      <c r="H32" s="197" t="s">
        <v>208</v>
      </c>
      <c r="I32" s="196" t="s">
        <v>374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17" t="s">
        <v>188</v>
      </c>
      <c r="B33" s="617"/>
      <c r="C33" s="160" t="s">
        <v>47</v>
      </c>
      <c r="D33" s="617" t="s">
        <v>12</v>
      </c>
      <c r="E33" s="618"/>
      <c r="F33" s="618"/>
      <c r="G33" s="160" t="s">
        <v>46</v>
      </c>
      <c r="H33" s="160" t="s">
        <v>375</v>
      </c>
      <c r="I33" s="160" t="s">
        <v>376</v>
      </c>
      <c r="J33" s="160" t="s">
        <v>332</v>
      </c>
      <c r="K33" s="617" t="s">
        <v>51</v>
      </c>
      <c r="L33" s="618"/>
      <c r="M33" s="127"/>
      <c r="N33" s="189"/>
      <c r="O33" s="395"/>
      <c r="P33" s="394"/>
      <c r="Q33" s="394"/>
      <c r="R33" s="199"/>
    </row>
    <row r="34" spans="1:18" ht="15.75" customHeight="1">
      <c r="A34" s="616">
        <v>5</v>
      </c>
      <c r="B34" s="617" t="s">
        <v>348</v>
      </c>
      <c r="C34" s="200">
        <v>1</v>
      </c>
      <c r="D34" s="613" t="s">
        <v>582</v>
      </c>
      <c r="E34" s="614"/>
      <c r="F34" s="614"/>
      <c r="G34" s="202">
        <v>17</v>
      </c>
      <c r="H34" s="202">
        <v>1788</v>
      </c>
      <c r="I34" s="203">
        <v>105.17647058823528</v>
      </c>
      <c r="J34" s="357">
        <f t="shared" ref="J34:J40" si="0">I34-I8</f>
        <v>0</v>
      </c>
      <c r="K34" s="613"/>
      <c r="L34" s="614"/>
      <c r="O34" s="395"/>
      <c r="P34" s="394"/>
      <c r="Q34" s="394"/>
      <c r="R34" s="199"/>
    </row>
    <row r="35" spans="1:18" ht="15.75" customHeight="1">
      <c r="A35" s="616"/>
      <c r="B35" s="617"/>
      <c r="C35" s="200">
        <v>2</v>
      </c>
      <c r="D35" s="613" t="s">
        <v>475</v>
      </c>
      <c r="E35" s="614"/>
      <c r="F35" s="614"/>
      <c r="G35" s="202">
        <v>19</v>
      </c>
      <c r="H35" s="202">
        <v>1788</v>
      </c>
      <c r="I35" s="203">
        <v>94.105263157894726</v>
      </c>
      <c r="J35" s="357">
        <f t="shared" si="0"/>
        <v>0</v>
      </c>
      <c r="K35" s="613"/>
      <c r="L35" s="614"/>
      <c r="O35" s="395"/>
      <c r="P35" s="394"/>
      <c r="Q35" s="394"/>
      <c r="R35" s="199"/>
    </row>
    <row r="36" spans="1:18" ht="15.75" customHeight="1">
      <c r="A36" s="616"/>
      <c r="B36" s="617"/>
      <c r="C36" s="200">
        <v>3</v>
      </c>
      <c r="D36" s="613" t="s">
        <v>349</v>
      </c>
      <c r="E36" s="614"/>
      <c r="F36" s="614"/>
      <c r="G36" s="202">
        <v>23</v>
      </c>
      <c r="H36" s="202">
        <v>1791.9321897120838</v>
      </c>
      <c r="I36" s="203">
        <v>77.910095204873201</v>
      </c>
      <c r="J36" s="357">
        <f t="shared" si="0"/>
        <v>4.3478260869591168E-2</v>
      </c>
      <c r="K36" s="613"/>
      <c r="L36" s="614"/>
      <c r="O36" s="395"/>
      <c r="P36" s="394"/>
      <c r="Q36" s="394"/>
      <c r="R36" s="199"/>
    </row>
    <row r="37" spans="1:18" ht="15.75" customHeight="1">
      <c r="A37" s="616"/>
      <c r="B37" s="617"/>
      <c r="C37" s="200">
        <v>4</v>
      </c>
      <c r="D37" s="613" t="s">
        <v>341</v>
      </c>
      <c r="E37" s="614"/>
      <c r="F37" s="614"/>
      <c r="G37" s="202">
        <v>23</v>
      </c>
      <c r="H37" s="202">
        <v>1788.2857142857131</v>
      </c>
      <c r="I37" s="203">
        <v>77.751552795031003</v>
      </c>
      <c r="J37" s="357">
        <f t="shared" si="0"/>
        <v>7.4534161490760198E-3</v>
      </c>
      <c r="K37" s="613"/>
      <c r="L37" s="614"/>
      <c r="O37" s="395"/>
      <c r="P37" s="394"/>
      <c r="Q37" s="394"/>
      <c r="R37" s="199"/>
    </row>
    <row r="38" spans="1:18" ht="15.75" customHeight="1">
      <c r="A38" s="616"/>
      <c r="B38" s="617"/>
      <c r="C38" s="200">
        <v>5</v>
      </c>
      <c r="D38" s="613" t="s">
        <v>343</v>
      </c>
      <c r="E38" s="614"/>
      <c r="F38" s="614"/>
      <c r="G38" s="202">
        <v>23</v>
      </c>
      <c r="H38" s="202">
        <v>1785.4571428571435</v>
      </c>
      <c r="I38" s="203">
        <v>77.628571428571462</v>
      </c>
      <c r="J38" s="357">
        <f t="shared" si="0"/>
        <v>-9.8136645962682678E-2</v>
      </c>
      <c r="K38" s="613"/>
      <c r="L38" s="614"/>
      <c r="O38" s="395"/>
      <c r="P38" s="394"/>
      <c r="Q38" s="394"/>
      <c r="R38" s="199"/>
    </row>
    <row r="39" spans="1:18" ht="15.75" customHeight="1">
      <c r="A39" s="616"/>
      <c r="B39" s="617"/>
      <c r="C39" s="204" t="s">
        <v>204</v>
      </c>
      <c r="D39" s="613" t="s">
        <v>342</v>
      </c>
      <c r="E39" s="614"/>
      <c r="F39" s="614"/>
      <c r="G39" s="202">
        <v>24</v>
      </c>
      <c r="H39" s="202">
        <v>1790.676543372864</v>
      </c>
      <c r="I39" s="203">
        <v>74.611522640536009</v>
      </c>
      <c r="J39" s="357">
        <f t="shared" si="0"/>
        <v>-2.1428571428515397E-2</v>
      </c>
      <c r="K39" s="613"/>
      <c r="L39" s="614"/>
      <c r="O39" s="199"/>
      <c r="P39" s="394"/>
      <c r="Q39" s="394"/>
      <c r="R39" s="199"/>
    </row>
    <row r="40" spans="1:18" ht="15.75" customHeight="1">
      <c r="A40" s="616"/>
      <c r="B40" s="617"/>
      <c r="C40" s="204" t="s">
        <v>209</v>
      </c>
      <c r="D40" s="613" t="s">
        <v>474</v>
      </c>
      <c r="E40" s="614"/>
      <c r="F40" s="614"/>
      <c r="G40" s="202">
        <v>21</v>
      </c>
      <c r="H40" s="202">
        <v>1610.5219286359777</v>
      </c>
      <c r="I40" s="203">
        <v>76.69152041123705</v>
      </c>
      <c r="J40" s="357">
        <f t="shared" si="0"/>
        <v>-6.1224489795392856E-3</v>
      </c>
      <c r="K40" s="613"/>
      <c r="L40" s="614"/>
      <c r="O40" s="395"/>
      <c r="P40" s="394"/>
      <c r="Q40" s="394"/>
      <c r="R40" s="199"/>
    </row>
    <row r="41" spans="1:18" ht="15.75" customHeight="1">
      <c r="A41" s="616"/>
      <c r="B41" s="617"/>
      <c r="C41" s="204" t="s">
        <v>205</v>
      </c>
      <c r="D41" s="613"/>
      <c r="E41" s="614"/>
      <c r="F41" s="614"/>
      <c r="G41" s="202"/>
      <c r="H41" s="202"/>
      <c r="I41" s="203"/>
      <c r="J41" s="357"/>
      <c r="K41" s="613"/>
      <c r="L41" s="614"/>
      <c r="N41" s="178"/>
      <c r="O41" s="396"/>
      <c r="P41" s="393"/>
      <c r="Q41" s="393"/>
      <c r="R41" s="178"/>
    </row>
    <row r="42" spans="1:18" ht="15.75" customHeight="1">
      <c r="A42" s="616"/>
      <c r="B42" s="617"/>
      <c r="C42" s="204" t="s">
        <v>210</v>
      </c>
      <c r="D42" s="613"/>
      <c r="E42" s="614"/>
      <c r="F42" s="614"/>
      <c r="G42" s="202"/>
      <c r="H42" s="202"/>
      <c r="I42" s="203"/>
      <c r="J42" s="357"/>
      <c r="K42" s="613"/>
      <c r="L42" s="614"/>
      <c r="M42" s="99"/>
      <c r="O42" s="395"/>
      <c r="P42" s="394"/>
      <c r="Q42" s="394"/>
      <c r="R42" s="199"/>
    </row>
    <row r="43" spans="1:18" ht="15.75" customHeight="1">
      <c r="A43" s="616"/>
      <c r="B43" s="617"/>
      <c r="C43" s="204" t="s">
        <v>211</v>
      </c>
      <c r="D43" s="613"/>
      <c r="E43" s="614"/>
      <c r="F43" s="614"/>
      <c r="G43" s="202"/>
      <c r="H43" s="202"/>
      <c r="I43" s="203"/>
      <c r="J43" s="200"/>
      <c r="K43" s="613"/>
      <c r="L43" s="614"/>
      <c r="M43" s="99"/>
      <c r="O43" s="395"/>
      <c r="P43" s="394"/>
      <c r="Q43" s="394"/>
      <c r="R43" s="199"/>
    </row>
    <row r="44" spans="1:18" s="104" customFormat="1" ht="15.75" customHeight="1">
      <c r="A44" s="619" t="s">
        <v>188</v>
      </c>
      <c r="B44" s="619"/>
      <c r="C44" s="207" t="s">
        <v>47</v>
      </c>
      <c r="D44" s="619" t="s">
        <v>12</v>
      </c>
      <c r="E44" s="620"/>
      <c r="F44" s="620"/>
      <c r="G44" s="207" t="s">
        <v>46</v>
      </c>
      <c r="H44" s="207" t="s">
        <v>375</v>
      </c>
      <c r="I44" s="207" t="s">
        <v>376</v>
      </c>
      <c r="J44" s="160" t="s">
        <v>332</v>
      </c>
      <c r="K44" s="619" t="s">
        <v>51</v>
      </c>
      <c r="L44" s="620"/>
      <c r="M44" s="128"/>
      <c r="N44" s="189"/>
      <c r="O44" s="395"/>
      <c r="P44" s="394"/>
      <c r="Q44" s="394"/>
      <c r="R44" s="199"/>
    </row>
    <row r="45" spans="1:18" ht="15.75" customHeight="1">
      <c r="A45" s="616">
        <v>6</v>
      </c>
      <c r="B45" s="617" t="s">
        <v>136</v>
      </c>
      <c r="C45" s="200">
        <v>1</v>
      </c>
      <c r="D45" s="613" t="s">
        <v>598</v>
      </c>
      <c r="E45" s="614"/>
      <c r="F45" s="614"/>
      <c r="G45" s="200">
        <v>20</v>
      </c>
      <c r="H45" s="202">
        <v>1790.8313001536862</v>
      </c>
      <c r="I45" s="203">
        <v>89.541565007684312</v>
      </c>
      <c r="J45" s="357">
        <f>I45-I19</f>
        <v>7.5714285714298057E-2</v>
      </c>
      <c r="K45" s="613"/>
      <c r="L45" s="614"/>
      <c r="M45" s="99"/>
      <c r="N45" s="199"/>
      <c r="O45" s="199"/>
      <c r="P45" s="394"/>
      <c r="Q45" s="394"/>
      <c r="R45" s="199"/>
    </row>
    <row r="46" spans="1:18" ht="15.75" customHeight="1">
      <c r="A46" s="616"/>
      <c r="B46" s="617"/>
      <c r="C46" s="200">
        <v>2</v>
      </c>
      <c r="D46" s="613" t="s">
        <v>439</v>
      </c>
      <c r="E46" s="614"/>
      <c r="F46" s="614"/>
      <c r="G46" s="202">
        <v>20</v>
      </c>
      <c r="H46" s="202">
        <v>1783.2323749029313</v>
      </c>
      <c r="I46" s="203">
        <v>89.161618745146569</v>
      </c>
      <c r="J46" s="357">
        <f>I46-I20</f>
        <v>-0.10285714285714675</v>
      </c>
      <c r="K46" s="613"/>
      <c r="L46" s="614"/>
      <c r="M46" s="99"/>
      <c r="O46" s="199"/>
      <c r="P46" s="394"/>
      <c r="Q46" s="394"/>
      <c r="R46" s="199"/>
    </row>
    <row r="47" spans="1:18" ht="15.75" customHeight="1">
      <c r="A47" s="616"/>
      <c r="B47" s="617"/>
      <c r="C47" s="200">
        <v>3</v>
      </c>
      <c r="D47" s="613" t="s">
        <v>437</v>
      </c>
      <c r="E47" s="614"/>
      <c r="F47" s="614"/>
      <c r="G47" s="202">
        <v>22</v>
      </c>
      <c r="H47" s="202">
        <v>1785.8747817190631</v>
      </c>
      <c r="I47" s="203">
        <v>81.176126441775594</v>
      </c>
      <c r="J47" s="357">
        <f>I47-I22</f>
        <v>-3.3766233766201026E-2</v>
      </c>
      <c r="K47" s="613"/>
      <c r="L47" s="614"/>
      <c r="M47" s="99"/>
      <c r="O47" s="199"/>
      <c r="P47" s="394"/>
      <c r="Q47" s="394"/>
      <c r="R47" s="199"/>
    </row>
    <row r="48" spans="1:18" ht="15.75" customHeight="1">
      <c r="A48" s="616"/>
      <c r="B48" s="617"/>
      <c r="C48" s="200">
        <v>4</v>
      </c>
      <c r="D48" s="613" t="s">
        <v>435</v>
      </c>
      <c r="E48" s="614"/>
      <c r="F48" s="614"/>
      <c r="G48" s="200">
        <v>23</v>
      </c>
      <c r="H48" s="202">
        <v>1795.0815964524716</v>
      </c>
      <c r="I48" s="203">
        <v>78.047025932716153</v>
      </c>
      <c r="J48" s="357">
        <f>I48-I23</f>
        <v>0.13913043478257237</v>
      </c>
      <c r="K48" s="613"/>
      <c r="L48" s="614"/>
      <c r="M48" s="99"/>
      <c r="O48" s="199"/>
      <c r="P48" s="394"/>
      <c r="Q48" s="394"/>
      <c r="R48" s="199"/>
    </row>
    <row r="49" spans="1:18" ht="15.75" customHeight="1">
      <c r="A49" s="616"/>
      <c r="B49" s="617"/>
      <c r="C49" s="200">
        <v>5</v>
      </c>
      <c r="D49" s="613" t="s">
        <v>353</v>
      </c>
      <c r="E49" s="614"/>
      <c r="F49" s="614"/>
      <c r="G49" s="202">
        <v>23</v>
      </c>
      <c r="H49" s="202">
        <v>1791.1555766841805</v>
      </c>
      <c r="I49" s="203">
        <v>77.876329421051324</v>
      </c>
      <c r="J49" s="357">
        <f>I49-I28</f>
        <v>-4.9689440994171719E-3</v>
      </c>
      <c r="K49" s="613"/>
      <c r="L49" s="614"/>
      <c r="M49" s="99"/>
      <c r="O49" s="199"/>
      <c r="P49" s="394"/>
      <c r="Q49" s="394"/>
      <c r="R49" s="199"/>
    </row>
    <row r="50" spans="1:18" ht="15.75" customHeight="1">
      <c r="A50" s="616"/>
      <c r="B50" s="617"/>
      <c r="C50" s="204" t="s">
        <v>204</v>
      </c>
      <c r="D50" s="613" t="s">
        <v>510</v>
      </c>
      <c r="E50" s="614"/>
      <c r="F50" s="614"/>
      <c r="G50" s="200">
        <v>25</v>
      </c>
      <c r="H50" s="202">
        <v>1791.7376311638457</v>
      </c>
      <c r="I50" s="203">
        <v>71.669505246553797</v>
      </c>
      <c r="J50" s="357">
        <f>I50-I24</f>
        <v>2.3339774100119541</v>
      </c>
      <c r="K50" s="622"/>
      <c r="L50" s="623"/>
      <c r="M50" s="99"/>
      <c r="O50" s="199"/>
      <c r="P50" s="394"/>
      <c r="Q50" s="394"/>
      <c r="R50" s="199"/>
    </row>
    <row r="51" spans="1:18" ht="15.75" customHeight="1">
      <c r="A51" s="616"/>
      <c r="B51" s="617"/>
      <c r="C51" s="204" t="s">
        <v>209</v>
      </c>
      <c r="D51" s="613" t="s">
        <v>354</v>
      </c>
      <c r="E51" s="614"/>
      <c r="F51" s="614"/>
      <c r="G51" s="200">
        <v>24</v>
      </c>
      <c r="H51" s="202">
        <v>1789.6368027480808</v>
      </c>
      <c r="I51" s="203">
        <v>74.568200114503369</v>
      </c>
      <c r="J51" s="357">
        <f>I51-I25</f>
        <v>4.6428571428606347E-2</v>
      </c>
      <c r="K51" s="613"/>
      <c r="L51" s="614"/>
      <c r="M51" s="99"/>
      <c r="O51" s="199"/>
      <c r="P51" s="394"/>
      <c r="Q51" s="394"/>
      <c r="R51" s="199"/>
    </row>
    <row r="52" spans="1:18" ht="15.75" customHeight="1">
      <c r="A52" s="616"/>
      <c r="B52" s="617"/>
      <c r="C52" s="204" t="s">
        <v>205</v>
      </c>
      <c r="D52" s="613" t="s">
        <v>352</v>
      </c>
      <c r="E52" s="614"/>
      <c r="F52" s="614"/>
      <c r="G52" s="200">
        <v>24</v>
      </c>
      <c r="H52" s="202">
        <v>1795.6973867916799</v>
      </c>
      <c r="I52" s="203">
        <v>74.820724449653326</v>
      </c>
      <c r="J52" s="357">
        <f>I52-I26</f>
        <v>6.7857142857164376E-2</v>
      </c>
      <c r="K52" s="613"/>
      <c r="L52" s="614"/>
      <c r="M52" s="99"/>
      <c r="O52" s="199"/>
      <c r="P52" s="394"/>
      <c r="Q52" s="394"/>
      <c r="R52" s="199"/>
    </row>
    <row r="53" spans="1:18" ht="15.75" customHeight="1">
      <c r="A53" s="616"/>
      <c r="B53" s="617"/>
      <c r="C53" s="204" t="s">
        <v>210</v>
      </c>
      <c r="D53" s="613" t="s">
        <v>350</v>
      </c>
      <c r="E53" s="614"/>
      <c r="F53" s="614"/>
      <c r="G53" s="200">
        <v>23</v>
      </c>
      <c r="H53" s="202">
        <v>1791.1049439941787</v>
      </c>
      <c r="I53" s="203">
        <v>77.874127999746889</v>
      </c>
      <c r="J53" s="357">
        <f>I53-I27</f>
        <v>5.5900621117970672E-2</v>
      </c>
      <c r="K53" s="613"/>
      <c r="L53" s="614"/>
      <c r="M53" s="99"/>
      <c r="O53" s="199"/>
      <c r="P53" s="394"/>
      <c r="Q53" s="394"/>
      <c r="R53" s="199"/>
    </row>
    <row r="54" spans="1:18" ht="15.75" customHeight="1">
      <c r="A54" s="616"/>
      <c r="B54" s="617"/>
      <c r="C54" s="204" t="s">
        <v>211</v>
      </c>
      <c r="D54" s="613"/>
      <c r="E54" s="614"/>
      <c r="F54" s="614"/>
      <c r="G54" s="200"/>
      <c r="H54" s="202"/>
      <c r="I54" s="203"/>
      <c r="J54" s="357"/>
      <c r="K54" s="613"/>
      <c r="L54" s="614"/>
      <c r="M54" s="99"/>
      <c r="O54" s="199"/>
      <c r="P54" s="394"/>
      <c r="Q54" s="394"/>
      <c r="R54" s="199"/>
    </row>
    <row r="55" spans="1:18" s="189" customFormat="1" ht="15.75" customHeight="1">
      <c r="A55" s="615" t="s">
        <v>660</v>
      </c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</row>
    <row r="56" spans="1:18" s="190" customFormat="1" ht="15.75" customHeight="1">
      <c r="A56" s="615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</row>
    <row r="57" spans="1:18" s="106" customFormat="1" ht="16.399999999999999" customHeight="1">
      <c r="A57" s="616" t="s">
        <v>162</v>
      </c>
      <c r="B57" s="170">
        <v>1</v>
      </c>
      <c r="C57" s="170">
        <v>2</v>
      </c>
      <c r="D57" s="170">
        <v>3</v>
      </c>
      <c r="E57" s="170">
        <v>4</v>
      </c>
      <c r="F57" s="191">
        <v>5</v>
      </c>
      <c r="G57" s="191">
        <v>6</v>
      </c>
      <c r="H57" s="170">
        <v>7</v>
      </c>
      <c r="I57" s="170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99999999999999" customHeight="1">
      <c r="A58" s="616"/>
      <c r="B58" s="195" t="s">
        <v>206</v>
      </c>
      <c r="C58" s="195" t="s">
        <v>155</v>
      </c>
      <c r="D58" s="195" t="s">
        <v>207</v>
      </c>
      <c r="E58" s="195" t="s">
        <v>156</v>
      </c>
      <c r="F58" s="194" t="s">
        <v>348</v>
      </c>
      <c r="G58" s="209" t="s">
        <v>136</v>
      </c>
      <c r="H58" s="197" t="s">
        <v>208</v>
      </c>
      <c r="I58" s="196" t="s">
        <v>374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17" t="s">
        <v>188</v>
      </c>
      <c r="B59" s="617"/>
      <c r="C59" s="160" t="s">
        <v>47</v>
      </c>
      <c r="D59" s="617" t="s">
        <v>12</v>
      </c>
      <c r="E59" s="618"/>
      <c r="F59" s="618"/>
      <c r="G59" s="160" t="s">
        <v>46</v>
      </c>
      <c r="H59" s="160" t="s">
        <v>375</v>
      </c>
      <c r="I59" s="160" t="s">
        <v>376</v>
      </c>
      <c r="J59" s="160" t="s">
        <v>332</v>
      </c>
      <c r="K59" s="617" t="s">
        <v>51</v>
      </c>
      <c r="L59" s="618"/>
      <c r="M59" s="127"/>
      <c r="N59" s="189"/>
      <c r="O59" s="395"/>
      <c r="P59" s="394"/>
      <c r="Q59" s="394"/>
      <c r="R59" s="199"/>
    </row>
    <row r="60" spans="1:18" ht="15.75" customHeight="1">
      <c r="A60" s="616">
        <v>5</v>
      </c>
      <c r="B60" s="617" t="s">
        <v>348</v>
      </c>
      <c r="C60" s="200">
        <v>1</v>
      </c>
      <c r="D60" s="613"/>
      <c r="E60" s="614"/>
      <c r="F60" s="614"/>
      <c r="G60" s="202"/>
      <c r="H60" s="202"/>
      <c r="I60" s="203"/>
      <c r="J60" s="357">
        <f t="shared" ref="J60:J66" si="1">I60-I34</f>
        <v>-105.17647058823528</v>
      </c>
      <c r="K60" s="613"/>
      <c r="L60" s="614"/>
      <c r="O60" s="395"/>
      <c r="P60" s="394"/>
      <c r="Q60" s="394"/>
      <c r="R60" s="199"/>
    </row>
    <row r="61" spans="1:18" ht="15.75" customHeight="1">
      <c r="A61" s="616"/>
      <c r="B61" s="617"/>
      <c r="C61" s="200">
        <v>2</v>
      </c>
      <c r="D61" s="613"/>
      <c r="E61" s="614"/>
      <c r="F61" s="614"/>
      <c r="G61" s="202"/>
      <c r="H61" s="202"/>
      <c r="I61" s="203"/>
      <c r="J61" s="357">
        <f t="shared" si="1"/>
        <v>-94.105263157894726</v>
      </c>
      <c r="K61" s="613"/>
      <c r="L61" s="614"/>
      <c r="O61" s="395"/>
      <c r="P61" s="394"/>
      <c r="Q61" s="394"/>
      <c r="R61" s="199"/>
    </row>
    <row r="62" spans="1:18" ht="15.75" customHeight="1">
      <c r="A62" s="616"/>
      <c r="B62" s="617"/>
      <c r="C62" s="200">
        <v>3</v>
      </c>
      <c r="D62" s="613"/>
      <c r="E62" s="614"/>
      <c r="F62" s="614"/>
      <c r="G62" s="202"/>
      <c r="H62" s="202"/>
      <c r="I62" s="203"/>
      <c r="J62" s="357">
        <f t="shared" si="1"/>
        <v>-77.910095204873201</v>
      </c>
      <c r="K62" s="613"/>
      <c r="L62" s="614"/>
      <c r="O62" s="395"/>
      <c r="P62" s="394"/>
      <c r="Q62" s="394"/>
      <c r="R62" s="199"/>
    </row>
    <row r="63" spans="1:18" ht="15.75" customHeight="1">
      <c r="A63" s="616"/>
      <c r="B63" s="617"/>
      <c r="C63" s="200">
        <v>4</v>
      </c>
      <c r="D63" s="613"/>
      <c r="E63" s="614"/>
      <c r="F63" s="614"/>
      <c r="G63" s="202"/>
      <c r="H63" s="202"/>
      <c r="I63" s="203"/>
      <c r="J63" s="357">
        <f t="shared" si="1"/>
        <v>-77.751552795031003</v>
      </c>
      <c r="K63" s="613"/>
      <c r="L63" s="614"/>
      <c r="O63" s="395"/>
      <c r="P63" s="394"/>
      <c r="Q63" s="394"/>
      <c r="R63" s="199"/>
    </row>
    <row r="64" spans="1:18" ht="15.75" customHeight="1">
      <c r="A64" s="616"/>
      <c r="B64" s="617"/>
      <c r="C64" s="200">
        <v>5</v>
      </c>
      <c r="D64" s="613"/>
      <c r="E64" s="614"/>
      <c r="F64" s="614"/>
      <c r="G64" s="202"/>
      <c r="H64" s="202"/>
      <c r="I64" s="203"/>
      <c r="J64" s="357">
        <f t="shared" si="1"/>
        <v>-77.628571428571462</v>
      </c>
      <c r="K64" s="613"/>
      <c r="L64" s="614"/>
      <c r="O64" s="395"/>
      <c r="P64" s="394"/>
      <c r="Q64" s="394"/>
      <c r="R64" s="199"/>
    </row>
    <row r="65" spans="1:18" ht="15.75" customHeight="1">
      <c r="A65" s="616"/>
      <c r="B65" s="617"/>
      <c r="C65" s="204" t="s">
        <v>204</v>
      </c>
      <c r="D65" s="613"/>
      <c r="E65" s="614"/>
      <c r="F65" s="614"/>
      <c r="G65" s="202"/>
      <c r="H65" s="202"/>
      <c r="I65" s="203"/>
      <c r="J65" s="357">
        <f t="shared" si="1"/>
        <v>-74.611522640536009</v>
      </c>
      <c r="K65" s="613"/>
      <c r="L65" s="614"/>
      <c r="O65" s="199"/>
      <c r="P65" s="394"/>
      <c r="Q65" s="394"/>
      <c r="R65" s="199"/>
    </row>
    <row r="66" spans="1:18" ht="15.75" customHeight="1">
      <c r="A66" s="616"/>
      <c r="B66" s="617"/>
      <c r="C66" s="204" t="s">
        <v>209</v>
      </c>
      <c r="D66" s="613"/>
      <c r="E66" s="614"/>
      <c r="F66" s="614"/>
      <c r="G66" s="202"/>
      <c r="H66" s="202"/>
      <c r="I66" s="203"/>
      <c r="J66" s="357">
        <f t="shared" si="1"/>
        <v>-76.69152041123705</v>
      </c>
      <c r="K66" s="613"/>
      <c r="L66" s="614"/>
      <c r="O66" s="395"/>
      <c r="P66" s="394"/>
      <c r="Q66" s="394"/>
      <c r="R66" s="199"/>
    </row>
    <row r="67" spans="1:18" ht="15.75" customHeight="1">
      <c r="A67" s="616"/>
      <c r="B67" s="617"/>
      <c r="C67" s="204" t="s">
        <v>205</v>
      </c>
      <c r="D67" s="613"/>
      <c r="E67" s="614"/>
      <c r="F67" s="614"/>
      <c r="G67" s="202"/>
      <c r="H67" s="202"/>
      <c r="I67" s="203"/>
      <c r="J67" s="357"/>
      <c r="K67" s="613"/>
      <c r="L67" s="614"/>
      <c r="N67" s="178"/>
      <c r="O67" s="396"/>
      <c r="P67" s="393"/>
      <c r="Q67" s="393"/>
      <c r="R67" s="178"/>
    </row>
    <row r="68" spans="1:18" ht="15.75" customHeight="1">
      <c r="A68" s="616"/>
      <c r="B68" s="617"/>
      <c r="C68" s="204" t="s">
        <v>210</v>
      </c>
      <c r="D68" s="613"/>
      <c r="E68" s="614"/>
      <c r="F68" s="614"/>
      <c r="G68" s="202"/>
      <c r="H68" s="202"/>
      <c r="I68" s="203"/>
      <c r="J68" s="357"/>
      <c r="K68" s="613"/>
      <c r="L68" s="614"/>
      <c r="M68" s="99"/>
      <c r="O68" s="395"/>
      <c r="P68" s="394"/>
      <c r="Q68" s="394"/>
      <c r="R68" s="199"/>
    </row>
    <row r="69" spans="1:18" ht="15.75" customHeight="1">
      <c r="A69" s="616"/>
      <c r="B69" s="617"/>
      <c r="C69" s="204" t="s">
        <v>211</v>
      </c>
      <c r="D69" s="613"/>
      <c r="E69" s="614"/>
      <c r="F69" s="614"/>
      <c r="G69" s="202"/>
      <c r="H69" s="202"/>
      <c r="I69" s="203"/>
      <c r="J69" s="200"/>
      <c r="K69" s="613"/>
      <c r="L69" s="614"/>
      <c r="M69" s="99"/>
      <c r="O69" s="395"/>
      <c r="P69" s="394"/>
      <c r="Q69" s="394"/>
      <c r="R69" s="199"/>
    </row>
    <row r="70" spans="1:18" s="104" customFormat="1" ht="15.75" customHeight="1">
      <c r="A70" s="619" t="s">
        <v>188</v>
      </c>
      <c r="B70" s="619"/>
      <c r="C70" s="207" t="s">
        <v>47</v>
      </c>
      <c r="D70" s="619" t="s">
        <v>12</v>
      </c>
      <c r="E70" s="620"/>
      <c r="F70" s="620"/>
      <c r="G70" s="207" t="s">
        <v>46</v>
      </c>
      <c r="H70" s="207" t="s">
        <v>375</v>
      </c>
      <c r="I70" s="207" t="s">
        <v>376</v>
      </c>
      <c r="J70" s="160" t="s">
        <v>332</v>
      </c>
      <c r="K70" s="619" t="s">
        <v>51</v>
      </c>
      <c r="L70" s="620"/>
      <c r="M70" s="128"/>
      <c r="N70" s="189"/>
      <c r="O70" s="395"/>
      <c r="P70" s="394"/>
      <c r="Q70" s="394"/>
      <c r="R70" s="199"/>
    </row>
    <row r="71" spans="1:18" ht="15.75" customHeight="1">
      <c r="A71" s="616">
        <v>6</v>
      </c>
      <c r="B71" s="617" t="s">
        <v>136</v>
      </c>
      <c r="C71" s="200">
        <v>1</v>
      </c>
      <c r="D71" s="613"/>
      <c r="E71" s="614"/>
      <c r="F71" s="614"/>
      <c r="G71" s="200"/>
      <c r="H71" s="202"/>
      <c r="I71" s="203"/>
      <c r="J71" s="357">
        <f t="shared" ref="J71:J78" si="2">I71-I45</f>
        <v>-89.541565007684312</v>
      </c>
      <c r="K71" s="613"/>
      <c r="L71" s="614"/>
      <c r="M71" s="99"/>
      <c r="N71" s="199"/>
      <c r="O71" s="199"/>
      <c r="P71" s="394"/>
      <c r="Q71" s="394"/>
      <c r="R71" s="199"/>
    </row>
    <row r="72" spans="1:18" ht="15.75" customHeight="1">
      <c r="A72" s="616"/>
      <c r="B72" s="617"/>
      <c r="C72" s="200">
        <v>2</v>
      </c>
      <c r="D72" s="613"/>
      <c r="E72" s="614"/>
      <c r="F72" s="614"/>
      <c r="G72" s="202"/>
      <c r="H72" s="202"/>
      <c r="I72" s="203"/>
      <c r="J72" s="357">
        <f t="shared" si="2"/>
        <v>-89.161618745146569</v>
      </c>
      <c r="K72" s="613"/>
      <c r="L72" s="614"/>
      <c r="M72" s="99"/>
      <c r="O72" s="199"/>
      <c r="P72" s="394"/>
      <c r="Q72" s="394"/>
      <c r="R72" s="199"/>
    </row>
    <row r="73" spans="1:18" ht="15.75" customHeight="1">
      <c r="A73" s="616"/>
      <c r="B73" s="617"/>
      <c r="C73" s="200">
        <v>3</v>
      </c>
      <c r="D73" s="613"/>
      <c r="E73" s="614"/>
      <c r="F73" s="614"/>
      <c r="G73" s="202"/>
      <c r="H73" s="202"/>
      <c r="I73" s="203"/>
      <c r="J73" s="357">
        <f t="shared" si="2"/>
        <v>-81.176126441775594</v>
      </c>
      <c r="K73" s="613"/>
      <c r="L73" s="614"/>
      <c r="M73" s="99"/>
      <c r="O73" s="199"/>
      <c r="P73" s="394"/>
      <c r="Q73" s="394"/>
      <c r="R73" s="199"/>
    </row>
    <row r="74" spans="1:18" ht="15.75" customHeight="1">
      <c r="A74" s="616"/>
      <c r="B74" s="617"/>
      <c r="C74" s="200">
        <v>4</v>
      </c>
      <c r="D74" s="613"/>
      <c r="E74" s="614"/>
      <c r="F74" s="614"/>
      <c r="G74" s="200"/>
      <c r="H74" s="202"/>
      <c r="I74" s="203"/>
      <c r="J74" s="357">
        <f t="shared" si="2"/>
        <v>-78.047025932716153</v>
      </c>
      <c r="K74" s="613"/>
      <c r="L74" s="614"/>
      <c r="M74" s="99"/>
      <c r="O74" s="199"/>
      <c r="P74" s="394"/>
      <c r="Q74" s="394"/>
      <c r="R74" s="199"/>
    </row>
    <row r="75" spans="1:18" ht="15.75" customHeight="1">
      <c r="A75" s="616"/>
      <c r="B75" s="617"/>
      <c r="C75" s="200">
        <v>5</v>
      </c>
      <c r="D75" s="613"/>
      <c r="E75" s="614"/>
      <c r="F75" s="614"/>
      <c r="G75" s="202"/>
      <c r="H75" s="202"/>
      <c r="I75" s="203"/>
      <c r="J75" s="357">
        <f t="shared" si="2"/>
        <v>-77.876329421051324</v>
      </c>
      <c r="K75" s="613"/>
      <c r="L75" s="614"/>
      <c r="M75" s="99"/>
      <c r="O75" s="199"/>
      <c r="P75" s="394"/>
      <c r="Q75" s="394"/>
      <c r="R75" s="199"/>
    </row>
    <row r="76" spans="1:18" ht="15.75" customHeight="1">
      <c r="A76" s="616"/>
      <c r="B76" s="617"/>
      <c r="C76" s="204" t="s">
        <v>204</v>
      </c>
      <c r="D76" s="613"/>
      <c r="E76" s="614"/>
      <c r="F76" s="614"/>
      <c r="G76" s="200"/>
      <c r="H76" s="202"/>
      <c r="I76" s="203"/>
      <c r="J76" s="357">
        <f t="shared" si="2"/>
        <v>-71.669505246553797</v>
      </c>
      <c r="K76" s="622"/>
      <c r="L76" s="623"/>
      <c r="M76" s="99"/>
      <c r="O76" s="199"/>
      <c r="P76" s="394"/>
      <c r="Q76" s="394"/>
      <c r="R76" s="199"/>
    </row>
    <row r="77" spans="1:18" ht="15.75" customHeight="1">
      <c r="A77" s="616"/>
      <c r="B77" s="617"/>
      <c r="C77" s="204" t="s">
        <v>209</v>
      </c>
      <c r="D77" s="613"/>
      <c r="E77" s="614"/>
      <c r="F77" s="614"/>
      <c r="G77" s="200"/>
      <c r="H77" s="202"/>
      <c r="I77" s="203"/>
      <c r="J77" s="357">
        <f t="shared" si="2"/>
        <v>-74.568200114503369</v>
      </c>
      <c r="K77" s="613"/>
      <c r="L77" s="614"/>
      <c r="M77" s="99"/>
      <c r="O77" s="199"/>
      <c r="P77" s="394"/>
      <c r="Q77" s="394"/>
      <c r="R77" s="199"/>
    </row>
    <row r="78" spans="1:18" ht="15.75" customHeight="1">
      <c r="A78" s="616"/>
      <c r="B78" s="617"/>
      <c r="C78" s="204" t="s">
        <v>205</v>
      </c>
      <c r="D78" s="613"/>
      <c r="E78" s="614"/>
      <c r="F78" s="614"/>
      <c r="G78" s="200"/>
      <c r="H78" s="202"/>
      <c r="I78" s="203"/>
      <c r="J78" s="357">
        <f t="shared" si="2"/>
        <v>-74.820724449653326</v>
      </c>
      <c r="K78" s="613"/>
      <c r="L78" s="614"/>
      <c r="M78" s="99"/>
      <c r="O78" s="199"/>
      <c r="P78" s="394"/>
      <c r="Q78" s="394"/>
      <c r="R78" s="199"/>
    </row>
    <row r="79" spans="1:18" ht="15.75" customHeight="1">
      <c r="A79" s="616"/>
      <c r="B79" s="617"/>
      <c r="C79" s="204" t="s">
        <v>210</v>
      </c>
      <c r="D79" s="613"/>
      <c r="E79" s="614"/>
      <c r="F79" s="614"/>
      <c r="G79" s="200"/>
      <c r="H79" s="202"/>
      <c r="I79" s="203"/>
      <c r="J79" s="357">
        <f>I79-I53</f>
        <v>-77.874127999746889</v>
      </c>
      <c r="K79" s="613"/>
      <c r="L79" s="614"/>
      <c r="M79" s="99"/>
      <c r="O79" s="199"/>
      <c r="P79" s="394"/>
      <c r="Q79" s="394"/>
      <c r="R79" s="199"/>
    </row>
    <row r="80" spans="1:18" ht="15.75" customHeight="1">
      <c r="A80" s="616"/>
      <c r="B80" s="617"/>
      <c r="C80" s="204" t="s">
        <v>211</v>
      </c>
      <c r="D80" s="613"/>
      <c r="E80" s="614"/>
      <c r="F80" s="614"/>
      <c r="G80" s="200"/>
      <c r="H80" s="202"/>
      <c r="I80" s="203"/>
      <c r="J80" s="357">
        <f>I80-I54</f>
        <v>0</v>
      </c>
      <c r="K80" s="613"/>
      <c r="L80" s="614"/>
      <c r="M80" s="99"/>
      <c r="O80" s="199"/>
      <c r="P80" s="394"/>
      <c r="Q80" s="394"/>
      <c r="R80" s="199"/>
    </row>
  </sheetData>
  <mergeCells count="157"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80:L80"/>
    <mergeCell ref="D53:F53"/>
    <mergeCell ref="K53:L53"/>
    <mergeCell ref="D54:F54"/>
    <mergeCell ref="K54:L54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1" manualBreakCount="1">
    <brk id="28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R80"/>
  <sheetViews>
    <sheetView view="pageBreakPreview" topLeftCell="A17" zoomScale="110" zoomScaleNormal="60" zoomScaleSheetLayoutView="110" workbookViewId="0">
      <selection activeCell="J46" sqref="J46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2" t="s">
        <v>373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99"/>
    </row>
    <row r="2" spans="1:18" s="100" customFormat="1" ht="15.75" customHeight="1">
      <c r="A2" s="502"/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N2" s="190"/>
      <c r="O2" s="190"/>
      <c r="P2" s="190"/>
      <c r="Q2" s="190"/>
      <c r="R2" s="190"/>
    </row>
    <row r="3" spans="1:18" s="189" customFormat="1" ht="15.75" customHeight="1">
      <c r="A3" s="615" t="s">
        <v>622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</row>
    <row r="4" spans="1:18" s="190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8" s="106" customFormat="1" ht="16.399999999999999" customHeight="1">
      <c r="A5" s="627" t="s">
        <v>162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91">
        <v>7</v>
      </c>
      <c r="I5" s="191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99999999999999" customHeight="1">
      <c r="A6" s="629"/>
      <c r="B6" s="195" t="s">
        <v>206</v>
      </c>
      <c r="C6" s="195" t="s">
        <v>155</v>
      </c>
      <c r="D6" s="195" t="s">
        <v>207</v>
      </c>
      <c r="E6" s="195" t="s">
        <v>156</v>
      </c>
      <c r="F6" s="195" t="s">
        <v>138</v>
      </c>
      <c r="G6" s="196" t="s">
        <v>136</v>
      </c>
      <c r="H6" s="194" t="s">
        <v>208</v>
      </c>
      <c r="I6" s="209" t="s">
        <v>374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35" t="s">
        <v>188</v>
      </c>
      <c r="B7" s="636"/>
      <c r="C7" s="160" t="s">
        <v>47</v>
      </c>
      <c r="D7" s="635" t="s">
        <v>12</v>
      </c>
      <c r="E7" s="637"/>
      <c r="F7" s="636"/>
      <c r="G7" s="160" t="s">
        <v>46</v>
      </c>
      <c r="H7" s="160" t="s">
        <v>375</v>
      </c>
      <c r="I7" s="160" t="s">
        <v>376</v>
      </c>
      <c r="J7" s="160" t="s">
        <v>332</v>
      </c>
      <c r="K7" s="635" t="s">
        <v>51</v>
      </c>
      <c r="L7" s="636"/>
      <c r="M7" s="127"/>
      <c r="N7" s="189"/>
      <c r="O7" s="199"/>
      <c r="P7" s="394"/>
      <c r="Q7" s="394"/>
      <c r="R7" s="199"/>
    </row>
    <row r="8" spans="1:18" ht="15">
      <c r="A8" s="627">
        <v>7</v>
      </c>
      <c r="B8" s="630" t="s">
        <v>379</v>
      </c>
      <c r="C8" s="200">
        <v>1</v>
      </c>
      <c r="D8" s="621"/>
      <c r="E8" s="614"/>
      <c r="F8" s="614"/>
      <c r="G8" s="200"/>
      <c r="H8" s="202"/>
      <c r="I8" s="203"/>
      <c r="J8" s="200"/>
      <c r="K8" s="622"/>
      <c r="L8" s="623"/>
      <c r="N8" s="397"/>
      <c r="O8" s="199"/>
      <c r="P8" s="394"/>
      <c r="Q8" s="394"/>
      <c r="R8" s="199"/>
    </row>
    <row r="9" spans="1:18" ht="15">
      <c r="A9" s="628"/>
      <c r="B9" s="631"/>
      <c r="C9" s="200">
        <v>2</v>
      </c>
      <c r="D9" s="621"/>
      <c r="E9" s="614"/>
      <c r="F9" s="614"/>
      <c r="G9" s="200"/>
      <c r="H9" s="202"/>
      <c r="I9" s="203"/>
      <c r="J9" s="200"/>
      <c r="K9" s="622"/>
      <c r="L9" s="623"/>
      <c r="O9" s="199"/>
      <c r="P9" s="394"/>
      <c r="Q9" s="394"/>
      <c r="R9" s="199"/>
    </row>
    <row r="10" spans="1:18" ht="15">
      <c r="A10" s="628"/>
      <c r="B10" s="631"/>
      <c r="C10" s="200">
        <v>3</v>
      </c>
      <c r="D10" s="622"/>
      <c r="E10" s="633"/>
      <c r="F10" s="623"/>
      <c r="G10" s="200"/>
      <c r="H10" s="202"/>
      <c r="I10" s="203"/>
      <c r="J10" s="200"/>
      <c r="K10" s="622"/>
      <c r="L10" s="623"/>
      <c r="O10" s="199"/>
      <c r="P10" s="394"/>
      <c r="Q10" s="394"/>
      <c r="R10" s="199"/>
    </row>
    <row r="11" spans="1:18" ht="15">
      <c r="A11" s="628"/>
      <c r="B11" s="631"/>
      <c r="C11" s="200">
        <v>4</v>
      </c>
      <c r="D11" s="622"/>
      <c r="E11" s="633"/>
      <c r="F11" s="623"/>
      <c r="G11" s="200"/>
      <c r="H11" s="202"/>
      <c r="I11" s="203"/>
      <c r="J11" s="200"/>
      <c r="K11" s="622"/>
      <c r="L11" s="623"/>
      <c r="O11" s="199"/>
      <c r="P11" s="394"/>
      <c r="Q11" s="394"/>
      <c r="R11" s="199"/>
    </row>
    <row r="12" spans="1:18" ht="15">
      <c r="A12" s="628"/>
      <c r="B12" s="631"/>
      <c r="C12" s="200">
        <v>5</v>
      </c>
      <c r="D12" s="622"/>
      <c r="E12" s="633"/>
      <c r="F12" s="623"/>
      <c r="G12" s="200"/>
      <c r="H12" s="202"/>
      <c r="I12" s="203"/>
      <c r="J12" s="200"/>
      <c r="K12" s="622"/>
      <c r="L12" s="623"/>
      <c r="N12" s="178"/>
      <c r="O12" s="199"/>
      <c r="P12" s="394"/>
      <c r="Q12" s="394"/>
      <c r="R12" s="199"/>
    </row>
    <row r="13" spans="1:18" ht="15">
      <c r="A13" s="628"/>
      <c r="B13" s="631"/>
      <c r="C13" s="204" t="s">
        <v>204</v>
      </c>
      <c r="D13" s="622"/>
      <c r="E13" s="633"/>
      <c r="F13" s="623"/>
      <c r="G13" s="200"/>
      <c r="H13" s="202"/>
      <c r="I13" s="203"/>
      <c r="J13" s="200"/>
      <c r="K13" s="622"/>
      <c r="L13" s="623"/>
      <c r="N13" s="397"/>
      <c r="O13" s="199"/>
      <c r="P13" s="394"/>
      <c r="Q13" s="394"/>
      <c r="R13" s="199"/>
    </row>
    <row r="14" spans="1:18" ht="15">
      <c r="A14" s="628"/>
      <c r="B14" s="631"/>
      <c r="C14" s="204" t="s">
        <v>209</v>
      </c>
      <c r="D14" s="622"/>
      <c r="E14" s="633"/>
      <c r="F14" s="623"/>
      <c r="G14" s="200"/>
      <c r="H14" s="202"/>
      <c r="I14" s="203"/>
      <c r="J14" s="200"/>
      <c r="K14" s="622"/>
      <c r="L14" s="623"/>
      <c r="O14" s="199"/>
      <c r="P14" s="394"/>
      <c r="Q14" s="394"/>
      <c r="R14" s="199"/>
    </row>
    <row r="15" spans="1:18" ht="15">
      <c r="A15" s="628"/>
      <c r="B15" s="631"/>
      <c r="C15" s="204" t="s">
        <v>205</v>
      </c>
      <c r="D15" s="622"/>
      <c r="E15" s="633"/>
      <c r="F15" s="623"/>
      <c r="G15" s="200"/>
      <c r="H15" s="202"/>
      <c r="I15" s="203"/>
      <c r="J15" s="200"/>
      <c r="K15" s="622"/>
      <c r="L15" s="623"/>
      <c r="O15" s="199"/>
      <c r="P15" s="394"/>
      <c r="Q15" s="394"/>
      <c r="R15" s="199"/>
    </row>
    <row r="16" spans="1:18" ht="15">
      <c r="A16" s="628"/>
      <c r="B16" s="631"/>
      <c r="C16" s="204" t="s">
        <v>210</v>
      </c>
      <c r="D16" s="622"/>
      <c r="E16" s="633"/>
      <c r="F16" s="623"/>
      <c r="G16" s="200"/>
      <c r="H16" s="202"/>
      <c r="I16" s="203"/>
      <c r="J16" s="200"/>
      <c r="K16" s="622"/>
      <c r="L16" s="623"/>
      <c r="M16" s="99"/>
      <c r="O16" s="199"/>
      <c r="P16" s="394"/>
      <c r="Q16" s="394"/>
      <c r="R16" s="199"/>
    </row>
    <row r="17" spans="1:18" ht="15">
      <c r="A17" s="629"/>
      <c r="B17" s="632"/>
      <c r="C17" s="204" t="s">
        <v>211</v>
      </c>
      <c r="D17" s="622"/>
      <c r="E17" s="633"/>
      <c r="F17" s="623"/>
      <c r="G17" s="200"/>
      <c r="H17" s="202"/>
      <c r="I17" s="203"/>
      <c r="J17" s="200"/>
      <c r="K17" s="622"/>
      <c r="L17" s="623"/>
      <c r="M17" s="99"/>
      <c r="N17" s="199"/>
      <c r="O17" s="199"/>
      <c r="P17" s="394"/>
      <c r="Q17" s="394"/>
      <c r="R17" s="199"/>
    </row>
    <row r="18" spans="1:18" s="104" customFormat="1" ht="15">
      <c r="A18" s="624" t="s">
        <v>188</v>
      </c>
      <c r="B18" s="625"/>
      <c r="C18" s="207" t="s">
        <v>47</v>
      </c>
      <c r="D18" s="624" t="s">
        <v>12</v>
      </c>
      <c r="E18" s="626"/>
      <c r="F18" s="625"/>
      <c r="G18" s="207" t="s">
        <v>46</v>
      </c>
      <c r="H18" s="207" t="s">
        <v>375</v>
      </c>
      <c r="I18" s="207" t="s">
        <v>376</v>
      </c>
      <c r="J18" s="160" t="s">
        <v>332</v>
      </c>
      <c r="K18" s="624" t="s">
        <v>51</v>
      </c>
      <c r="L18" s="625"/>
      <c r="M18" s="128"/>
      <c r="N18" s="189"/>
      <c r="O18" s="199"/>
      <c r="P18" s="394"/>
      <c r="Q18" s="394"/>
      <c r="R18" s="199"/>
    </row>
    <row r="19" spans="1:18" ht="15">
      <c r="A19" s="627">
        <v>8</v>
      </c>
      <c r="B19" s="630" t="s">
        <v>380</v>
      </c>
      <c r="C19" s="200">
        <v>1</v>
      </c>
      <c r="D19" s="622" t="s">
        <v>549</v>
      </c>
      <c r="E19" s="633"/>
      <c r="F19" s="623"/>
      <c r="G19" s="200">
        <v>19</v>
      </c>
      <c r="H19" s="202">
        <v>3182.8924420708327</v>
      </c>
      <c r="I19" s="203">
        <v>167.52065484583335</v>
      </c>
      <c r="J19" s="357">
        <v>0.114871742641526</v>
      </c>
      <c r="K19" s="622" t="s">
        <v>429</v>
      </c>
      <c r="L19" s="623"/>
      <c r="M19" s="99"/>
      <c r="O19" s="199"/>
      <c r="P19" s="394"/>
      <c r="Q19" s="394"/>
      <c r="R19" s="199"/>
    </row>
    <row r="20" spans="1:18" ht="15">
      <c r="A20" s="628"/>
      <c r="B20" s="631"/>
      <c r="C20" s="200">
        <v>2</v>
      </c>
      <c r="D20" s="622" t="s">
        <v>544</v>
      </c>
      <c r="E20" s="633"/>
      <c r="F20" s="623"/>
      <c r="G20" s="200">
        <v>19</v>
      </c>
      <c r="H20" s="202">
        <v>3182.1113747968475</v>
      </c>
      <c r="I20" s="203">
        <v>167.47954604193933</v>
      </c>
      <c r="J20" s="357">
        <v>4.0601503759347679E-2</v>
      </c>
      <c r="K20" s="622" t="s">
        <v>429</v>
      </c>
      <c r="L20" s="623"/>
      <c r="M20" s="99"/>
      <c r="O20" s="178"/>
      <c r="P20" s="393"/>
      <c r="Q20" s="393"/>
      <c r="R20" s="178"/>
    </row>
    <row r="21" spans="1:18" ht="15">
      <c r="A21" s="628"/>
      <c r="B21" s="631"/>
      <c r="C21" s="200">
        <v>3</v>
      </c>
      <c r="D21" s="622" t="s">
        <v>537</v>
      </c>
      <c r="E21" s="633"/>
      <c r="F21" s="623"/>
      <c r="G21" s="200">
        <v>19</v>
      </c>
      <c r="H21" s="202">
        <v>3181.2443928963771</v>
      </c>
      <c r="I21" s="203">
        <v>167.43391541559882</v>
      </c>
      <c r="J21" s="357">
        <v>8.9297528143902127E-2</v>
      </c>
      <c r="K21" s="622" t="s">
        <v>429</v>
      </c>
      <c r="L21" s="623"/>
      <c r="M21" s="99"/>
      <c r="O21" s="199"/>
      <c r="P21" s="394"/>
      <c r="Q21" s="394"/>
      <c r="R21" s="199"/>
    </row>
    <row r="22" spans="1:18" ht="15">
      <c r="A22" s="628"/>
      <c r="B22" s="631"/>
      <c r="C22" s="200">
        <v>4</v>
      </c>
      <c r="D22" s="622" t="s">
        <v>641</v>
      </c>
      <c r="E22" s="633"/>
      <c r="F22" s="623"/>
      <c r="G22" s="200">
        <v>19</v>
      </c>
      <c r="H22" s="202">
        <v>3115.1240072303513</v>
      </c>
      <c r="I22" s="203">
        <v>163.95389511738693</v>
      </c>
      <c r="J22" s="357"/>
      <c r="K22" s="613" t="s">
        <v>602</v>
      </c>
      <c r="L22" s="614"/>
      <c r="M22" s="99"/>
      <c r="O22" s="199"/>
      <c r="P22" s="394"/>
      <c r="Q22" s="394"/>
      <c r="R22" s="199"/>
    </row>
    <row r="23" spans="1:18" ht="15">
      <c r="A23" s="628"/>
      <c r="B23" s="631"/>
      <c r="C23" s="200">
        <v>5</v>
      </c>
      <c r="D23" s="622" t="s">
        <v>535</v>
      </c>
      <c r="E23" s="633"/>
      <c r="F23" s="623"/>
      <c r="G23" s="200">
        <v>20</v>
      </c>
      <c r="H23" s="202">
        <v>3255.1257156349843</v>
      </c>
      <c r="I23" s="203">
        <v>162.7562857817492</v>
      </c>
      <c r="J23" s="357">
        <v>0.14467170269523422</v>
      </c>
      <c r="K23" s="622" t="s">
        <v>429</v>
      </c>
      <c r="L23" s="623"/>
      <c r="M23" s="99"/>
      <c r="O23" s="199"/>
      <c r="P23" s="394"/>
      <c r="Q23" s="394"/>
      <c r="R23" s="199"/>
    </row>
    <row r="24" spans="1:18" ht="15">
      <c r="A24" s="628"/>
      <c r="B24" s="631"/>
      <c r="C24" s="204" t="s">
        <v>204</v>
      </c>
      <c r="D24" s="622" t="s">
        <v>617</v>
      </c>
      <c r="E24" s="633"/>
      <c r="F24" s="623"/>
      <c r="G24" s="200">
        <v>24</v>
      </c>
      <c r="H24" s="202">
        <v>3255.9725099967227</v>
      </c>
      <c r="I24" s="203">
        <v>135.66552124986345</v>
      </c>
      <c r="J24" s="357">
        <v>4.8596524539368318</v>
      </c>
      <c r="K24" s="634" t="s">
        <v>624</v>
      </c>
      <c r="L24" s="614"/>
      <c r="M24" s="99"/>
      <c r="O24" s="199"/>
      <c r="P24" s="394"/>
      <c r="Q24" s="394"/>
      <c r="R24" s="199"/>
    </row>
    <row r="25" spans="1:18" ht="15">
      <c r="A25" s="628"/>
      <c r="B25" s="631"/>
      <c r="C25" s="204" t="s">
        <v>209</v>
      </c>
      <c r="D25" s="622" t="s">
        <v>536</v>
      </c>
      <c r="E25" s="633"/>
      <c r="F25" s="623"/>
      <c r="G25" s="200">
        <v>21</v>
      </c>
      <c r="H25" s="202">
        <v>3256.0238076767955</v>
      </c>
      <c r="I25" s="203">
        <v>155.04875274651405</v>
      </c>
      <c r="J25" s="357">
        <v>4.897959183691114E-2</v>
      </c>
      <c r="K25" s="622" t="s">
        <v>429</v>
      </c>
      <c r="L25" s="623"/>
      <c r="M25" s="99"/>
      <c r="O25" s="199"/>
      <c r="P25" s="394"/>
      <c r="Q25" s="394"/>
      <c r="R25" s="199"/>
    </row>
    <row r="26" spans="1:18" ht="15">
      <c r="A26" s="628"/>
      <c r="B26" s="631"/>
      <c r="C26" s="204" t="s">
        <v>205</v>
      </c>
      <c r="D26" s="622"/>
      <c r="E26" s="633"/>
      <c r="F26" s="623"/>
      <c r="G26" s="200"/>
      <c r="H26" s="202"/>
      <c r="I26" s="203"/>
      <c r="J26" s="200"/>
      <c r="K26" s="622"/>
      <c r="L26" s="623"/>
      <c r="M26" s="99"/>
      <c r="O26" s="199"/>
      <c r="P26" s="394"/>
      <c r="Q26" s="394"/>
      <c r="R26" s="199"/>
    </row>
    <row r="27" spans="1:18" ht="15">
      <c r="A27" s="628"/>
      <c r="B27" s="631"/>
      <c r="C27" s="204" t="s">
        <v>210</v>
      </c>
      <c r="D27" s="622"/>
      <c r="E27" s="633"/>
      <c r="F27" s="623"/>
      <c r="G27" s="200"/>
      <c r="H27" s="202"/>
      <c r="I27" s="203"/>
      <c r="J27" s="200"/>
      <c r="K27" s="622"/>
      <c r="L27" s="623"/>
      <c r="M27" s="99"/>
      <c r="O27" s="199"/>
      <c r="P27" s="394"/>
      <c r="Q27" s="394"/>
      <c r="R27" s="199"/>
    </row>
    <row r="28" spans="1:18" ht="15">
      <c r="A28" s="629"/>
      <c r="B28" s="632"/>
      <c r="C28" s="204" t="s">
        <v>211</v>
      </c>
      <c r="D28" s="622"/>
      <c r="E28" s="633"/>
      <c r="F28" s="623"/>
      <c r="G28" s="200"/>
      <c r="H28" s="202"/>
      <c r="I28" s="203"/>
      <c r="J28" s="200"/>
      <c r="K28" s="622"/>
      <c r="L28" s="623"/>
      <c r="M28" s="99"/>
      <c r="O28" s="199"/>
      <c r="P28" s="394"/>
      <c r="Q28" s="394"/>
      <c r="R28" s="199"/>
    </row>
    <row r="29" spans="1:18" s="189" customFormat="1" ht="15.75" customHeight="1">
      <c r="A29" s="615" t="s">
        <v>659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</row>
    <row r="30" spans="1:18" s="190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8" s="106" customFormat="1" ht="16.399999999999999" customHeight="1">
      <c r="A31" s="627" t="s">
        <v>162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91">
        <v>7</v>
      </c>
      <c r="I31" s="191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99999999999999" customHeight="1">
      <c r="A32" s="629"/>
      <c r="B32" s="195" t="s">
        <v>206</v>
      </c>
      <c r="C32" s="195" t="s">
        <v>155</v>
      </c>
      <c r="D32" s="195" t="s">
        <v>207</v>
      </c>
      <c r="E32" s="195" t="s">
        <v>156</v>
      </c>
      <c r="F32" s="195" t="s">
        <v>138</v>
      </c>
      <c r="G32" s="196" t="s">
        <v>136</v>
      </c>
      <c r="H32" s="194" t="s">
        <v>208</v>
      </c>
      <c r="I32" s="209" t="s">
        <v>374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35" t="s">
        <v>188</v>
      </c>
      <c r="B33" s="636"/>
      <c r="C33" s="160" t="s">
        <v>47</v>
      </c>
      <c r="D33" s="635" t="s">
        <v>12</v>
      </c>
      <c r="E33" s="637"/>
      <c r="F33" s="636"/>
      <c r="G33" s="160" t="s">
        <v>46</v>
      </c>
      <c r="H33" s="160" t="s">
        <v>375</v>
      </c>
      <c r="I33" s="160" t="s">
        <v>376</v>
      </c>
      <c r="J33" s="160" t="s">
        <v>332</v>
      </c>
      <c r="K33" s="635" t="s">
        <v>51</v>
      </c>
      <c r="L33" s="636"/>
      <c r="M33" s="127"/>
      <c r="N33" s="189"/>
      <c r="O33" s="199"/>
      <c r="P33" s="394"/>
      <c r="Q33" s="394"/>
      <c r="R33" s="199"/>
    </row>
    <row r="34" spans="1:18" ht="15">
      <c r="A34" s="627">
        <v>7</v>
      </c>
      <c r="B34" s="630" t="s">
        <v>379</v>
      </c>
      <c r="C34" s="200">
        <v>1</v>
      </c>
      <c r="D34" s="621"/>
      <c r="E34" s="614"/>
      <c r="F34" s="614"/>
      <c r="G34" s="200"/>
      <c r="H34" s="202"/>
      <c r="I34" s="203"/>
      <c r="J34" s="200"/>
      <c r="K34" s="622"/>
      <c r="L34" s="623"/>
      <c r="N34" s="397"/>
      <c r="O34" s="199"/>
      <c r="P34" s="394"/>
      <c r="Q34" s="394"/>
      <c r="R34" s="199"/>
    </row>
    <row r="35" spans="1:18" ht="15">
      <c r="A35" s="628"/>
      <c r="B35" s="631"/>
      <c r="C35" s="200">
        <v>2</v>
      </c>
      <c r="D35" s="621"/>
      <c r="E35" s="614"/>
      <c r="F35" s="614"/>
      <c r="G35" s="200"/>
      <c r="H35" s="202"/>
      <c r="I35" s="203"/>
      <c r="J35" s="200"/>
      <c r="K35" s="622"/>
      <c r="L35" s="623"/>
      <c r="O35" s="199"/>
      <c r="P35" s="394"/>
      <c r="Q35" s="394"/>
      <c r="R35" s="199"/>
    </row>
    <row r="36" spans="1:18" ht="15">
      <c r="A36" s="628"/>
      <c r="B36" s="631"/>
      <c r="C36" s="200">
        <v>3</v>
      </c>
      <c r="D36" s="621"/>
      <c r="E36" s="614"/>
      <c r="F36" s="614"/>
      <c r="G36" s="200"/>
      <c r="H36" s="202"/>
      <c r="I36" s="203"/>
      <c r="J36" s="200"/>
      <c r="K36" s="622"/>
      <c r="L36" s="623"/>
      <c r="O36" s="199"/>
      <c r="P36" s="394"/>
      <c r="Q36" s="394"/>
      <c r="R36" s="199"/>
    </row>
    <row r="37" spans="1:18" ht="15">
      <c r="A37" s="628"/>
      <c r="B37" s="631"/>
      <c r="C37" s="200">
        <v>4</v>
      </c>
      <c r="D37" s="621"/>
      <c r="E37" s="614"/>
      <c r="F37" s="614"/>
      <c r="G37" s="200"/>
      <c r="H37" s="202"/>
      <c r="I37" s="203"/>
      <c r="J37" s="200"/>
      <c r="K37" s="622"/>
      <c r="L37" s="623"/>
      <c r="O37" s="199"/>
      <c r="P37" s="394"/>
      <c r="Q37" s="394"/>
      <c r="R37" s="199"/>
    </row>
    <row r="38" spans="1:18" ht="15">
      <c r="A38" s="628"/>
      <c r="B38" s="631"/>
      <c r="C38" s="200">
        <v>5</v>
      </c>
      <c r="D38" s="621"/>
      <c r="E38" s="614"/>
      <c r="F38" s="614"/>
      <c r="G38" s="200"/>
      <c r="H38" s="202"/>
      <c r="I38" s="203"/>
      <c r="J38" s="200"/>
      <c r="K38" s="622"/>
      <c r="L38" s="623"/>
      <c r="N38" s="178"/>
      <c r="O38" s="199"/>
      <c r="P38" s="394"/>
      <c r="Q38" s="394"/>
      <c r="R38" s="199"/>
    </row>
    <row r="39" spans="1:18" ht="15">
      <c r="A39" s="628"/>
      <c r="B39" s="631"/>
      <c r="C39" s="204" t="s">
        <v>204</v>
      </c>
      <c r="D39" s="622"/>
      <c r="E39" s="633"/>
      <c r="F39" s="623"/>
      <c r="G39" s="200"/>
      <c r="H39" s="202"/>
      <c r="I39" s="203"/>
      <c r="J39" s="200"/>
      <c r="K39" s="622"/>
      <c r="L39" s="623"/>
      <c r="N39" s="397"/>
      <c r="O39" s="199"/>
      <c r="P39" s="394"/>
      <c r="Q39" s="394"/>
      <c r="R39" s="199"/>
    </row>
    <row r="40" spans="1:18" ht="15">
      <c r="A40" s="628"/>
      <c r="B40" s="631"/>
      <c r="C40" s="204" t="s">
        <v>209</v>
      </c>
      <c r="D40" s="622"/>
      <c r="E40" s="633"/>
      <c r="F40" s="623"/>
      <c r="G40" s="200"/>
      <c r="H40" s="202"/>
      <c r="I40" s="203"/>
      <c r="J40" s="200"/>
      <c r="K40" s="622"/>
      <c r="L40" s="623"/>
      <c r="O40" s="199"/>
      <c r="P40" s="394"/>
      <c r="Q40" s="394"/>
      <c r="R40" s="199"/>
    </row>
    <row r="41" spans="1:18" ht="15">
      <c r="A41" s="628"/>
      <c r="B41" s="631"/>
      <c r="C41" s="204" t="s">
        <v>205</v>
      </c>
      <c r="D41" s="622"/>
      <c r="E41" s="633"/>
      <c r="F41" s="623"/>
      <c r="G41" s="200"/>
      <c r="H41" s="202"/>
      <c r="I41" s="203"/>
      <c r="J41" s="200"/>
      <c r="K41" s="622"/>
      <c r="L41" s="623"/>
      <c r="O41" s="199"/>
      <c r="P41" s="394"/>
      <c r="Q41" s="394"/>
      <c r="R41" s="199"/>
    </row>
    <row r="42" spans="1:18" ht="15">
      <c r="A42" s="628"/>
      <c r="B42" s="631"/>
      <c r="C42" s="204" t="s">
        <v>210</v>
      </c>
      <c r="D42" s="622"/>
      <c r="E42" s="633"/>
      <c r="F42" s="623"/>
      <c r="G42" s="200"/>
      <c r="H42" s="202"/>
      <c r="I42" s="203"/>
      <c r="J42" s="200"/>
      <c r="K42" s="622"/>
      <c r="L42" s="623"/>
      <c r="M42" s="99"/>
      <c r="O42" s="199"/>
      <c r="P42" s="394"/>
      <c r="Q42" s="394"/>
      <c r="R42" s="199"/>
    </row>
    <row r="43" spans="1:18" ht="15">
      <c r="A43" s="629"/>
      <c r="B43" s="632"/>
      <c r="C43" s="204" t="s">
        <v>211</v>
      </c>
      <c r="D43" s="622"/>
      <c r="E43" s="633"/>
      <c r="F43" s="623"/>
      <c r="G43" s="200"/>
      <c r="H43" s="202"/>
      <c r="I43" s="203"/>
      <c r="J43" s="200"/>
      <c r="K43" s="622"/>
      <c r="L43" s="623"/>
      <c r="M43" s="99"/>
      <c r="N43" s="199"/>
      <c r="O43" s="199"/>
      <c r="P43" s="394"/>
      <c r="Q43" s="394"/>
      <c r="R43" s="199"/>
    </row>
    <row r="44" spans="1:18" s="104" customFormat="1" ht="15">
      <c r="A44" s="624" t="s">
        <v>188</v>
      </c>
      <c r="B44" s="625"/>
      <c r="C44" s="207" t="s">
        <v>47</v>
      </c>
      <c r="D44" s="624" t="s">
        <v>12</v>
      </c>
      <c r="E44" s="626"/>
      <c r="F44" s="625"/>
      <c r="G44" s="207" t="s">
        <v>46</v>
      </c>
      <c r="H44" s="207" t="s">
        <v>375</v>
      </c>
      <c r="I44" s="207" t="s">
        <v>376</v>
      </c>
      <c r="J44" s="160" t="s">
        <v>332</v>
      </c>
      <c r="K44" s="624" t="s">
        <v>51</v>
      </c>
      <c r="L44" s="625"/>
      <c r="M44" s="128"/>
      <c r="N44" s="189"/>
      <c r="O44" s="199"/>
      <c r="P44" s="394"/>
      <c r="Q44" s="394"/>
      <c r="R44" s="199"/>
    </row>
    <row r="45" spans="1:18" ht="15">
      <c r="A45" s="627">
        <v>8</v>
      </c>
      <c r="B45" s="630" t="s">
        <v>380</v>
      </c>
      <c r="C45" s="200">
        <v>1</v>
      </c>
      <c r="D45" s="621" t="s">
        <v>544</v>
      </c>
      <c r="E45" s="614"/>
      <c r="F45" s="614"/>
      <c r="G45" s="200">
        <v>19</v>
      </c>
      <c r="H45" s="202">
        <v>3184.9913747968467</v>
      </c>
      <c r="I45" s="203">
        <v>167.63112498930769</v>
      </c>
      <c r="J45" s="357">
        <f>I45-I20</f>
        <v>0.15157894736836397</v>
      </c>
      <c r="K45" s="622"/>
      <c r="L45" s="623"/>
      <c r="M45" s="99"/>
      <c r="O45" s="199"/>
      <c r="P45" s="394"/>
      <c r="Q45" s="394"/>
      <c r="R45" s="199"/>
    </row>
    <row r="46" spans="1:18" ht="15">
      <c r="A46" s="628"/>
      <c r="B46" s="631"/>
      <c r="C46" s="200">
        <v>2</v>
      </c>
      <c r="D46" s="621" t="s">
        <v>641</v>
      </c>
      <c r="E46" s="614"/>
      <c r="F46" s="614"/>
      <c r="G46" s="200">
        <v>19</v>
      </c>
      <c r="H46" s="202">
        <v>3184.6480541809933</v>
      </c>
      <c r="I46" s="203">
        <v>167.61305548321019</v>
      </c>
      <c r="J46" s="357">
        <f>I46-I22</f>
        <v>3.6591603658232543</v>
      </c>
      <c r="K46" s="622"/>
      <c r="L46" s="623"/>
      <c r="M46" s="99"/>
      <c r="O46" s="178"/>
      <c r="P46" s="393"/>
      <c r="Q46" s="393"/>
      <c r="R46" s="178"/>
    </row>
    <row r="47" spans="1:18" ht="15">
      <c r="A47" s="628"/>
      <c r="B47" s="631"/>
      <c r="C47" s="200">
        <v>3</v>
      </c>
      <c r="D47" s="621" t="s">
        <v>537</v>
      </c>
      <c r="E47" s="614"/>
      <c r="F47" s="614"/>
      <c r="G47" s="200">
        <v>19</v>
      </c>
      <c r="H47" s="202">
        <v>3184.188444973694</v>
      </c>
      <c r="I47" s="203">
        <v>167.58886552493126</v>
      </c>
      <c r="J47" s="357">
        <f>I47-I21</f>
        <v>0.15495010933244657</v>
      </c>
      <c r="K47" s="622"/>
      <c r="L47" s="623"/>
      <c r="M47" s="99"/>
      <c r="O47" s="199"/>
      <c r="P47" s="394"/>
      <c r="Q47" s="394"/>
      <c r="R47" s="199"/>
    </row>
    <row r="48" spans="1:18" ht="15">
      <c r="A48" s="628"/>
      <c r="B48" s="631"/>
      <c r="C48" s="200">
        <v>4</v>
      </c>
      <c r="D48" s="621" t="s">
        <v>549</v>
      </c>
      <c r="E48" s="614"/>
      <c r="F48" s="614"/>
      <c r="G48" s="200">
        <v>19</v>
      </c>
      <c r="H48" s="202">
        <v>3183.9205541720453</v>
      </c>
      <c r="I48" s="203">
        <v>167.57476600905505</v>
      </c>
      <c r="J48" s="357">
        <f>I48-I19</f>
        <v>5.4111163221705283E-2</v>
      </c>
      <c r="K48" s="613"/>
      <c r="L48" s="614"/>
      <c r="M48" s="99"/>
      <c r="O48" s="199"/>
      <c r="P48" s="394"/>
      <c r="Q48" s="394"/>
      <c r="R48" s="199"/>
    </row>
    <row r="49" spans="1:18" ht="15">
      <c r="A49" s="628"/>
      <c r="B49" s="631"/>
      <c r="C49" s="200">
        <v>5</v>
      </c>
      <c r="D49" s="621" t="s">
        <v>535</v>
      </c>
      <c r="E49" s="614"/>
      <c r="F49" s="614"/>
      <c r="G49" s="200">
        <v>20</v>
      </c>
      <c r="H49" s="202">
        <v>3255.5885727778418</v>
      </c>
      <c r="I49" s="203">
        <v>162.77942863889211</v>
      </c>
      <c r="J49" s="357">
        <f>I49-I23</f>
        <v>2.3142857142914863E-2</v>
      </c>
      <c r="K49" s="622"/>
      <c r="L49" s="623"/>
      <c r="M49" s="99"/>
      <c r="O49" s="199"/>
      <c r="P49" s="394"/>
      <c r="Q49" s="394"/>
      <c r="R49" s="199"/>
    </row>
    <row r="50" spans="1:18" ht="15">
      <c r="A50" s="628"/>
      <c r="B50" s="631"/>
      <c r="C50" s="204" t="s">
        <v>204</v>
      </c>
      <c r="D50" s="622" t="s">
        <v>674</v>
      </c>
      <c r="E50" s="633"/>
      <c r="F50" s="623"/>
      <c r="G50" s="200">
        <v>24</v>
      </c>
      <c r="H50" s="202">
        <v>3122.1272539989782</v>
      </c>
      <c r="I50" s="203">
        <v>130.08863558329077</v>
      </c>
      <c r="J50" s="357"/>
      <c r="K50" s="634"/>
      <c r="L50" s="614"/>
      <c r="M50" s="99"/>
      <c r="O50" s="199"/>
      <c r="P50" s="394"/>
      <c r="Q50" s="394"/>
      <c r="R50" s="199"/>
    </row>
    <row r="51" spans="1:18" ht="15">
      <c r="A51" s="628"/>
      <c r="B51" s="631"/>
      <c r="C51" s="204" t="s">
        <v>209</v>
      </c>
      <c r="D51" s="622" t="s">
        <v>617</v>
      </c>
      <c r="E51" s="633"/>
      <c r="F51" s="623"/>
      <c r="G51" s="200">
        <v>24</v>
      </c>
      <c r="H51" s="202">
        <v>3257.340830045935</v>
      </c>
      <c r="I51" s="203">
        <v>135.7225345852473</v>
      </c>
      <c r="J51" s="357">
        <f>I51-I24</f>
        <v>5.7013335383857111E-2</v>
      </c>
      <c r="K51" s="622"/>
      <c r="L51" s="623"/>
      <c r="M51" s="99"/>
      <c r="O51" s="199"/>
      <c r="P51" s="394"/>
      <c r="Q51" s="394"/>
      <c r="R51" s="199"/>
    </row>
    <row r="52" spans="1:18" ht="15">
      <c r="A52" s="628"/>
      <c r="B52" s="631"/>
      <c r="C52" s="204" t="s">
        <v>205</v>
      </c>
      <c r="D52" s="622" t="s">
        <v>536</v>
      </c>
      <c r="E52" s="633"/>
      <c r="F52" s="623"/>
      <c r="G52" s="200">
        <v>21</v>
      </c>
      <c r="H52" s="202">
        <v>3258.2352362482256</v>
      </c>
      <c r="I52" s="203">
        <v>155.15405886896309</v>
      </c>
      <c r="J52" s="357">
        <f>I52-I25</f>
        <v>0.10530612244903637</v>
      </c>
      <c r="K52" s="622"/>
      <c r="L52" s="623"/>
      <c r="M52" s="99"/>
      <c r="O52" s="199"/>
      <c r="P52" s="394"/>
      <c r="Q52" s="394"/>
      <c r="R52" s="199"/>
    </row>
    <row r="53" spans="1:18" ht="15">
      <c r="A53" s="628"/>
      <c r="B53" s="631"/>
      <c r="C53" s="204" t="s">
        <v>210</v>
      </c>
      <c r="D53" s="622"/>
      <c r="E53" s="633"/>
      <c r="F53" s="623"/>
      <c r="G53" s="200"/>
      <c r="H53" s="202"/>
      <c r="I53" s="203"/>
      <c r="J53" s="200"/>
      <c r="K53" s="622"/>
      <c r="L53" s="623"/>
      <c r="M53" s="99"/>
      <c r="O53" s="199"/>
      <c r="P53" s="394"/>
      <c r="Q53" s="394"/>
      <c r="R53" s="199"/>
    </row>
    <row r="54" spans="1:18" ht="15">
      <c r="A54" s="629"/>
      <c r="B54" s="632"/>
      <c r="C54" s="204" t="s">
        <v>211</v>
      </c>
      <c r="D54" s="622"/>
      <c r="E54" s="633"/>
      <c r="F54" s="623"/>
      <c r="G54" s="200"/>
      <c r="H54" s="202"/>
      <c r="I54" s="203"/>
      <c r="J54" s="200"/>
      <c r="K54" s="622"/>
      <c r="L54" s="623"/>
      <c r="M54" s="99"/>
      <c r="O54" s="199"/>
      <c r="P54" s="394"/>
      <c r="Q54" s="394"/>
      <c r="R54" s="199"/>
    </row>
    <row r="55" spans="1:18" s="189" customFormat="1" ht="15.75" customHeight="1">
      <c r="A55" s="615" t="s">
        <v>660</v>
      </c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</row>
    <row r="56" spans="1:18" s="190" customFormat="1" ht="15.75" customHeight="1">
      <c r="A56" s="615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</row>
    <row r="57" spans="1:18" s="106" customFormat="1" ht="16.399999999999999" customHeight="1">
      <c r="A57" s="627" t="s">
        <v>162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91">
        <v>7</v>
      </c>
      <c r="I57" s="191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99999999999999" customHeight="1">
      <c r="A58" s="629"/>
      <c r="B58" s="195" t="s">
        <v>206</v>
      </c>
      <c r="C58" s="195" t="s">
        <v>155</v>
      </c>
      <c r="D58" s="195" t="s">
        <v>207</v>
      </c>
      <c r="E58" s="195" t="s">
        <v>156</v>
      </c>
      <c r="F58" s="195" t="s">
        <v>138</v>
      </c>
      <c r="G58" s="196" t="s">
        <v>136</v>
      </c>
      <c r="H58" s="194" t="s">
        <v>208</v>
      </c>
      <c r="I58" s="209" t="s">
        <v>374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35" t="s">
        <v>188</v>
      </c>
      <c r="B59" s="636"/>
      <c r="C59" s="160" t="s">
        <v>47</v>
      </c>
      <c r="D59" s="635" t="s">
        <v>12</v>
      </c>
      <c r="E59" s="637"/>
      <c r="F59" s="636"/>
      <c r="G59" s="160" t="s">
        <v>46</v>
      </c>
      <c r="H59" s="160" t="s">
        <v>375</v>
      </c>
      <c r="I59" s="160" t="s">
        <v>376</v>
      </c>
      <c r="J59" s="160" t="s">
        <v>332</v>
      </c>
      <c r="K59" s="635" t="s">
        <v>51</v>
      </c>
      <c r="L59" s="636"/>
      <c r="M59" s="127"/>
      <c r="N59" s="189"/>
      <c r="O59" s="199"/>
      <c r="P59" s="394"/>
      <c r="Q59" s="394"/>
      <c r="R59" s="199"/>
    </row>
    <row r="60" spans="1:18" ht="15">
      <c r="A60" s="627">
        <v>7</v>
      </c>
      <c r="B60" s="630" t="s">
        <v>379</v>
      </c>
      <c r="C60" s="200">
        <v>1</v>
      </c>
      <c r="D60" s="621"/>
      <c r="E60" s="614"/>
      <c r="F60" s="614"/>
      <c r="G60" s="200"/>
      <c r="H60" s="202"/>
      <c r="I60" s="203"/>
      <c r="J60" s="200"/>
      <c r="K60" s="622"/>
      <c r="L60" s="623"/>
      <c r="N60" s="397"/>
      <c r="O60" s="199"/>
      <c r="P60" s="394"/>
      <c r="Q60" s="394"/>
      <c r="R60" s="199"/>
    </row>
    <row r="61" spans="1:18" ht="15">
      <c r="A61" s="628"/>
      <c r="B61" s="631"/>
      <c r="C61" s="200">
        <v>2</v>
      </c>
      <c r="D61" s="621"/>
      <c r="E61" s="614"/>
      <c r="F61" s="614"/>
      <c r="G61" s="200"/>
      <c r="H61" s="202"/>
      <c r="I61" s="203"/>
      <c r="J61" s="200"/>
      <c r="K61" s="622"/>
      <c r="L61" s="623"/>
      <c r="O61" s="199"/>
      <c r="P61" s="394"/>
      <c r="Q61" s="394"/>
      <c r="R61" s="199"/>
    </row>
    <row r="62" spans="1:18" ht="15">
      <c r="A62" s="628"/>
      <c r="B62" s="631"/>
      <c r="C62" s="200">
        <v>3</v>
      </c>
      <c r="D62" s="622"/>
      <c r="E62" s="633"/>
      <c r="F62" s="623"/>
      <c r="G62" s="200"/>
      <c r="H62" s="202"/>
      <c r="I62" s="203"/>
      <c r="J62" s="200"/>
      <c r="K62" s="622"/>
      <c r="L62" s="623"/>
      <c r="O62" s="199"/>
      <c r="P62" s="394"/>
      <c r="Q62" s="394"/>
      <c r="R62" s="199"/>
    </row>
    <row r="63" spans="1:18" ht="15">
      <c r="A63" s="628"/>
      <c r="B63" s="631"/>
      <c r="C63" s="200">
        <v>4</v>
      </c>
      <c r="D63" s="622"/>
      <c r="E63" s="633"/>
      <c r="F63" s="623"/>
      <c r="G63" s="200"/>
      <c r="H63" s="202"/>
      <c r="I63" s="203"/>
      <c r="J63" s="200"/>
      <c r="K63" s="622"/>
      <c r="L63" s="623"/>
      <c r="O63" s="199"/>
      <c r="P63" s="394"/>
      <c r="Q63" s="394"/>
      <c r="R63" s="199"/>
    </row>
    <row r="64" spans="1:18" ht="15">
      <c r="A64" s="628"/>
      <c r="B64" s="631"/>
      <c r="C64" s="200">
        <v>5</v>
      </c>
      <c r="D64" s="622"/>
      <c r="E64" s="633"/>
      <c r="F64" s="623"/>
      <c r="G64" s="200"/>
      <c r="H64" s="202"/>
      <c r="I64" s="203"/>
      <c r="J64" s="200"/>
      <c r="K64" s="622"/>
      <c r="L64" s="623"/>
      <c r="N64" s="178"/>
      <c r="O64" s="199"/>
      <c r="P64" s="394"/>
      <c r="Q64" s="394"/>
      <c r="R64" s="199"/>
    </row>
    <row r="65" spans="1:18" ht="15">
      <c r="A65" s="628"/>
      <c r="B65" s="631"/>
      <c r="C65" s="204" t="s">
        <v>204</v>
      </c>
      <c r="D65" s="622"/>
      <c r="E65" s="633"/>
      <c r="F65" s="623"/>
      <c r="G65" s="200"/>
      <c r="H65" s="202"/>
      <c r="I65" s="203"/>
      <c r="J65" s="200"/>
      <c r="K65" s="622"/>
      <c r="L65" s="623"/>
      <c r="N65" s="397"/>
      <c r="O65" s="199"/>
      <c r="P65" s="394"/>
      <c r="Q65" s="394"/>
      <c r="R65" s="199"/>
    </row>
    <row r="66" spans="1:18" ht="15">
      <c r="A66" s="628"/>
      <c r="B66" s="631"/>
      <c r="C66" s="204" t="s">
        <v>209</v>
      </c>
      <c r="D66" s="622"/>
      <c r="E66" s="633"/>
      <c r="F66" s="623"/>
      <c r="G66" s="200"/>
      <c r="H66" s="202"/>
      <c r="I66" s="203"/>
      <c r="J66" s="200"/>
      <c r="K66" s="622"/>
      <c r="L66" s="623"/>
      <c r="O66" s="199"/>
      <c r="P66" s="394"/>
      <c r="Q66" s="394"/>
      <c r="R66" s="199"/>
    </row>
    <row r="67" spans="1:18" ht="15">
      <c r="A67" s="628"/>
      <c r="B67" s="631"/>
      <c r="C67" s="204" t="s">
        <v>205</v>
      </c>
      <c r="D67" s="622"/>
      <c r="E67" s="633"/>
      <c r="F67" s="623"/>
      <c r="G67" s="200"/>
      <c r="H67" s="202"/>
      <c r="I67" s="203"/>
      <c r="J67" s="200"/>
      <c r="K67" s="622"/>
      <c r="L67" s="623"/>
      <c r="O67" s="199"/>
      <c r="P67" s="394"/>
      <c r="Q67" s="394"/>
      <c r="R67" s="199"/>
    </row>
    <row r="68" spans="1:18" ht="15">
      <c r="A68" s="628"/>
      <c r="B68" s="631"/>
      <c r="C68" s="204" t="s">
        <v>210</v>
      </c>
      <c r="D68" s="622"/>
      <c r="E68" s="633"/>
      <c r="F68" s="623"/>
      <c r="G68" s="200"/>
      <c r="H68" s="202"/>
      <c r="I68" s="203"/>
      <c r="J68" s="200"/>
      <c r="K68" s="622"/>
      <c r="L68" s="623"/>
      <c r="M68" s="99"/>
      <c r="O68" s="199"/>
      <c r="P68" s="394"/>
      <c r="Q68" s="394"/>
      <c r="R68" s="199"/>
    </row>
    <row r="69" spans="1:18" ht="15">
      <c r="A69" s="629"/>
      <c r="B69" s="632"/>
      <c r="C69" s="204" t="s">
        <v>211</v>
      </c>
      <c r="D69" s="622"/>
      <c r="E69" s="633"/>
      <c r="F69" s="623"/>
      <c r="G69" s="200"/>
      <c r="H69" s="202"/>
      <c r="I69" s="203"/>
      <c r="J69" s="200"/>
      <c r="K69" s="622"/>
      <c r="L69" s="623"/>
      <c r="M69" s="99"/>
      <c r="N69" s="199"/>
      <c r="O69" s="199"/>
      <c r="P69" s="394"/>
      <c r="Q69" s="394"/>
      <c r="R69" s="199"/>
    </row>
    <row r="70" spans="1:18" s="104" customFormat="1" ht="15">
      <c r="A70" s="624" t="s">
        <v>188</v>
      </c>
      <c r="B70" s="625"/>
      <c r="C70" s="207" t="s">
        <v>47</v>
      </c>
      <c r="D70" s="624" t="s">
        <v>12</v>
      </c>
      <c r="E70" s="626"/>
      <c r="F70" s="625"/>
      <c r="G70" s="207" t="s">
        <v>46</v>
      </c>
      <c r="H70" s="207" t="s">
        <v>375</v>
      </c>
      <c r="I70" s="207" t="s">
        <v>376</v>
      </c>
      <c r="J70" s="160" t="s">
        <v>332</v>
      </c>
      <c r="K70" s="624" t="s">
        <v>51</v>
      </c>
      <c r="L70" s="625"/>
      <c r="M70" s="128"/>
      <c r="N70" s="189"/>
      <c r="O70" s="199"/>
      <c r="P70" s="394"/>
      <c r="Q70" s="394"/>
      <c r="R70" s="199"/>
    </row>
    <row r="71" spans="1:18" ht="15">
      <c r="A71" s="627">
        <v>8</v>
      </c>
      <c r="B71" s="630" t="s">
        <v>380</v>
      </c>
      <c r="C71" s="200">
        <v>1</v>
      </c>
      <c r="D71" s="622"/>
      <c r="E71" s="633"/>
      <c r="F71" s="623"/>
      <c r="G71" s="200"/>
      <c r="H71" s="202"/>
      <c r="I71" s="203"/>
      <c r="J71" s="357">
        <f>I71-I46</f>
        <v>-167.61305548321019</v>
      </c>
      <c r="K71" s="622"/>
      <c r="L71" s="623"/>
      <c r="M71" s="99"/>
      <c r="O71" s="199"/>
      <c r="P71" s="394"/>
      <c r="Q71" s="394"/>
      <c r="R71" s="199"/>
    </row>
    <row r="72" spans="1:18" ht="15">
      <c r="A72" s="628"/>
      <c r="B72" s="631"/>
      <c r="C72" s="200">
        <v>2</v>
      </c>
      <c r="D72" s="622"/>
      <c r="E72" s="633"/>
      <c r="F72" s="623"/>
      <c r="G72" s="200"/>
      <c r="H72" s="202"/>
      <c r="I72" s="203"/>
      <c r="J72" s="357">
        <f>I72-I45</f>
        <v>-167.63112498930769</v>
      </c>
      <c r="K72" s="622"/>
      <c r="L72" s="623"/>
      <c r="M72" s="99"/>
      <c r="O72" s="178"/>
      <c r="P72" s="393"/>
      <c r="Q72" s="393"/>
      <c r="R72" s="178"/>
    </row>
    <row r="73" spans="1:18" ht="15">
      <c r="A73" s="628"/>
      <c r="B73" s="631"/>
      <c r="C73" s="200">
        <v>3</v>
      </c>
      <c r="D73" s="622"/>
      <c r="E73" s="633"/>
      <c r="F73" s="623"/>
      <c r="G73" s="200"/>
      <c r="H73" s="202"/>
      <c r="I73" s="203"/>
      <c r="J73" s="357">
        <f>I73-I47</f>
        <v>-167.58886552493126</v>
      </c>
      <c r="K73" s="622"/>
      <c r="L73" s="623"/>
      <c r="M73" s="99"/>
      <c r="O73" s="199"/>
      <c r="P73" s="394"/>
      <c r="Q73" s="394"/>
      <c r="R73" s="199"/>
    </row>
    <row r="74" spans="1:18" ht="15">
      <c r="A74" s="628"/>
      <c r="B74" s="631"/>
      <c r="C74" s="200">
        <v>4</v>
      </c>
      <c r="D74" s="622"/>
      <c r="E74" s="633"/>
      <c r="F74" s="623"/>
      <c r="G74" s="200"/>
      <c r="H74" s="202"/>
      <c r="I74" s="203"/>
      <c r="J74" s="357"/>
      <c r="K74" s="613"/>
      <c r="L74" s="614"/>
      <c r="M74" s="99"/>
      <c r="O74" s="199"/>
      <c r="P74" s="394"/>
      <c r="Q74" s="394"/>
      <c r="R74" s="199"/>
    </row>
    <row r="75" spans="1:18" ht="15">
      <c r="A75" s="628"/>
      <c r="B75" s="631"/>
      <c r="C75" s="200">
        <v>5</v>
      </c>
      <c r="D75" s="622"/>
      <c r="E75" s="633"/>
      <c r="F75" s="623"/>
      <c r="G75" s="200"/>
      <c r="H75" s="202"/>
      <c r="I75" s="203"/>
      <c r="J75" s="357">
        <f>I75-I48</f>
        <v>-167.57476600905505</v>
      </c>
      <c r="K75" s="622"/>
      <c r="L75" s="623"/>
      <c r="M75" s="99"/>
      <c r="O75" s="199"/>
      <c r="P75" s="394"/>
      <c r="Q75" s="394"/>
      <c r="R75" s="199"/>
    </row>
    <row r="76" spans="1:18" ht="15">
      <c r="A76" s="628"/>
      <c r="B76" s="631"/>
      <c r="C76" s="204" t="s">
        <v>204</v>
      </c>
      <c r="D76" s="622"/>
      <c r="E76" s="633"/>
      <c r="F76" s="623"/>
      <c r="G76" s="200"/>
      <c r="H76" s="202"/>
      <c r="I76" s="203"/>
      <c r="J76" s="357">
        <f>I76-I50</f>
        <v>-130.08863558329077</v>
      </c>
      <c r="K76" s="634"/>
      <c r="L76" s="614"/>
      <c r="M76" s="99"/>
      <c r="O76" s="199"/>
      <c r="P76" s="394"/>
      <c r="Q76" s="394"/>
      <c r="R76" s="199"/>
    </row>
    <row r="77" spans="1:18" ht="15">
      <c r="A77" s="628"/>
      <c r="B77" s="631"/>
      <c r="C77" s="204" t="s">
        <v>209</v>
      </c>
      <c r="D77" s="622"/>
      <c r="E77" s="633"/>
      <c r="F77" s="623"/>
      <c r="G77" s="200"/>
      <c r="H77" s="202"/>
      <c r="I77" s="203"/>
      <c r="J77" s="357">
        <f>I77-I49</f>
        <v>-162.77942863889211</v>
      </c>
      <c r="K77" s="622"/>
      <c r="L77" s="623"/>
      <c r="M77" s="99"/>
      <c r="O77" s="199"/>
      <c r="P77" s="394"/>
      <c r="Q77" s="394"/>
      <c r="R77" s="199"/>
    </row>
    <row r="78" spans="1:18" ht="15">
      <c r="A78" s="628"/>
      <c r="B78" s="631"/>
      <c r="C78" s="204" t="s">
        <v>205</v>
      </c>
      <c r="D78" s="622"/>
      <c r="E78" s="633"/>
      <c r="F78" s="623"/>
      <c r="G78" s="200"/>
      <c r="H78" s="202"/>
      <c r="I78" s="203"/>
      <c r="J78" s="200"/>
      <c r="K78" s="622"/>
      <c r="L78" s="623"/>
      <c r="M78" s="99"/>
      <c r="O78" s="199"/>
      <c r="P78" s="394"/>
      <c r="Q78" s="394"/>
      <c r="R78" s="199"/>
    </row>
    <row r="79" spans="1:18" ht="15">
      <c r="A79" s="628"/>
      <c r="B79" s="631"/>
      <c r="C79" s="204" t="s">
        <v>210</v>
      </c>
      <c r="D79" s="622"/>
      <c r="E79" s="633"/>
      <c r="F79" s="623"/>
      <c r="G79" s="200"/>
      <c r="H79" s="202"/>
      <c r="I79" s="203"/>
      <c r="J79" s="200"/>
      <c r="K79" s="622"/>
      <c r="L79" s="623"/>
      <c r="M79" s="99"/>
      <c r="O79" s="199"/>
      <c r="P79" s="394"/>
      <c r="Q79" s="394"/>
      <c r="R79" s="199"/>
    </row>
    <row r="80" spans="1:18" ht="15">
      <c r="A80" s="629"/>
      <c r="B80" s="632"/>
      <c r="C80" s="204" t="s">
        <v>211</v>
      </c>
      <c r="D80" s="622"/>
      <c r="E80" s="633"/>
      <c r="F80" s="623"/>
      <c r="G80" s="200"/>
      <c r="H80" s="202"/>
      <c r="I80" s="203"/>
      <c r="J80" s="200"/>
      <c r="K80" s="622"/>
      <c r="L80" s="623"/>
      <c r="M80" s="99"/>
      <c r="O80" s="199"/>
      <c r="P80" s="394"/>
      <c r="Q80" s="394"/>
      <c r="R80" s="199"/>
    </row>
  </sheetData>
  <mergeCells count="157"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80:L80"/>
    <mergeCell ref="D53:F53"/>
    <mergeCell ref="K53:L53"/>
    <mergeCell ref="D54:F54"/>
    <mergeCell ref="K54:L54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R80"/>
  <sheetViews>
    <sheetView view="pageBreakPreview" topLeftCell="A29" zoomScale="110" zoomScaleNormal="60" zoomScaleSheetLayoutView="110" workbookViewId="0">
      <selection activeCell="J35" sqref="J35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2" t="s">
        <v>373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99"/>
    </row>
    <row r="2" spans="1:18" s="100" customFormat="1" ht="15.75" customHeight="1">
      <c r="A2" s="502"/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N2" s="190"/>
      <c r="O2" s="190"/>
      <c r="P2" s="190"/>
      <c r="Q2" s="190"/>
      <c r="R2" s="190"/>
    </row>
    <row r="3" spans="1:18" s="189" customFormat="1" ht="15.75" customHeight="1">
      <c r="A3" s="615" t="s">
        <v>622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</row>
    <row r="4" spans="1:18" s="190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8" s="106" customFormat="1" ht="16.399999999999999" customHeight="1">
      <c r="A5" s="627" t="s">
        <v>162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91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99999999999999" customHeight="1">
      <c r="A6" s="629"/>
      <c r="B6" s="195" t="s">
        <v>206</v>
      </c>
      <c r="C6" s="195" t="s">
        <v>155</v>
      </c>
      <c r="D6" s="195" t="s">
        <v>207</v>
      </c>
      <c r="E6" s="195" t="s">
        <v>156</v>
      </c>
      <c r="F6" s="195" t="s">
        <v>138</v>
      </c>
      <c r="G6" s="196" t="s">
        <v>136</v>
      </c>
      <c r="H6" s="197" t="s">
        <v>208</v>
      </c>
      <c r="I6" s="196" t="s">
        <v>374</v>
      </c>
      <c r="J6" s="209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35" t="s">
        <v>188</v>
      </c>
      <c r="B7" s="636"/>
      <c r="C7" s="160" t="s">
        <v>47</v>
      </c>
      <c r="D7" s="635" t="s">
        <v>12</v>
      </c>
      <c r="E7" s="637"/>
      <c r="F7" s="636"/>
      <c r="G7" s="160" t="s">
        <v>46</v>
      </c>
      <c r="H7" s="160" t="s">
        <v>375</v>
      </c>
      <c r="I7" s="160" t="s">
        <v>376</v>
      </c>
      <c r="J7" s="160" t="s">
        <v>332</v>
      </c>
      <c r="K7" s="635" t="s">
        <v>51</v>
      </c>
      <c r="L7" s="636"/>
      <c r="M7" s="127"/>
      <c r="N7" s="189"/>
      <c r="O7" s="199"/>
      <c r="P7" s="394"/>
      <c r="Q7" s="394"/>
      <c r="R7" s="199"/>
    </row>
    <row r="8" spans="1:18" ht="15.75" customHeight="1">
      <c r="A8" s="627">
        <f>J5</f>
        <v>9</v>
      </c>
      <c r="B8" s="630" t="str">
        <f>J6</f>
        <v>微波小吃</v>
      </c>
      <c r="C8" s="200">
        <v>1</v>
      </c>
      <c r="D8" s="622" t="s">
        <v>642</v>
      </c>
      <c r="E8" s="633"/>
      <c r="F8" s="623"/>
      <c r="G8" s="200">
        <v>11</v>
      </c>
      <c r="H8" s="202">
        <v>1659.5514821747352</v>
      </c>
      <c r="I8" s="203">
        <v>150.86831656133955</v>
      </c>
      <c r="J8" s="357"/>
      <c r="K8" s="613" t="s">
        <v>602</v>
      </c>
      <c r="L8" s="614"/>
      <c r="O8" s="199"/>
      <c r="P8" s="394"/>
      <c r="Q8" s="394"/>
      <c r="R8" s="199"/>
    </row>
    <row r="9" spans="1:18" ht="15.75" customHeight="1">
      <c r="A9" s="628"/>
      <c r="B9" s="631"/>
      <c r="C9" s="200">
        <v>2</v>
      </c>
      <c r="D9" s="622" t="s">
        <v>644</v>
      </c>
      <c r="E9" s="633"/>
      <c r="F9" s="623"/>
      <c r="G9" s="200">
        <v>11</v>
      </c>
      <c r="H9" s="202">
        <v>1659.0782045825765</v>
      </c>
      <c r="I9" s="203">
        <v>150.8252913256888</v>
      </c>
      <c r="J9" s="200"/>
      <c r="K9" s="613" t="s">
        <v>602</v>
      </c>
      <c r="L9" s="614"/>
      <c r="O9" s="199"/>
      <c r="P9" s="394"/>
      <c r="Q9" s="394"/>
      <c r="R9" s="199"/>
    </row>
    <row r="10" spans="1:18" ht="15.75" customHeight="1">
      <c r="A10" s="628"/>
      <c r="B10" s="631"/>
      <c r="C10" s="200">
        <v>3</v>
      </c>
      <c r="D10" s="622" t="s">
        <v>355</v>
      </c>
      <c r="E10" s="633"/>
      <c r="F10" s="623"/>
      <c r="G10" s="200">
        <v>13</v>
      </c>
      <c r="H10" s="202">
        <v>1079.9105606466485</v>
      </c>
      <c r="I10" s="203">
        <v>83.070043126665269</v>
      </c>
      <c r="J10" s="357">
        <v>2.5054945054947098E-2</v>
      </c>
      <c r="K10" s="622" t="s">
        <v>429</v>
      </c>
      <c r="L10" s="623"/>
      <c r="O10" s="199"/>
      <c r="P10" s="394"/>
      <c r="Q10" s="394"/>
      <c r="R10" s="199"/>
    </row>
    <row r="11" spans="1:18" ht="15.75" customHeight="1">
      <c r="A11" s="628"/>
      <c r="B11" s="631"/>
      <c r="C11" s="200">
        <v>4</v>
      </c>
      <c r="D11" s="622" t="s">
        <v>643</v>
      </c>
      <c r="E11" s="633"/>
      <c r="F11" s="623"/>
      <c r="G11" s="202">
        <v>22</v>
      </c>
      <c r="H11" s="202">
        <v>1646.6060000000002</v>
      </c>
      <c r="I11" s="203">
        <v>74.845727272727288</v>
      </c>
      <c r="J11" s="200"/>
      <c r="K11" s="613" t="s">
        <v>602</v>
      </c>
      <c r="L11" s="614"/>
      <c r="O11" s="199"/>
      <c r="P11" s="394"/>
      <c r="Q11" s="394"/>
      <c r="R11" s="199"/>
    </row>
    <row r="12" spans="1:18" ht="15.75" customHeight="1">
      <c r="A12" s="628"/>
      <c r="B12" s="631"/>
      <c r="C12" s="200">
        <v>5</v>
      </c>
      <c r="D12" s="622"/>
      <c r="E12" s="633"/>
      <c r="F12" s="623"/>
      <c r="G12" s="200"/>
      <c r="H12" s="202"/>
      <c r="I12" s="203"/>
      <c r="J12" s="200"/>
      <c r="K12" s="622"/>
      <c r="L12" s="623"/>
      <c r="O12" s="199"/>
      <c r="P12" s="394"/>
      <c r="Q12" s="394"/>
      <c r="R12" s="199"/>
    </row>
    <row r="13" spans="1:18" ht="15.75" customHeight="1">
      <c r="A13" s="628"/>
      <c r="B13" s="631"/>
      <c r="C13" s="204" t="s">
        <v>204</v>
      </c>
      <c r="D13" s="622"/>
      <c r="E13" s="633"/>
      <c r="F13" s="623"/>
      <c r="G13" s="200"/>
      <c r="H13" s="202"/>
      <c r="I13" s="203"/>
      <c r="J13" s="200"/>
      <c r="K13" s="622"/>
      <c r="L13" s="623"/>
      <c r="O13" s="199"/>
      <c r="P13" s="394"/>
      <c r="Q13" s="394"/>
      <c r="R13" s="199"/>
    </row>
    <row r="14" spans="1:18" ht="15.75" customHeight="1">
      <c r="A14" s="628"/>
      <c r="B14" s="631"/>
      <c r="C14" s="204" t="s">
        <v>209</v>
      </c>
      <c r="D14" s="622"/>
      <c r="E14" s="633"/>
      <c r="F14" s="623"/>
      <c r="G14" s="200"/>
      <c r="H14" s="202"/>
      <c r="I14" s="203"/>
      <c r="J14" s="200"/>
      <c r="K14" s="622"/>
      <c r="L14" s="623"/>
      <c r="N14" s="178"/>
      <c r="O14" s="178"/>
      <c r="P14" s="393"/>
      <c r="Q14" s="393"/>
      <c r="R14" s="178"/>
    </row>
    <row r="15" spans="1:18" ht="15.75" customHeight="1">
      <c r="A15" s="628"/>
      <c r="B15" s="631"/>
      <c r="C15" s="204" t="s">
        <v>205</v>
      </c>
      <c r="D15" s="622"/>
      <c r="E15" s="633"/>
      <c r="F15" s="623"/>
      <c r="G15" s="200"/>
      <c r="H15" s="202"/>
      <c r="I15" s="203"/>
      <c r="J15" s="200"/>
      <c r="K15" s="622"/>
      <c r="L15" s="623"/>
      <c r="O15" s="199"/>
      <c r="P15" s="394"/>
      <c r="Q15" s="394"/>
      <c r="R15" s="199"/>
    </row>
    <row r="16" spans="1:18" ht="15.75" customHeight="1">
      <c r="A16" s="628"/>
      <c r="B16" s="631"/>
      <c r="C16" s="204" t="s">
        <v>210</v>
      </c>
      <c r="D16" s="622"/>
      <c r="E16" s="633"/>
      <c r="F16" s="623"/>
      <c r="G16" s="200"/>
      <c r="H16" s="202"/>
      <c r="I16" s="203"/>
      <c r="J16" s="200"/>
      <c r="K16" s="622"/>
      <c r="L16" s="623"/>
      <c r="M16" s="99"/>
      <c r="O16" s="199"/>
      <c r="P16" s="394"/>
      <c r="Q16" s="394"/>
      <c r="R16" s="199"/>
    </row>
    <row r="17" spans="1:18" ht="15.75" customHeight="1">
      <c r="A17" s="629"/>
      <c r="B17" s="632"/>
      <c r="C17" s="204" t="s">
        <v>211</v>
      </c>
      <c r="D17" s="622"/>
      <c r="E17" s="633"/>
      <c r="F17" s="623"/>
      <c r="G17" s="200"/>
      <c r="H17" s="202"/>
      <c r="I17" s="203"/>
      <c r="J17" s="200"/>
      <c r="K17" s="622"/>
      <c r="L17" s="623"/>
      <c r="M17" s="99"/>
      <c r="O17" s="199"/>
      <c r="P17" s="394"/>
      <c r="Q17" s="394"/>
      <c r="R17" s="199"/>
    </row>
    <row r="18" spans="1:18" s="104" customFormat="1" ht="15.75" customHeight="1">
      <c r="A18" s="624" t="s">
        <v>188</v>
      </c>
      <c r="B18" s="625"/>
      <c r="C18" s="207" t="s">
        <v>47</v>
      </c>
      <c r="D18" s="624" t="s">
        <v>12</v>
      </c>
      <c r="E18" s="626"/>
      <c r="F18" s="625"/>
      <c r="G18" s="207" t="s">
        <v>46</v>
      </c>
      <c r="H18" s="207" t="s">
        <v>375</v>
      </c>
      <c r="I18" s="207" t="s">
        <v>376</v>
      </c>
      <c r="J18" s="160" t="s">
        <v>332</v>
      </c>
      <c r="K18" s="624" t="s">
        <v>51</v>
      </c>
      <c r="L18" s="625"/>
      <c r="M18" s="128"/>
      <c r="N18" s="189"/>
      <c r="O18" s="199"/>
      <c r="P18" s="394"/>
      <c r="Q18" s="394"/>
      <c r="R18" s="199"/>
    </row>
    <row r="19" spans="1:18" ht="15.75" customHeight="1">
      <c r="A19" s="627"/>
      <c r="B19" s="630"/>
      <c r="C19" s="200">
        <v>1</v>
      </c>
      <c r="D19" s="622"/>
      <c r="E19" s="633"/>
      <c r="F19" s="623"/>
      <c r="G19" s="200"/>
      <c r="H19" s="202"/>
      <c r="I19" s="203"/>
      <c r="J19" s="200"/>
      <c r="K19" s="622"/>
      <c r="L19" s="623"/>
      <c r="M19" s="99"/>
      <c r="N19" s="199"/>
      <c r="O19" s="199"/>
      <c r="P19" s="394"/>
      <c r="Q19" s="394"/>
      <c r="R19" s="199"/>
    </row>
    <row r="20" spans="1:18" ht="15.75" customHeight="1">
      <c r="A20" s="628"/>
      <c r="B20" s="631"/>
      <c r="C20" s="200">
        <v>2</v>
      </c>
      <c r="D20" s="622"/>
      <c r="E20" s="633"/>
      <c r="F20" s="623"/>
      <c r="G20" s="200"/>
      <c r="H20" s="202"/>
      <c r="I20" s="203"/>
      <c r="J20" s="200"/>
      <c r="K20" s="622"/>
      <c r="L20" s="623"/>
      <c r="M20" s="99"/>
      <c r="O20" s="199"/>
      <c r="P20" s="394"/>
      <c r="Q20" s="394"/>
      <c r="R20" s="199"/>
    </row>
    <row r="21" spans="1:18" ht="15.75" customHeight="1">
      <c r="A21" s="628"/>
      <c r="B21" s="631"/>
      <c r="C21" s="200">
        <v>3</v>
      </c>
      <c r="D21" s="622"/>
      <c r="E21" s="633"/>
      <c r="F21" s="623"/>
      <c r="G21" s="200"/>
      <c r="H21" s="202"/>
      <c r="I21" s="203"/>
      <c r="J21" s="200"/>
      <c r="K21" s="622"/>
      <c r="L21" s="623"/>
      <c r="M21" s="99"/>
      <c r="O21" s="199"/>
      <c r="P21" s="394"/>
      <c r="Q21" s="394"/>
      <c r="R21" s="199"/>
    </row>
    <row r="22" spans="1:18" ht="15.75" customHeight="1">
      <c r="A22" s="628"/>
      <c r="B22" s="631"/>
      <c r="C22" s="200">
        <v>4</v>
      </c>
      <c r="D22" s="622"/>
      <c r="E22" s="633"/>
      <c r="F22" s="623"/>
      <c r="G22" s="200"/>
      <c r="H22" s="202"/>
      <c r="I22" s="203"/>
      <c r="J22" s="200"/>
      <c r="K22" s="622"/>
      <c r="L22" s="623"/>
      <c r="M22" s="99"/>
      <c r="O22" s="199"/>
      <c r="P22" s="394"/>
      <c r="Q22" s="394"/>
      <c r="R22" s="199"/>
    </row>
    <row r="23" spans="1:18" ht="15.75" customHeight="1">
      <c r="A23" s="628"/>
      <c r="B23" s="631"/>
      <c r="C23" s="200">
        <v>5</v>
      </c>
      <c r="D23" s="622"/>
      <c r="E23" s="633"/>
      <c r="F23" s="623"/>
      <c r="G23" s="200"/>
      <c r="H23" s="202"/>
      <c r="I23" s="203"/>
      <c r="J23" s="200"/>
      <c r="K23" s="622"/>
      <c r="L23" s="623"/>
      <c r="M23" s="99"/>
      <c r="O23" s="199"/>
      <c r="P23" s="394"/>
      <c r="Q23" s="394"/>
      <c r="R23" s="199"/>
    </row>
    <row r="24" spans="1:18" ht="15.75" customHeight="1">
      <c r="A24" s="628"/>
      <c r="B24" s="631"/>
      <c r="C24" s="204" t="s">
        <v>204</v>
      </c>
      <c r="D24" s="622"/>
      <c r="E24" s="633"/>
      <c r="F24" s="623"/>
      <c r="G24" s="200"/>
      <c r="H24" s="202"/>
      <c r="I24" s="203"/>
      <c r="J24" s="200"/>
      <c r="K24" s="622"/>
      <c r="L24" s="623"/>
      <c r="M24" s="99"/>
      <c r="O24" s="199"/>
      <c r="P24" s="394"/>
      <c r="Q24" s="394"/>
      <c r="R24" s="199"/>
    </row>
    <row r="25" spans="1:18" ht="15.75" customHeight="1">
      <c r="A25" s="628"/>
      <c r="B25" s="631"/>
      <c r="C25" s="204" t="s">
        <v>209</v>
      </c>
      <c r="D25" s="622"/>
      <c r="E25" s="633"/>
      <c r="F25" s="623"/>
      <c r="G25" s="200"/>
      <c r="H25" s="202"/>
      <c r="I25" s="203"/>
      <c r="J25" s="200"/>
      <c r="K25" s="622"/>
      <c r="L25" s="623"/>
      <c r="M25" s="99"/>
      <c r="O25" s="199"/>
      <c r="P25" s="394"/>
      <c r="Q25" s="394"/>
      <c r="R25" s="199"/>
    </row>
    <row r="26" spans="1:18" ht="15.75" customHeight="1">
      <c r="A26" s="628"/>
      <c r="B26" s="631"/>
      <c r="C26" s="204" t="s">
        <v>205</v>
      </c>
      <c r="D26" s="622"/>
      <c r="E26" s="633"/>
      <c r="F26" s="623"/>
      <c r="G26" s="200"/>
      <c r="H26" s="202"/>
      <c r="I26" s="203"/>
      <c r="J26" s="200"/>
      <c r="K26" s="622"/>
      <c r="L26" s="623"/>
      <c r="M26" s="99"/>
      <c r="O26" s="199"/>
      <c r="P26" s="394"/>
      <c r="Q26" s="394"/>
      <c r="R26" s="199"/>
    </row>
    <row r="27" spans="1:18" ht="15.75" customHeight="1">
      <c r="A27" s="628"/>
      <c r="B27" s="631"/>
      <c r="C27" s="204" t="s">
        <v>210</v>
      </c>
      <c r="D27" s="622"/>
      <c r="E27" s="633"/>
      <c r="F27" s="623"/>
      <c r="G27" s="200"/>
      <c r="H27" s="202"/>
      <c r="I27" s="203"/>
      <c r="J27" s="200"/>
      <c r="K27" s="622"/>
      <c r="L27" s="623"/>
      <c r="M27" s="99"/>
      <c r="O27" s="199"/>
      <c r="P27" s="394"/>
      <c r="Q27" s="394"/>
      <c r="R27" s="199"/>
    </row>
    <row r="28" spans="1:18" ht="15.75" customHeight="1">
      <c r="A28" s="629"/>
      <c r="B28" s="632"/>
      <c r="C28" s="204" t="s">
        <v>211</v>
      </c>
      <c r="D28" s="622"/>
      <c r="E28" s="633"/>
      <c r="F28" s="623"/>
      <c r="G28" s="200"/>
      <c r="H28" s="202"/>
      <c r="I28" s="203"/>
      <c r="J28" s="200"/>
      <c r="K28" s="622"/>
      <c r="L28" s="623"/>
      <c r="M28" s="99"/>
      <c r="O28" s="199"/>
      <c r="P28" s="394"/>
      <c r="Q28" s="394"/>
      <c r="R28" s="199"/>
    </row>
    <row r="29" spans="1:18" s="189" customFormat="1" ht="15.75" customHeight="1">
      <c r="A29" s="615" t="s">
        <v>659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</row>
    <row r="30" spans="1:18" s="190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8" s="106" customFormat="1" ht="16.399999999999999" customHeight="1">
      <c r="A31" s="627" t="s">
        <v>162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91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99999999999999" customHeight="1">
      <c r="A32" s="629"/>
      <c r="B32" s="195" t="s">
        <v>206</v>
      </c>
      <c r="C32" s="195" t="s">
        <v>155</v>
      </c>
      <c r="D32" s="195" t="s">
        <v>207</v>
      </c>
      <c r="E32" s="195" t="s">
        <v>156</v>
      </c>
      <c r="F32" s="195" t="s">
        <v>138</v>
      </c>
      <c r="G32" s="196" t="s">
        <v>136</v>
      </c>
      <c r="H32" s="197" t="s">
        <v>208</v>
      </c>
      <c r="I32" s="196" t="s">
        <v>374</v>
      </c>
      <c r="J32" s="209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35" t="s">
        <v>188</v>
      </c>
      <c r="B33" s="636"/>
      <c r="C33" s="160" t="s">
        <v>47</v>
      </c>
      <c r="D33" s="635" t="s">
        <v>12</v>
      </c>
      <c r="E33" s="637"/>
      <c r="F33" s="636"/>
      <c r="G33" s="160" t="s">
        <v>46</v>
      </c>
      <c r="H33" s="160" t="s">
        <v>375</v>
      </c>
      <c r="I33" s="160" t="s">
        <v>376</v>
      </c>
      <c r="J33" s="160" t="s">
        <v>332</v>
      </c>
      <c r="K33" s="635" t="s">
        <v>51</v>
      </c>
      <c r="L33" s="636"/>
      <c r="M33" s="127"/>
      <c r="N33" s="189"/>
      <c r="O33" s="199"/>
      <c r="P33" s="394"/>
      <c r="Q33" s="394"/>
      <c r="R33" s="199"/>
    </row>
    <row r="34" spans="1:18" ht="15.75" customHeight="1">
      <c r="A34" s="627">
        <f>J31</f>
        <v>9</v>
      </c>
      <c r="B34" s="630" t="str">
        <f>J32</f>
        <v>微波小吃</v>
      </c>
      <c r="C34" s="200">
        <v>1</v>
      </c>
      <c r="D34" s="622" t="s">
        <v>644</v>
      </c>
      <c r="E34" s="633"/>
      <c r="F34" s="623"/>
      <c r="G34" s="200">
        <v>11</v>
      </c>
      <c r="H34" s="202">
        <v>1781.291847647052</v>
      </c>
      <c r="I34" s="203">
        <v>161.93562251336837</v>
      </c>
      <c r="J34" s="357">
        <f>I34-I9</f>
        <v>11.110331187679577</v>
      </c>
      <c r="K34" s="613"/>
      <c r="L34" s="614"/>
      <c r="O34" s="199"/>
      <c r="P34" s="394"/>
      <c r="Q34" s="394"/>
      <c r="R34" s="199"/>
    </row>
    <row r="35" spans="1:18" ht="15.75" customHeight="1">
      <c r="A35" s="628"/>
      <c r="B35" s="631"/>
      <c r="C35" s="200">
        <v>2</v>
      </c>
      <c r="D35" s="622" t="s">
        <v>642</v>
      </c>
      <c r="E35" s="633"/>
      <c r="F35" s="623"/>
      <c r="G35" s="200">
        <v>11</v>
      </c>
      <c r="H35" s="202">
        <v>1780.4888780893891</v>
      </c>
      <c r="I35" s="203">
        <v>161.86262528085354</v>
      </c>
      <c r="J35" s="357">
        <f>I35-I8</f>
        <v>10.994308719513981</v>
      </c>
      <c r="K35" s="613"/>
      <c r="L35" s="614"/>
      <c r="O35" s="199"/>
      <c r="P35" s="394"/>
      <c r="Q35" s="394"/>
      <c r="R35" s="199"/>
    </row>
    <row r="36" spans="1:18" ht="15.75" customHeight="1">
      <c r="A36" s="628"/>
      <c r="B36" s="631"/>
      <c r="C36" s="200">
        <v>3</v>
      </c>
      <c r="D36" s="622" t="s">
        <v>355</v>
      </c>
      <c r="E36" s="633"/>
      <c r="F36" s="623"/>
      <c r="G36" s="200">
        <v>13</v>
      </c>
      <c r="H36" s="202">
        <v>1079.1391320752207</v>
      </c>
      <c r="I36" s="203">
        <v>83.010702467324677</v>
      </c>
      <c r="J36" s="357">
        <f>I36-I10</f>
        <v>-5.9340659340591628E-2</v>
      </c>
      <c r="K36" s="622"/>
      <c r="L36" s="623"/>
      <c r="O36" s="199"/>
      <c r="P36" s="394"/>
      <c r="Q36" s="394"/>
      <c r="R36" s="199"/>
    </row>
    <row r="37" spans="1:18" ht="15.75" customHeight="1">
      <c r="A37" s="628"/>
      <c r="B37" s="631"/>
      <c r="C37" s="200">
        <v>4</v>
      </c>
      <c r="D37" s="622" t="s">
        <v>643</v>
      </c>
      <c r="E37" s="633"/>
      <c r="F37" s="623"/>
      <c r="G37" s="202">
        <v>22</v>
      </c>
      <c r="H37" s="202">
        <v>1771.0740250250076</v>
      </c>
      <c r="I37" s="203">
        <v>80.503364773863964</v>
      </c>
      <c r="J37" s="357">
        <f>I37-I11</f>
        <v>5.6576375011366764</v>
      </c>
      <c r="K37" s="613"/>
      <c r="L37" s="614"/>
      <c r="O37" s="199"/>
      <c r="P37" s="394"/>
      <c r="Q37" s="394"/>
      <c r="R37" s="199"/>
    </row>
    <row r="38" spans="1:18" ht="15.75" customHeight="1">
      <c r="A38" s="628"/>
      <c r="B38" s="631"/>
      <c r="C38" s="200">
        <v>5</v>
      </c>
      <c r="D38" s="622"/>
      <c r="E38" s="633"/>
      <c r="F38" s="623"/>
      <c r="G38" s="200"/>
      <c r="H38" s="202"/>
      <c r="I38" s="203"/>
      <c r="J38" s="200"/>
      <c r="K38" s="622"/>
      <c r="L38" s="623"/>
      <c r="O38" s="199"/>
      <c r="P38" s="394"/>
      <c r="Q38" s="394"/>
      <c r="R38" s="199"/>
    </row>
    <row r="39" spans="1:18" ht="15.75" customHeight="1">
      <c r="A39" s="628"/>
      <c r="B39" s="631"/>
      <c r="C39" s="204" t="s">
        <v>204</v>
      </c>
      <c r="D39" s="622"/>
      <c r="E39" s="633"/>
      <c r="F39" s="623"/>
      <c r="G39" s="200"/>
      <c r="H39" s="202"/>
      <c r="I39" s="203"/>
      <c r="J39" s="200"/>
      <c r="K39" s="622"/>
      <c r="L39" s="623"/>
      <c r="O39" s="199"/>
      <c r="P39" s="394"/>
      <c r="Q39" s="394"/>
      <c r="R39" s="199"/>
    </row>
    <row r="40" spans="1:18" ht="15.75" customHeight="1">
      <c r="A40" s="628"/>
      <c r="B40" s="631"/>
      <c r="C40" s="204" t="s">
        <v>209</v>
      </c>
      <c r="D40" s="622"/>
      <c r="E40" s="633"/>
      <c r="F40" s="623"/>
      <c r="G40" s="200"/>
      <c r="H40" s="202"/>
      <c r="I40" s="203"/>
      <c r="J40" s="200"/>
      <c r="K40" s="622"/>
      <c r="L40" s="623"/>
      <c r="N40" s="178"/>
      <c r="O40" s="178"/>
      <c r="P40" s="393"/>
      <c r="Q40" s="393"/>
      <c r="R40" s="178"/>
    </row>
    <row r="41" spans="1:18" ht="15.75" customHeight="1">
      <c r="A41" s="628"/>
      <c r="B41" s="631"/>
      <c r="C41" s="204" t="s">
        <v>205</v>
      </c>
      <c r="D41" s="622"/>
      <c r="E41" s="633"/>
      <c r="F41" s="623"/>
      <c r="G41" s="200"/>
      <c r="H41" s="202"/>
      <c r="I41" s="203"/>
      <c r="J41" s="200"/>
      <c r="K41" s="622"/>
      <c r="L41" s="623"/>
      <c r="O41" s="199"/>
      <c r="P41" s="394"/>
      <c r="Q41" s="394"/>
      <c r="R41" s="199"/>
    </row>
    <row r="42" spans="1:18" ht="15.75" customHeight="1">
      <c r="A42" s="628"/>
      <c r="B42" s="631"/>
      <c r="C42" s="204" t="s">
        <v>210</v>
      </c>
      <c r="D42" s="622"/>
      <c r="E42" s="633"/>
      <c r="F42" s="623"/>
      <c r="G42" s="200"/>
      <c r="H42" s="202"/>
      <c r="I42" s="203"/>
      <c r="J42" s="200"/>
      <c r="K42" s="622"/>
      <c r="L42" s="623"/>
      <c r="M42" s="99"/>
      <c r="O42" s="199"/>
      <c r="P42" s="394"/>
      <c r="Q42" s="394"/>
      <c r="R42" s="199"/>
    </row>
    <row r="43" spans="1:18" ht="15.75" customHeight="1">
      <c r="A43" s="629"/>
      <c r="B43" s="632"/>
      <c r="C43" s="204" t="s">
        <v>211</v>
      </c>
      <c r="D43" s="622"/>
      <c r="E43" s="633"/>
      <c r="F43" s="623"/>
      <c r="G43" s="200"/>
      <c r="H43" s="202"/>
      <c r="I43" s="203"/>
      <c r="J43" s="200"/>
      <c r="K43" s="622"/>
      <c r="L43" s="623"/>
      <c r="M43" s="99"/>
      <c r="O43" s="199"/>
      <c r="P43" s="394"/>
      <c r="Q43" s="394"/>
      <c r="R43" s="199"/>
    </row>
    <row r="44" spans="1:18" s="104" customFormat="1" ht="15.75" customHeight="1">
      <c r="A44" s="624" t="s">
        <v>188</v>
      </c>
      <c r="B44" s="625"/>
      <c r="C44" s="207" t="s">
        <v>47</v>
      </c>
      <c r="D44" s="624" t="s">
        <v>12</v>
      </c>
      <c r="E44" s="626"/>
      <c r="F44" s="625"/>
      <c r="G44" s="207" t="s">
        <v>46</v>
      </c>
      <c r="H44" s="207" t="s">
        <v>375</v>
      </c>
      <c r="I44" s="207" t="s">
        <v>376</v>
      </c>
      <c r="J44" s="160" t="s">
        <v>332</v>
      </c>
      <c r="K44" s="624" t="s">
        <v>51</v>
      </c>
      <c r="L44" s="625"/>
      <c r="M44" s="128"/>
      <c r="N44" s="189"/>
      <c r="O44" s="199"/>
      <c r="P44" s="394"/>
      <c r="Q44" s="394"/>
      <c r="R44" s="199"/>
    </row>
    <row r="45" spans="1:18" ht="15.75" customHeight="1">
      <c r="A45" s="627"/>
      <c r="B45" s="630"/>
      <c r="C45" s="200">
        <v>1</v>
      </c>
      <c r="D45" s="622"/>
      <c r="E45" s="633"/>
      <c r="F45" s="623"/>
      <c r="G45" s="200"/>
      <c r="H45" s="202"/>
      <c r="I45" s="203"/>
      <c r="J45" s="200"/>
      <c r="K45" s="622"/>
      <c r="L45" s="623"/>
      <c r="M45" s="99"/>
      <c r="N45" s="199"/>
      <c r="O45" s="199"/>
      <c r="P45" s="394"/>
      <c r="Q45" s="394"/>
      <c r="R45" s="199"/>
    </row>
    <row r="46" spans="1:18" ht="15.75" customHeight="1">
      <c r="A46" s="628"/>
      <c r="B46" s="631"/>
      <c r="C46" s="200">
        <v>2</v>
      </c>
      <c r="D46" s="622"/>
      <c r="E46" s="633"/>
      <c r="F46" s="623"/>
      <c r="G46" s="200"/>
      <c r="H46" s="202"/>
      <c r="I46" s="203"/>
      <c r="J46" s="200"/>
      <c r="K46" s="622"/>
      <c r="L46" s="623"/>
      <c r="M46" s="99"/>
      <c r="O46" s="199"/>
      <c r="P46" s="394"/>
      <c r="Q46" s="394"/>
      <c r="R46" s="199"/>
    </row>
    <row r="47" spans="1:18" ht="15.75" customHeight="1">
      <c r="A47" s="628"/>
      <c r="B47" s="631"/>
      <c r="C47" s="200">
        <v>3</v>
      </c>
      <c r="D47" s="622"/>
      <c r="E47" s="633"/>
      <c r="F47" s="623"/>
      <c r="G47" s="200"/>
      <c r="H47" s="202"/>
      <c r="I47" s="203"/>
      <c r="J47" s="200"/>
      <c r="K47" s="622"/>
      <c r="L47" s="623"/>
      <c r="M47" s="99"/>
      <c r="O47" s="199"/>
      <c r="P47" s="394"/>
      <c r="Q47" s="394"/>
      <c r="R47" s="199"/>
    </row>
    <row r="48" spans="1:18" ht="15.75" customHeight="1">
      <c r="A48" s="628"/>
      <c r="B48" s="631"/>
      <c r="C48" s="200">
        <v>4</v>
      </c>
      <c r="D48" s="622"/>
      <c r="E48" s="633"/>
      <c r="F48" s="623"/>
      <c r="G48" s="200"/>
      <c r="H48" s="202"/>
      <c r="I48" s="203"/>
      <c r="J48" s="200"/>
      <c r="K48" s="622"/>
      <c r="L48" s="623"/>
      <c r="M48" s="99"/>
      <c r="O48" s="199"/>
      <c r="P48" s="394"/>
      <c r="Q48" s="394"/>
      <c r="R48" s="199"/>
    </row>
    <row r="49" spans="1:18" ht="15.75" customHeight="1">
      <c r="A49" s="628"/>
      <c r="B49" s="631"/>
      <c r="C49" s="200">
        <v>5</v>
      </c>
      <c r="D49" s="622"/>
      <c r="E49" s="633"/>
      <c r="F49" s="623"/>
      <c r="G49" s="200"/>
      <c r="H49" s="202"/>
      <c r="I49" s="203"/>
      <c r="J49" s="200"/>
      <c r="K49" s="622"/>
      <c r="L49" s="623"/>
      <c r="M49" s="99"/>
      <c r="O49" s="199"/>
      <c r="P49" s="394"/>
      <c r="Q49" s="394"/>
      <c r="R49" s="199"/>
    </row>
    <row r="50" spans="1:18" ht="15.75" customHeight="1">
      <c r="A50" s="628"/>
      <c r="B50" s="631"/>
      <c r="C50" s="204" t="s">
        <v>204</v>
      </c>
      <c r="D50" s="622"/>
      <c r="E50" s="633"/>
      <c r="F50" s="623"/>
      <c r="G50" s="200"/>
      <c r="H50" s="202"/>
      <c r="I50" s="203"/>
      <c r="J50" s="200"/>
      <c r="K50" s="622"/>
      <c r="L50" s="623"/>
      <c r="M50" s="99"/>
      <c r="O50" s="199"/>
      <c r="P50" s="394"/>
      <c r="Q50" s="394"/>
      <c r="R50" s="199"/>
    </row>
    <row r="51" spans="1:18" ht="15.75" customHeight="1">
      <c r="A51" s="628"/>
      <c r="B51" s="631"/>
      <c r="C51" s="204" t="s">
        <v>209</v>
      </c>
      <c r="D51" s="622"/>
      <c r="E51" s="633"/>
      <c r="F51" s="623"/>
      <c r="G51" s="200"/>
      <c r="H51" s="202"/>
      <c r="I51" s="203"/>
      <c r="J51" s="200"/>
      <c r="K51" s="622"/>
      <c r="L51" s="623"/>
      <c r="M51" s="99"/>
      <c r="O51" s="199"/>
      <c r="P51" s="394"/>
      <c r="Q51" s="394"/>
      <c r="R51" s="199"/>
    </row>
    <row r="52" spans="1:18" ht="15.75" customHeight="1">
      <c r="A52" s="628"/>
      <c r="B52" s="631"/>
      <c r="C52" s="204" t="s">
        <v>205</v>
      </c>
      <c r="D52" s="622"/>
      <c r="E52" s="633"/>
      <c r="F52" s="623"/>
      <c r="G52" s="200"/>
      <c r="H52" s="202"/>
      <c r="I52" s="203"/>
      <c r="J52" s="200"/>
      <c r="K52" s="622"/>
      <c r="L52" s="623"/>
      <c r="M52" s="99"/>
      <c r="O52" s="199"/>
      <c r="P52" s="394"/>
      <c r="Q52" s="394"/>
      <c r="R52" s="199"/>
    </row>
    <row r="53" spans="1:18" ht="15.75" customHeight="1">
      <c r="A53" s="628"/>
      <c r="B53" s="631"/>
      <c r="C53" s="204" t="s">
        <v>210</v>
      </c>
      <c r="D53" s="622"/>
      <c r="E53" s="633"/>
      <c r="F53" s="623"/>
      <c r="G53" s="200"/>
      <c r="H53" s="202"/>
      <c r="I53" s="203"/>
      <c r="J53" s="200"/>
      <c r="K53" s="622"/>
      <c r="L53" s="623"/>
      <c r="M53" s="99"/>
      <c r="O53" s="199"/>
      <c r="P53" s="394"/>
      <c r="Q53" s="394"/>
      <c r="R53" s="199"/>
    </row>
    <row r="54" spans="1:18" ht="15.75" customHeight="1">
      <c r="A54" s="629"/>
      <c r="B54" s="632"/>
      <c r="C54" s="204" t="s">
        <v>211</v>
      </c>
      <c r="D54" s="622"/>
      <c r="E54" s="633"/>
      <c r="F54" s="623"/>
      <c r="G54" s="200"/>
      <c r="H54" s="202"/>
      <c r="I54" s="203"/>
      <c r="J54" s="200"/>
      <c r="K54" s="622"/>
      <c r="L54" s="623"/>
      <c r="M54" s="99"/>
      <c r="O54" s="199"/>
      <c r="P54" s="394"/>
      <c r="Q54" s="394"/>
      <c r="R54" s="199"/>
    </row>
    <row r="55" spans="1:18" s="189" customFormat="1" ht="15.75" customHeight="1">
      <c r="A55" s="615" t="s">
        <v>660</v>
      </c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</row>
    <row r="56" spans="1:18" s="190" customFormat="1" ht="15.75" customHeight="1">
      <c r="A56" s="615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</row>
    <row r="57" spans="1:18" s="106" customFormat="1" ht="16.399999999999999" customHeight="1">
      <c r="A57" s="627" t="s">
        <v>162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91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99999999999999" customHeight="1">
      <c r="A58" s="629"/>
      <c r="B58" s="195" t="s">
        <v>206</v>
      </c>
      <c r="C58" s="195" t="s">
        <v>155</v>
      </c>
      <c r="D58" s="195" t="s">
        <v>207</v>
      </c>
      <c r="E58" s="195" t="s">
        <v>156</v>
      </c>
      <c r="F58" s="195" t="s">
        <v>138</v>
      </c>
      <c r="G58" s="196" t="s">
        <v>136</v>
      </c>
      <c r="H58" s="197" t="s">
        <v>208</v>
      </c>
      <c r="I58" s="196" t="s">
        <v>374</v>
      </c>
      <c r="J58" s="209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35" t="s">
        <v>188</v>
      </c>
      <c r="B59" s="636"/>
      <c r="C59" s="160" t="s">
        <v>47</v>
      </c>
      <c r="D59" s="635" t="s">
        <v>12</v>
      </c>
      <c r="E59" s="637"/>
      <c r="F59" s="636"/>
      <c r="G59" s="160" t="s">
        <v>46</v>
      </c>
      <c r="H59" s="160" t="s">
        <v>375</v>
      </c>
      <c r="I59" s="160" t="s">
        <v>376</v>
      </c>
      <c r="J59" s="160" t="s">
        <v>332</v>
      </c>
      <c r="K59" s="635" t="s">
        <v>51</v>
      </c>
      <c r="L59" s="636"/>
      <c r="M59" s="127"/>
      <c r="N59" s="189"/>
      <c r="O59" s="199"/>
      <c r="P59" s="394"/>
      <c r="Q59" s="394"/>
      <c r="R59" s="199"/>
    </row>
    <row r="60" spans="1:18" ht="15.75" customHeight="1">
      <c r="A60" s="627">
        <f>J57</f>
        <v>9</v>
      </c>
      <c r="B60" s="630" t="str">
        <f>J58</f>
        <v>微波小吃</v>
      </c>
      <c r="C60" s="200">
        <v>1</v>
      </c>
      <c r="D60" s="622"/>
      <c r="E60" s="633"/>
      <c r="F60" s="623"/>
      <c r="G60" s="200"/>
      <c r="H60" s="202"/>
      <c r="I60" s="203"/>
      <c r="J60" s="357"/>
      <c r="K60" s="613"/>
      <c r="L60" s="614"/>
      <c r="O60" s="199"/>
      <c r="P60" s="394"/>
      <c r="Q60" s="394"/>
      <c r="R60" s="199"/>
    </row>
    <row r="61" spans="1:18" ht="15.75" customHeight="1">
      <c r="A61" s="628"/>
      <c r="B61" s="631"/>
      <c r="C61" s="200">
        <v>2</v>
      </c>
      <c r="D61" s="622"/>
      <c r="E61" s="633"/>
      <c r="F61" s="623"/>
      <c r="G61" s="200"/>
      <c r="H61" s="202"/>
      <c r="I61" s="203"/>
      <c r="J61" s="200"/>
      <c r="K61" s="613"/>
      <c r="L61" s="614"/>
      <c r="O61" s="199"/>
      <c r="P61" s="394"/>
      <c r="Q61" s="394"/>
      <c r="R61" s="199"/>
    </row>
    <row r="62" spans="1:18" ht="15.75" customHeight="1">
      <c r="A62" s="628"/>
      <c r="B62" s="631"/>
      <c r="C62" s="200">
        <v>3</v>
      </c>
      <c r="D62" s="622"/>
      <c r="E62" s="633"/>
      <c r="F62" s="623"/>
      <c r="G62" s="200"/>
      <c r="H62" s="202"/>
      <c r="I62" s="203"/>
      <c r="J62" s="357">
        <f>I62-I34</f>
        <v>-161.93562251336837</v>
      </c>
      <c r="K62" s="622"/>
      <c r="L62" s="623"/>
      <c r="O62" s="199"/>
      <c r="P62" s="394"/>
      <c r="Q62" s="394"/>
      <c r="R62" s="199"/>
    </row>
    <row r="63" spans="1:18" ht="15.75" customHeight="1">
      <c r="A63" s="628"/>
      <c r="B63" s="631"/>
      <c r="C63" s="200">
        <v>4</v>
      </c>
      <c r="D63" s="622"/>
      <c r="E63" s="633"/>
      <c r="F63" s="623"/>
      <c r="G63" s="202"/>
      <c r="H63" s="202"/>
      <c r="I63" s="203"/>
      <c r="J63" s="200"/>
      <c r="K63" s="613"/>
      <c r="L63" s="614"/>
      <c r="O63" s="199"/>
      <c r="P63" s="394"/>
      <c r="Q63" s="394"/>
      <c r="R63" s="199"/>
    </row>
    <row r="64" spans="1:18" ht="15.75" customHeight="1">
      <c r="A64" s="628"/>
      <c r="B64" s="631"/>
      <c r="C64" s="200">
        <v>5</v>
      </c>
      <c r="D64" s="622"/>
      <c r="E64" s="633"/>
      <c r="F64" s="623"/>
      <c r="G64" s="200"/>
      <c r="H64" s="202"/>
      <c r="I64" s="203"/>
      <c r="J64" s="200"/>
      <c r="K64" s="622"/>
      <c r="L64" s="623"/>
      <c r="O64" s="199"/>
      <c r="P64" s="394"/>
      <c r="Q64" s="394"/>
      <c r="R64" s="199"/>
    </row>
    <row r="65" spans="1:18" ht="15.75" customHeight="1">
      <c r="A65" s="628"/>
      <c r="B65" s="631"/>
      <c r="C65" s="204" t="s">
        <v>204</v>
      </c>
      <c r="D65" s="622"/>
      <c r="E65" s="633"/>
      <c r="F65" s="623"/>
      <c r="G65" s="200"/>
      <c r="H65" s="202"/>
      <c r="I65" s="203"/>
      <c r="J65" s="200"/>
      <c r="K65" s="622"/>
      <c r="L65" s="623"/>
      <c r="O65" s="199"/>
      <c r="P65" s="394"/>
      <c r="Q65" s="394"/>
      <c r="R65" s="199"/>
    </row>
    <row r="66" spans="1:18" ht="15.75" customHeight="1">
      <c r="A66" s="628"/>
      <c r="B66" s="631"/>
      <c r="C66" s="204" t="s">
        <v>209</v>
      </c>
      <c r="D66" s="622"/>
      <c r="E66" s="633"/>
      <c r="F66" s="623"/>
      <c r="G66" s="200"/>
      <c r="H66" s="202"/>
      <c r="I66" s="203"/>
      <c r="J66" s="200"/>
      <c r="K66" s="622"/>
      <c r="L66" s="623"/>
      <c r="N66" s="178"/>
      <c r="O66" s="178"/>
      <c r="P66" s="393"/>
      <c r="Q66" s="393"/>
      <c r="R66" s="178"/>
    </row>
    <row r="67" spans="1:18" ht="15.75" customHeight="1">
      <c r="A67" s="628"/>
      <c r="B67" s="631"/>
      <c r="C67" s="204" t="s">
        <v>205</v>
      </c>
      <c r="D67" s="622"/>
      <c r="E67" s="633"/>
      <c r="F67" s="623"/>
      <c r="G67" s="200"/>
      <c r="H67" s="202"/>
      <c r="I67" s="203"/>
      <c r="J67" s="200"/>
      <c r="K67" s="622"/>
      <c r="L67" s="623"/>
      <c r="O67" s="199"/>
      <c r="P67" s="394"/>
      <c r="Q67" s="394"/>
      <c r="R67" s="199"/>
    </row>
    <row r="68" spans="1:18" ht="15.75" customHeight="1">
      <c r="A68" s="628"/>
      <c r="B68" s="631"/>
      <c r="C68" s="204" t="s">
        <v>210</v>
      </c>
      <c r="D68" s="622"/>
      <c r="E68" s="633"/>
      <c r="F68" s="623"/>
      <c r="G68" s="200"/>
      <c r="H68" s="202"/>
      <c r="I68" s="203"/>
      <c r="J68" s="200"/>
      <c r="K68" s="622"/>
      <c r="L68" s="623"/>
      <c r="M68" s="99"/>
      <c r="O68" s="199"/>
      <c r="P68" s="394"/>
      <c r="Q68" s="394"/>
      <c r="R68" s="199"/>
    </row>
    <row r="69" spans="1:18" ht="15.75" customHeight="1">
      <c r="A69" s="629"/>
      <c r="B69" s="632"/>
      <c r="C69" s="204" t="s">
        <v>211</v>
      </c>
      <c r="D69" s="622"/>
      <c r="E69" s="633"/>
      <c r="F69" s="623"/>
      <c r="G69" s="200"/>
      <c r="H69" s="202"/>
      <c r="I69" s="203"/>
      <c r="J69" s="200"/>
      <c r="K69" s="622"/>
      <c r="L69" s="623"/>
      <c r="M69" s="99"/>
      <c r="O69" s="199"/>
      <c r="P69" s="394"/>
      <c r="Q69" s="394"/>
      <c r="R69" s="199"/>
    </row>
    <row r="70" spans="1:18" s="104" customFormat="1" ht="15.75" customHeight="1">
      <c r="A70" s="624" t="s">
        <v>188</v>
      </c>
      <c r="B70" s="625"/>
      <c r="C70" s="207" t="s">
        <v>47</v>
      </c>
      <c r="D70" s="624" t="s">
        <v>12</v>
      </c>
      <c r="E70" s="626"/>
      <c r="F70" s="625"/>
      <c r="G70" s="207" t="s">
        <v>46</v>
      </c>
      <c r="H70" s="207" t="s">
        <v>375</v>
      </c>
      <c r="I70" s="207" t="s">
        <v>376</v>
      </c>
      <c r="J70" s="160" t="s">
        <v>332</v>
      </c>
      <c r="K70" s="624" t="s">
        <v>51</v>
      </c>
      <c r="L70" s="625"/>
      <c r="M70" s="128"/>
      <c r="N70" s="189"/>
      <c r="O70" s="199"/>
      <c r="P70" s="394"/>
      <c r="Q70" s="394"/>
      <c r="R70" s="199"/>
    </row>
    <row r="71" spans="1:18" ht="15.75" customHeight="1">
      <c r="A71" s="627"/>
      <c r="B71" s="630"/>
      <c r="C71" s="200">
        <v>1</v>
      </c>
      <c r="D71" s="622"/>
      <c r="E71" s="633"/>
      <c r="F71" s="623"/>
      <c r="G71" s="200"/>
      <c r="H71" s="202"/>
      <c r="I71" s="203"/>
      <c r="J71" s="200"/>
      <c r="K71" s="622"/>
      <c r="L71" s="623"/>
      <c r="M71" s="99"/>
      <c r="N71" s="199"/>
      <c r="O71" s="199"/>
      <c r="P71" s="394"/>
      <c r="Q71" s="394"/>
      <c r="R71" s="199"/>
    </row>
    <row r="72" spans="1:18" ht="15.75" customHeight="1">
      <c r="A72" s="628"/>
      <c r="B72" s="631"/>
      <c r="C72" s="200">
        <v>2</v>
      </c>
      <c r="D72" s="622"/>
      <c r="E72" s="633"/>
      <c r="F72" s="623"/>
      <c r="G72" s="200"/>
      <c r="H72" s="202"/>
      <c r="I72" s="203"/>
      <c r="J72" s="200"/>
      <c r="K72" s="622"/>
      <c r="L72" s="623"/>
      <c r="M72" s="99"/>
      <c r="O72" s="199"/>
      <c r="P72" s="394"/>
      <c r="Q72" s="394"/>
      <c r="R72" s="199"/>
    </row>
    <row r="73" spans="1:18" ht="15.75" customHeight="1">
      <c r="A73" s="628"/>
      <c r="B73" s="631"/>
      <c r="C73" s="200">
        <v>3</v>
      </c>
      <c r="D73" s="622"/>
      <c r="E73" s="633"/>
      <c r="F73" s="623"/>
      <c r="G73" s="200"/>
      <c r="H73" s="202"/>
      <c r="I73" s="203"/>
      <c r="J73" s="200"/>
      <c r="K73" s="622"/>
      <c r="L73" s="623"/>
      <c r="M73" s="99"/>
      <c r="O73" s="199"/>
      <c r="P73" s="394"/>
      <c r="Q73" s="394"/>
      <c r="R73" s="199"/>
    </row>
    <row r="74" spans="1:18" ht="15.75" customHeight="1">
      <c r="A74" s="628"/>
      <c r="B74" s="631"/>
      <c r="C74" s="200">
        <v>4</v>
      </c>
      <c r="D74" s="622"/>
      <c r="E74" s="633"/>
      <c r="F74" s="623"/>
      <c r="G74" s="200"/>
      <c r="H74" s="202"/>
      <c r="I74" s="203"/>
      <c r="J74" s="200"/>
      <c r="K74" s="622"/>
      <c r="L74" s="623"/>
      <c r="M74" s="99"/>
      <c r="O74" s="199"/>
      <c r="P74" s="394"/>
      <c r="Q74" s="394"/>
      <c r="R74" s="199"/>
    </row>
    <row r="75" spans="1:18" ht="15.75" customHeight="1">
      <c r="A75" s="628"/>
      <c r="B75" s="631"/>
      <c r="C75" s="200">
        <v>5</v>
      </c>
      <c r="D75" s="622"/>
      <c r="E75" s="633"/>
      <c r="F75" s="623"/>
      <c r="G75" s="200"/>
      <c r="H75" s="202"/>
      <c r="I75" s="203"/>
      <c r="J75" s="200"/>
      <c r="K75" s="622"/>
      <c r="L75" s="623"/>
      <c r="M75" s="99"/>
      <c r="O75" s="199"/>
      <c r="P75" s="394"/>
      <c r="Q75" s="394"/>
      <c r="R75" s="199"/>
    </row>
    <row r="76" spans="1:18" ht="15.75" customHeight="1">
      <c r="A76" s="628"/>
      <c r="B76" s="631"/>
      <c r="C76" s="204" t="s">
        <v>204</v>
      </c>
      <c r="D76" s="622"/>
      <c r="E76" s="633"/>
      <c r="F76" s="623"/>
      <c r="G76" s="200"/>
      <c r="H76" s="202"/>
      <c r="I76" s="203"/>
      <c r="J76" s="200"/>
      <c r="K76" s="622"/>
      <c r="L76" s="623"/>
      <c r="M76" s="99"/>
      <c r="O76" s="199"/>
      <c r="P76" s="394"/>
      <c r="Q76" s="394"/>
      <c r="R76" s="199"/>
    </row>
    <row r="77" spans="1:18" ht="15.75" customHeight="1">
      <c r="A77" s="628"/>
      <c r="B77" s="631"/>
      <c r="C77" s="204" t="s">
        <v>209</v>
      </c>
      <c r="D77" s="622"/>
      <c r="E77" s="633"/>
      <c r="F77" s="623"/>
      <c r="G77" s="200"/>
      <c r="H77" s="202"/>
      <c r="I77" s="203"/>
      <c r="J77" s="200"/>
      <c r="K77" s="622"/>
      <c r="L77" s="623"/>
      <c r="M77" s="99"/>
      <c r="O77" s="199"/>
      <c r="P77" s="394"/>
      <c r="Q77" s="394"/>
      <c r="R77" s="199"/>
    </row>
    <row r="78" spans="1:18" ht="15.75" customHeight="1">
      <c r="A78" s="628"/>
      <c r="B78" s="631"/>
      <c r="C78" s="204" t="s">
        <v>205</v>
      </c>
      <c r="D78" s="622"/>
      <c r="E78" s="633"/>
      <c r="F78" s="623"/>
      <c r="G78" s="200"/>
      <c r="H78" s="202"/>
      <c r="I78" s="203"/>
      <c r="J78" s="200"/>
      <c r="K78" s="622"/>
      <c r="L78" s="623"/>
      <c r="M78" s="99"/>
      <c r="O78" s="199"/>
      <c r="P78" s="394"/>
      <c r="Q78" s="394"/>
      <c r="R78" s="199"/>
    </row>
    <row r="79" spans="1:18" ht="15.75" customHeight="1">
      <c r="A79" s="628"/>
      <c r="B79" s="631"/>
      <c r="C79" s="204" t="s">
        <v>210</v>
      </c>
      <c r="D79" s="622"/>
      <c r="E79" s="633"/>
      <c r="F79" s="623"/>
      <c r="G79" s="200"/>
      <c r="H79" s="202"/>
      <c r="I79" s="203"/>
      <c r="J79" s="200"/>
      <c r="K79" s="622"/>
      <c r="L79" s="623"/>
      <c r="M79" s="99"/>
      <c r="O79" s="199"/>
      <c r="P79" s="394"/>
      <c r="Q79" s="394"/>
      <c r="R79" s="199"/>
    </row>
    <row r="80" spans="1:18" ht="15.75" customHeight="1">
      <c r="A80" s="629"/>
      <c r="B80" s="632"/>
      <c r="C80" s="204" t="s">
        <v>211</v>
      </c>
      <c r="D80" s="622"/>
      <c r="E80" s="633"/>
      <c r="F80" s="623"/>
      <c r="G80" s="200"/>
      <c r="H80" s="202"/>
      <c r="I80" s="203"/>
      <c r="J80" s="200"/>
      <c r="K80" s="622"/>
      <c r="L80" s="623"/>
      <c r="M80" s="99"/>
      <c r="O80" s="199"/>
      <c r="P80" s="394"/>
      <c r="Q80" s="394"/>
      <c r="R80" s="199"/>
    </row>
  </sheetData>
  <mergeCells count="157"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80:L80"/>
    <mergeCell ref="D53:F53"/>
    <mergeCell ref="K53:L53"/>
    <mergeCell ref="D54:F54"/>
    <mergeCell ref="K54:L54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1" manualBreakCount="1">
    <brk id="28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10" sqref="B10"/>
    </sheetView>
  </sheetViews>
  <sheetFormatPr defaultColWidth="12.54296875" defaultRowHeight="15.75" customHeight="1"/>
  <cols>
    <col min="1" max="1" width="18" style="136" bestFit="1" customWidth="1"/>
    <col min="2" max="2" width="14.81640625" style="136" customWidth="1"/>
    <col min="3" max="3" width="12.81640625" style="136" customWidth="1"/>
    <col min="4" max="4" width="2.54296875" style="136" customWidth="1"/>
    <col min="5" max="5" width="7.54296875" style="136" customWidth="1"/>
    <col min="6" max="6" width="12.81640625" style="136" customWidth="1"/>
    <col min="7" max="7" width="9.453125" style="136" customWidth="1"/>
    <col min="8" max="8" width="12.81640625" style="136" customWidth="1"/>
    <col min="9" max="9" width="9.453125" style="136" customWidth="1"/>
    <col min="10" max="10" width="12.81640625" style="136" customWidth="1"/>
    <col min="11" max="11" width="9.453125" style="136" customWidth="1"/>
    <col min="12" max="12" width="12.81640625" style="136" customWidth="1"/>
    <col min="13" max="13" width="9.453125" style="136" customWidth="1"/>
    <col min="14" max="16384" width="12.54296875" style="136"/>
  </cols>
  <sheetData>
    <row r="1" spans="1:13" ht="15.75" customHeight="1">
      <c r="A1" s="638" t="s">
        <v>362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</row>
    <row r="2" spans="1:13" s="137" customFormat="1" ht="15.75" customHeight="1">
      <c r="A2" s="638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</row>
    <row r="3" spans="1:13" ht="15.75" customHeight="1">
      <c r="A3" s="639" t="s">
        <v>238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</row>
    <row r="4" spans="1:13" s="137" customFormat="1" ht="15.75" customHeight="1">
      <c r="A4" s="639"/>
      <c r="B4" s="639"/>
      <c r="C4" s="639"/>
      <c r="D4" s="639"/>
      <c r="E4" s="639"/>
      <c r="F4" s="639"/>
      <c r="G4" s="639"/>
      <c r="H4" s="639"/>
      <c r="I4" s="639"/>
      <c r="J4" s="639"/>
      <c r="K4" s="639"/>
      <c r="L4" s="639"/>
      <c r="M4" s="639"/>
    </row>
    <row r="5" spans="1:13" ht="15.75" customHeight="1">
      <c r="A5" s="226" t="s">
        <v>423</v>
      </c>
      <c r="B5" s="138">
        <f>'生產管理報表(月)'!B6</f>
        <v>53412.636720000002</v>
      </c>
    </row>
    <row r="6" spans="1:13" ht="15.75" customHeight="1">
      <c r="A6" s="640" t="s">
        <v>239</v>
      </c>
      <c r="B6" s="641" t="s">
        <v>10</v>
      </c>
      <c r="C6" s="641"/>
      <c r="D6" s="642"/>
      <c r="E6" s="640" t="s">
        <v>197</v>
      </c>
      <c r="F6" s="644">
        <v>1</v>
      </c>
      <c r="G6" s="644"/>
      <c r="H6" s="644">
        <v>2</v>
      </c>
      <c r="I6" s="644"/>
      <c r="J6" s="644">
        <v>3</v>
      </c>
      <c r="K6" s="644"/>
      <c r="L6" s="644">
        <v>4</v>
      </c>
      <c r="M6" s="644"/>
    </row>
    <row r="7" spans="1:13" ht="31.4" customHeight="1">
      <c r="A7" s="640"/>
      <c r="B7" s="641"/>
      <c r="C7" s="641"/>
      <c r="D7" s="643"/>
      <c r="E7" s="640"/>
      <c r="F7" s="646" t="s">
        <v>454</v>
      </c>
      <c r="G7" s="646"/>
      <c r="H7" s="646" t="s">
        <v>240</v>
      </c>
      <c r="I7" s="646"/>
      <c r="J7" s="646" t="s">
        <v>166</v>
      </c>
      <c r="K7" s="646"/>
      <c r="L7" s="646" t="s">
        <v>431</v>
      </c>
      <c r="M7" s="646"/>
    </row>
    <row r="8" spans="1:13" ht="15.75" customHeight="1">
      <c r="A8" s="640"/>
      <c r="B8" s="155" t="s">
        <v>11</v>
      </c>
      <c r="C8" s="155" t="s">
        <v>241</v>
      </c>
      <c r="D8" s="643"/>
      <c r="E8" s="640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99999999999999" customHeight="1">
      <c r="A9" s="139" t="s">
        <v>242</v>
      </c>
      <c r="B9" s="140">
        <f>日別報廢率總表!B2</f>
        <v>107356.13530000002</v>
      </c>
      <c r="C9" s="141">
        <f>B9/($B$5*1000)</f>
        <v>2.009938881369645E-3</v>
      </c>
      <c r="D9" s="643"/>
      <c r="E9" s="139" t="s">
        <v>242</v>
      </c>
      <c r="F9" s="142">
        <f>'報廢20大－原因別分析'!AD113</f>
        <v>20351.542300000001</v>
      </c>
      <c r="G9" s="363">
        <f>'報廢20大－原因別分析'!AD114</f>
        <v>0.15</v>
      </c>
      <c r="H9" s="142">
        <f>'報廢20大－原因別分析'!AE113</f>
        <v>0</v>
      </c>
      <c r="I9" s="363">
        <f>'報廢20大－原因別分析'!AE114</f>
        <v>0</v>
      </c>
      <c r="J9" s="142">
        <f>'報廢20大－原因別分析'!AF113</f>
        <v>31296.859799999998</v>
      </c>
      <c r="K9" s="363">
        <f>'報廢20大－原因別分析'!AF114</f>
        <v>0.16</v>
      </c>
      <c r="L9" s="142">
        <f>'報廢20大－原因別分析'!AG113</f>
        <v>0</v>
      </c>
      <c r="M9" s="363">
        <f>'報廢20大－原因別分析'!AG114</f>
        <v>0</v>
      </c>
    </row>
    <row r="10" spans="1:13" ht="19.399999999999999" customHeight="1">
      <c r="A10" s="144" t="s">
        <v>243</v>
      </c>
      <c r="B10" s="145">
        <f>日別報廢率總表!F2</f>
        <v>328558.98929999996</v>
      </c>
      <c r="C10" s="141">
        <f>B10/($B$5*1000)</f>
        <v>6.1513343934390206E-3</v>
      </c>
      <c r="D10" s="643"/>
      <c r="E10" s="144" t="s">
        <v>243</v>
      </c>
      <c r="F10" s="142">
        <f>'超用20大－原因別分析'!AD113</f>
        <v>0</v>
      </c>
      <c r="G10" s="363">
        <f>'超用20大－原因別分析'!AD114</f>
        <v>0</v>
      </c>
      <c r="H10" s="142">
        <f>'超用20大－原因別分析'!AE113</f>
        <v>0</v>
      </c>
      <c r="I10" s="363">
        <f>'超用20大－原因別分析'!AE114</f>
        <v>0</v>
      </c>
      <c r="J10" s="142">
        <f>'報廢20大－原因別分析'!AF113</f>
        <v>31296.859799999998</v>
      </c>
      <c r="K10" s="363">
        <f>'超用20大－原因別分析'!AF114</f>
        <v>0</v>
      </c>
      <c r="L10" s="142">
        <f>'超用20大－原因別分析'!AG113</f>
        <v>133478.60050000009</v>
      </c>
      <c r="M10" s="363">
        <f>'超用20大－原因別分析'!AG114</f>
        <v>0.69</v>
      </c>
    </row>
    <row r="11" spans="1:13" ht="15.75" customHeight="1">
      <c r="D11" s="643"/>
      <c r="E11" s="640" t="s">
        <v>197</v>
      </c>
      <c r="F11" s="644">
        <v>5</v>
      </c>
      <c r="G11" s="644"/>
      <c r="H11" s="644">
        <v>6</v>
      </c>
      <c r="I11" s="644"/>
      <c r="J11" s="644">
        <v>7</v>
      </c>
      <c r="K11" s="644"/>
      <c r="L11" s="645">
        <v>8</v>
      </c>
      <c r="M11" s="645"/>
    </row>
    <row r="12" spans="1:13" ht="31.4" customHeight="1">
      <c r="D12" s="643"/>
      <c r="E12" s="640"/>
      <c r="F12" s="646" t="s">
        <v>189</v>
      </c>
      <c r="G12" s="646"/>
      <c r="H12" s="646" t="s">
        <v>167</v>
      </c>
      <c r="I12" s="646"/>
      <c r="J12" s="646" t="s">
        <v>190</v>
      </c>
      <c r="K12" s="646"/>
      <c r="L12" s="647"/>
      <c r="M12" s="647"/>
    </row>
    <row r="13" spans="1:13" ht="15.75" customHeight="1">
      <c r="D13" s="643"/>
      <c r="E13" s="640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99999999999999" customHeight="1">
      <c r="D14" s="643"/>
      <c r="E14" s="139" t="s">
        <v>242</v>
      </c>
      <c r="F14" s="142">
        <f>'報廢20大－原因別分析'!AH113</f>
        <v>2951.548600000001</v>
      </c>
      <c r="G14" s="363">
        <f>'報廢20大－原因別分析'!AH114</f>
        <v>0.02</v>
      </c>
      <c r="H14" s="142">
        <f>'報廢20大－原因別分析'!AI113</f>
        <v>13467.420899999999</v>
      </c>
      <c r="I14" s="363">
        <f>'報廢20大－原因別分析'!AI114</f>
        <v>7.0000000000000007E-2</v>
      </c>
      <c r="J14" s="142">
        <f>'報廢20大－原因別分析'!AJ113</f>
        <v>0</v>
      </c>
      <c r="K14" s="363">
        <f>'報廢20大－原因別分析'!AJ114</f>
        <v>0</v>
      </c>
      <c r="L14" s="142"/>
      <c r="M14" s="143"/>
    </row>
    <row r="15" spans="1:13" ht="19.399999999999999" customHeight="1">
      <c r="D15" s="643"/>
      <c r="E15" s="144" t="s">
        <v>243</v>
      </c>
      <c r="F15" s="142">
        <f>'超用20大－原因別分析'!AH113</f>
        <v>28645.648999999947</v>
      </c>
      <c r="G15" s="363">
        <f>'超用20大－原因別分析'!AH114</f>
        <v>0.08</v>
      </c>
      <c r="H15" s="142">
        <f>'超用20大－原因別分析'!AI113</f>
        <v>98370.117499999993</v>
      </c>
      <c r="I15" s="363">
        <f>'超用20大－原因別分析'!AI114</f>
        <v>0.23</v>
      </c>
      <c r="J15" s="142">
        <f>'超用20大－原因別分析'!AJ113</f>
        <v>0</v>
      </c>
      <c r="K15" s="363">
        <f>'超用20大－原因別分析'!AJ114</f>
        <v>0</v>
      </c>
      <c r="L15" s="142"/>
      <c r="M15" s="143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0000"/>
    <outlinePr summaryBelow="0" summaryRight="0"/>
  </sheetPr>
  <dimension ref="A1:BV30"/>
  <sheetViews>
    <sheetView view="pageBreakPreview" zoomScaleNormal="60" zoomScaleSheetLayoutView="100" workbookViewId="0">
      <selection activeCell="O25" sqref="O25:P29"/>
    </sheetView>
  </sheetViews>
  <sheetFormatPr defaultColWidth="12.54296875" defaultRowHeight="15.75" customHeight="1"/>
  <cols>
    <col min="1" max="1" width="5.453125" style="136" customWidth="1"/>
    <col min="2" max="2" width="11.453125" style="234" customWidth="1"/>
    <col min="3" max="3" width="4" style="235" customWidth="1"/>
    <col min="4" max="15" width="9.54296875" style="136" customWidth="1"/>
    <col min="16" max="16" width="55.453125" style="136" customWidth="1"/>
    <col min="17" max="20" width="12.54296875" style="233"/>
    <col min="21" max="21" width="24.453125" style="136" bestFit="1" customWidth="1"/>
    <col min="22" max="22" width="19.453125" style="136" bestFit="1" customWidth="1"/>
    <col min="23" max="23" width="23" style="136" bestFit="1" customWidth="1"/>
    <col min="24" max="24" width="11.7265625" style="136" bestFit="1" customWidth="1"/>
    <col min="25" max="25" width="15.81640625" style="136" bestFit="1" customWidth="1"/>
    <col min="26" max="26" width="23.54296875" style="136" bestFit="1" customWidth="1"/>
    <col min="27" max="27" width="23" style="136" bestFit="1" customWidth="1"/>
    <col min="28" max="28" width="11.7265625" style="136" bestFit="1" customWidth="1"/>
    <col min="29" max="29" width="20.54296875" style="136" bestFit="1" customWidth="1"/>
    <col min="30" max="30" width="15" style="136" bestFit="1" customWidth="1"/>
    <col min="31" max="31" width="23" style="136" bestFit="1" customWidth="1"/>
    <col min="32" max="32" width="11.7265625" style="136" bestFit="1" customWidth="1"/>
    <col min="33" max="33" width="15.81640625" style="136" bestFit="1" customWidth="1"/>
    <col min="34" max="34" width="15" style="136" bestFit="1" customWidth="1"/>
    <col min="35" max="35" width="23" style="136" bestFit="1" customWidth="1"/>
    <col min="36" max="36" width="15" style="136" bestFit="1" customWidth="1"/>
    <col min="37" max="37" width="23" style="136" bestFit="1" customWidth="1"/>
    <col min="38" max="38" width="11.7265625" style="136" bestFit="1" customWidth="1"/>
    <col min="39" max="39" width="13.81640625" style="136" bestFit="1" customWidth="1"/>
    <col min="40" max="40" width="27.81640625" style="136" bestFit="1" customWidth="1"/>
    <col min="41" max="41" width="23" style="136" bestFit="1" customWidth="1"/>
    <col min="42" max="42" width="8" style="136" bestFit="1" customWidth="1"/>
    <col min="43" max="43" width="30.7265625" style="136" bestFit="1" customWidth="1"/>
    <col min="44" max="44" width="25.7265625" style="136" bestFit="1" customWidth="1"/>
    <col min="45" max="45" width="23" style="136" bestFit="1" customWidth="1"/>
    <col min="46" max="46" width="15" style="136" bestFit="1" customWidth="1"/>
    <col min="47" max="47" width="23" style="136" bestFit="1" customWidth="1"/>
    <col min="48" max="48" width="11.7265625" style="136" bestFit="1" customWidth="1"/>
    <col min="49" max="49" width="20.1796875" style="136" bestFit="1" customWidth="1"/>
    <col min="50" max="50" width="23.54296875" style="136" bestFit="1" customWidth="1"/>
    <col min="51" max="51" width="23" style="136" bestFit="1" customWidth="1"/>
    <col min="52" max="52" width="11.7265625" style="136" bestFit="1" customWidth="1"/>
    <col min="53" max="53" width="21.453125" style="136" bestFit="1" customWidth="1"/>
    <col min="54" max="54" width="15" style="136" bestFit="1" customWidth="1"/>
    <col min="55" max="55" width="23" style="136" bestFit="1" customWidth="1"/>
    <col min="56" max="56" width="11.7265625" style="136" bestFit="1" customWidth="1"/>
    <col min="57" max="57" width="13.81640625" style="136" bestFit="1" customWidth="1"/>
    <col min="58" max="58" width="22" style="136" bestFit="1" customWidth="1"/>
    <col min="59" max="59" width="23" style="136" bestFit="1" customWidth="1"/>
    <col min="60" max="60" width="15" style="136" bestFit="1" customWidth="1"/>
    <col min="61" max="61" width="23" style="136" bestFit="1" customWidth="1"/>
    <col min="62" max="62" width="11.7265625" style="136" bestFit="1" customWidth="1"/>
    <col min="63" max="63" width="24.7265625" style="136" bestFit="1" customWidth="1"/>
    <col min="64" max="64" width="18.7265625" style="136" bestFit="1" customWidth="1"/>
    <col min="65" max="65" width="23" style="136" bestFit="1" customWidth="1"/>
    <col min="66" max="66" width="15" style="136" bestFit="1" customWidth="1"/>
    <col min="67" max="67" width="23" style="136" bestFit="1" customWidth="1"/>
    <col min="68" max="68" width="15" style="136" bestFit="1" customWidth="1"/>
    <col min="69" max="69" width="23" style="136" bestFit="1" customWidth="1"/>
    <col min="70" max="70" width="15" style="136" bestFit="1" customWidth="1"/>
    <col min="71" max="71" width="21.81640625" style="136" bestFit="1" customWidth="1"/>
    <col min="72" max="72" width="10.54296875" style="136" bestFit="1" customWidth="1"/>
    <col min="73" max="73" width="21.453125" style="136" bestFit="1" customWidth="1"/>
    <col min="74" max="74" width="5.453125" style="136" bestFit="1" customWidth="1"/>
    <col min="75" max="16384" width="12.54296875" style="136"/>
  </cols>
  <sheetData>
    <row r="1" spans="1:74" ht="15.75" customHeight="1">
      <c r="A1" s="638" t="s">
        <v>362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</row>
    <row r="2" spans="1:74" s="137" customFormat="1" ht="15.75" customHeight="1">
      <c r="A2" s="638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8"/>
    </row>
    <row r="3" spans="1:74" ht="15.75" customHeight="1">
      <c r="A3" s="639" t="s">
        <v>432</v>
      </c>
      <c r="B3" s="665"/>
      <c r="C3" s="665"/>
      <c r="D3" s="665"/>
      <c r="E3" s="665"/>
      <c r="F3" s="665"/>
      <c r="G3" s="665"/>
      <c r="H3" s="665"/>
      <c r="I3" s="665"/>
      <c r="J3" s="665"/>
      <c r="K3" s="665"/>
      <c r="L3" s="665"/>
      <c r="M3" s="665"/>
    </row>
    <row r="4" spans="1:74" s="137" customFormat="1" ht="15.75" customHeight="1">
      <c r="A4" s="665"/>
      <c r="B4" s="665"/>
      <c r="C4" s="665"/>
      <c r="D4" s="665"/>
      <c r="E4" s="665"/>
      <c r="F4" s="665"/>
      <c r="G4" s="665"/>
      <c r="H4" s="665"/>
      <c r="I4" s="665"/>
      <c r="J4" s="665"/>
      <c r="K4" s="665"/>
      <c r="L4" s="665"/>
      <c r="M4" s="665"/>
    </row>
    <row r="5" spans="1:74" ht="15.75" customHeight="1">
      <c r="A5" s="641" t="s">
        <v>191</v>
      </c>
      <c r="B5" s="666">
        <v>1</v>
      </c>
      <c r="C5" s="666"/>
      <c r="D5" s="666">
        <v>2</v>
      </c>
      <c r="E5" s="666"/>
      <c r="F5" s="666">
        <v>3</v>
      </c>
      <c r="G5" s="666"/>
      <c r="H5" s="644">
        <v>4</v>
      </c>
      <c r="I5" s="644"/>
      <c r="J5" s="644">
        <v>5</v>
      </c>
      <c r="K5" s="644"/>
      <c r="L5" s="644">
        <v>6</v>
      </c>
      <c r="M5" s="644"/>
      <c r="N5" s="644">
        <v>7</v>
      </c>
      <c r="O5" s="644"/>
      <c r="P5" s="359">
        <v>8</v>
      </c>
    </row>
    <row r="6" spans="1:74" ht="15.75" customHeight="1">
      <c r="A6" s="641"/>
      <c r="B6" s="667" t="s">
        <v>454</v>
      </c>
      <c r="C6" s="667"/>
      <c r="D6" s="667" t="s">
        <v>212</v>
      </c>
      <c r="E6" s="667"/>
      <c r="F6" s="667" t="s">
        <v>166</v>
      </c>
      <c r="G6" s="667"/>
      <c r="H6" s="641" t="s">
        <v>430</v>
      </c>
      <c r="I6" s="641"/>
      <c r="J6" s="641" t="s">
        <v>189</v>
      </c>
      <c r="K6" s="641"/>
      <c r="L6" s="641" t="s">
        <v>167</v>
      </c>
      <c r="M6" s="641"/>
      <c r="N6" s="641" t="s">
        <v>190</v>
      </c>
      <c r="O6" s="641"/>
      <c r="P6" s="360" t="s">
        <v>217</v>
      </c>
    </row>
    <row r="8" spans="1:74" s="237" customFormat="1" ht="15.75" customHeight="1">
      <c r="A8" s="644" t="s">
        <v>191</v>
      </c>
      <c r="B8" s="644"/>
      <c r="C8" s="236" t="s">
        <v>47</v>
      </c>
      <c r="D8" s="662" t="s">
        <v>12</v>
      </c>
      <c r="E8" s="662"/>
      <c r="F8" s="662"/>
      <c r="G8" s="656" t="s">
        <v>53</v>
      </c>
      <c r="H8" s="657"/>
      <c r="I8" s="658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648" t="s">
        <v>51</v>
      </c>
      <c r="P8" s="648"/>
    </row>
    <row r="9" spans="1:74" ht="55" customHeight="1">
      <c r="A9" s="644">
        <v>1</v>
      </c>
      <c r="B9" s="659" t="s">
        <v>455</v>
      </c>
      <c r="C9" s="238">
        <v>1</v>
      </c>
      <c r="D9" s="239"/>
      <c r="E9" s="240"/>
      <c r="F9" s="241"/>
      <c r="G9" s="308"/>
      <c r="H9" s="307"/>
      <c r="I9" s="308"/>
      <c r="J9" s="238"/>
      <c r="K9" s="244"/>
      <c r="L9" s="238"/>
      <c r="M9" s="324">
        <f>L9*J9</f>
        <v>0</v>
      </c>
      <c r="N9" s="245"/>
      <c r="O9" s="663"/>
      <c r="P9" s="663"/>
    </row>
    <row r="10" spans="1:74" ht="55" customHeight="1">
      <c r="A10" s="644"/>
      <c r="B10" s="659"/>
      <c r="C10" s="238">
        <v>2</v>
      </c>
      <c r="D10" s="239"/>
      <c r="E10" s="240"/>
      <c r="F10" s="241"/>
      <c r="G10" s="308"/>
      <c r="H10" s="307"/>
      <c r="I10" s="308"/>
      <c r="J10" s="238"/>
      <c r="K10" s="244"/>
      <c r="L10" s="238"/>
      <c r="M10" s="324">
        <f t="shared" ref="M10:M13" si="0">L10*J10</f>
        <v>0</v>
      </c>
      <c r="N10" s="245"/>
      <c r="O10" s="663"/>
      <c r="P10" s="663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</row>
    <row r="11" spans="1:74" ht="55" customHeight="1">
      <c r="A11" s="644"/>
      <c r="B11" s="659"/>
      <c r="C11" s="238">
        <v>3</v>
      </c>
      <c r="D11" s="239"/>
      <c r="E11" s="240"/>
      <c r="F11" s="241"/>
      <c r="G11" s="308"/>
      <c r="H11" s="307"/>
      <c r="I11" s="308"/>
      <c r="J11" s="238"/>
      <c r="K11" s="244"/>
      <c r="L11" s="238"/>
      <c r="M11" s="324">
        <f t="shared" si="0"/>
        <v>0</v>
      </c>
      <c r="N11" s="245"/>
      <c r="O11" s="664"/>
      <c r="P11" s="664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</row>
    <row r="12" spans="1:74" ht="99.75" customHeight="1">
      <c r="A12" s="644"/>
      <c r="B12" s="659"/>
      <c r="C12" s="238">
        <v>4</v>
      </c>
      <c r="D12" s="239"/>
      <c r="E12" s="240"/>
      <c r="F12" s="241"/>
      <c r="G12" s="308"/>
      <c r="H12" s="307"/>
      <c r="I12" s="308"/>
      <c r="J12" s="238"/>
      <c r="K12" s="244"/>
      <c r="L12" s="238"/>
      <c r="M12" s="324">
        <f t="shared" si="0"/>
        <v>0</v>
      </c>
      <c r="N12" s="245"/>
      <c r="O12" s="664"/>
      <c r="P12" s="664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</row>
    <row r="13" spans="1:74" ht="55" customHeight="1" thickBot="1">
      <c r="A13" s="644"/>
      <c r="B13" s="659"/>
      <c r="C13" s="238">
        <v>5</v>
      </c>
      <c r="D13" s="246"/>
      <c r="E13" s="247"/>
      <c r="F13" s="248"/>
      <c r="G13" s="367"/>
      <c r="H13" s="366"/>
      <c r="I13" s="367"/>
      <c r="J13" s="249"/>
      <c r="K13" s="250"/>
      <c r="L13" s="249"/>
      <c r="M13" s="325">
        <f t="shared" si="0"/>
        <v>0</v>
      </c>
      <c r="N13" s="245"/>
      <c r="O13" s="664"/>
      <c r="P13" s="664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</row>
    <row r="14" spans="1:74" ht="15.75" customHeight="1" thickTop="1">
      <c r="A14" s="644"/>
      <c r="B14" s="659"/>
      <c r="C14" s="650"/>
      <c r="D14" s="651"/>
      <c r="E14" s="651"/>
      <c r="F14" s="651"/>
      <c r="G14" s="651"/>
      <c r="H14" s="651"/>
      <c r="I14" s="652"/>
      <c r="J14" s="251" t="s">
        <v>58</v>
      </c>
      <c r="K14" s="341">
        <f>M14/'生產管理報表 7-1(月)'!$B$9</f>
        <v>0</v>
      </c>
      <c r="L14" s="251" t="s">
        <v>59</v>
      </c>
      <c r="M14" s="361">
        <f>SUM(M9:M13)</f>
        <v>0</v>
      </c>
      <c r="N14" s="661"/>
      <c r="O14" s="661"/>
      <c r="P14" s="661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</row>
    <row r="15" spans="1:74" ht="15.75" customHeight="1"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</row>
    <row r="16" spans="1:74" ht="15.75" customHeight="1">
      <c r="A16" s="644" t="s">
        <v>191</v>
      </c>
      <c r="B16" s="644"/>
      <c r="C16" s="254" t="s">
        <v>47</v>
      </c>
      <c r="D16" s="653" t="s">
        <v>12</v>
      </c>
      <c r="E16" s="654"/>
      <c r="F16" s="655"/>
      <c r="G16" s="656" t="s">
        <v>53</v>
      </c>
      <c r="H16" s="657"/>
      <c r="I16" s="658"/>
      <c r="J16" s="256" t="s">
        <v>54</v>
      </c>
      <c r="K16" s="256" t="s">
        <v>55</v>
      </c>
      <c r="L16" s="256" t="s">
        <v>56</v>
      </c>
      <c r="M16" s="256" t="s">
        <v>11</v>
      </c>
      <c r="N16" s="236" t="s">
        <v>333</v>
      </c>
      <c r="O16" s="648" t="s">
        <v>51</v>
      </c>
      <c r="P16" s="648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</row>
    <row r="17" spans="1:35" ht="20.149999999999999" customHeight="1">
      <c r="A17" s="644">
        <v>2</v>
      </c>
      <c r="B17" s="659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45"/>
      <c r="O17" s="649"/>
      <c r="P17" s="649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</row>
    <row r="18" spans="1:35" ht="20.149999999999999" customHeight="1">
      <c r="A18" s="644"/>
      <c r="B18" s="659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45"/>
      <c r="O18" s="649"/>
      <c r="P18" s="649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</row>
    <row r="19" spans="1:35" ht="20.149999999999999" customHeight="1">
      <c r="A19" s="644"/>
      <c r="B19" s="659"/>
      <c r="C19" s="258">
        <v>3</v>
      </c>
      <c r="D19" s="239"/>
      <c r="E19" s="240"/>
      <c r="F19" s="241"/>
      <c r="G19" s="239"/>
      <c r="H19" s="240"/>
      <c r="I19" s="241"/>
      <c r="J19" s="259"/>
      <c r="K19" s="260"/>
      <c r="L19" s="259"/>
      <c r="M19" s="261">
        <f t="shared" si="1"/>
        <v>0</v>
      </c>
      <c r="N19" s="245"/>
      <c r="O19" s="668"/>
      <c r="P19" s="668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</row>
    <row r="20" spans="1:35" ht="20.149999999999999" customHeight="1">
      <c r="A20" s="644"/>
      <c r="B20" s="659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45"/>
      <c r="O20" s="668"/>
      <c r="P20" s="668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</row>
    <row r="21" spans="1:35" ht="20.149999999999999" customHeight="1" thickBot="1">
      <c r="A21" s="644"/>
      <c r="B21" s="659"/>
      <c r="C21" s="264">
        <v>5</v>
      </c>
      <c r="D21" s="246"/>
      <c r="E21" s="247"/>
      <c r="F21" s="248"/>
      <c r="G21" s="246"/>
      <c r="H21" s="247"/>
      <c r="I21" s="248"/>
      <c r="J21" s="265"/>
      <c r="K21" s="266"/>
      <c r="L21" s="265"/>
      <c r="M21" s="267">
        <f t="shared" si="1"/>
        <v>0</v>
      </c>
      <c r="N21" s="245"/>
      <c r="O21" s="668"/>
      <c r="P21" s="668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</row>
    <row r="22" spans="1:35" ht="15.75" customHeight="1" thickTop="1">
      <c r="A22" s="644"/>
      <c r="B22" s="659"/>
      <c r="C22" s="650"/>
      <c r="D22" s="651"/>
      <c r="E22" s="651"/>
      <c r="F22" s="651"/>
      <c r="G22" s="651"/>
      <c r="H22" s="651"/>
      <c r="I22" s="652"/>
      <c r="J22" s="251" t="s">
        <v>58</v>
      </c>
      <c r="K22" s="341">
        <f>M22/'生產管理報表 7-1(月)'!$B$9</f>
        <v>0</v>
      </c>
      <c r="L22" s="251" t="s">
        <v>59</v>
      </c>
      <c r="M22" s="252">
        <f>SUM(M17:M21)</f>
        <v>0</v>
      </c>
      <c r="N22" s="661"/>
      <c r="O22" s="661"/>
      <c r="P22" s="661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</row>
    <row r="23" spans="1:35" ht="15.75" customHeight="1"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</row>
    <row r="24" spans="1:35" ht="15.75" customHeight="1">
      <c r="A24" s="644" t="s">
        <v>191</v>
      </c>
      <c r="B24" s="644"/>
      <c r="C24" s="254" t="s">
        <v>47</v>
      </c>
      <c r="D24" s="653" t="s">
        <v>12</v>
      </c>
      <c r="E24" s="654"/>
      <c r="F24" s="655"/>
      <c r="G24" s="656" t="s">
        <v>53</v>
      </c>
      <c r="H24" s="657"/>
      <c r="I24" s="658"/>
      <c r="J24" s="255" t="s">
        <v>54</v>
      </c>
      <c r="K24" s="256" t="s">
        <v>55</v>
      </c>
      <c r="L24" s="256" t="s">
        <v>56</v>
      </c>
      <c r="M24" s="256" t="s">
        <v>11</v>
      </c>
      <c r="N24" s="236" t="s">
        <v>333</v>
      </c>
      <c r="O24" s="648" t="s">
        <v>51</v>
      </c>
      <c r="P24" s="648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</row>
    <row r="25" spans="1:35" ht="100" customHeight="1">
      <c r="A25" s="644">
        <v>3</v>
      </c>
      <c r="B25" s="659" t="s">
        <v>424</v>
      </c>
      <c r="C25" s="258">
        <v>1</v>
      </c>
      <c r="D25" s="239"/>
      <c r="E25" s="240"/>
      <c r="F25" s="241"/>
      <c r="G25" s="367"/>
      <c r="H25" s="366"/>
      <c r="I25" s="367"/>
      <c r="J25" s="259"/>
      <c r="K25" s="260"/>
      <c r="L25" s="259"/>
      <c r="M25" s="327">
        <f t="shared" ref="M25:M29" si="2">L25*J25</f>
        <v>0</v>
      </c>
      <c r="N25" s="245"/>
      <c r="O25" s="649"/>
      <c r="P25" s="649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</row>
    <row r="26" spans="1:35" ht="100" customHeight="1">
      <c r="A26" s="644"/>
      <c r="B26" s="659"/>
      <c r="C26" s="258">
        <v>2</v>
      </c>
      <c r="D26" s="239"/>
      <c r="E26" s="240"/>
      <c r="F26" s="241"/>
      <c r="G26" s="367"/>
      <c r="H26" s="366"/>
      <c r="I26" s="367"/>
      <c r="J26" s="259"/>
      <c r="K26" s="260"/>
      <c r="L26" s="259"/>
      <c r="M26" s="327">
        <f t="shared" si="2"/>
        <v>0</v>
      </c>
      <c r="N26" s="245"/>
      <c r="O26" s="649"/>
      <c r="P26" s="649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</row>
    <row r="27" spans="1:35" ht="100" customHeight="1">
      <c r="A27" s="644"/>
      <c r="B27" s="659"/>
      <c r="C27" s="258">
        <v>3</v>
      </c>
      <c r="D27" s="239"/>
      <c r="E27" s="240"/>
      <c r="F27" s="241"/>
      <c r="G27" s="367"/>
      <c r="H27" s="366"/>
      <c r="I27" s="367"/>
      <c r="J27" s="259"/>
      <c r="K27" s="260"/>
      <c r="L27" s="259"/>
      <c r="M27" s="327">
        <f t="shared" si="2"/>
        <v>0</v>
      </c>
      <c r="N27" s="245"/>
      <c r="O27" s="660"/>
      <c r="P27" s="660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</row>
    <row r="28" spans="1:35" ht="100" customHeight="1">
      <c r="A28" s="644"/>
      <c r="B28" s="659"/>
      <c r="C28" s="258">
        <v>4</v>
      </c>
      <c r="D28" s="239"/>
      <c r="E28" s="240"/>
      <c r="F28" s="241"/>
      <c r="G28" s="248"/>
      <c r="H28" s="247"/>
      <c r="I28" s="248"/>
      <c r="J28" s="259"/>
      <c r="K28" s="260"/>
      <c r="L28" s="259"/>
      <c r="M28" s="327">
        <f t="shared" si="2"/>
        <v>0</v>
      </c>
      <c r="N28" s="245"/>
      <c r="O28" s="660"/>
      <c r="P28" s="660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</row>
    <row r="29" spans="1:35" ht="125.25" customHeight="1" thickBot="1">
      <c r="A29" s="644"/>
      <c r="B29" s="659"/>
      <c r="C29" s="264">
        <v>5</v>
      </c>
      <c r="D29" s="246"/>
      <c r="E29" s="247"/>
      <c r="F29" s="248"/>
      <c r="G29" s="367"/>
      <c r="H29" s="366"/>
      <c r="I29" s="367"/>
      <c r="J29" s="265"/>
      <c r="K29" s="266"/>
      <c r="L29" s="265"/>
      <c r="M29" s="327">
        <f t="shared" si="2"/>
        <v>0</v>
      </c>
      <c r="N29" s="245"/>
      <c r="O29" s="660"/>
      <c r="P29" s="660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</row>
    <row r="30" spans="1:35" ht="15.75" customHeight="1" thickTop="1">
      <c r="A30" s="644"/>
      <c r="B30" s="659"/>
      <c r="C30" s="650"/>
      <c r="D30" s="651"/>
      <c r="E30" s="651"/>
      <c r="F30" s="651"/>
      <c r="G30" s="651"/>
      <c r="H30" s="651"/>
      <c r="I30" s="652"/>
      <c r="J30" s="276" t="s">
        <v>58</v>
      </c>
      <c r="K30" s="341">
        <f>M30/'生產管理報表 7-1(月)'!$B$9</f>
        <v>0</v>
      </c>
      <c r="L30" s="276" t="s">
        <v>59</v>
      </c>
      <c r="M30" s="328">
        <f>SUM(M25:M29)</f>
        <v>0</v>
      </c>
      <c r="N30" s="661"/>
      <c r="O30" s="661"/>
      <c r="P30" s="661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</row>
  </sheetData>
  <mergeCells count="56">
    <mergeCell ref="O28:P28"/>
    <mergeCell ref="O29:P29"/>
    <mergeCell ref="N30:P30"/>
    <mergeCell ref="O19:P19"/>
    <mergeCell ref="O20:P20"/>
    <mergeCell ref="O21:P21"/>
    <mergeCell ref="N22:P22"/>
    <mergeCell ref="O24:P2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B17:B22"/>
    <mergeCell ref="C22:I22"/>
    <mergeCell ref="A9:A14"/>
    <mergeCell ref="B9:B14"/>
    <mergeCell ref="C14:I14"/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3" fitToWidth="0" fitToHeight="0" pageOrder="overThenDown" orientation="landscape" cellComments="atEnd" r:id="rId1"/>
  <rowBreaks count="1" manualBreakCount="1">
    <brk id="22" max="1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0000"/>
    <outlinePr summaryBelow="0" summaryRight="0"/>
  </sheetPr>
  <dimension ref="A1:T156"/>
  <sheetViews>
    <sheetView view="pageBreakPreview" topLeftCell="A22" zoomScale="91" zoomScaleNormal="60" zoomScaleSheetLayoutView="91" workbookViewId="0">
      <selection activeCell="O25" sqref="O25:P29"/>
    </sheetView>
  </sheetViews>
  <sheetFormatPr defaultColWidth="12.54296875" defaultRowHeight="15.75" customHeight="1"/>
  <cols>
    <col min="1" max="1" width="5.453125" style="291" customWidth="1"/>
    <col min="2" max="2" width="11.453125" style="299" customWidth="1"/>
    <col min="3" max="3" width="4" style="300" customWidth="1"/>
    <col min="4" max="4" width="9.54296875" style="291" customWidth="1"/>
    <col min="5" max="5" width="10.26953125" style="291" customWidth="1"/>
    <col min="6" max="15" width="9.54296875" style="291" customWidth="1"/>
    <col min="16" max="16" width="38" style="291" customWidth="1"/>
    <col min="17" max="16384" width="12.54296875" style="291"/>
  </cols>
  <sheetData>
    <row r="1" spans="1:20" s="136" customFormat="1" ht="15.75" customHeight="1">
      <c r="A1" s="638" t="s">
        <v>362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</row>
    <row r="2" spans="1:20" s="137" customFormat="1" ht="15.75" customHeight="1">
      <c r="A2" s="638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8"/>
    </row>
    <row r="3" spans="1:20" s="136" customFormat="1" ht="15.75" customHeight="1">
      <c r="A3" s="639" t="s">
        <v>432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</row>
    <row r="4" spans="1:20" s="137" customFormat="1" ht="15.75" customHeight="1">
      <c r="A4" s="734"/>
      <c r="B4" s="734"/>
      <c r="C4" s="734"/>
      <c r="D4" s="734"/>
      <c r="E4" s="734"/>
      <c r="F4" s="734"/>
      <c r="G4" s="734"/>
      <c r="H4" s="734"/>
      <c r="I4" s="734"/>
      <c r="J4" s="734"/>
      <c r="K4" s="734"/>
      <c r="L4" s="734"/>
      <c r="M4" s="734"/>
    </row>
    <row r="5" spans="1:20" s="136" customFormat="1" ht="15.75" customHeight="1">
      <c r="A5" s="735" t="s">
        <v>191</v>
      </c>
      <c r="B5" s="737">
        <v>1</v>
      </c>
      <c r="C5" s="738"/>
      <c r="D5" s="737">
        <v>2</v>
      </c>
      <c r="E5" s="738"/>
      <c r="F5" s="737">
        <v>3</v>
      </c>
      <c r="G5" s="738"/>
      <c r="H5" s="728">
        <v>4</v>
      </c>
      <c r="I5" s="729"/>
      <c r="J5" s="728">
        <v>5</v>
      </c>
      <c r="K5" s="729"/>
      <c r="L5" s="728">
        <v>6</v>
      </c>
      <c r="M5" s="729"/>
      <c r="N5" s="728">
        <v>7</v>
      </c>
      <c r="O5" s="729"/>
      <c r="P5" s="329">
        <v>8</v>
      </c>
    </row>
    <row r="6" spans="1:20" s="136" customFormat="1" ht="15.75" customHeight="1">
      <c r="A6" s="736"/>
      <c r="B6" s="732" t="s">
        <v>454</v>
      </c>
      <c r="C6" s="733"/>
      <c r="D6" s="732" t="s">
        <v>212</v>
      </c>
      <c r="E6" s="733"/>
      <c r="F6" s="732" t="s">
        <v>166</v>
      </c>
      <c r="G6" s="733"/>
      <c r="H6" s="730" t="s">
        <v>430</v>
      </c>
      <c r="I6" s="731"/>
      <c r="J6" s="730" t="s">
        <v>189</v>
      </c>
      <c r="K6" s="731"/>
      <c r="L6" s="730" t="s">
        <v>167</v>
      </c>
      <c r="M6" s="731"/>
      <c r="N6" s="730" t="s">
        <v>190</v>
      </c>
      <c r="O6" s="731"/>
      <c r="P6" s="330" t="s">
        <v>217</v>
      </c>
    </row>
    <row r="7" spans="1:20" s="136" customFormat="1" ht="15.75" customHeight="1">
      <c r="B7" s="234"/>
      <c r="C7" s="235"/>
    </row>
    <row r="8" spans="1:20" s="280" customFormat="1" ht="15.75" customHeight="1">
      <c r="A8" s="672" t="s">
        <v>191</v>
      </c>
      <c r="B8" s="673"/>
      <c r="C8" s="277" t="s">
        <v>47</v>
      </c>
      <c r="D8" s="702" t="s">
        <v>12</v>
      </c>
      <c r="E8" s="703"/>
      <c r="F8" s="704"/>
      <c r="G8" s="705" t="s">
        <v>53</v>
      </c>
      <c r="H8" s="706"/>
      <c r="I8" s="707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680" t="s">
        <v>51</v>
      </c>
      <c r="P8" s="681"/>
      <c r="R8" s="342"/>
      <c r="S8" s="343"/>
    </row>
    <row r="9" spans="1:20" s="300" customFormat="1" ht="20.149999999999999" customHeight="1">
      <c r="A9" s="682">
        <v>4</v>
      </c>
      <c r="B9" s="716" t="s">
        <v>430</v>
      </c>
      <c r="C9" s="281">
        <v>1</v>
      </c>
      <c r="D9" s="239"/>
      <c r="E9" s="240"/>
      <c r="F9" s="241"/>
      <c r="G9" s="270"/>
      <c r="H9" s="240"/>
      <c r="I9" s="270"/>
      <c r="J9" s="238"/>
      <c r="K9" s="244"/>
      <c r="L9" s="238"/>
      <c r="M9" s="324">
        <f t="shared" ref="M9:M13" si="0">L9*J9</f>
        <v>0</v>
      </c>
      <c r="N9" s="316"/>
      <c r="O9" s="719"/>
      <c r="P9" s="720"/>
      <c r="R9" s="344"/>
      <c r="S9" s="344"/>
    </row>
    <row r="10" spans="1:20" s="300" customFormat="1" ht="20.149999999999999" customHeight="1">
      <c r="A10" s="683"/>
      <c r="B10" s="717"/>
      <c r="C10" s="281">
        <v>2</v>
      </c>
      <c r="D10" s="239"/>
      <c r="E10" s="240"/>
      <c r="F10" s="241"/>
      <c r="G10" s="239"/>
      <c r="H10" s="240"/>
      <c r="I10" s="270"/>
      <c r="J10" s="238"/>
      <c r="K10" s="244"/>
      <c r="L10" s="238"/>
      <c r="M10" s="324">
        <f t="shared" si="0"/>
        <v>0</v>
      </c>
      <c r="N10" s="316"/>
      <c r="O10" s="712"/>
      <c r="P10" s="713"/>
      <c r="R10" s="344"/>
      <c r="S10" s="344"/>
    </row>
    <row r="11" spans="1:20" s="300" customFormat="1" ht="20.149999999999999" customHeight="1">
      <c r="A11" s="683"/>
      <c r="B11" s="717"/>
      <c r="C11" s="281">
        <v>3</v>
      </c>
      <c r="D11" s="239"/>
      <c r="E11" s="240"/>
      <c r="F11" s="241"/>
      <c r="G11" s="270"/>
      <c r="H11" s="240"/>
      <c r="I11" s="270"/>
      <c r="J11" s="238"/>
      <c r="K11" s="244"/>
      <c r="L11" s="238"/>
      <c r="M11" s="324">
        <f t="shared" si="0"/>
        <v>0</v>
      </c>
      <c r="N11" s="316"/>
      <c r="O11" s="721"/>
      <c r="P11" s="722"/>
      <c r="R11" s="344"/>
      <c r="S11" s="342"/>
    </row>
    <row r="12" spans="1:20" s="300" customFormat="1" ht="20.149999999999999" customHeight="1">
      <c r="A12" s="683"/>
      <c r="B12" s="717"/>
      <c r="C12" s="281">
        <v>4</v>
      </c>
      <c r="D12" s="239"/>
      <c r="E12" s="240"/>
      <c r="F12" s="241"/>
      <c r="G12" s="246"/>
      <c r="H12" s="247"/>
      <c r="I12" s="273"/>
      <c r="J12" s="238"/>
      <c r="K12" s="244"/>
      <c r="L12" s="238"/>
      <c r="M12" s="324">
        <f t="shared" si="0"/>
        <v>0</v>
      </c>
      <c r="N12" s="316"/>
      <c r="O12" s="712"/>
      <c r="P12" s="713"/>
      <c r="R12" s="344"/>
      <c r="S12" s="342"/>
    </row>
    <row r="13" spans="1:20" s="300" customFormat="1" ht="20.149999999999999" customHeight="1" thickBot="1">
      <c r="A13" s="683"/>
      <c r="B13" s="717"/>
      <c r="C13" s="281">
        <v>5</v>
      </c>
      <c r="D13" s="246"/>
      <c r="E13" s="247"/>
      <c r="F13" s="248"/>
      <c r="G13" s="367"/>
      <c r="H13" s="366"/>
      <c r="I13" s="367"/>
      <c r="J13" s="249"/>
      <c r="K13" s="250"/>
      <c r="L13" s="249"/>
      <c r="M13" s="324">
        <f t="shared" si="0"/>
        <v>0</v>
      </c>
      <c r="N13" s="316"/>
      <c r="O13" s="723"/>
      <c r="P13" s="724"/>
      <c r="R13" s="345"/>
      <c r="S13" s="342"/>
      <c r="T13" s="291"/>
    </row>
    <row r="14" spans="1:20" ht="15.75" customHeight="1" thickTop="1" thickBot="1">
      <c r="A14" s="684"/>
      <c r="B14" s="718"/>
      <c r="C14" s="725"/>
      <c r="D14" s="726"/>
      <c r="E14" s="726"/>
      <c r="F14" s="726"/>
      <c r="G14" s="726"/>
      <c r="H14" s="726"/>
      <c r="I14" s="727"/>
      <c r="J14" s="297" t="s">
        <v>58</v>
      </c>
      <c r="K14" s="449">
        <f>M14/'生產管理報表 7-1(月)'!$B$9</f>
        <v>0</v>
      </c>
      <c r="L14" s="298" t="s">
        <v>59</v>
      </c>
      <c r="M14" s="336">
        <f>SUM(M9:M13)</f>
        <v>0</v>
      </c>
      <c r="N14" s="669"/>
      <c r="O14" s="670"/>
      <c r="P14" s="671"/>
      <c r="R14" s="342"/>
      <c r="S14" s="342"/>
    </row>
    <row r="15" spans="1:20" ht="15.75" customHeight="1" thickTop="1">
      <c r="M15" s="331"/>
      <c r="S15" s="342"/>
    </row>
    <row r="16" spans="1:20" ht="15.75" customHeight="1">
      <c r="A16" s="672" t="s">
        <v>191</v>
      </c>
      <c r="B16" s="673"/>
      <c r="C16" s="277" t="s">
        <v>47</v>
      </c>
      <c r="D16" s="702" t="s">
        <v>12</v>
      </c>
      <c r="E16" s="703"/>
      <c r="F16" s="704"/>
      <c r="G16" s="705" t="s">
        <v>53</v>
      </c>
      <c r="H16" s="706"/>
      <c r="I16" s="707"/>
      <c r="J16" s="278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680" t="s">
        <v>51</v>
      </c>
      <c r="P16" s="681"/>
      <c r="S16" s="343"/>
      <c r="T16" s="300"/>
    </row>
    <row r="17" spans="1:20" s="300" customFormat="1" ht="40" customHeight="1">
      <c r="A17" s="682">
        <v>5</v>
      </c>
      <c r="B17" s="695" t="s">
        <v>215</v>
      </c>
      <c r="C17" s="281">
        <v>1</v>
      </c>
      <c r="D17" s="239"/>
      <c r="E17" s="240"/>
      <c r="F17" s="241"/>
      <c r="G17" s="308"/>
      <c r="H17" s="307"/>
      <c r="I17" s="308"/>
      <c r="J17" s="314"/>
      <c r="K17" s="315"/>
      <c r="L17" s="316"/>
      <c r="M17" s="324">
        <f t="shared" ref="M17:M21" si="1">L17*J17</f>
        <v>0</v>
      </c>
      <c r="N17" s="316"/>
      <c r="O17" s="708"/>
      <c r="P17" s="709"/>
      <c r="S17" s="342"/>
    </row>
    <row r="18" spans="1:20" s="300" customFormat="1" ht="40" customHeight="1">
      <c r="A18" s="683"/>
      <c r="B18" s="696"/>
      <c r="C18" s="281">
        <v>2</v>
      </c>
      <c r="D18" s="239"/>
      <c r="E18" s="240"/>
      <c r="F18" s="241"/>
      <c r="G18" s="308"/>
      <c r="H18" s="307"/>
      <c r="I18" s="308"/>
      <c r="J18" s="314"/>
      <c r="K18" s="315"/>
      <c r="L18" s="316"/>
      <c r="M18" s="324">
        <f t="shared" si="1"/>
        <v>0</v>
      </c>
      <c r="N18" s="316"/>
      <c r="O18" s="700"/>
      <c r="P18" s="701"/>
      <c r="S18" s="291"/>
      <c r="T18" s="291"/>
    </row>
    <row r="19" spans="1:20" ht="20.149999999999999" customHeight="1">
      <c r="A19" s="683"/>
      <c r="B19" s="696"/>
      <c r="C19" s="281">
        <v>3</v>
      </c>
      <c r="D19" s="239"/>
      <c r="E19" s="283"/>
      <c r="F19" s="284"/>
      <c r="G19" s="356"/>
      <c r="H19" s="307"/>
      <c r="I19" s="308"/>
      <c r="J19" s="314"/>
      <c r="K19" s="315"/>
      <c r="L19" s="316"/>
      <c r="M19" s="324">
        <f t="shared" si="1"/>
        <v>0</v>
      </c>
      <c r="N19" s="290"/>
      <c r="O19" s="710"/>
      <c r="P19" s="711"/>
    </row>
    <row r="20" spans="1:20" ht="20.149999999999999" customHeight="1">
      <c r="A20" s="683"/>
      <c r="B20" s="696"/>
      <c r="C20" s="281">
        <v>4</v>
      </c>
      <c r="D20" s="239"/>
      <c r="E20" s="283"/>
      <c r="F20" s="284"/>
      <c r="G20" s="356"/>
      <c r="H20" s="307"/>
      <c r="I20" s="308"/>
      <c r="J20" s="314"/>
      <c r="K20" s="315"/>
      <c r="L20" s="316"/>
      <c r="M20" s="324">
        <f t="shared" si="1"/>
        <v>0</v>
      </c>
      <c r="N20" s="290"/>
      <c r="O20" s="712"/>
      <c r="P20" s="713"/>
    </row>
    <row r="21" spans="1:20" ht="20.149999999999999" customHeight="1" thickBot="1">
      <c r="A21" s="683"/>
      <c r="B21" s="696"/>
      <c r="C21" s="281">
        <v>5</v>
      </c>
      <c r="D21" s="246"/>
      <c r="E21" s="293"/>
      <c r="F21" s="294"/>
      <c r="G21" s="356"/>
      <c r="H21" s="307"/>
      <c r="I21" s="308"/>
      <c r="J21" s="318"/>
      <c r="K21" s="266"/>
      <c r="L21" s="319"/>
      <c r="M21" s="324">
        <f t="shared" si="1"/>
        <v>0</v>
      </c>
      <c r="N21" s="290"/>
      <c r="O21" s="714"/>
      <c r="P21" s="715"/>
      <c r="R21" s="346"/>
    </row>
    <row r="22" spans="1:20" ht="15.75" customHeight="1" thickTop="1" thickBot="1">
      <c r="A22" s="684"/>
      <c r="B22" s="697"/>
      <c r="C22" s="692"/>
      <c r="D22" s="693"/>
      <c r="E22" s="693"/>
      <c r="F22" s="693"/>
      <c r="G22" s="693"/>
      <c r="H22" s="693"/>
      <c r="I22" s="694"/>
      <c r="J22" s="297" t="s">
        <v>58</v>
      </c>
      <c r="K22" s="341">
        <f>M22/'生產管理報表 7-1(月)'!$B$9</f>
        <v>0</v>
      </c>
      <c r="L22" s="298" t="s">
        <v>59</v>
      </c>
      <c r="M22" s="336">
        <f>SUM(M17:M21)</f>
        <v>0</v>
      </c>
      <c r="N22" s="669"/>
      <c r="O22" s="670"/>
      <c r="P22" s="671"/>
      <c r="R22" s="342"/>
    </row>
    <row r="23" spans="1:20" ht="15.75" customHeight="1" thickTop="1">
      <c r="M23" s="331"/>
      <c r="R23" s="342"/>
    </row>
    <row r="24" spans="1:20" ht="15.75" customHeight="1">
      <c r="A24" s="672" t="s">
        <v>191</v>
      </c>
      <c r="B24" s="673"/>
      <c r="C24" s="305" t="s">
        <v>47</v>
      </c>
      <c r="D24" s="674" t="s">
        <v>12</v>
      </c>
      <c r="E24" s="675"/>
      <c r="F24" s="676"/>
      <c r="G24" s="677" t="s">
        <v>53</v>
      </c>
      <c r="H24" s="678"/>
      <c r="I24" s="679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680" t="s">
        <v>51</v>
      </c>
      <c r="P24" s="681"/>
      <c r="R24" s="342"/>
    </row>
    <row r="25" spans="1:20" s="300" customFormat="1" ht="60" customHeight="1">
      <c r="A25" s="682">
        <v>6</v>
      </c>
      <c r="B25" s="695" t="s">
        <v>216</v>
      </c>
      <c r="C25" s="281">
        <v>1</v>
      </c>
      <c r="D25" s="239"/>
      <c r="E25" s="240"/>
      <c r="F25" s="241"/>
      <c r="G25" s="308"/>
      <c r="H25" s="307"/>
      <c r="I25" s="308"/>
      <c r="J25" s="314"/>
      <c r="K25" s="315"/>
      <c r="L25" s="316"/>
      <c r="M25" s="324">
        <f t="shared" ref="M25" si="2">L25*J25</f>
        <v>0</v>
      </c>
      <c r="N25" s="316"/>
      <c r="O25" s="698"/>
      <c r="P25" s="699"/>
    </row>
    <row r="26" spans="1:20" ht="60" customHeight="1">
      <c r="A26" s="683"/>
      <c r="B26" s="696"/>
      <c r="C26" s="281">
        <v>2</v>
      </c>
      <c r="D26" s="239"/>
      <c r="E26" s="283"/>
      <c r="F26" s="284"/>
      <c r="G26" s="242"/>
      <c r="H26" s="243"/>
      <c r="I26" s="242"/>
      <c r="J26" s="314"/>
      <c r="K26" s="315"/>
      <c r="L26" s="316"/>
      <c r="M26" s="324">
        <v>0</v>
      </c>
      <c r="N26" s="290"/>
      <c r="O26" s="700"/>
      <c r="P26" s="701"/>
    </row>
    <row r="27" spans="1:20" ht="60" customHeight="1">
      <c r="A27" s="683"/>
      <c r="B27" s="696"/>
      <c r="C27" s="281">
        <v>3</v>
      </c>
      <c r="D27" s="239"/>
      <c r="E27" s="283"/>
      <c r="F27" s="284"/>
      <c r="G27" s="242"/>
      <c r="H27" s="243"/>
      <c r="I27" s="242"/>
      <c r="J27" s="314"/>
      <c r="K27" s="315"/>
      <c r="L27" s="316"/>
      <c r="M27" s="324">
        <v>0</v>
      </c>
      <c r="N27" s="290"/>
      <c r="O27" s="700"/>
      <c r="P27" s="701"/>
    </row>
    <row r="28" spans="1:20" ht="20.149999999999999" customHeight="1">
      <c r="A28" s="683"/>
      <c r="B28" s="696"/>
      <c r="C28" s="281">
        <v>4</v>
      </c>
      <c r="D28" s="282"/>
      <c r="E28" s="283"/>
      <c r="F28" s="284"/>
      <c r="G28" s="285"/>
      <c r="H28" s="286"/>
      <c r="I28" s="287"/>
      <c r="J28" s="288"/>
      <c r="K28" s="289"/>
      <c r="L28" s="290"/>
      <c r="M28" s="333">
        <v>0</v>
      </c>
      <c r="N28" s="290"/>
      <c r="O28" s="301"/>
      <c r="P28" s="302"/>
    </row>
    <row r="29" spans="1:20" ht="20.149999999999999" customHeight="1" thickBot="1">
      <c r="A29" s="683"/>
      <c r="B29" s="696"/>
      <c r="C29" s="281">
        <v>5</v>
      </c>
      <c r="D29" s="292"/>
      <c r="E29" s="293"/>
      <c r="F29" s="294"/>
      <c r="G29" s="285"/>
      <c r="H29" s="286"/>
      <c r="I29" s="287"/>
      <c r="J29" s="295"/>
      <c r="K29" s="358"/>
      <c r="L29" s="296"/>
      <c r="M29" s="333">
        <v>0</v>
      </c>
      <c r="N29" s="290"/>
      <c r="O29" s="303"/>
      <c r="P29" s="304"/>
    </row>
    <row r="30" spans="1:20" ht="15.75" customHeight="1" thickTop="1" thickBot="1">
      <c r="A30" s="684"/>
      <c r="B30" s="697"/>
      <c r="C30" s="692"/>
      <c r="D30" s="693"/>
      <c r="E30" s="693"/>
      <c r="F30" s="693"/>
      <c r="G30" s="693"/>
      <c r="H30" s="693"/>
      <c r="I30" s="694"/>
      <c r="J30" s="297" t="s">
        <v>58</v>
      </c>
      <c r="K30" s="449">
        <f>M30/'生產管理報表 7-1(月)'!$B$9</f>
        <v>0</v>
      </c>
      <c r="L30" s="298" t="s">
        <v>59</v>
      </c>
      <c r="M30" s="336">
        <f>SUM(M25:M29)</f>
        <v>0</v>
      </c>
      <c r="N30" s="669"/>
      <c r="O30" s="670"/>
      <c r="P30" s="671"/>
    </row>
    <row r="31" spans="1:20" ht="15.75" customHeight="1" thickTop="1">
      <c r="M31" s="331"/>
    </row>
    <row r="32" spans="1:20" ht="15.75" customHeight="1">
      <c r="A32" s="672" t="s">
        <v>191</v>
      </c>
      <c r="B32" s="673"/>
      <c r="C32" s="305" t="s">
        <v>47</v>
      </c>
      <c r="D32" s="674" t="s">
        <v>12</v>
      </c>
      <c r="E32" s="675"/>
      <c r="F32" s="676"/>
      <c r="G32" s="677" t="s">
        <v>53</v>
      </c>
      <c r="H32" s="678"/>
      <c r="I32" s="679"/>
      <c r="J32" s="306" t="s">
        <v>54</v>
      </c>
      <c r="K32" s="278" t="s">
        <v>55</v>
      </c>
      <c r="L32" s="278" t="s">
        <v>56</v>
      </c>
      <c r="M32" s="332" t="s">
        <v>11</v>
      </c>
      <c r="N32" s="279" t="s">
        <v>333</v>
      </c>
      <c r="O32" s="680" t="s">
        <v>51</v>
      </c>
      <c r="P32" s="681"/>
    </row>
    <row r="33" spans="1:16" ht="20.149999999999999" customHeight="1">
      <c r="A33" s="682">
        <v>7</v>
      </c>
      <c r="B33" s="685" t="s">
        <v>249</v>
      </c>
      <c r="C33" s="281">
        <v>1</v>
      </c>
      <c r="D33" s="282"/>
      <c r="E33" s="283"/>
      <c r="F33" s="284"/>
      <c r="G33" s="285"/>
      <c r="H33" s="286"/>
      <c r="I33" s="287"/>
      <c r="J33" s="288"/>
      <c r="K33" s="289"/>
      <c r="L33" s="290"/>
      <c r="M33" s="333">
        <f t="shared" ref="M33:M35" si="3">L33*J33</f>
        <v>0</v>
      </c>
      <c r="N33" s="290"/>
      <c r="O33" s="688"/>
      <c r="P33" s="689"/>
    </row>
    <row r="34" spans="1:16" ht="20.149999999999999" customHeight="1">
      <c r="A34" s="683"/>
      <c r="B34" s="686"/>
      <c r="C34" s="281">
        <v>2</v>
      </c>
      <c r="D34" s="282"/>
      <c r="E34" s="283"/>
      <c r="F34" s="284"/>
      <c r="G34" s="285"/>
      <c r="H34" s="286"/>
      <c r="I34" s="287"/>
      <c r="J34" s="288"/>
      <c r="K34" s="289"/>
      <c r="L34" s="290"/>
      <c r="M34" s="333">
        <f t="shared" si="3"/>
        <v>0</v>
      </c>
      <c r="N34" s="290"/>
      <c r="O34" s="690"/>
      <c r="P34" s="691"/>
    </row>
    <row r="35" spans="1:16" ht="20.149999999999999" customHeight="1">
      <c r="A35" s="683"/>
      <c r="B35" s="686"/>
      <c r="C35" s="281">
        <v>3</v>
      </c>
      <c r="D35" s="282"/>
      <c r="E35" s="283"/>
      <c r="F35" s="284"/>
      <c r="G35" s="285"/>
      <c r="H35" s="286"/>
      <c r="I35" s="287"/>
      <c r="J35" s="288"/>
      <c r="K35" s="289"/>
      <c r="L35" s="290"/>
      <c r="M35" s="333">
        <f t="shared" si="3"/>
        <v>0</v>
      </c>
      <c r="N35" s="290"/>
      <c r="O35" s="690"/>
      <c r="P35" s="691"/>
    </row>
    <row r="36" spans="1:16" ht="20.149999999999999" customHeight="1">
      <c r="A36" s="683"/>
      <c r="B36" s="686"/>
      <c r="C36" s="281">
        <v>4</v>
      </c>
      <c r="D36" s="282"/>
      <c r="E36" s="283"/>
      <c r="F36" s="284"/>
      <c r="G36" s="285"/>
      <c r="H36" s="286"/>
      <c r="I36" s="287"/>
      <c r="J36" s="288"/>
      <c r="K36" s="289"/>
      <c r="L36" s="290"/>
      <c r="M36" s="334">
        <v>0</v>
      </c>
      <c r="N36" s="290"/>
      <c r="O36" s="301"/>
      <c r="P36" s="302"/>
    </row>
    <row r="37" spans="1:16" ht="20.149999999999999" customHeight="1" thickBot="1">
      <c r="A37" s="683"/>
      <c r="B37" s="686"/>
      <c r="C37" s="281">
        <v>5</v>
      </c>
      <c r="D37" s="292"/>
      <c r="E37" s="293"/>
      <c r="F37" s="294"/>
      <c r="G37" s="285"/>
      <c r="H37" s="286"/>
      <c r="I37" s="287"/>
      <c r="J37" s="295"/>
      <c r="K37" s="266"/>
      <c r="L37" s="296"/>
      <c r="M37" s="335">
        <v>0</v>
      </c>
      <c r="N37" s="290"/>
      <c r="O37" s="303"/>
      <c r="P37" s="304"/>
    </row>
    <row r="38" spans="1:16" ht="15.75" customHeight="1" thickTop="1" thickBot="1">
      <c r="A38" s="684"/>
      <c r="B38" s="687"/>
      <c r="C38" s="692"/>
      <c r="D38" s="693"/>
      <c r="E38" s="693"/>
      <c r="F38" s="693"/>
      <c r="G38" s="693"/>
      <c r="H38" s="693"/>
      <c r="I38" s="694"/>
      <c r="J38" s="297" t="s">
        <v>58</v>
      </c>
      <c r="K38" s="449">
        <f>M38/'生產管理報表 7-1(月)'!$B$9</f>
        <v>0</v>
      </c>
      <c r="L38" s="298" t="s">
        <v>59</v>
      </c>
      <c r="M38" s="336">
        <f>SUM(M33:M37)</f>
        <v>0</v>
      </c>
      <c r="N38" s="669"/>
      <c r="O38" s="670"/>
      <c r="P38" s="671"/>
    </row>
    <row r="39" spans="1:16" ht="15.75" customHeight="1" thickTop="1"/>
    <row r="44" spans="1:16" ht="15.75" customHeight="1">
      <c r="O44" s="291" ph="1"/>
      <c r="P44" s="291" ph="1"/>
    </row>
    <row r="46" spans="1:16" ht="15.75" customHeight="1">
      <c r="O46" s="291" ph="1"/>
      <c r="P46" s="291" ph="1"/>
    </row>
    <row r="47" spans="1:16" ht="15.75" customHeight="1">
      <c r="O47" s="291" ph="1"/>
      <c r="P47" s="291" ph="1"/>
    </row>
    <row r="117" spans="15:16" ht="15.75" customHeight="1">
      <c r="O117" s="291" ph="1"/>
      <c r="P117" s="291" ph="1"/>
    </row>
    <row r="119" spans="15:16" ht="15.75" customHeight="1">
      <c r="O119" s="291" ph="1"/>
      <c r="P119" s="291" ph="1"/>
    </row>
    <row r="120" spans="15:16" ht="15.75" customHeight="1">
      <c r="O120" s="291" ph="1"/>
      <c r="P120" s="291" ph="1"/>
    </row>
    <row r="153" spans="15:16" ht="15.75" customHeight="1">
      <c r="O153" s="291" ph="1"/>
      <c r="P153" s="291" ph="1"/>
    </row>
    <row r="155" spans="15:16" ht="15.75" customHeight="1">
      <c r="O155" s="291" ph="1"/>
      <c r="P155" s="291" ph="1"/>
    </row>
    <row r="156" spans="15:16" ht="15.75" customHeight="1">
      <c r="O156" s="291" ph="1"/>
      <c r="P156" s="291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2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O25" sqref="O25:P29"/>
    </sheetView>
  </sheetViews>
  <sheetFormatPr defaultColWidth="12.54296875" defaultRowHeight="15.75" customHeight="1"/>
  <cols>
    <col min="1" max="1" width="5.453125" style="136" customWidth="1"/>
    <col min="2" max="2" width="11.453125" style="234" customWidth="1"/>
    <col min="3" max="3" width="4" style="235" customWidth="1"/>
    <col min="4" max="15" width="9.54296875" style="136" customWidth="1"/>
    <col min="16" max="16" width="47.81640625" style="136" customWidth="1"/>
    <col min="17" max="17" width="9.54296875" style="136" customWidth="1"/>
    <col min="18" max="21" width="12.54296875" style="233"/>
    <col min="22" max="22" width="24.453125" style="136" bestFit="1" customWidth="1"/>
    <col min="23" max="23" width="19.453125" style="136" bestFit="1" customWidth="1"/>
    <col min="24" max="24" width="23" style="136" bestFit="1" customWidth="1"/>
    <col min="25" max="25" width="11.7265625" style="136" bestFit="1" customWidth="1"/>
    <col min="26" max="26" width="15.81640625" style="136" bestFit="1" customWidth="1"/>
    <col min="27" max="27" width="23.54296875" style="136" bestFit="1" customWidth="1"/>
    <col min="28" max="28" width="23" style="136" bestFit="1" customWidth="1"/>
    <col min="29" max="29" width="11.7265625" style="136" bestFit="1" customWidth="1"/>
    <col min="30" max="30" width="20.54296875" style="136" bestFit="1" customWidth="1"/>
    <col min="31" max="31" width="15" style="136" bestFit="1" customWidth="1"/>
    <col min="32" max="32" width="23" style="136" bestFit="1" customWidth="1"/>
    <col min="33" max="33" width="11.7265625" style="136" bestFit="1" customWidth="1"/>
    <col min="34" max="34" width="15.8164062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265625" style="136" bestFit="1" customWidth="1"/>
    <col min="40" max="40" width="13.81640625" style="136" bestFit="1" customWidth="1"/>
    <col min="41" max="41" width="27.81640625" style="136" bestFit="1" customWidth="1"/>
    <col min="42" max="42" width="23" style="136" bestFit="1" customWidth="1"/>
    <col min="43" max="43" width="8" style="136" bestFit="1" customWidth="1"/>
    <col min="44" max="44" width="30.7265625" style="136" bestFit="1" customWidth="1"/>
    <col min="45" max="45" width="25.726562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265625" style="136" bestFit="1" customWidth="1"/>
    <col min="50" max="50" width="20.1796875" style="136" bestFit="1" customWidth="1"/>
    <col min="51" max="51" width="23.54296875" style="136" bestFit="1" customWidth="1"/>
    <col min="52" max="52" width="23" style="136" bestFit="1" customWidth="1"/>
    <col min="53" max="53" width="11.7265625" style="136" bestFit="1" customWidth="1"/>
    <col min="54" max="54" width="21.453125" style="136" bestFit="1" customWidth="1"/>
    <col min="55" max="55" width="15" style="136" bestFit="1" customWidth="1"/>
    <col min="56" max="56" width="23" style="136" bestFit="1" customWidth="1"/>
    <col min="57" max="57" width="11.7265625" style="136" bestFit="1" customWidth="1"/>
    <col min="58" max="58" width="13.8164062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265625" style="136" bestFit="1" customWidth="1"/>
    <col min="64" max="64" width="24.7265625" style="136" bestFit="1" customWidth="1"/>
    <col min="65" max="65" width="18.726562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1640625" style="136" bestFit="1" customWidth="1"/>
    <col min="73" max="73" width="10.54296875" style="136" bestFit="1" customWidth="1"/>
    <col min="74" max="74" width="21.453125" style="136" bestFit="1" customWidth="1"/>
    <col min="75" max="75" width="5.453125" style="136" bestFit="1" customWidth="1"/>
    <col min="76" max="16384" width="12.54296875" style="136"/>
  </cols>
  <sheetData>
    <row r="1" spans="1:75" ht="15.75" customHeight="1">
      <c r="A1" s="638" t="s">
        <v>362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</row>
    <row r="2" spans="1:75" s="137" customFormat="1" ht="15.75" customHeight="1">
      <c r="A2" s="638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8"/>
      <c r="Q2" s="638"/>
    </row>
    <row r="3" spans="1:75" ht="15.75" customHeight="1">
      <c r="A3" s="639" t="s">
        <v>433</v>
      </c>
      <c r="B3" s="665"/>
      <c r="C3" s="665"/>
      <c r="D3" s="665"/>
      <c r="E3" s="665"/>
      <c r="F3" s="665"/>
      <c r="G3" s="665"/>
      <c r="H3" s="665"/>
      <c r="I3" s="665"/>
      <c r="J3" s="665"/>
      <c r="K3" s="665"/>
      <c r="L3" s="665"/>
      <c r="M3" s="665"/>
    </row>
    <row r="4" spans="1:75" s="137" customFormat="1" ht="15.75" customHeight="1">
      <c r="A4" s="665"/>
      <c r="B4" s="665"/>
      <c r="C4" s="665"/>
      <c r="D4" s="665"/>
      <c r="E4" s="665"/>
      <c r="F4" s="665"/>
      <c r="G4" s="665"/>
      <c r="H4" s="665"/>
      <c r="I4" s="665"/>
      <c r="J4" s="665"/>
      <c r="K4" s="665"/>
      <c r="L4" s="665"/>
      <c r="M4" s="665"/>
    </row>
    <row r="5" spans="1:75" ht="15.75" customHeight="1">
      <c r="A5" s="641" t="s">
        <v>191</v>
      </c>
      <c r="B5" s="666">
        <v>1</v>
      </c>
      <c r="C5" s="666"/>
      <c r="D5" s="666">
        <v>2</v>
      </c>
      <c r="E5" s="666"/>
      <c r="F5" s="666">
        <v>3</v>
      </c>
      <c r="G5" s="666"/>
      <c r="H5" s="644">
        <v>4</v>
      </c>
      <c r="I5" s="644"/>
      <c r="J5" s="644">
        <v>5</v>
      </c>
      <c r="K5" s="644"/>
      <c r="L5" s="644">
        <v>6</v>
      </c>
      <c r="M5" s="644"/>
      <c r="N5" s="644">
        <v>7</v>
      </c>
      <c r="O5" s="644"/>
      <c r="P5" s="644">
        <v>8</v>
      </c>
      <c r="Q5" s="644"/>
    </row>
    <row r="6" spans="1:75" ht="15.75" customHeight="1">
      <c r="A6" s="641"/>
      <c r="B6" s="667" t="s">
        <v>454</v>
      </c>
      <c r="C6" s="667"/>
      <c r="D6" s="667" t="s">
        <v>212</v>
      </c>
      <c r="E6" s="667"/>
      <c r="F6" s="667" t="s">
        <v>166</v>
      </c>
      <c r="G6" s="667"/>
      <c r="H6" s="641" t="s">
        <v>430</v>
      </c>
      <c r="I6" s="641"/>
      <c r="J6" s="641" t="s">
        <v>189</v>
      </c>
      <c r="K6" s="641"/>
      <c r="L6" s="641" t="s">
        <v>167</v>
      </c>
      <c r="M6" s="641"/>
      <c r="N6" s="641" t="s">
        <v>190</v>
      </c>
      <c r="O6" s="641"/>
      <c r="P6" s="758" t="s">
        <v>217</v>
      </c>
      <c r="Q6" s="641"/>
    </row>
    <row r="8" spans="1:75" s="237" customFormat="1" ht="15.75" customHeight="1">
      <c r="A8" s="644" t="s">
        <v>191</v>
      </c>
      <c r="B8" s="644"/>
      <c r="C8" s="236" t="s">
        <v>47</v>
      </c>
      <c r="D8" s="662" t="s">
        <v>12</v>
      </c>
      <c r="E8" s="662"/>
      <c r="F8" s="662"/>
      <c r="G8" s="656" t="s">
        <v>53</v>
      </c>
      <c r="H8" s="657"/>
      <c r="I8" s="658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648" t="s">
        <v>51</v>
      </c>
      <c r="P8" s="648"/>
    </row>
    <row r="9" spans="1:75" ht="25" customHeight="1">
      <c r="A9" s="644">
        <v>1</v>
      </c>
      <c r="B9" s="659" t="s">
        <v>455</v>
      </c>
      <c r="C9" s="238">
        <v>1</v>
      </c>
      <c r="D9" s="239"/>
      <c r="E9" s="240"/>
      <c r="F9" s="241"/>
      <c r="G9" s="270"/>
      <c r="H9" s="240"/>
      <c r="I9" s="270"/>
      <c r="J9" s="238"/>
      <c r="K9" s="244"/>
      <c r="L9" s="238"/>
      <c r="M9" s="324">
        <f>L9*J9</f>
        <v>0</v>
      </c>
      <c r="N9" s="245"/>
      <c r="O9" s="719"/>
      <c r="P9" s="720"/>
    </row>
    <row r="10" spans="1:75" ht="25" customHeight="1">
      <c r="A10" s="644"/>
      <c r="B10" s="659"/>
      <c r="C10" s="238">
        <v>2</v>
      </c>
      <c r="D10" s="239"/>
      <c r="E10" s="240"/>
      <c r="F10" s="241"/>
      <c r="G10" s="239"/>
      <c r="H10" s="240"/>
      <c r="I10" s="270"/>
      <c r="J10" s="238"/>
      <c r="K10" s="244"/>
      <c r="L10" s="238"/>
      <c r="M10" s="324">
        <f t="shared" ref="M10:M13" si="0">L10*J10</f>
        <v>0</v>
      </c>
      <c r="N10" s="245"/>
      <c r="O10" s="753"/>
      <c r="P10" s="754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  <c r="BW10" s="233"/>
    </row>
    <row r="11" spans="1:75" ht="25" customHeight="1">
      <c r="A11" s="644"/>
      <c r="B11" s="659"/>
      <c r="C11" s="238">
        <v>3</v>
      </c>
      <c r="D11" s="239"/>
      <c r="E11" s="240"/>
      <c r="F11" s="241"/>
      <c r="G11" s="270"/>
      <c r="H11" s="240"/>
      <c r="I11" s="270"/>
      <c r="J11" s="238"/>
      <c r="K11" s="244"/>
      <c r="L11" s="238"/>
      <c r="M11" s="324">
        <f t="shared" si="0"/>
        <v>0</v>
      </c>
      <c r="N11" s="245"/>
      <c r="O11" s="753"/>
      <c r="P11" s="754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</row>
    <row r="12" spans="1:75" ht="25" customHeight="1">
      <c r="A12" s="644"/>
      <c r="B12" s="659"/>
      <c r="C12" s="238">
        <v>4</v>
      </c>
      <c r="D12" s="239"/>
      <c r="E12" s="240"/>
      <c r="F12" s="241"/>
      <c r="G12" s="246"/>
      <c r="H12" s="247"/>
      <c r="I12" s="273"/>
      <c r="J12" s="238"/>
      <c r="K12" s="244"/>
      <c r="L12" s="238"/>
      <c r="M12" s="324">
        <f t="shared" si="0"/>
        <v>0</v>
      </c>
      <c r="N12" s="245"/>
      <c r="O12" s="753"/>
      <c r="P12" s="754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  <c r="BW12" s="233"/>
    </row>
    <row r="13" spans="1:75" ht="25" customHeight="1" thickBot="1">
      <c r="A13" s="644"/>
      <c r="B13" s="659"/>
      <c r="C13" s="238">
        <v>5</v>
      </c>
      <c r="D13" s="246"/>
      <c r="E13" s="247"/>
      <c r="F13" s="248"/>
      <c r="G13" s="367"/>
      <c r="H13" s="366"/>
      <c r="I13" s="367"/>
      <c r="J13" s="249"/>
      <c r="K13" s="250"/>
      <c r="L13" s="249"/>
      <c r="M13" s="325">
        <f t="shared" si="0"/>
        <v>0</v>
      </c>
      <c r="N13" s="245"/>
      <c r="O13" s="753"/>
      <c r="P13" s="754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  <c r="BW13" s="233"/>
    </row>
    <row r="14" spans="1:75" ht="15.75" customHeight="1" thickTop="1">
      <c r="A14" s="644"/>
      <c r="B14" s="659"/>
      <c r="C14" s="650"/>
      <c r="D14" s="651"/>
      <c r="E14" s="651"/>
      <c r="F14" s="651"/>
      <c r="G14" s="651"/>
      <c r="H14" s="651"/>
      <c r="I14" s="652"/>
      <c r="J14" s="251" t="s">
        <v>58</v>
      </c>
      <c r="K14" s="341">
        <f>M14/'生產管理報表 7-1(月)'!$B$10</f>
        <v>0</v>
      </c>
      <c r="L14" s="251" t="s">
        <v>59</v>
      </c>
      <c r="M14" s="326">
        <f>SUM(M9:M13)</f>
        <v>0</v>
      </c>
      <c r="N14" s="755"/>
      <c r="O14" s="756"/>
      <c r="P14" s="757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  <c r="BW14" s="233"/>
    </row>
    <row r="15" spans="1:75" ht="15.75" customHeight="1"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  <c r="BW15" s="233"/>
    </row>
    <row r="16" spans="1:75" ht="15.75" customHeight="1">
      <c r="A16" s="644" t="s">
        <v>191</v>
      </c>
      <c r="B16" s="644"/>
      <c r="C16" s="254" t="s">
        <v>47</v>
      </c>
      <c r="D16" s="653" t="s">
        <v>12</v>
      </c>
      <c r="E16" s="654"/>
      <c r="F16" s="655"/>
      <c r="G16" s="656" t="s">
        <v>53</v>
      </c>
      <c r="H16" s="657"/>
      <c r="I16" s="658"/>
      <c r="J16" s="256" t="s">
        <v>54</v>
      </c>
      <c r="K16" s="256" t="s">
        <v>55</v>
      </c>
      <c r="L16" s="256" t="s">
        <v>56</v>
      </c>
      <c r="M16" s="256" t="s">
        <v>11</v>
      </c>
      <c r="N16" s="257" t="s">
        <v>333</v>
      </c>
      <c r="O16" s="746" t="s">
        <v>51</v>
      </c>
      <c r="P16" s="747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</row>
    <row r="17" spans="1:36" ht="20.149999999999999" customHeight="1">
      <c r="A17" s="644">
        <v>2</v>
      </c>
      <c r="B17" s="659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62"/>
      <c r="O17" s="748"/>
      <c r="P17" s="749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</row>
    <row r="18" spans="1:36" ht="20.149999999999999" customHeight="1">
      <c r="A18" s="644"/>
      <c r="B18" s="659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62"/>
      <c r="O18" s="748"/>
      <c r="P18" s="749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</row>
    <row r="19" spans="1:36" ht="20.149999999999999" customHeight="1">
      <c r="A19" s="644"/>
      <c r="B19" s="659"/>
      <c r="C19" s="258">
        <v>3</v>
      </c>
      <c r="D19" s="239"/>
      <c r="E19" s="240"/>
      <c r="F19" s="241"/>
      <c r="G19" s="239"/>
      <c r="H19" s="240"/>
      <c r="I19" s="241"/>
      <c r="J19" s="259"/>
      <c r="K19" s="260"/>
      <c r="L19" s="259"/>
      <c r="M19" s="261">
        <f t="shared" si="1"/>
        <v>0</v>
      </c>
      <c r="N19" s="262"/>
      <c r="O19" s="748"/>
      <c r="P19" s="749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</row>
    <row r="20" spans="1:36" ht="20.149999999999999" customHeight="1">
      <c r="A20" s="644"/>
      <c r="B20" s="659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62"/>
      <c r="O20" s="748"/>
      <c r="P20" s="749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</row>
    <row r="21" spans="1:36" ht="20.149999999999999" customHeight="1" thickBot="1">
      <c r="A21" s="644"/>
      <c r="B21" s="659"/>
      <c r="C21" s="264">
        <v>5</v>
      </c>
      <c r="D21" s="246"/>
      <c r="E21" s="247"/>
      <c r="F21" s="248"/>
      <c r="G21" s="246"/>
      <c r="H21" s="247"/>
      <c r="I21" s="248"/>
      <c r="J21" s="265"/>
      <c r="K21" s="266"/>
      <c r="L21" s="265"/>
      <c r="M21" s="267">
        <f t="shared" si="1"/>
        <v>0</v>
      </c>
      <c r="N21" s="268"/>
      <c r="O21" s="748"/>
      <c r="P21" s="749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</row>
    <row r="22" spans="1:36" ht="15.75" customHeight="1" thickTop="1">
      <c r="A22" s="644"/>
      <c r="B22" s="659"/>
      <c r="C22" s="650"/>
      <c r="D22" s="651"/>
      <c r="E22" s="651"/>
      <c r="F22" s="651"/>
      <c r="G22" s="651"/>
      <c r="H22" s="651"/>
      <c r="I22" s="652"/>
      <c r="J22" s="251" t="s">
        <v>58</v>
      </c>
      <c r="K22" s="341">
        <f>M22/'生產管理報表 7-1(月)'!$B$10</f>
        <v>0</v>
      </c>
      <c r="L22" s="251" t="s">
        <v>59</v>
      </c>
      <c r="M22" s="252">
        <f>SUM(M17:M21)</f>
        <v>0</v>
      </c>
      <c r="N22" s="750"/>
      <c r="O22" s="751"/>
      <c r="P22" s="752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</row>
    <row r="23" spans="1:36" ht="15.75" customHeight="1"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</row>
    <row r="24" spans="1:36" ht="15.75" customHeight="1">
      <c r="A24" s="644" t="s">
        <v>191</v>
      </c>
      <c r="B24" s="644"/>
      <c r="C24" s="254" t="s">
        <v>47</v>
      </c>
      <c r="D24" s="653" t="s">
        <v>12</v>
      </c>
      <c r="E24" s="654"/>
      <c r="F24" s="655"/>
      <c r="G24" s="656" t="s">
        <v>53</v>
      </c>
      <c r="H24" s="657"/>
      <c r="I24" s="658"/>
      <c r="J24" s="255" t="s">
        <v>54</v>
      </c>
      <c r="K24" s="256" t="s">
        <v>55</v>
      </c>
      <c r="L24" s="256" t="s">
        <v>56</v>
      </c>
      <c r="M24" s="256" t="s">
        <v>11</v>
      </c>
      <c r="N24" s="257" t="s">
        <v>333</v>
      </c>
      <c r="O24" s="744" t="s">
        <v>51</v>
      </c>
      <c r="P24" s="745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</row>
    <row r="25" spans="1:36" ht="25" customHeight="1">
      <c r="A25" s="644">
        <v>3</v>
      </c>
      <c r="B25" s="659" t="s">
        <v>424</v>
      </c>
      <c r="C25" s="258">
        <v>1</v>
      </c>
      <c r="D25" s="239"/>
      <c r="E25" s="240"/>
      <c r="F25" s="241"/>
      <c r="G25" s="365"/>
      <c r="H25" s="366"/>
      <c r="I25" s="367"/>
      <c r="J25" s="271"/>
      <c r="K25" s="260"/>
      <c r="L25" s="259"/>
      <c r="M25" s="327">
        <f t="shared" ref="M25:M29" si="2">L25*J25</f>
        <v>0</v>
      </c>
      <c r="N25" s="272"/>
      <c r="O25" s="739"/>
      <c r="P25" s="740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</row>
    <row r="26" spans="1:36" ht="25" customHeight="1">
      <c r="A26" s="644"/>
      <c r="B26" s="659"/>
      <c r="C26" s="258">
        <v>2</v>
      </c>
      <c r="D26" s="239"/>
      <c r="E26" s="240"/>
      <c r="F26" s="241"/>
      <c r="G26" s="365"/>
      <c r="H26" s="366"/>
      <c r="I26" s="367"/>
      <c r="J26" s="271"/>
      <c r="K26" s="260"/>
      <c r="L26" s="259"/>
      <c r="M26" s="327">
        <f t="shared" si="2"/>
        <v>0</v>
      </c>
      <c r="N26" s="272"/>
      <c r="O26" s="739"/>
      <c r="P26" s="740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</row>
    <row r="27" spans="1:36" ht="25" customHeight="1">
      <c r="A27" s="644"/>
      <c r="B27" s="659"/>
      <c r="C27" s="258">
        <v>3</v>
      </c>
      <c r="D27" s="239"/>
      <c r="E27" s="240"/>
      <c r="F27" s="241"/>
      <c r="G27" s="365"/>
      <c r="H27" s="366"/>
      <c r="I27" s="367"/>
      <c r="J27" s="271"/>
      <c r="K27" s="260"/>
      <c r="L27" s="259"/>
      <c r="M27" s="327">
        <f t="shared" si="2"/>
        <v>0</v>
      </c>
      <c r="N27" s="272"/>
      <c r="O27" s="739"/>
      <c r="P27" s="740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</row>
    <row r="28" spans="1:36" ht="25" customHeight="1">
      <c r="A28" s="644"/>
      <c r="B28" s="659"/>
      <c r="C28" s="258">
        <v>4</v>
      </c>
      <c r="D28" s="239"/>
      <c r="E28" s="240"/>
      <c r="F28" s="241"/>
      <c r="G28" s="239"/>
      <c r="H28" s="240"/>
      <c r="I28" s="270"/>
      <c r="J28" s="271"/>
      <c r="K28" s="260"/>
      <c r="L28" s="259"/>
      <c r="M28" s="327">
        <f t="shared" si="2"/>
        <v>0</v>
      </c>
      <c r="N28" s="272"/>
      <c r="O28" s="739"/>
      <c r="P28" s="740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</row>
    <row r="29" spans="1:36" ht="25" customHeight="1" thickBot="1">
      <c r="A29" s="644"/>
      <c r="B29" s="659"/>
      <c r="C29" s="264">
        <v>5</v>
      </c>
      <c r="D29" s="246"/>
      <c r="E29" s="247"/>
      <c r="F29" s="248"/>
      <c r="G29" s="246"/>
      <c r="H29" s="247"/>
      <c r="I29" s="273"/>
      <c r="J29" s="274"/>
      <c r="K29" s="266"/>
      <c r="L29" s="275"/>
      <c r="M29" s="327">
        <f t="shared" si="2"/>
        <v>0</v>
      </c>
      <c r="N29" s="272"/>
      <c r="O29" s="739"/>
      <c r="P29" s="740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</row>
    <row r="30" spans="1:36" ht="15.75" customHeight="1" thickTop="1">
      <c r="A30" s="644"/>
      <c r="B30" s="659"/>
      <c r="C30" s="650"/>
      <c r="D30" s="651"/>
      <c r="E30" s="651"/>
      <c r="F30" s="651"/>
      <c r="G30" s="651"/>
      <c r="H30" s="651"/>
      <c r="I30" s="652"/>
      <c r="J30" s="276" t="s">
        <v>58</v>
      </c>
      <c r="K30" s="341">
        <f>M30/'生產管理報表 7-1(月)'!$B$10</f>
        <v>0</v>
      </c>
      <c r="L30" s="276" t="s">
        <v>59</v>
      </c>
      <c r="M30" s="328">
        <f>SUM(M25:M29)</f>
        <v>0</v>
      </c>
      <c r="N30" s="741"/>
      <c r="O30" s="742"/>
      <c r="P30" s="74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0000"/>
    <outlinePr summaryBelow="0" summaryRight="0"/>
  </sheetPr>
  <dimension ref="A1:T156"/>
  <sheetViews>
    <sheetView view="pageBreakPreview" topLeftCell="A19" zoomScale="91" zoomScaleNormal="60" zoomScaleSheetLayoutView="91" workbookViewId="0">
      <selection activeCell="O25" sqref="O25:P29"/>
    </sheetView>
  </sheetViews>
  <sheetFormatPr defaultColWidth="12.54296875" defaultRowHeight="15.75" customHeight="1"/>
  <cols>
    <col min="1" max="1" width="5.453125" style="291" customWidth="1"/>
    <col min="2" max="2" width="11.453125" style="299" customWidth="1"/>
    <col min="3" max="3" width="4" style="300" customWidth="1"/>
    <col min="4" max="4" width="9.54296875" style="291" customWidth="1"/>
    <col min="5" max="5" width="10.26953125" style="291" customWidth="1"/>
    <col min="6" max="15" width="9.54296875" style="291" customWidth="1"/>
    <col min="16" max="16" width="52" style="291" customWidth="1"/>
    <col min="17" max="16384" width="12.54296875" style="291"/>
  </cols>
  <sheetData>
    <row r="1" spans="1:20" s="136" customFormat="1" ht="15.75" customHeight="1">
      <c r="A1" s="638" t="s">
        <v>362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</row>
    <row r="2" spans="1:20" s="137" customFormat="1" ht="15.75" customHeight="1">
      <c r="A2" s="638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8"/>
    </row>
    <row r="3" spans="1:20" s="136" customFormat="1" ht="15.75" customHeight="1">
      <c r="A3" s="639" t="s">
        <v>433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</row>
    <row r="4" spans="1:20" s="137" customFormat="1" ht="15.75" customHeight="1">
      <c r="A4" s="734"/>
      <c r="B4" s="734"/>
      <c r="C4" s="734"/>
      <c r="D4" s="734"/>
      <c r="E4" s="734"/>
      <c r="F4" s="734"/>
      <c r="G4" s="734"/>
      <c r="H4" s="734"/>
      <c r="I4" s="734"/>
      <c r="J4" s="734"/>
      <c r="K4" s="734"/>
      <c r="L4" s="734"/>
      <c r="M4" s="734"/>
    </row>
    <row r="5" spans="1:20" s="136" customFormat="1" ht="15.75" customHeight="1">
      <c r="A5" s="735" t="s">
        <v>191</v>
      </c>
      <c r="B5" s="737">
        <v>1</v>
      </c>
      <c r="C5" s="738"/>
      <c r="D5" s="737">
        <v>2</v>
      </c>
      <c r="E5" s="738"/>
      <c r="F5" s="737">
        <v>3</v>
      </c>
      <c r="G5" s="738"/>
      <c r="H5" s="728">
        <v>4</v>
      </c>
      <c r="I5" s="729"/>
      <c r="J5" s="728">
        <v>5</v>
      </c>
      <c r="K5" s="729"/>
      <c r="L5" s="728">
        <v>6</v>
      </c>
      <c r="M5" s="729"/>
      <c r="N5" s="728">
        <v>7</v>
      </c>
      <c r="O5" s="729"/>
      <c r="P5" s="329">
        <v>8</v>
      </c>
    </row>
    <row r="6" spans="1:20" s="136" customFormat="1" ht="15.75" customHeight="1">
      <c r="A6" s="736"/>
      <c r="B6" s="732" t="s">
        <v>454</v>
      </c>
      <c r="C6" s="733"/>
      <c r="D6" s="732" t="s">
        <v>212</v>
      </c>
      <c r="E6" s="733"/>
      <c r="F6" s="732" t="s">
        <v>166</v>
      </c>
      <c r="G6" s="733"/>
      <c r="H6" s="730" t="s">
        <v>430</v>
      </c>
      <c r="I6" s="731"/>
      <c r="J6" s="730" t="s">
        <v>189</v>
      </c>
      <c r="K6" s="731"/>
      <c r="L6" s="730" t="s">
        <v>167</v>
      </c>
      <c r="M6" s="731"/>
      <c r="N6" s="730" t="s">
        <v>190</v>
      </c>
      <c r="O6" s="731"/>
      <c r="P6" s="330" t="s">
        <v>217</v>
      </c>
    </row>
    <row r="7" spans="1:20" s="136" customFormat="1" ht="15.75" customHeight="1">
      <c r="B7" s="234"/>
      <c r="C7" s="235"/>
    </row>
    <row r="8" spans="1:20" s="280" customFormat="1" ht="15.75" customHeight="1">
      <c r="A8" s="672" t="s">
        <v>191</v>
      </c>
      <c r="B8" s="673"/>
      <c r="C8" s="277" t="s">
        <v>47</v>
      </c>
      <c r="D8" s="763" t="s">
        <v>12</v>
      </c>
      <c r="E8" s="764"/>
      <c r="F8" s="765"/>
      <c r="G8" s="766" t="s">
        <v>53</v>
      </c>
      <c r="H8" s="767"/>
      <c r="I8" s="768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680" t="s">
        <v>51</v>
      </c>
      <c r="P8" s="681"/>
      <c r="R8" s="342"/>
      <c r="S8" s="343"/>
    </row>
    <row r="9" spans="1:20" s="300" customFormat="1" ht="60" customHeight="1">
      <c r="A9" s="682">
        <v>4</v>
      </c>
      <c r="B9" s="716" t="s">
        <v>430</v>
      </c>
      <c r="C9" s="281">
        <v>1</v>
      </c>
      <c r="D9" s="383"/>
      <c r="E9" s="366"/>
      <c r="F9" s="388"/>
      <c r="G9" s="356"/>
      <c r="H9" s="307"/>
      <c r="I9" s="308"/>
      <c r="J9" s="314"/>
      <c r="K9" s="315"/>
      <c r="L9" s="316"/>
      <c r="M9" s="324">
        <f t="shared" ref="M9:M13" si="0">L9*J9</f>
        <v>0</v>
      </c>
      <c r="N9" s="316"/>
      <c r="O9" s="712"/>
      <c r="P9" s="713"/>
      <c r="R9" s="344"/>
      <c r="S9" s="344"/>
    </row>
    <row r="10" spans="1:20" s="300" customFormat="1" ht="60" customHeight="1">
      <c r="A10" s="683"/>
      <c r="B10" s="717"/>
      <c r="C10" s="281">
        <v>2</v>
      </c>
      <c r="D10" s="362"/>
      <c r="E10" s="240"/>
      <c r="F10" s="241"/>
      <c r="G10" s="242"/>
      <c r="H10" s="243"/>
      <c r="I10" s="242"/>
      <c r="J10" s="314"/>
      <c r="K10" s="315"/>
      <c r="L10" s="316"/>
      <c r="M10" s="324">
        <f t="shared" si="0"/>
        <v>0</v>
      </c>
      <c r="N10" s="316"/>
      <c r="O10" s="712"/>
      <c r="P10" s="713"/>
      <c r="R10" s="344"/>
      <c r="S10" s="344"/>
    </row>
    <row r="11" spans="1:20" s="300" customFormat="1" ht="60" customHeight="1">
      <c r="A11" s="683"/>
      <c r="B11" s="717"/>
      <c r="C11" s="281">
        <v>3</v>
      </c>
      <c r="D11" s="362"/>
      <c r="E11" s="240"/>
      <c r="F11" s="241"/>
      <c r="G11" s="308"/>
      <c r="H11" s="307"/>
      <c r="I11" s="308"/>
      <c r="J11" s="314"/>
      <c r="K11" s="315"/>
      <c r="L11" s="316"/>
      <c r="M11" s="324">
        <f t="shared" si="0"/>
        <v>0</v>
      </c>
      <c r="N11" s="316"/>
      <c r="O11" s="712"/>
      <c r="P11" s="713"/>
      <c r="R11" s="344"/>
      <c r="S11" s="342"/>
    </row>
    <row r="12" spans="1:20" s="300" customFormat="1" ht="60" customHeight="1">
      <c r="A12" s="683"/>
      <c r="B12" s="717"/>
      <c r="C12" s="281">
        <v>4</v>
      </c>
      <c r="D12" s="389"/>
      <c r="E12" s="240"/>
      <c r="F12" s="241"/>
      <c r="G12" s="242"/>
      <c r="H12" s="243"/>
      <c r="I12" s="242"/>
      <c r="J12" s="314"/>
      <c r="K12" s="315"/>
      <c r="L12" s="316"/>
      <c r="M12" s="324">
        <f t="shared" si="0"/>
        <v>0</v>
      </c>
      <c r="N12" s="316"/>
      <c r="O12" s="712"/>
      <c r="P12" s="713"/>
      <c r="R12" s="344"/>
      <c r="S12" s="342"/>
    </row>
    <row r="13" spans="1:20" s="300" customFormat="1" ht="60" customHeight="1" thickBot="1">
      <c r="A13" s="683"/>
      <c r="B13" s="717"/>
      <c r="C13" s="281">
        <v>5</v>
      </c>
      <c r="D13" s="389"/>
      <c r="E13" s="247"/>
      <c r="F13" s="248"/>
      <c r="G13" s="308"/>
      <c r="H13" s="307"/>
      <c r="I13" s="308"/>
      <c r="J13" s="318"/>
      <c r="K13" s="266"/>
      <c r="L13" s="319"/>
      <c r="M13" s="324">
        <f t="shared" si="0"/>
        <v>0</v>
      </c>
      <c r="N13" s="316"/>
      <c r="O13" s="712"/>
      <c r="P13" s="713"/>
      <c r="R13" s="345"/>
      <c r="S13" s="342"/>
      <c r="T13" s="291"/>
    </row>
    <row r="14" spans="1:20" ht="15.75" customHeight="1" thickTop="1" thickBot="1">
      <c r="A14" s="684"/>
      <c r="B14" s="718"/>
      <c r="C14" s="725"/>
      <c r="D14" s="726"/>
      <c r="E14" s="726"/>
      <c r="F14" s="726"/>
      <c r="G14" s="726"/>
      <c r="H14" s="726"/>
      <c r="I14" s="727"/>
      <c r="J14" s="297" t="s">
        <v>58</v>
      </c>
      <c r="K14" s="449">
        <f>M14/'生產管理報表 7-1(月)'!$B$10</f>
        <v>0</v>
      </c>
      <c r="L14" s="298" t="s">
        <v>59</v>
      </c>
      <c r="M14" s="336">
        <f>SUM(M9:M13)</f>
        <v>0</v>
      </c>
      <c r="N14" s="669"/>
      <c r="O14" s="670"/>
      <c r="P14" s="671"/>
      <c r="R14" s="342"/>
      <c r="S14" s="342"/>
    </row>
    <row r="15" spans="1:20" ht="15.75" customHeight="1" thickTop="1">
      <c r="M15" s="331"/>
      <c r="S15" s="342"/>
    </row>
    <row r="16" spans="1:20" ht="15.75" customHeight="1">
      <c r="A16" s="672" t="s">
        <v>191</v>
      </c>
      <c r="B16" s="673"/>
      <c r="C16" s="277" t="s">
        <v>47</v>
      </c>
      <c r="D16" s="702" t="s">
        <v>12</v>
      </c>
      <c r="E16" s="703"/>
      <c r="F16" s="704"/>
      <c r="G16" s="705" t="s">
        <v>53</v>
      </c>
      <c r="H16" s="706"/>
      <c r="I16" s="707"/>
      <c r="J16" s="278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680" t="s">
        <v>51</v>
      </c>
      <c r="P16" s="681"/>
      <c r="S16" s="343"/>
      <c r="T16" s="300"/>
    </row>
    <row r="17" spans="1:20" s="300" customFormat="1" ht="50.15" customHeight="1">
      <c r="A17" s="682">
        <v>5</v>
      </c>
      <c r="B17" s="695" t="s">
        <v>215</v>
      </c>
      <c r="C17" s="281">
        <v>1</v>
      </c>
      <c r="D17" s="239"/>
      <c r="E17" s="240"/>
      <c r="F17" s="241"/>
      <c r="G17" s="308"/>
      <c r="H17" s="307"/>
      <c r="I17" s="308"/>
      <c r="J17" s="314"/>
      <c r="K17" s="315"/>
      <c r="L17" s="316"/>
      <c r="M17" s="324">
        <f t="shared" ref="M17:M19" si="1">L17*J17</f>
        <v>0</v>
      </c>
      <c r="N17" s="316"/>
      <c r="O17" s="761"/>
      <c r="P17" s="762"/>
      <c r="S17" s="342"/>
    </row>
    <row r="18" spans="1:20" s="300" customFormat="1" ht="50.15" customHeight="1">
      <c r="A18" s="683"/>
      <c r="B18" s="696"/>
      <c r="C18" s="281">
        <v>2</v>
      </c>
      <c r="D18" s="239"/>
      <c r="E18" s="240"/>
      <c r="F18" s="241"/>
      <c r="G18" s="242"/>
      <c r="H18" s="243"/>
      <c r="I18" s="242"/>
      <c r="J18" s="314"/>
      <c r="K18" s="315"/>
      <c r="L18" s="316"/>
      <c r="M18" s="324">
        <f t="shared" si="1"/>
        <v>0</v>
      </c>
      <c r="N18" s="316"/>
      <c r="O18" s="700"/>
      <c r="P18" s="701"/>
      <c r="S18" s="291"/>
      <c r="T18" s="291"/>
    </row>
    <row r="19" spans="1:20" ht="50.15" customHeight="1">
      <c r="A19" s="683"/>
      <c r="B19" s="696"/>
      <c r="C19" s="281">
        <v>3</v>
      </c>
      <c r="D19" s="239"/>
      <c r="E19" s="283"/>
      <c r="F19" s="284"/>
      <c r="G19" s="242"/>
      <c r="H19" s="243"/>
      <c r="I19" s="242"/>
      <c r="J19" s="314"/>
      <c r="K19" s="315"/>
      <c r="L19" s="316"/>
      <c r="M19" s="324">
        <f t="shared" si="1"/>
        <v>0</v>
      </c>
      <c r="N19" s="290"/>
      <c r="O19" s="761"/>
      <c r="P19" s="762"/>
    </row>
    <row r="20" spans="1:20" ht="20.149999999999999" customHeight="1">
      <c r="A20" s="683"/>
      <c r="B20" s="696"/>
      <c r="C20" s="281">
        <v>4</v>
      </c>
      <c r="D20" s="282"/>
      <c r="E20" s="283"/>
      <c r="F20" s="284"/>
      <c r="G20" s="285"/>
      <c r="H20" s="286"/>
      <c r="I20" s="287"/>
      <c r="J20" s="288"/>
      <c r="K20" s="289"/>
      <c r="L20" s="290"/>
      <c r="M20" s="334">
        <v>0</v>
      </c>
      <c r="N20" s="290"/>
      <c r="O20" s="301"/>
      <c r="P20" s="302"/>
    </row>
    <row r="21" spans="1:20" ht="20.149999999999999" customHeight="1" thickBot="1">
      <c r="A21" s="683"/>
      <c r="B21" s="696"/>
      <c r="C21" s="281">
        <v>5</v>
      </c>
      <c r="D21" s="292"/>
      <c r="E21" s="293"/>
      <c r="F21" s="294"/>
      <c r="G21" s="285"/>
      <c r="H21" s="286"/>
      <c r="I21" s="287"/>
      <c r="J21" s="295"/>
      <c r="K21" s="266"/>
      <c r="L21" s="296"/>
      <c r="M21" s="335">
        <v>0</v>
      </c>
      <c r="N21" s="290"/>
      <c r="O21" s="303"/>
      <c r="P21" s="304"/>
      <c r="R21" s="346"/>
    </row>
    <row r="22" spans="1:20" ht="15.75" customHeight="1" thickTop="1" thickBot="1">
      <c r="A22" s="684"/>
      <c r="B22" s="697"/>
      <c r="C22" s="692"/>
      <c r="D22" s="693"/>
      <c r="E22" s="693"/>
      <c r="F22" s="693"/>
      <c r="G22" s="693"/>
      <c r="H22" s="693"/>
      <c r="I22" s="694"/>
      <c r="J22" s="297" t="s">
        <v>58</v>
      </c>
      <c r="K22" s="449">
        <f>M22/'生產管理報表 7-1(月)'!$B$10</f>
        <v>0</v>
      </c>
      <c r="L22" s="298" t="s">
        <v>59</v>
      </c>
      <c r="M22" s="336">
        <f>SUM(M17:M21)</f>
        <v>0</v>
      </c>
      <c r="N22" s="669"/>
      <c r="O22" s="670"/>
      <c r="P22" s="671"/>
      <c r="R22" s="342"/>
    </row>
    <row r="23" spans="1:20" ht="15.75" customHeight="1" thickTop="1">
      <c r="M23" s="331"/>
      <c r="R23" s="342"/>
    </row>
    <row r="24" spans="1:20" ht="15.75" customHeight="1">
      <c r="A24" s="672" t="s">
        <v>191</v>
      </c>
      <c r="B24" s="673"/>
      <c r="C24" s="305" t="s">
        <v>47</v>
      </c>
      <c r="D24" s="674" t="s">
        <v>12</v>
      </c>
      <c r="E24" s="675"/>
      <c r="F24" s="676"/>
      <c r="G24" s="677" t="s">
        <v>53</v>
      </c>
      <c r="H24" s="678"/>
      <c r="I24" s="679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680" t="s">
        <v>51</v>
      </c>
      <c r="P24" s="681"/>
      <c r="R24" s="342"/>
    </row>
    <row r="25" spans="1:20" ht="60" customHeight="1">
      <c r="A25" s="682">
        <v>6</v>
      </c>
      <c r="B25" s="695" t="s">
        <v>216</v>
      </c>
      <c r="C25" s="281">
        <v>1</v>
      </c>
      <c r="D25" s="239"/>
      <c r="E25" s="283"/>
      <c r="F25" s="283"/>
      <c r="G25" s="364"/>
      <c r="H25" s="307"/>
      <c r="I25" s="308"/>
      <c r="J25" s="314"/>
      <c r="K25" s="315"/>
      <c r="L25" s="316"/>
      <c r="M25" s="324">
        <f t="shared" ref="M25:M28" si="2">L25*J25</f>
        <v>0</v>
      </c>
      <c r="N25" s="290"/>
      <c r="O25" s="759"/>
      <c r="P25" s="760"/>
    </row>
    <row r="26" spans="1:20" ht="60" customHeight="1">
      <c r="A26" s="683"/>
      <c r="B26" s="696"/>
      <c r="C26" s="281">
        <v>2</v>
      </c>
      <c r="D26" s="239"/>
      <c r="E26" s="283"/>
      <c r="F26" s="283"/>
      <c r="G26" s="364"/>
      <c r="H26" s="307"/>
      <c r="I26" s="308"/>
      <c r="J26" s="314"/>
      <c r="K26" s="315"/>
      <c r="L26" s="316"/>
      <c r="M26" s="324">
        <f t="shared" si="2"/>
        <v>0</v>
      </c>
      <c r="N26" s="290"/>
      <c r="O26" s="759"/>
      <c r="P26" s="760"/>
    </row>
    <row r="27" spans="1:20" ht="60" customHeight="1">
      <c r="A27" s="683"/>
      <c r="B27" s="696"/>
      <c r="C27" s="281">
        <v>3</v>
      </c>
      <c r="D27" s="239"/>
      <c r="E27" s="283"/>
      <c r="F27" s="283"/>
      <c r="G27" s="364"/>
      <c r="H27" s="307"/>
      <c r="I27" s="308"/>
      <c r="J27" s="314"/>
      <c r="K27" s="315"/>
      <c r="L27" s="316"/>
      <c r="M27" s="324">
        <f t="shared" si="2"/>
        <v>0</v>
      </c>
      <c r="N27" s="290"/>
      <c r="O27" s="759"/>
      <c r="P27" s="760"/>
    </row>
    <row r="28" spans="1:20" ht="60" customHeight="1">
      <c r="A28" s="683"/>
      <c r="B28" s="696"/>
      <c r="C28" s="281">
        <v>4</v>
      </c>
      <c r="D28" s="239"/>
      <c r="E28" s="283"/>
      <c r="F28" s="283"/>
      <c r="G28" s="364"/>
      <c r="H28" s="307"/>
      <c r="I28" s="308"/>
      <c r="J28" s="314"/>
      <c r="K28" s="315"/>
      <c r="L28" s="316"/>
      <c r="M28" s="324">
        <f t="shared" si="2"/>
        <v>0</v>
      </c>
      <c r="N28" s="290"/>
      <c r="O28" s="759"/>
      <c r="P28" s="760"/>
    </row>
    <row r="29" spans="1:20" ht="60" customHeight="1" thickBot="1">
      <c r="A29" s="683"/>
      <c r="B29" s="696"/>
      <c r="C29" s="281">
        <v>5</v>
      </c>
      <c r="D29" s="246"/>
      <c r="E29" s="293"/>
      <c r="F29" s="293"/>
      <c r="G29" s="364"/>
      <c r="H29" s="307"/>
      <c r="I29" s="308"/>
      <c r="J29" s="318"/>
      <c r="K29" s="266"/>
      <c r="L29" s="319"/>
      <c r="M29" s="324">
        <f>L29*J29</f>
        <v>0</v>
      </c>
      <c r="N29" s="290"/>
      <c r="O29" s="759"/>
      <c r="P29" s="760"/>
    </row>
    <row r="30" spans="1:20" ht="15.75" customHeight="1" thickTop="1" thickBot="1">
      <c r="A30" s="684"/>
      <c r="B30" s="697"/>
      <c r="C30" s="692"/>
      <c r="D30" s="693"/>
      <c r="E30" s="693"/>
      <c r="F30" s="693"/>
      <c r="G30" s="693"/>
      <c r="H30" s="693"/>
      <c r="I30" s="694"/>
      <c r="J30" s="297" t="s">
        <v>58</v>
      </c>
      <c r="K30" s="449">
        <f>M30/'生產管理報表 7-1(月)'!$B$10</f>
        <v>0</v>
      </c>
      <c r="L30" s="298" t="s">
        <v>59</v>
      </c>
      <c r="M30" s="336">
        <f>SUM(M25:M29)</f>
        <v>0</v>
      </c>
      <c r="N30" s="669"/>
      <c r="O30" s="670"/>
      <c r="P30" s="671"/>
    </row>
    <row r="31" spans="1:20" ht="15.75" customHeight="1" thickTop="1">
      <c r="M31" s="331"/>
    </row>
    <row r="32" spans="1:20" ht="15.75" customHeight="1">
      <c r="A32" s="672" t="s">
        <v>191</v>
      </c>
      <c r="B32" s="673"/>
      <c r="C32" s="305" t="s">
        <v>47</v>
      </c>
      <c r="D32" s="674" t="s">
        <v>12</v>
      </c>
      <c r="E32" s="675"/>
      <c r="F32" s="676"/>
      <c r="G32" s="677" t="s">
        <v>53</v>
      </c>
      <c r="H32" s="678"/>
      <c r="I32" s="679"/>
      <c r="J32" s="306" t="s">
        <v>54</v>
      </c>
      <c r="K32" s="278" t="s">
        <v>55</v>
      </c>
      <c r="L32" s="278" t="s">
        <v>56</v>
      </c>
      <c r="M32" s="332" t="s">
        <v>11</v>
      </c>
      <c r="N32" s="279" t="s">
        <v>333</v>
      </c>
      <c r="O32" s="680" t="s">
        <v>51</v>
      </c>
      <c r="P32" s="681"/>
    </row>
    <row r="33" spans="1:16" ht="15.75" customHeight="1">
      <c r="A33" s="682">
        <v>7</v>
      </c>
      <c r="B33" s="685" t="s">
        <v>249</v>
      </c>
      <c r="C33" s="281">
        <v>1</v>
      </c>
      <c r="D33" s="282"/>
      <c r="E33" s="283"/>
      <c r="F33" s="284"/>
      <c r="G33" s="285"/>
      <c r="H33" s="286"/>
      <c r="I33" s="287"/>
      <c r="J33" s="288"/>
      <c r="K33" s="289"/>
      <c r="L33" s="290"/>
      <c r="M33" s="333">
        <f t="shared" ref="M33:M35" si="3">L33*J33</f>
        <v>0</v>
      </c>
      <c r="N33" s="290"/>
      <c r="O33" s="688"/>
      <c r="P33" s="689"/>
    </row>
    <row r="34" spans="1:16" ht="15.75" customHeight="1">
      <c r="A34" s="683"/>
      <c r="B34" s="686"/>
      <c r="C34" s="281">
        <v>2</v>
      </c>
      <c r="D34" s="282"/>
      <c r="E34" s="283"/>
      <c r="F34" s="284"/>
      <c r="G34" s="285"/>
      <c r="H34" s="286"/>
      <c r="I34" s="287"/>
      <c r="J34" s="288"/>
      <c r="K34" s="289"/>
      <c r="L34" s="290"/>
      <c r="M34" s="333">
        <f t="shared" si="3"/>
        <v>0</v>
      </c>
      <c r="N34" s="290"/>
      <c r="O34" s="690"/>
      <c r="P34" s="691"/>
    </row>
    <row r="35" spans="1:16" ht="15.75" customHeight="1">
      <c r="A35" s="683"/>
      <c r="B35" s="686"/>
      <c r="C35" s="281">
        <v>3</v>
      </c>
      <c r="D35" s="282"/>
      <c r="E35" s="283"/>
      <c r="F35" s="284"/>
      <c r="G35" s="285"/>
      <c r="H35" s="286"/>
      <c r="I35" s="287"/>
      <c r="J35" s="288"/>
      <c r="K35" s="289"/>
      <c r="L35" s="290"/>
      <c r="M35" s="333">
        <f t="shared" si="3"/>
        <v>0</v>
      </c>
      <c r="N35" s="290"/>
      <c r="O35" s="690"/>
      <c r="P35" s="691"/>
    </row>
    <row r="36" spans="1:16" ht="15.75" customHeight="1">
      <c r="A36" s="683"/>
      <c r="B36" s="686"/>
      <c r="C36" s="281">
        <v>4</v>
      </c>
      <c r="D36" s="282"/>
      <c r="E36" s="283"/>
      <c r="F36" s="284"/>
      <c r="G36" s="285"/>
      <c r="H36" s="286"/>
      <c r="I36" s="287"/>
      <c r="J36" s="288"/>
      <c r="K36" s="289"/>
      <c r="L36" s="290"/>
      <c r="M36" s="334">
        <v>0</v>
      </c>
      <c r="N36" s="290"/>
      <c r="O36" s="301"/>
      <c r="P36" s="302"/>
    </row>
    <row r="37" spans="1:16" ht="15.75" customHeight="1" thickBot="1">
      <c r="A37" s="683"/>
      <c r="B37" s="686"/>
      <c r="C37" s="281">
        <v>5</v>
      </c>
      <c r="D37" s="292"/>
      <c r="E37" s="293"/>
      <c r="F37" s="294"/>
      <c r="G37" s="285"/>
      <c r="H37" s="286"/>
      <c r="I37" s="287"/>
      <c r="J37" s="295"/>
      <c r="K37" s="266"/>
      <c r="L37" s="296"/>
      <c r="M37" s="335">
        <v>0</v>
      </c>
      <c r="N37" s="290"/>
      <c r="O37" s="303"/>
      <c r="P37" s="304"/>
    </row>
    <row r="38" spans="1:16" ht="15.75" customHeight="1" thickTop="1" thickBot="1">
      <c r="A38" s="684"/>
      <c r="B38" s="687"/>
      <c r="C38" s="692"/>
      <c r="D38" s="693"/>
      <c r="E38" s="693"/>
      <c r="F38" s="693"/>
      <c r="G38" s="693"/>
      <c r="H38" s="693"/>
      <c r="I38" s="694"/>
      <c r="J38" s="297" t="s">
        <v>58</v>
      </c>
      <c r="K38" s="449">
        <f>M38/'生產管理報表 7-1(月)'!$B$10</f>
        <v>0</v>
      </c>
      <c r="L38" s="298" t="s">
        <v>59</v>
      </c>
      <c r="M38" s="336">
        <f>SUM(M33:M37)</f>
        <v>0</v>
      </c>
      <c r="N38" s="669"/>
      <c r="O38" s="670"/>
      <c r="P38" s="671"/>
    </row>
    <row r="39" spans="1:16" ht="15.75" customHeight="1" thickTop="1"/>
    <row r="44" spans="1:16" ht="15.75" customHeight="1">
      <c r="O44" s="291" ph="1"/>
      <c r="P44" s="291" ph="1"/>
    </row>
    <row r="46" spans="1:16" ht="15.75" customHeight="1">
      <c r="O46" s="291" ph="1"/>
      <c r="P46" s="291" ph="1"/>
    </row>
    <row r="47" spans="1:16" ht="15.75" customHeight="1">
      <c r="O47" s="291" ph="1"/>
      <c r="P47" s="291" ph="1"/>
    </row>
    <row r="117" spans="15:16" ht="15.75" customHeight="1">
      <c r="O117" s="291" ph="1"/>
      <c r="P117" s="291" ph="1"/>
    </row>
    <row r="119" spans="15:16" ht="15.75" customHeight="1">
      <c r="O119" s="291" ph="1"/>
      <c r="P119" s="291" ph="1"/>
    </row>
    <row r="120" spans="15:16" ht="15.75" customHeight="1">
      <c r="O120" s="291" ph="1"/>
      <c r="P120" s="291" ph="1"/>
    </row>
    <row r="153" spans="15:16" ht="15.75" customHeight="1">
      <c r="O153" s="291" ph="1"/>
      <c r="P153" s="291" ph="1"/>
    </row>
    <row r="155" spans="15:16" ht="15.75" customHeight="1">
      <c r="O155" s="291" ph="1"/>
      <c r="P155" s="291" ph="1"/>
    </row>
    <row r="156" spans="15:16" ht="15.75" customHeight="1">
      <c r="O156" s="291" ph="1"/>
      <c r="P156" s="291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92D050"/>
    <outlinePr summaryBelow="0" summaryRight="0"/>
  </sheetPr>
  <dimension ref="A1:N59"/>
  <sheetViews>
    <sheetView view="pageBreakPreview" zoomScale="115" zoomScaleNormal="60" zoomScaleSheetLayoutView="115" workbookViewId="0">
      <selection activeCell="B16" sqref="B16"/>
    </sheetView>
  </sheetViews>
  <sheetFormatPr defaultColWidth="12.54296875" defaultRowHeight="15.75" customHeight="1"/>
  <cols>
    <col min="1" max="1" width="14.1796875" style="136" customWidth="1"/>
    <col min="2" max="2" width="14.81640625" style="136" customWidth="1"/>
    <col min="3" max="3" width="12.81640625" style="136" customWidth="1"/>
    <col min="4" max="4" width="2.54296875" style="136" customWidth="1"/>
    <col min="5" max="5" width="7.54296875" style="136" customWidth="1"/>
    <col min="6" max="6" width="12.81640625" style="136" customWidth="1"/>
    <col min="7" max="7" width="9.453125" style="136" customWidth="1"/>
    <col min="8" max="8" width="12.81640625" style="136" customWidth="1"/>
    <col min="9" max="9" width="9.453125" style="136" customWidth="1"/>
    <col min="10" max="10" width="12.81640625" style="136" customWidth="1"/>
    <col min="11" max="11" width="9.453125" style="136" customWidth="1"/>
    <col min="12" max="12" width="12.81640625" style="136" customWidth="1"/>
    <col min="13" max="13" width="9.453125" style="136" customWidth="1"/>
    <col min="14" max="16384" width="12.54296875" style="136"/>
  </cols>
  <sheetData>
    <row r="1" spans="1:13" ht="15.75" customHeight="1">
      <c r="A1" s="638" t="s">
        <v>362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</row>
    <row r="2" spans="1:13" s="137" customFormat="1" ht="15.75" customHeight="1">
      <c r="A2" s="638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</row>
    <row r="3" spans="1:13" ht="15.75" customHeight="1">
      <c r="A3" s="639" t="s">
        <v>452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</row>
    <row r="4" spans="1:13" s="137" customFormat="1" ht="15.75" customHeight="1">
      <c r="A4" s="639"/>
      <c r="B4" s="639"/>
      <c r="C4" s="639"/>
      <c r="D4" s="639"/>
      <c r="E4" s="639"/>
      <c r="F4" s="639"/>
      <c r="G4" s="639"/>
      <c r="H4" s="639"/>
      <c r="I4" s="639"/>
      <c r="J4" s="639"/>
      <c r="K4" s="639"/>
      <c r="L4" s="639"/>
      <c r="M4" s="639"/>
    </row>
    <row r="5" spans="1:13" ht="15">
      <c r="A5" s="226" t="s">
        <v>423</v>
      </c>
      <c r="B5" s="227">
        <v>45743.869070000001</v>
      </c>
      <c r="E5" s="769" t="s">
        <v>453</v>
      </c>
      <c r="F5" s="769"/>
      <c r="G5" s="769"/>
      <c r="H5" s="769"/>
      <c r="I5" s="769"/>
      <c r="J5" s="769"/>
      <c r="K5" s="769"/>
      <c r="L5" s="769"/>
      <c r="M5" s="769"/>
    </row>
    <row r="6" spans="1:13" ht="13.5">
      <c r="A6" s="778" t="s">
        <v>197</v>
      </c>
      <c r="B6" s="781" t="s">
        <v>10</v>
      </c>
      <c r="C6" s="782"/>
      <c r="D6" s="642"/>
      <c r="E6" s="785" t="s">
        <v>197</v>
      </c>
      <c r="F6" s="737">
        <v>1</v>
      </c>
      <c r="G6" s="738"/>
      <c r="H6" s="737">
        <v>2</v>
      </c>
      <c r="I6" s="738"/>
      <c r="J6" s="737">
        <v>3</v>
      </c>
      <c r="K6" s="738"/>
      <c r="L6" s="737">
        <v>4</v>
      </c>
      <c r="M6" s="738"/>
    </row>
    <row r="7" spans="1:13" ht="31.4" customHeight="1">
      <c r="A7" s="779"/>
      <c r="B7" s="783"/>
      <c r="C7" s="784"/>
      <c r="D7" s="643"/>
      <c r="E7" s="786"/>
      <c r="F7" s="774" t="s">
        <v>454</v>
      </c>
      <c r="G7" s="775"/>
      <c r="H7" s="774" t="s">
        <v>240</v>
      </c>
      <c r="I7" s="775"/>
      <c r="J7" s="774" t="s">
        <v>166</v>
      </c>
      <c r="K7" s="775"/>
      <c r="L7" s="774" t="s">
        <v>430</v>
      </c>
      <c r="M7" s="775"/>
    </row>
    <row r="8" spans="1:13" ht="15">
      <c r="A8" s="780"/>
      <c r="B8" s="155" t="s">
        <v>11</v>
      </c>
      <c r="C8" s="155" t="s">
        <v>41</v>
      </c>
      <c r="D8" s="643"/>
      <c r="E8" s="787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99999999999999" customHeight="1">
      <c r="A9" s="228" t="s">
        <v>242</v>
      </c>
      <c r="B9" s="140">
        <f>日別報廢率總表!G4</f>
        <v>91900.310509999967</v>
      </c>
      <c r="C9" s="231">
        <f>B9/($B$5*1000)</f>
        <v>2.0090191839559663E-3</v>
      </c>
      <c r="D9" s="643"/>
      <c r="E9" s="139" t="s">
        <v>242</v>
      </c>
      <c r="F9" s="142">
        <v>15963.451500000001</v>
      </c>
      <c r="G9" s="143">
        <v>0.75</v>
      </c>
      <c r="H9" s="142">
        <v>0</v>
      </c>
      <c r="I9" s="143">
        <v>0</v>
      </c>
      <c r="J9" s="142">
        <v>4456.5</v>
      </c>
      <c r="K9" s="143">
        <v>0.15</v>
      </c>
      <c r="L9" s="142">
        <v>0</v>
      </c>
      <c r="M9" s="143">
        <v>0</v>
      </c>
    </row>
    <row r="10" spans="1:13" ht="19.399999999999999" customHeight="1">
      <c r="A10" s="229" t="s">
        <v>243</v>
      </c>
      <c r="B10" s="145">
        <f>日別報廢率總表!H4</f>
        <v>282856.48109999992</v>
      </c>
      <c r="C10" s="141">
        <f>B10/($B$5*1000)</f>
        <v>6.1834839695600746E-3</v>
      </c>
      <c r="D10" s="643"/>
      <c r="E10" s="144" t="s">
        <v>243</v>
      </c>
      <c r="F10" s="142">
        <v>0</v>
      </c>
      <c r="G10" s="143">
        <v>0</v>
      </c>
      <c r="H10" s="142">
        <v>0</v>
      </c>
      <c r="I10" s="143">
        <v>0</v>
      </c>
      <c r="J10" s="142">
        <v>0</v>
      </c>
      <c r="K10" s="143">
        <v>0</v>
      </c>
      <c r="L10" s="142">
        <v>61035.200699999972</v>
      </c>
      <c r="M10" s="143">
        <v>0.7</v>
      </c>
    </row>
    <row r="11" spans="1:13" ht="13.5">
      <c r="A11" s="225" t="s">
        <v>419</v>
      </c>
      <c r="B11" s="391" t="s">
        <v>583</v>
      </c>
      <c r="C11" s="224"/>
      <c r="D11" s="643"/>
      <c r="E11" s="788" t="s">
        <v>197</v>
      </c>
      <c r="F11" s="737">
        <v>5</v>
      </c>
      <c r="G11" s="738"/>
      <c r="H11" s="737">
        <v>6</v>
      </c>
      <c r="I11" s="738"/>
      <c r="J11" s="737">
        <v>7</v>
      </c>
      <c r="K11" s="738"/>
      <c r="L11" s="772"/>
      <c r="M11" s="773"/>
    </row>
    <row r="12" spans="1:13" ht="31.4" customHeight="1">
      <c r="A12" s="136" t="s">
        <v>420</v>
      </c>
      <c r="B12" s="391" t="s">
        <v>583</v>
      </c>
      <c r="C12" s="224"/>
      <c r="D12" s="643"/>
      <c r="E12" s="786"/>
      <c r="F12" s="774" t="s">
        <v>189</v>
      </c>
      <c r="G12" s="775"/>
      <c r="H12" s="774" t="s">
        <v>167</v>
      </c>
      <c r="I12" s="775"/>
      <c r="J12" s="774" t="s">
        <v>190</v>
      </c>
      <c r="K12" s="775"/>
      <c r="L12" s="776"/>
      <c r="M12" s="777"/>
    </row>
    <row r="13" spans="1:13" ht="15">
      <c r="D13" s="643"/>
      <c r="E13" s="787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99999999999999" customHeight="1">
      <c r="D14" s="643"/>
      <c r="E14" s="139" t="s">
        <v>242</v>
      </c>
      <c r="F14" s="142">
        <v>1054.2</v>
      </c>
      <c r="G14" s="143">
        <v>0.05</v>
      </c>
      <c r="H14" s="142">
        <v>2348.4</v>
      </c>
      <c r="I14" s="143">
        <v>0.05</v>
      </c>
      <c r="J14" s="142">
        <v>0</v>
      </c>
      <c r="K14" s="143">
        <v>0</v>
      </c>
      <c r="L14" s="142"/>
      <c r="M14" s="143"/>
    </row>
    <row r="15" spans="1:13" ht="19.399999999999999" customHeight="1">
      <c r="D15" s="643"/>
      <c r="E15" s="144" t="s">
        <v>243</v>
      </c>
      <c r="F15" s="142">
        <v>21192.504700000005</v>
      </c>
      <c r="G15" s="143">
        <v>0.1</v>
      </c>
      <c r="H15" s="142">
        <v>22518.722300000023</v>
      </c>
      <c r="I15" s="143">
        <v>0.2</v>
      </c>
      <c r="J15" s="142">
        <v>0</v>
      </c>
      <c r="K15" s="143">
        <v>0</v>
      </c>
      <c r="L15" s="142"/>
      <c r="M15" s="143"/>
    </row>
    <row r="16" spans="1:13" ht="15.75" customHeight="1">
      <c r="A16" s="226" t="s">
        <v>423</v>
      </c>
      <c r="B16" s="227">
        <f>'生產管理報表(週) '!B6</f>
        <v>46456.915399999998</v>
      </c>
      <c r="E16" s="769" t="s">
        <v>453</v>
      </c>
      <c r="F16" s="770"/>
      <c r="G16" s="770"/>
      <c r="H16" s="770"/>
      <c r="I16" s="770"/>
      <c r="J16" s="770"/>
      <c r="K16" s="770"/>
      <c r="L16" s="770"/>
      <c r="M16" s="770"/>
    </row>
    <row r="17" spans="1:13" ht="15.75" customHeight="1">
      <c r="A17" s="771" t="s">
        <v>197</v>
      </c>
      <c r="B17" s="641" t="s">
        <v>10</v>
      </c>
      <c r="C17" s="641"/>
      <c r="D17" s="642"/>
      <c r="E17" s="640" t="s">
        <v>197</v>
      </c>
      <c r="F17" s="644">
        <v>1</v>
      </c>
      <c r="G17" s="644"/>
      <c r="H17" s="644">
        <v>2</v>
      </c>
      <c r="I17" s="644"/>
      <c r="J17" s="644">
        <v>3</v>
      </c>
      <c r="K17" s="644"/>
      <c r="L17" s="644">
        <v>4</v>
      </c>
      <c r="M17" s="644"/>
    </row>
    <row r="18" spans="1:13" ht="31.4" customHeight="1">
      <c r="A18" s="771"/>
      <c r="B18" s="641"/>
      <c r="C18" s="641"/>
      <c r="D18" s="643"/>
      <c r="E18" s="640"/>
      <c r="F18" s="646" t="s">
        <v>454</v>
      </c>
      <c r="G18" s="646"/>
      <c r="H18" s="646" t="s">
        <v>240</v>
      </c>
      <c r="I18" s="646"/>
      <c r="J18" s="646" t="s">
        <v>166</v>
      </c>
      <c r="K18" s="646"/>
      <c r="L18" s="646" t="s">
        <v>430</v>
      </c>
      <c r="M18" s="646"/>
    </row>
    <row r="19" spans="1:13" ht="15.75" customHeight="1">
      <c r="A19" s="771"/>
      <c r="B19" s="155" t="s">
        <v>11</v>
      </c>
      <c r="C19" s="155" t="s">
        <v>41</v>
      </c>
      <c r="D19" s="643"/>
      <c r="E19" s="640"/>
      <c r="F19" s="155" t="s">
        <v>11</v>
      </c>
      <c r="G19" s="155" t="s">
        <v>41</v>
      </c>
      <c r="H19" s="155" t="s">
        <v>11</v>
      </c>
      <c r="I19" s="155" t="s">
        <v>41</v>
      </c>
      <c r="J19" s="155" t="s">
        <v>11</v>
      </c>
      <c r="K19" s="155" t="s">
        <v>41</v>
      </c>
      <c r="L19" s="155" t="s">
        <v>11</v>
      </c>
      <c r="M19" s="155" t="s">
        <v>41</v>
      </c>
    </row>
    <row r="20" spans="1:13" ht="19.399999999999999" customHeight="1">
      <c r="A20" s="228" t="s">
        <v>242</v>
      </c>
      <c r="B20" s="140">
        <f>日別報廢率總表!G11</f>
        <v>93389.858100000012</v>
      </c>
      <c r="C20" s="231">
        <f>B20/($B$16*1000)</f>
        <v>2.0102466402666073E-3</v>
      </c>
      <c r="D20" s="643"/>
      <c r="E20" s="139" t="s">
        <v>242</v>
      </c>
      <c r="F20" s="142">
        <f>'報廢20大－原因別分析'!AD32</f>
        <v>7264.2619999999997</v>
      </c>
      <c r="G20" s="143">
        <f>'報廢20大－原因別分析'!AD33</f>
        <v>0.25</v>
      </c>
      <c r="H20" s="142">
        <f>'報廢20大－原因別分析'!AE32</f>
        <v>0</v>
      </c>
      <c r="I20" s="143">
        <f>'報廢20大－原因別分析'!AE33</f>
        <v>0</v>
      </c>
      <c r="J20" s="142">
        <f>'報廢20大－原因別分析'!AF32</f>
        <v>15182.581999999999</v>
      </c>
      <c r="K20" s="143">
        <f>'報廢20大－原因別分析'!AF33</f>
        <v>0.45</v>
      </c>
      <c r="L20" s="142">
        <f>'報廢20大－原因別分析'!AG32</f>
        <v>0</v>
      </c>
      <c r="M20" s="143">
        <f>'報廢20大－原因別分析'!AG33</f>
        <v>0</v>
      </c>
    </row>
    <row r="21" spans="1:13" ht="19.399999999999999" customHeight="1">
      <c r="A21" s="229" t="s">
        <v>243</v>
      </c>
      <c r="B21" s="145">
        <f>日別報廢率總表!H11</f>
        <v>285517.6336</v>
      </c>
      <c r="C21" s="141">
        <f>B21/($B$16*1000)</f>
        <v>6.145858612042073E-3</v>
      </c>
      <c r="D21" s="643"/>
      <c r="E21" s="144" t="s">
        <v>243</v>
      </c>
      <c r="F21" s="142">
        <f>'超用20大－原因別分析'!AD32</f>
        <v>0</v>
      </c>
      <c r="G21" s="143">
        <f>'超用20大－原因別分析'!AD33</f>
        <v>0</v>
      </c>
      <c r="H21" s="142">
        <f>'超用20大－原因別分析'!AE32</f>
        <v>0</v>
      </c>
      <c r="I21" s="143">
        <f>'超用20大－原因別分析'!AE33</f>
        <v>0</v>
      </c>
      <c r="J21" s="142">
        <f>'超用20大－原因別分析'!AF32</f>
        <v>0</v>
      </c>
      <c r="K21" s="143">
        <f>'超用20大－原因別分析'!AF33</f>
        <v>0</v>
      </c>
      <c r="L21" s="142">
        <f>'超用20大－原因別分析'!AG32</f>
        <v>63700.014900000075</v>
      </c>
      <c r="M21" s="143">
        <f>'超用20大－原因別分析'!AG33</f>
        <v>0.6</v>
      </c>
    </row>
    <row r="22" spans="1:13" ht="15.75" customHeight="1">
      <c r="A22" s="225" t="s">
        <v>419</v>
      </c>
      <c r="B22" s="391" t="s">
        <v>669</v>
      </c>
      <c r="C22" s="224"/>
      <c r="D22" s="643"/>
      <c r="E22" s="640" t="s">
        <v>197</v>
      </c>
      <c r="F22" s="737">
        <v>5</v>
      </c>
      <c r="G22" s="738"/>
      <c r="H22" s="737">
        <v>6</v>
      </c>
      <c r="I22" s="738"/>
      <c r="J22" s="737">
        <v>7</v>
      </c>
      <c r="K22" s="738"/>
      <c r="L22" s="772"/>
      <c r="M22" s="773"/>
    </row>
    <row r="23" spans="1:13" ht="31.4" customHeight="1">
      <c r="A23" s="136" t="s">
        <v>420</v>
      </c>
      <c r="B23" s="391" t="s">
        <v>669</v>
      </c>
      <c r="C23" s="224"/>
      <c r="D23" s="643"/>
      <c r="E23" s="640"/>
      <c r="F23" s="774" t="s">
        <v>189</v>
      </c>
      <c r="G23" s="775"/>
      <c r="H23" s="774" t="s">
        <v>167</v>
      </c>
      <c r="I23" s="775"/>
      <c r="J23" s="774" t="s">
        <v>190</v>
      </c>
      <c r="K23" s="775"/>
      <c r="L23" s="776"/>
      <c r="M23" s="777"/>
    </row>
    <row r="24" spans="1:13" ht="15.75" customHeight="1">
      <c r="D24" s="643"/>
      <c r="E24" s="640"/>
      <c r="F24" s="155" t="s">
        <v>11</v>
      </c>
      <c r="G24" s="155" t="s">
        <v>41</v>
      </c>
      <c r="H24" s="155" t="s">
        <v>11</v>
      </c>
      <c r="I24" s="155" t="s">
        <v>41</v>
      </c>
      <c r="J24" s="155" t="s">
        <v>11</v>
      </c>
      <c r="K24" s="155" t="s">
        <v>41</v>
      </c>
      <c r="L24" s="155"/>
      <c r="M24" s="155"/>
    </row>
    <row r="25" spans="1:13" ht="19.399999999999999" customHeight="1">
      <c r="D25" s="643"/>
      <c r="E25" s="139" t="s">
        <v>242</v>
      </c>
      <c r="F25" s="142">
        <f>'報廢20大－原因別分析'!AH32</f>
        <v>1506.7346000000005</v>
      </c>
      <c r="G25" s="143">
        <f>'報廢20大－原因別分析'!AH33</f>
        <v>0.05</v>
      </c>
      <c r="H25" s="142">
        <f>'報廢20大－原因別分析'!AI32</f>
        <v>8656.4228999999996</v>
      </c>
      <c r="I25" s="143">
        <f>'報廢20大－原因別分析'!AI33</f>
        <v>0.25</v>
      </c>
      <c r="J25" s="142">
        <f>'報廢20大－原因別分析'!AJ32</f>
        <v>0</v>
      </c>
      <c r="K25" s="143">
        <f>'報廢20大－原因別分析'!AJ33</f>
        <v>0</v>
      </c>
      <c r="L25" s="142"/>
      <c r="M25" s="143"/>
    </row>
    <row r="26" spans="1:13" ht="19.399999999999999" customHeight="1">
      <c r="D26" s="643"/>
      <c r="E26" s="144" t="s">
        <v>243</v>
      </c>
      <c r="F26" s="142">
        <f>'超用20大－原因別分析'!AH32</f>
        <v>12264.701699999943</v>
      </c>
      <c r="G26" s="143">
        <f>'超用20大－原因別分析'!AH33</f>
        <v>0.05</v>
      </c>
      <c r="H26" s="142">
        <f>'超用20大－原因別分析'!AI32</f>
        <v>44969.139500000027</v>
      </c>
      <c r="I26" s="143">
        <f>'超用20大－原因別分析'!AI33</f>
        <v>0.35</v>
      </c>
      <c r="J26" s="142">
        <f>'超用20大－原因別分析'!AJ32</f>
        <v>0</v>
      </c>
      <c r="K26" s="143">
        <f>'超用20大－原因別分析'!AJ33</f>
        <v>0</v>
      </c>
      <c r="L26" s="142"/>
      <c r="M26" s="143"/>
    </row>
    <row r="27" spans="1:13" ht="15.75" customHeight="1">
      <c r="A27" s="226" t="s">
        <v>423</v>
      </c>
      <c r="B27" s="227">
        <v>40956.337890000003</v>
      </c>
      <c r="E27" s="769" t="s">
        <v>453</v>
      </c>
      <c r="F27" s="770"/>
      <c r="G27" s="770"/>
      <c r="H27" s="770"/>
      <c r="I27" s="770"/>
      <c r="J27" s="770"/>
      <c r="K27" s="770"/>
      <c r="L27" s="770"/>
      <c r="M27" s="770"/>
    </row>
    <row r="28" spans="1:13" ht="15.75" customHeight="1">
      <c r="A28" s="771" t="s">
        <v>197</v>
      </c>
      <c r="B28" s="641" t="s">
        <v>10</v>
      </c>
      <c r="C28" s="641"/>
      <c r="D28" s="642"/>
      <c r="E28" s="640" t="s">
        <v>197</v>
      </c>
      <c r="F28" s="644">
        <v>1</v>
      </c>
      <c r="G28" s="644"/>
      <c r="H28" s="644">
        <v>2</v>
      </c>
      <c r="I28" s="644"/>
      <c r="J28" s="644">
        <v>3</v>
      </c>
      <c r="K28" s="644"/>
      <c r="L28" s="644">
        <v>4</v>
      </c>
      <c r="M28" s="644"/>
    </row>
    <row r="29" spans="1:13" ht="31.4" customHeight="1">
      <c r="A29" s="771"/>
      <c r="B29" s="641"/>
      <c r="C29" s="641"/>
      <c r="D29" s="643"/>
      <c r="E29" s="640"/>
      <c r="F29" s="646" t="s">
        <v>454</v>
      </c>
      <c r="G29" s="646"/>
      <c r="H29" s="646" t="s">
        <v>240</v>
      </c>
      <c r="I29" s="646"/>
      <c r="J29" s="646" t="s">
        <v>166</v>
      </c>
      <c r="K29" s="646"/>
      <c r="L29" s="646" t="s">
        <v>430</v>
      </c>
      <c r="M29" s="646"/>
    </row>
    <row r="30" spans="1:13" ht="15.75" customHeight="1">
      <c r="A30" s="771"/>
      <c r="B30" s="155" t="s">
        <v>11</v>
      </c>
      <c r="C30" s="155" t="s">
        <v>41</v>
      </c>
      <c r="D30" s="643"/>
      <c r="E30" s="640"/>
      <c r="F30" s="155" t="s">
        <v>11</v>
      </c>
      <c r="G30" s="155" t="s">
        <v>41</v>
      </c>
      <c r="H30" s="155" t="s">
        <v>11</v>
      </c>
      <c r="I30" s="155" t="s">
        <v>41</v>
      </c>
      <c r="J30" s="155" t="s">
        <v>11</v>
      </c>
      <c r="K30" s="155" t="s">
        <v>41</v>
      </c>
      <c r="L30" s="155" t="s">
        <v>11</v>
      </c>
      <c r="M30" s="155" t="s">
        <v>41</v>
      </c>
    </row>
    <row r="31" spans="1:13" ht="19.399999999999999" customHeight="1">
      <c r="A31" s="228" t="s">
        <v>242</v>
      </c>
      <c r="B31" s="140">
        <f>日別報廢率總表!G18</f>
        <v>0</v>
      </c>
      <c r="C31" s="231">
        <f>B31/($B$27*1000)</f>
        <v>0</v>
      </c>
      <c r="D31" s="643"/>
      <c r="E31" s="139" t="s">
        <v>242</v>
      </c>
      <c r="F31" s="142">
        <f>'報廢20大－原因別分析'!AD54</f>
        <v>0</v>
      </c>
      <c r="G31" s="143">
        <f>'報廢20大－原因別分析'!AD55</f>
        <v>0</v>
      </c>
      <c r="H31" s="142">
        <f>'報廢20大－原因別分析'!AE54</f>
        <v>0</v>
      </c>
      <c r="I31" s="143">
        <f>'報廢20大－原因別分析'!AE55</f>
        <v>0</v>
      </c>
      <c r="J31" s="142">
        <f>'報廢20大－原因別分析'!AF54</f>
        <v>0</v>
      </c>
      <c r="K31" s="143">
        <f>'報廢20大－原因別分析'!AF55</f>
        <v>0</v>
      </c>
      <c r="L31" s="142">
        <f>'報廢20大－原因別分析'!AG54</f>
        <v>0</v>
      </c>
      <c r="M31" s="143">
        <f>'報廢20大－原因別分析'!AG55</f>
        <v>0</v>
      </c>
    </row>
    <row r="32" spans="1:13" ht="19.399999999999999" customHeight="1">
      <c r="A32" s="229" t="s">
        <v>243</v>
      </c>
      <c r="B32" s="145">
        <f>日別報廢率總表!H18</f>
        <v>0</v>
      </c>
      <c r="C32" s="141">
        <f>B32/($B$27*1000)</f>
        <v>0</v>
      </c>
      <c r="D32" s="643"/>
      <c r="E32" s="144" t="s">
        <v>243</v>
      </c>
      <c r="F32" s="142">
        <f>'超用20大－原因別分析'!AD54</f>
        <v>0</v>
      </c>
      <c r="G32" s="143">
        <f>'超用20大－原因別分析'!AD55</f>
        <v>0</v>
      </c>
      <c r="H32" s="142">
        <f>'超用20大－原因別分析'!AE54</f>
        <v>0</v>
      </c>
      <c r="I32" s="143">
        <f>'超用20大－原因別分析'!AD55</f>
        <v>0</v>
      </c>
      <c r="J32" s="142">
        <f>'超用20大－原因別分析'!AF54</f>
        <v>0</v>
      </c>
      <c r="K32" s="143">
        <f>'超用20大－原因別分析'!AF55</f>
        <v>0</v>
      </c>
      <c r="L32" s="142">
        <f>'超用20大－原因別分析'!AG54</f>
        <v>0</v>
      </c>
      <c r="M32" s="143">
        <f>'超用20大－原因別分析'!AG55</f>
        <v>0.75</v>
      </c>
    </row>
    <row r="33" spans="1:13" ht="15.75" customHeight="1">
      <c r="A33" s="225" t="s">
        <v>419</v>
      </c>
      <c r="B33" s="391" t="s">
        <v>670</v>
      </c>
      <c r="C33" s="224"/>
      <c r="D33" s="643"/>
      <c r="E33" s="640" t="s">
        <v>197</v>
      </c>
      <c r="F33" s="737"/>
      <c r="G33" s="738"/>
      <c r="H33" s="737"/>
      <c r="I33" s="738"/>
      <c r="J33" s="737"/>
      <c r="K33" s="738"/>
      <c r="L33" s="772"/>
      <c r="M33" s="773"/>
    </row>
    <row r="34" spans="1:13" ht="31.4" customHeight="1">
      <c r="A34" s="136" t="s">
        <v>420</v>
      </c>
      <c r="B34" s="391" t="s">
        <v>670</v>
      </c>
      <c r="C34" s="224"/>
      <c r="D34" s="643"/>
      <c r="E34" s="640"/>
      <c r="F34" s="774" t="s">
        <v>189</v>
      </c>
      <c r="G34" s="775"/>
      <c r="H34" s="774" t="s">
        <v>167</v>
      </c>
      <c r="I34" s="775"/>
      <c r="J34" s="774" t="s">
        <v>190</v>
      </c>
      <c r="K34" s="775"/>
      <c r="L34" s="776"/>
      <c r="M34" s="777"/>
    </row>
    <row r="35" spans="1:13" ht="15.75" customHeight="1">
      <c r="D35" s="643"/>
      <c r="E35" s="640"/>
      <c r="F35" s="155" t="s">
        <v>11</v>
      </c>
      <c r="G35" s="155" t="s">
        <v>41</v>
      </c>
      <c r="H35" s="155" t="s">
        <v>11</v>
      </c>
      <c r="I35" s="155" t="s">
        <v>41</v>
      </c>
      <c r="J35" s="155" t="s">
        <v>11</v>
      </c>
      <c r="K35" s="155" t="s">
        <v>41</v>
      </c>
      <c r="L35" s="155"/>
      <c r="M35" s="155"/>
    </row>
    <row r="36" spans="1:13" ht="19.399999999999999" customHeight="1">
      <c r="D36" s="643"/>
      <c r="E36" s="139" t="s">
        <v>242</v>
      </c>
      <c r="F36" s="142">
        <f>'報廢20大－原因別分析'!AH54</f>
        <v>0</v>
      </c>
      <c r="G36" s="143">
        <f>'報廢20大－原因別分析'!AH55</f>
        <v>0</v>
      </c>
      <c r="H36" s="142">
        <f>'報廢20大－原因別分析'!AI54</f>
        <v>0</v>
      </c>
      <c r="I36" s="143">
        <f>'報廢20大－原因別分析'!AI55</f>
        <v>0</v>
      </c>
      <c r="J36" s="142">
        <f>'報廢20大－原因別分析'!AJ54</f>
        <v>0</v>
      </c>
      <c r="K36" s="143">
        <f>'報廢20大－原因別分析'!AJ55</f>
        <v>0</v>
      </c>
      <c r="L36" s="142"/>
      <c r="M36" s="143"/>
    </row>
    <row r="37" spans="1:13" ht="19.399999999999999" customHeight="1">
      <c r="D37" s="643"/>
      <c r="E37" s="144" t="s">
        <v>243</v>
      </c>
      <c r="F37" s="142">
        <f>'超用20大－原因別分析'!AH54</f>
        <v>0</v>
      </c>
      <c r="G37" s="143">
        <f>'超用20大－原因別分析'!AH55</f>
        <v>0.1</v>
      </c>
      <c r="H37" s="142">
        <f>'超用20大－原因別分析'!AI54</f>
        <v>0</v>
      </c>
      <c r="I37" s="143">
        <f>'超用20大－原因別分析'!AI55</f>
        <v>0.15</v>
      </c>
      <c r="J37" s="142">
        <f>'超用20大－原因別分析'!AJ54</f>
        <v>0</v>
      </c>
      <c r="K37" s="143">
        <f>'超用20大－原因別分析'!AJ55</f>
        <v>0</v>
      </c>
      <c r="L37" s="142"/>
      <c r="M37" s="143"/>
    </row>
    <row r="38" spans="1:13" ht="15.75" customHeight="1">
      <c r="A38" s="226" t="s">
        <v>423</v>
      </c>
      <c r="B38" s="227">
        <v>42516.57056</v>
      </c>
      <c r="E38" s="769" t="s">
        <v>453</v>
      </c>
      <c r="F38" s="770"/>
      <c r="G38" s="770"/>
      <c r="H38" s="770"/>
      <c r="I38" s="770"/>
      <c r="J38" s="770"/>
      <c r="K38" s="770"/>
      <c r="L38" s="770"/>
      <c r="M38" s="770"/>
    </row>
    <row r="39" spans="1:13" ht="15.75" customHeight="1">
      <c r="A39" s="771" t="s">
        <v>197</v>
      </c>
      <c r="B39" s="641" t="s">
        <v>10</v>
      </c>
      <c r="C39" s="641"/>
      <c r="D39" s="642"/>
      <c r="E39" s="640" t="s">
        <v>197</v>
      </c>
      <c r="F39" s="644">
        <v>1</v>
      </c>
      <c r="G39" s="644"/>
      <c r="H39" s="644">
        <v>2</v>
      </c>
      <c r="I39" s="644"/>
      <c r="J39" s="644">
        <v>3</v>
      </c>
      <c r="K39" s="644"/>
      <c r="L39" s="644">
        <v>4</v>
      </c>
      <c r="M39" s="644"/>
    </row>
    <row r="40" spans="1:13" ht="31.4" customHeight="1">
      <c r="A40" s="771"/>
      <c r="B40" s="641"/>
      <c r="C40" s="641"/>
      <c r="D40" s="643"/>
      <c r="E40" s="640"/>
      <c r="F40" s="646" t="s">
        <v>454</v>
      </c>
      <c r="G40" s="646"/>
      <c r="H40" s="646" t="s">
        <v>240</v>
      </c>
      <c r="I40" s="646"/>
      <c r="J40" s="646" t="s">
        <v>166</v>
      </c>
      <c r="K40" s="646"/>
      <c r="L40" s="646" t="s">
        <v>430</v>
      </c>
      <c r="M40" s="646"/>
    </row>
    <row r="41" spans="1:13" ht="15.75" customHeight="1">
      <c r="A41" s="771"/>
      <c r="B41" s="155" t="s">
        <v>11</v>
      </c>
      <c r="C41" s="155" t="s">
        <v>41</v>
      </c>
      <c r="D41" s="643"/>
      <c r="E41" s="640"/>
      <c r="F41" s="155" t="s">
        <v>11</v>
      </c>
      <c r="G41" s="155" t="s">
        <v>41</v>
      </c>
      <c r="H41" s="155" t="s">
        <v>11</v>
      </c>
      <c r="I41" s="155" t="s">
        <v>41</v>
      </c>
      <c r="J41" s="155" t="s">
        <v>11</v>
      </c>
      <c r="K41" s="155" t="s">
        <v>41</v>
      </c>
      <c r="L41" s="155" t="s">
        <v>11</v>
      </c>
      <c r="M41" s="155" t="s">
        <v>41</v>
      </c>
    </row>
    <row r="42" spans="1:13" ht="19.399999999999999" customHeight="1">
      <c r="A42" s="228" t="s">
        <v>242</v>
      </c>
      <c r="B42" s="140">
        <f>日別報廢率總表!G25</f>
        <v>0</v>
      </c>
      <c r="C42" s="231">
        <f>B42/($B$38*1000)</f>
        <v>0</v>
      </c>
      <c r="D42" s="643"/>
      <c r="E42" s="139" t="s">
        <v>242</v>
      </c>
      <c r="F42" s="142">
        <f>'報廢20大－原因別分析'!AD76</f>
        <v>0</v>
      </c>
      <c r="G42" s="143">
        <f>'報廢20大－原因別分析'!AD77</f>
        <v>0</v>
      </c>
      <c r="H42" s="142">
        <f>'報廢20大－原因別分析'!AE76</f>
        <v>0</v>
      </c>
      <c r="I42" s="143">
        <f>'報廢20大－原因別分析'!AE77</f>
        <v>0</v>
      </c>
      <c r="J42" s="142">
        <f>'報廢20大－原因別分析'!AF76</f>
        <v>0</v>
      </c>
      <c r="K42" s="143">
        <f>'報廢20大－原因別分析'!AF77</f>
        <v>0</v>
      </c>
      <c r="L42" s="142">
        <f>'報廢20大－原因別分析'!AG76</f>
        <v>0</v>
      </c>
      <c r="M42" s="143">
        <f>'報廢20大－原因別分析'!AG77</f>
        <v>0</v>
      </c>
    </row>
    <row r="43" spans="1:13" ht="19.399999999999999" customHeight="1">
      <c r="A43" s="229" t="s">
        <v>243</v>
      </c>
      <c r="B43" s="145">
        <f>日別報廢率總表!H25</f>
        <v>0</v>
      </c>
      <c r="C43" s="141">
        <f>B43/($B$38*1000)</f>
        <v>0</v>
      </c>
      <c r="D43" s="643"/>
      <c r="E43" s="144" t="s">
        <v>243</v>
      </c>
      <c r="F43" s="142">
        <f>'超用20大－原因別分析'!AD76</f>
        <v>0</v>
      </c>
      <c r="G43" s="143">
        <f>'超用20大－原因別分析'!AD77</f>
        <v>0</v>
      </c>
      <c r="H43" s="142">
        <f>'超用20大－原因別分析'!AE76</f>
        <v>0</v>
      </c>
      <c r="I43" s="143">
        <f>'超用20大－原因別分析'!AE77</f>
        <v>0</v>
      </c>
      <c r="J43" s="142">
        <f>'超用20大－原因別分析'!AF76</f>
        <v>0</v>
      </c>
      <c r="K43" s="143">
        <f>'超用20大－原因別分析'!AF77</f>
        <v>0</v>
      </c>
      <c r="L43" s="142">
        <f>'超用20大－原因別分析'!AG76</f>
        <v>0</v>
      </c>
      <c r="M43" s="143">
        <f>'超用20大－原因別分析'!AG77</f>
        <v>0.75</v>
      </c>
    </row>
    <row r="44" spans="1:13" ht="15.75" customHeight="1">
      <c r="A44" s="225" t="s">
        <v>419</v>
      </c>
      <c r="B44" s="391" t="s">
        <v>671</v>
      </c>
      <c r="C44" s="224"/>
      <c r="D44" s="643"/>
      <c r="E44" s="640" t="s">
        <v>197</v>
      </c>
      <c r="F44" s="737">
        <v>5</v>
      </c>
      <c r="G44" s="738"/>
      <c r="H44" s="737">
        <v>6</v>
      </c>
      <c r="I44" s="738"/>
      <c r="J44" s="737">
        <v>7</v>
      </c>
      <c r="K44" s="738"/>
      <c r="L44" s="772"/>
      <c r="M44" s="773"/>
    </row>
    <row r="45" spans="1:13" ht="31.4" customHeight="1">
      <c r="A45" s="136" t="s">
        <v>420</v>
      </c>
      <c r="B45" s="391" t="s">
        <v>671</v>
      </c>
      <c r="C45" s="224"/>
      <c r="D45" s="643"/>
      <c r="E45" s="640"/>
      <c r="F45" s="774" t="s">
        <v>189</v>
      </c>
      <c r="G45" s="775"/>
      <c r="H45" s="774" t="s">
        <v>167</v>
      </c>
      <c r="I45" s="775"/>
      <c r="J45" s="774" t="s">
        <v>190</v>
      </c>
      <c r="K45" s="775"/>
      <c r="L45" s="776"/>
      <c r="M45" s="777"/>
    </row>
    <row r="46" spans="1:13" ht="15.75" customHeight="1">
      <c r="D46" s="643"/>
      <c r="E46" s="640"/>
      <c r="F46" s="155" t="s">
        <v>11</v>
      </c>
      <c r="G46" s="155" t="s">
        <v>41</v>
      </c>
      <c r="H46" s="155" t="s">
        <v>11</v>
      </c>
      <c r="I46" s="155" t="s">
        <v>41</v>
      </c>
      <c r="J46" s="155" t="s">
        <v>11</v>
      </c>
      <c r="K46" s="155" t="s">
        <v>41</v>
      </c>
      <c r="L46" s="155"/>
      <c r="M46" s="155"/>
    </row>
    <row r="47" spans="1:13" ht="19.399999999999999" customHeight="1">
      <c r="D47" s="643"/>
      <c r="E47" s="139" t="s">
        <v>242</v>
      </c>
      <c r="F47" s="142">
        <f>'報廢20大－原因別分析'!AH76</f>
        <v>0</v>
      </c>
      <c r="G47" s="143">
        <f>'報廢20大－原因別分析'!AH77</f>
        <v>0</v>
      </c>
      <c r="H47" s="142">
        <f>'報廢20大－原因別分析'!AI76</f>
        <v>0</v>
      </c>
      <c r="I47" s="143">
        <f>'報廢20大－原因別分析'!AI77</f>
        <v>0</v>
      </c>
      <c r="J47" s="142">
        <f>'報廢20大－原因別分析'!AJ76</f>
        <v>0</v>
      </c>
      <c r="K47" s="143">
        <f>'報廢20大－原因別分析'!AJ77</f>
        <v>0</v>
      </c>
      <c r="L47" s="142"/>
      <c r="M47" s="143"/>
    </row>
    <row r="48" spans="1:13" ht="19.399999999999999" customHeight="1">
      <c r="D48" s="643"/>
      <c r="E48" s="144" t="s">
        <v>243</v>
      </c>
      <c r="F48" s="142">
        <f>'超用20大－原因別分析'!AH76</f>
        <v>0</v>
      </c>
      <c r="G48" s="143">
        <f>'超用20大－原因別分析'!AH77</f>
        <v>0.1</v>
      </c>
      <c r="H48" s="142">
        <f>'超用20大－原因別分析'!AI76</f>
        <v>0</v>
      </c>
      <c r="I48" s="143">
        <f>'超用20大－原因別分析'!AI77</f>
        <v>0.15</v>
      </c>
      <c r="J48" s="142">
        <f>'超用20大－原因別分析'!AJ76</f>
        <v>0</v>
      </c>
      <c r="K48" s="143">
        <f>'超用20大－原因別分析'!AJ77</f>
        <v>0</v>
      </c>
      <c r="L48" s="142"/>
      <c r="M48" s="143"/>
    </row>
    <row r="49" spans="1:14" ht="15.75" customHeight="1">
      <c r="A49" s="226" t="s">
        <v>423</v>
      </c>
      <c r="B49" s="227">
        <v>45743.869070000001</v>
      </c>
      <c r="E49" s="769" t="s">
        <v>453</v>
      </c>
      <c r="F49" s="770"/>
      <c r="G49" s="770"/>
      <c r="H49" s="770"/>
      <c r="I49" s="770"/>
      <c r="J49" s="770"/>
      <c r="K49" s="770"/>
      <c r="L49" s="770"/>
      <c r="M49" s="770"/>
      <c r="N49" s="459" t="s">
        <v>570</v>
      </c>
    </row>
    <row r="50" spans="1:14" ht="15.75" customHeight="1">
      <c r="A50" s="771" t="s">
        <v>197</v>
      </c>
      <c r="B50" s="641" t="s">
        <v>10</v>
      </c>
      <c r="C50" s="641"/>
      <c r="D50" s="642"/>
      <c r="E50" s="640" t="s">
        <v>197</v>
      </c>
      <c r="F50" s="644">
        <v>1</v>
      </c>
      <c r="G50" s="644"/>
      <c r="H50" s="644">
        <v>2</v>
      </c>
      <c r="I50" s="644"/>
      <c r="J50" s="644">
        <v>3</v>
      </c>
      <c r="K50" s="644"/>
      <c r="L50" s="644">
        <v>4</v>
      </c>
      <c r="M50" s="644"/>
    </row>
    <row r="51" spans="1:14" ht="31.4" customHeight="1">
      <c r="A51" s="771"/>
      <c r="B51" s="641"/>
      <c r="C51" s="641"/>
      <c r="D51" s="643"/>
      <c r="E51" s="640"/>
      <c r="F51" s="646" t="s">
        <v>454</v>
      </c>
      <c r="G51" s="646"/>
      <c r="H51" s="646" t="s">
        <v>240</v>
      </c>
      <c r="I51" s="646"/>
      <c r="J51" s="646" t="s">
        <v>166</v>
      </c>
      <c r="K51" s="646"/>
      <c r="L51" s="646" t="s">
        <v>430</v>
      </c>
      <c r="M51" s="646"/>
    </row>
    <row r="52" spans="1:14" ht="15.75" customHeight="1">
      <c r="A52" s="771"/>
      <c r="B52" s="155" t="s">
        <v>11</v>
      </c>
      <c r="C52" s="155" t="s">
        <v>41</v>
      </c>
      <c r="D52" s="643"/>
      <c r="E52" s="640"/>
      <c r="F52" s="155" t="s">
        <v>11</v>
      </c>
      <c r="G52" s="155" t="s">
        <v>41</v>
      </c>
      <c r="H52" s="155" t="s">
        <v>11</v>
      </c>
      <c r="I52" s="155" t="s">
        <v>41</v>
      </c>
      <c r="J52" s="155" t="s">
        <v>11</v>
      </c>
      <c r="K52" s="155" t="s">
        <v>41</v>
      </c>
      <c r="L52" s="155" t="s">
        <v>11</v>
      </c>
      <c r="M52" s="155" t="s">
        <v>41</v>
      </c>
    </row>
    <row r="53" spans="1:14" ht="19.399999999999999" customHeight="1">
      <c r="A53" s="228" t="s">
        <v>242</v>
      </c>
      <c r="B53" s="140">
        <f>日別報廢率總表!G32</f>
        <v>0</v>
      </c>
      <c r="C53" s="231">
        <f>B53/($B$49*1000)</f>
        <v>0</v>
      </c>
      <c r="D53" s="643"/>
      <c r="E53" s="139" t="s">
        <v>242</v>
      </c>
      <c r="F53" s="142">
        <f>'報廢20大－原因別分析'!AD98</f>
        <v>0</v>
      </c>
      <c r="G53" s="143">
        <f>'報廢20大－原因別分析'!AD99</f>
        <v>0</v>
      </c>
      <c r="H53" s="142">
        <f>'報廢20大－原因別分析'!AE98</f>
        <v>0</v>
      </c>
      <c r="I53" s="143">
        <f>'報廢20大－原因別分析'!AE99</f>
        <v>0</v>
      </c>
      <c r="J53" s="142">
        <f>'報廢20大－原因別分析'!AF98</f>
        <v>0</v>
      </c>
      <c r="K53" s="143">
        <f>'報廢20大－原因別分析'!AF99</f>
        <v>0</v>
      </c>
      <c r="L53" s="142">
        <f>'報廢20大－原因別分析'!AG98</f>
        <v>0</v>
      </c>
      <c r="M53" s="143">
        <f>'報廢20大－原因別分析'!AG99</f>
        <v>0</v>
      </c>
    </row>
    <row r="54" spans="1:14" ht="19.399999999999999" customHeight="1">
      <c r="A54" s="229" t="s">
        <v>243</v>
      </c>
      <c r="B54" s="145">
        <f>日別報廢率總表!H32</f>
        <v>0</v>
      </c>
      <c r="C54" s="141">
        <f>B54/($B$49*1000)</f>
        <v>0</v>
      </c>
      <c r="D54" s="643"/>
      <c r="E54" s="144" t="s">
        <v>243</v>
      </c>
      <c r="F54" s="142">
        <f>'超用20大－原因別分析'!AD98</f>
        <v>0</v>
      </c>
      <c r="G54" s="143">
        <f>'超用20大－原因別分析'!AD99</f>
        <v>0</v>
      </c>
      <c r="H54" s="142">
        <f>'超用20大－原因別分析'!AE98</f>
        <v>0</v>
      </c>
      <c r="I54" s="143">
        <f>'超用20大－原因別分析'!AE99</f>
        <v>0</v>
      </c>
      <c r="J54" s="142">
        <f>'超用20大－原因別分析'!AF98</f>
        <v>0</v>
      </c>
      <c r="K54" s="143">
        <f>'超用20大－原因別分析'!AF99</f>
        <v>0</v>
      </c>
      <c r="L54" s="142">
        <f>'超用20大－原因別分析'!AG98</f>
        <v>0</v>
      </c>
      <c r="M54" s="143">
        <f>'超用20大－原因別分析'!AG99</f>
        <v>0.75</v>
      </c>
    </row>
    <row r="55" spans="1:14" ht="15.75" customHeight="1">
      <c r="A55" s="225" t="s">
        <v>419</v>
      </c>
      <c r="B55" s="391" t="s">
        <v>672</v>
      </c>
      <c r="C55" s="224"/>
      <c r="D55" s="643"/>
      <c r="E55" s="640" t="s">
        <v>197</v>
      </c>
      <c r="F55" s="737">
        <v>5</v>
      </c>
      <c r="G55" s="738"/>
      <c r="H55" s="737">
        <v>6</v>
      </c>
      <c r="I55" s="738"/>
      <c r="J55" s="737">
        <v>7</v>
      </c>
      <c r="K55" s="738"/>
      <c r="L55" s="772"/>
      <c r="M55" s="773"/>
    </row>
    <row r="56" spans="1:14" ht="31.4" customHeight="1">
      <c r="A56" s="136" t="s">
        <v>420</v>
      </c>
      <c r="B56" s="391" t="s">
        <v>672</v>
      </c>
      <c r="C56" s="224"/>
      <c r="D56" s="643"/>
      <c r="E56" s="640"/>
      <c r="F56" s="774" t="s">
        <v>189</v>
      </c>
      <c r="G56" s="775"/>
      <c r="H56" s="774" t="s">
        <v>167</v>
      </c>
      <c r="I56" s="775"/>
      <c r="J56" s="774" t="s">
        <v>190</v>
      </c>
      <c r="K56" s="775"/>
      <c r="L56" s="776"/>
      <c r="M56" s="777"/>
    </row>
    <row r="57" spans="1:14" ht="15.75" customHeight="1">
      <c r="D57" s="643"/>
      <c r="E57" s="640"/>
      <c r="F57" s="155" t="s">
        <v>11</v>
      </c>
      <c r="G57" s="155" t="s">
        <v>41</v>
      </c>
      <c r="H57" s="155" t="s">
        <v>11</v>
      </c>
      <c r="I57" s="155" t="s">
        <v>41</v>
      </c>
      <c r="J57" s="155" t="s">
        <v>11</v>
      </c>
      <c r="K57" s="155" t="s">
        <v>41</v>
      </c>
      <c r="L57" s="155"/>
      <c r="M57" s="155"/>
    </row>
    <row r="58" spans="1:14" ht="19.399999999999999" customHeight="1">
      <c r="D58" s="643"/>
      <c r="E58" s="139" t="s">
        <v>242</v>
      </c>
      <c r="F58" s="142">
        <f>'報廢20大－原因別分析'!AH98</f>
        <v>0</v>
      </c>
      <c r="G58" s="143">
        <f>'報廢20大－原因別分析'!AH99</f>
        <v>0</v>
      </c>
      <c r="H58" s="142">
        <f>'報廢20大－原因別分析'!AI98</f>
        <v>0</v>
      </c>
      <c r="I58" s="143">
        <f>'報廢20大－原因別分析'!AI99</f>
        <v>0</v>
      </c>
      <c r="J58" s="142">
        <f>'報廢20大－原因別分析'!AJ98</f>
        <v>0</v>
      </c>
      <c r="K58" s="143">
        <f>'報廢20大－原因別分析'!AJ99</f>
        <v>0</v>
      </c>
      <c r="L58" s="142"/>
      <c r="M58" s="143"/>
    </row>
    <row r="59" spans="1:14" ht="19.399999999999999" customHeight="1">
      <c r="D59" s="643"/>
      <c r="E59" s="144" t="s">
        <v>243</v>
      </c>
      <c r="F59" s="142">
        <f>'超用20大－原因別分析'!AH98</f>
        <v>0</v>
      </c>
      <c r="G59" s="143">
        <f>'超用20大－原因別分析'!AH99</f>
        <v>0.1</v>
      </c>
      <c r="H59" s="142">
        <f>'超用20大－原因別分析'!AI98</f>
        <v>0</v>
      </c>
      <c r="I59" s="143">
        <f>'超用20大－原因別分析'!AI99</f>
        <v>0.15</v>
      </c>
      <c r="J59" s="142">
        <f>'超用20大－原因別分析'!AJ98</f>
        <v>0</v>
      </c>
      <c r="K59" s="143">
        <f>'超用20大－原因別分析'!AJ99</f>
        <v>0</v>
      </c>
      <c r="L59" s="142"/>
      <c r="M59" s="143"/>
    </row>
  </sheetData>
  <mergeCells count="112"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A1:M2"/>
    <mergeCell ref="A3:M4"/>
    <mergeCell ref="J22:K22"/>
    <mergeCell ref="L22:M22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92D050"/>
    <outlinePr summaryBelow="0" summaryRight="0"/>
  </sheetPr>
  <dimension ref="A1:BW142"/>
  <sheetViews>
    <sheetView view="pageBreakPreview" topLeftCell="A31" zoomScaleNormal="60" zoomScaleSheetLayoutView="100" workbookViewId="0">
      <selection activeCell="N141" sqref="N141"/>
    </sheetView>
  </sheetViews>
  <sheetFormatPr defaultColWidth="12.54296875" defaultRowHeight="15.75" customHeight="1"/>
  <cols>
    <col min="1" max="1" width="5.453125" style="99" customWidth="1"/>
    <col min="2" max="2" width="11.453125" style="132" customWidth="1"/>
    <col min="3" max="3" width="4" style="130" customWidth="1"/>
    <col min="4" max="9" width="9.54296875" style="99" customWidth="1"/>
    <col min="10" max="10" width="9.81640625" style="99" customWidth="1"/>
    <col min="11" max="15" width="9.54296875" style="99" customWidth="1"/>
    <col min="16" max="16" width="47.81640625" style="99" customWidth="1"/>
    <col min="17" max="17" width="9.54296875" style="99" customWidth="1"/>
    <col min="22" max="22" width="24.453125" style="99" bestFit="1" customWidth="1"/>
    <col min="23" max="23" width="19.453125" style="99" bestFit="1" customWidth="1"/>
    <col min="24" max="24" width="23" style="99" bestFit="1" customWidth="1"/>
    <col min="25" max="25" width="11.7265625" style="99" bestFit="1" customWidth="1"/>
    <col min="26" max="26" width="15.81640625" style="99" bestFit="1" customWidth="1"/>
    <col min="27" max="27" width="23.54296875" style="99" bestFit="1" customWidth="1"/>
    <col min="28" max="28" width="23" style="99" bestFit="1" customWidth="1"/>
    <col min="29" max="29" width="11.7265625" style="99" bestFit="1" customWidth="1"/>
    <col min="30" max="30" width="20.54296875" style="99" bestFit="1" customWidth="1"/>
    <col min="31" max="31" width="15" style="99" bestFit="1" customWidth="1"/>
    <col min="32" max="32" width="23" style="99" bestFit="1" customWidth="1"/>
    <col min="33" max="33" width="11.7265625" style="99" bestFit="1" customWidth="1"/>
    <col min="34" max="34" width="15.8164062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265625" style="99" bestFit="1" customWidth="1"/>
    <col min="40" max="40" width="13.81640625" style="99" bestFit="1" customWidth="1"/>
    <col min="41" max="41" width="27.81640625" style="99" bestFit="1" customWidth="1"/>
    <col min="42" max="42" width="23" style="99" bestFit="1" customWidth="1"/>
    <col min="43" max="43" width="8" style="99" bestFit="1" customWidth="1"/>
    <col min="44" max="44" width="30.7265625" style="99" bestFit="1" customWidth="1"/>
    <col min="45" max="45" width="25.726562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265625" style="99" bestFit="1" customWidth="1"/>
    <col min="50" max="50" width="20.1796875" style="99" bestFit="1" customWidth="1"/>
    <col min="51" max="51" width="23.54296875" style="99" bestFit="1" customWidth="1"/>
    <col min="52" max="52" width="23" style="99" bestFit="1" customWidth="1"/>
    <col min="53" max="53" width="11.7265625" style="99" bestFit="1" customWidth="1"/>
    <col min="54" max="54" width="21.453125" style="99" bestFit="1" customWidth="1"/>
    <col min="55" max="55" width="15" style="99" bestFit="1" customWidth="1"/>
    <col min="56" max="56" width="23" style="99" bestFit="1" customWidth="1"/>
    <col min="57" max="57" width="11.7265625" style="99" bestFit="1" customWidth="1"/>
    <col min="58" max="58" width="13.8164062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265625" style="99" bestFit="1" customWidth="1"/>
    <col min="64" max="64" width="24.7265625" style="99" bestFit="1" customWidth="1"/>
    <col min="65" max="65" width="18.726562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1640625" style="99" bestFit="1" customWidth="1"/>
    <col min="73" max="73" width="10.54296875" style="99" bestFit="1" customWidth="1"/>
    <col min="74" max="74" width="21.453125" style="99" bestFit="1" customWidth="1"/>
    <col min="75" max="75" width="5.453125" style="99" bestFit="1" customWidth="1"/>
    <col min="76" max="16384" width="12.54296875" style="99"/>
  </cols>
  <sheetData>
    <row r="1" spans="1:75" ht="15.75" customHeight="1">
      <c r="A1" s="502" t="s">
        <v>362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</row>
    <row r="2" spans="1:75" s="100" customFormat="1" ht="15.75" customHeight="1">
      <c r="A2" s="502"/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</row>
    <row r="3" spans="1:75" s="136" customFormat="1" ht="15.75" customHeight="1">
      <c r="A3" s="806" t="s">
        <v>623</v>
      </c>
      <c r="B3" s="806"/>
      <c r="C3" s="806"/>
      <c r="D3" s="806"/>
      <c r="E3" s="806"/>
      <c r="F3" s="806"/>
      <c r="G3" s="806"/>
      <c r="H3" s="806"/>
      <c r="I3" s="806"/>
      <c r="J3" s="806"/>
      <c r="K3" s="806"/>
      <c r="L3" s="806"/>
      <c r="M3" s="806"/>
      <c r="R3" s="233"/>
      <c r="S3" s="233"/>
      <c r="T3" s="233"/>
      <c r="U3" s="233"/>
    </row>
    <row r="4" spans="1:75" s="137" customFormat="1" ht="15.75" customHeight="1">
      <c r="A4" s="734"/>
      <c r="B4" s="734"/>
      <c r="C4" s="734"/>
      <c r="D4" s="734"/>
      <c r="E4" s="734"/>
      <c r="F4" s="734"/>
      <c r="G4" s="734"/>
      <c r="H4" s="734"/>
      <c r="I4" s="734"/>
      <c r="J4" s="734"/>
      <c r="K4" s="734"/>
      <c r="L4" s="734"/>
      <c r="M4" s="734"/>
    </row>
    <row r="5" spans="1:75" s="136" customFormat="1" ht="15.75" customHeight="1">
      <c r="A5" s="735" t="s">
        <v>191</v>
      </c>
      <c r="B5" s="728">
        <v>1</v>
      </c>
      <c r="C5" s="729"/>
      <c r="D5" s="728">
        <v>2</v>
      </c>
      <c r="E5" s="729"/>
      <c r="F5" s="728">
        <v>3</v>
      </c>
      <c r="G5" s="729"/>
      <c r="H5" s="737">
        <v>4</v>
      </c>
      <c r="I5" s="738"/>
      <c r="J5" s="737">
        <v>5</v>
      </c>
      <c r="K5" s="738"/>
      <c r="L5" s="737">
        <v>6</v>
      </c>
      <c r="M5" s="738"/>
      <c r="N5" s="737">
        <v>7</v>
      </c>
      <c r="O5" s="738"/>
      <c r="P5" s="737">
        <v>8</v>
      </c>
      <c r="Q5" s="738"/>
      <c r="R5" s="233"/>
      <c r="S5" s="233"/>
      <c r="T5" s="233"/>
      <c r="U5" s="233"/>
    </row>
    <row r="6" spans="1:75" s="136" customFormat="1" ht="15.75" customHeight="1">
      <c r="A6" s="736"/>
      <c r="B6" s="730" t="s">
        <v>454</v>
      </c>
      <c r="C6" s="731"/>
      <c r="D6" s="730" t="s">
        <v>212</v>
      </c>
      <c r="E6" s="731"/>
      <c r="F6" s="730" t="s">
        <v>166</v>
      </c>
      <c r="G6" s="731"/>
      <c r="H6" s="732" t="s">
        <v>430</v>
      </c>
      <c r="I6" s="733"/>
      <c r="J6" s="732" t="s">
        <v>189</v>
      </c>
      <c r="K6" s="733"/>
      <c r="L6" s="732" t="s">
        <v>167</v>
      </c>
      <c r="M6" s="733"/>
      <c r="N6" s="732" t="s">
        <v>190</v>
      </c>
      <c r="O6" s="733"/>
      <c r="P6" s="804" t="s">
        <v>217</v>
      </c>
      <c r="Q6" s="805"/>
      <c r="R6" s="233"/>
      <c r="S6" s="233"/>
      <c r="T6" s="233"/>
      <c r="U6" s="233"/>
    </row>
    <row r="7" spans="1:75" s="136" customFormat="1" ht="15.75" customHeight="1">
      <c r="B7" s="234"/>
      <c r="C7" s="235"/>
      <c r="R7" s="233"/>
      <c r="S7" s="233"/>
      <c r="T7" s="233"/>
      <c r="U7" s="233"/>
    </row>
    <row r="8" spans="1:75" s="237" customFormat="1" ht="15.75" customHeight="1">
      <c r="A8" s="737" t="s">
        <v>191</v>
      </c>
      <c r="B8" s="738"/>
      <c r="C8" s="236" t="s">
        <v>47</v>
      </c>
      <c r="D8" s="799" t="s">
        <v>12</v>
      </c>
      <c r="E8" s="654"/>
      <c r="F8" s="789"/>
      <c r="G8" s="807" t="s">
        <v>53</v>
      </c>
      <c r="H8" s="808"/>
      <c r="I8" s="809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800" t="s">
        <v>51</v>
      </c>
      <c r="P8" s="801"/>
    </row>
    <row r="9" spans="1:75" s="136" customFormat="1" ht="50.15" customHeight="1">
      <c r="A9" s="790">
        <v>1</v>
      </c>
      <c r="B9" s="793" t="s">
        <v>455</v>
      </c>
      <c r="C9" s="238">
        <v>1</v>
      </c>
      <c r="D9" s="239" t="s">
        <v>340</v>
      </c>
      <c r="E9" s="240"/>
      <c r="F9" s="240"/>
      <c r="G9" s="364" t="s">
        <v>387</v>
      </c>
      <c r="H9" s="307"/>
      <c r="I9" s="308"/>
      <c r="J9" s="238">
        <v>127.84000000000002</v>
      </c>
      <c r="K9" s="244">
        <v>4.4689817974587183E-3</v>
      </c>
      <c r="L9" s="238">
        <v>19.840000000000003</v>
      </c>
      <c r="M9" s="324">
        <f>L9*J9</f>
        <v>2536.3456000000006</v>
      </c>
      <c r="N9" s="245"/>
      <c r="O9" s="719" t="s">
        <v>594</v>
      </c>
      <c r="P9" s="720"/>
      <c r="R9" s="233"/>
      <c r="S9" s="400"/>
      <c r="T9" s="263"/>
      <c r="U9" s="233"/>
    </row>
    <row r="10" spans="1:75" s="136" customFormat="1" ht="50.15" customHeight="1">
      <c r="A10" s="791"/>
      <c r="B10" s="794"/>
      <c r="C10" s="238">
        <v>2</v>
      </c>
      <c r="D10" s="239" t="s">
        <v>435</v>
      </c>
      <c r="E10" s="240"/>
      <c r="F10" s="240"/>
      <c r="G10" s="364" t="s">
        <v>464</v>
      </c>
      <c r="H10" s="307"/>
      <c r="I10" s="308"/>
      <c r="J10" s="238">
        <v>160.49</v>
      </c>
      <c r="K10" s="244">
        <v>1.5915915915915919E-2</v>
      </c>
      <c r="L10" s="238">
        <v>11.13</v>
      </c>
      <c r="M10" s="324">
        <f t="shared" ref="M10:M13" si="0">L10*J10</f>
        <v>1786.2537000000002</v>
      </c>
      <c r="N10" s="245"/>
      <c r="O10" s="802" t="s">
        <v>653</v>
      </c>
      <c r="P10" s="797"/>
      <c r="R10" s="233"/>
      <c r="S10" s="401"/>
      <c r="T10" s="401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  <c r="BW10" s="233"/>
    </row>
    <row r="11" spans="1:75" s="136" customFormat="1" ht="50.15" customHeight="1">
      <c r="A11" s="791"/>
      <c r="B11" s="794"/>
      <c r="C11" s="238">
        <v>3</v>
      </c>
      <c r="D11" s="239" t="s">
        <v>474</v>
      </c>
      <c r="E11" s="240"/>
      <c r="F11" s="240"/>
      <c r="G11" s="364" t="s">
        <v>477</v>
      </c>
      <c r="H11" s="307"/>
      <c r="I11" s="308"/>
      <c r="J11" s="238">
        <v>118.30999999999997</v>
      </c>
      <c r="K11" s="244">
        <v>1.3094459384160671E-2</v>
      </c>
      <c r="L11" s="238">
        <v>10.81</v>
      </c>
      <c r="M11" s="324">
        <f t="shared" si="0"/>
        <v>1278.9310999999998</v>
      </c>
      <c r="N11" s="245"/>
      <c r="O11" s="803" t="s">
        <v>593</v>
      </c>
      <c r="P11" s="740"/>
      <c r="R11" s="233"/>
      <c r="S11" s="400"/>
      <c r="T11" s="400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</row>
    <row r="12" spans="1:75" s="136" customFormat="1" ht="50.15" customHeight="1">
      <c r="A12" s="791"/>
      <c r="B12" s="794"/>
      <c r="C12" s="238">
        <v>4</v>
      </c>
      <c r="D12" s="239" t="s">
        <v>475</v>
      </c>
      <c r="E12" s="240"/>
      <c r="F12" s="240"/>
      <c r="G12" s="364" t="s">
        <v>476</v>
      </c>
      <c r="H12" s="307"/>
      <c r="I12" s="308"/>
      <c r="J12" s="238">
        <v>84.3</v>
      </c>
      <c r="K12" s="244">
        <v>1.0827659748995157E-2</v>
      </c>
      <c r="L12" s="238">
        <v>14.52</v>
      </c>
      <c r="M12" s="324">
        <f t="shared" si="0"/>
        <v>1224.0359999999998</v>
      </c>
      <c r="N12" s="245"/>
      <c r="O12" s="803" t="s">
        <v>654</v>
      </c>
      <c r="P12" s="740"/>
      <c r="R12" s="233"/>
      <c r="S12" s="401"/>
      <c r="T12" s="401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  <c r="BW12" s="233"/>
    </row>
    <row r="13" spans="1:75" s="136" customFormat="1" ht="50.15" customHeight="1" thickBot="1">
      <c r="A13" s="791"/>
      <c r="B13" s="794"/>
      <c r="C13" s="238">
        <v>5</v>
      </c>
      <c r="D13" s="246" t="s">
        <v>442</v>
      </c>
      <c r="E13" s="247"/>
      <c r="F13" s="247"/>
      <c r="G13" s="364" t="s">
        <v>478</v>
      </c>
      <c r="H13" s="307"/>
      <c r="I13" s="308"/>
      <c r="J13" s="249">
        <v>421.40999999999997</v>
      </c>
      <c r="K13" s="250">
        <v>1.1739495015373148E-2</v>
      </c>
      <c r="L13" s="249">
        <v>2.52</v>
      </c>
      <c r="M13" s="325">
        <f t="shared" si="0"/>
        <v>1061.9531999999999</v>
      </c>
      <c r="N13" s="245"/>
      <c r="O13" s="803" t="s">
        <v>655</v>
      </c>
      <c r="P13" s="740"/>
      <c r="R13" s="233"/>
      <c r="S13" s="400"/>
      <c r="T13" s="400"/>
      <c r="U13" s="233"/>
      <c r="V13" s="402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  <c r="BW13" s="233"/>
    </row>
    <row r="14" spans="1:75" s="136" customFormat="1" ht="15.75" customHeight="1" thickTop="1">
      <c r="A14" s="792"/>
      <c r="B14" s="795"/>
      <c r="C14" s="656"/>
      <c r="D14" s="657"/>
      <c r="E14" s="657"/>
      <c r="F14" s="657"/>
      <c r="G14" s="657"/>
      <c r="H14" s="657"/>
      <c r="I14" s="798"/>
      <c r="J14" s="251" t="s">
        <v>58</v>
      </c>
      <c r="K14" s="213">
        <f>M14/'生產管理報表 7-1 (週)'!$B$9</f>
        <v>8.582690913913435E-2</v>
      </c>
      <c r="L14" s="251" t="s">
        <v>59</v>
      </c>
      <c r="M14" s="326">
        <f>SUM(M9:M13)</f>
        <v>7887.5196000000005</v>
      </c>
      <c r="N14" s="755"/>
      <c r="O14" s="756"/>
      <c r="P14" s="757"/>
      <c r="R14" s="233"/>
      <c r="S14" s="211"/>
      <c r="T14" s="211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  <c r="BW14" s="233"/>
    </row>
    <row r="15" spans="1:75" s="136" customFormat="1" ht="15.75" customHeight="1">
      <c r="B15" s="234"/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R15" s="233"/>
      <c r="S15" s="263"/>
      <c r="T15" s="26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  <c r="BW15" s="233"/>
    </row>
    <row r="16" spans="1:75" s="136" customFormat="1" ht="15.75" customHeight="1">
      <c r="A16" s="737" t="s">
        <v>191</v>
      </c>
      <c r="B16" s="738"/>
      <c r="C16" s="254" t="s">
        <v>47</v>
      </c>
      <c r="D16" s="653" t="s">
        <v>12</v>
      </c>
      <c r="E16" s="654"/>
      <c r="F16" s="655"/>
      <c r="G16" s="653" t="s">
        <v>53</v>
      </c>
      <c r="H16" s="654"/>
      <c r="I16" s="655"/>
      <c r="J16" s="256" t="s">
        <v>54</v>
      </c>
      <c r="K16" s="256" t="s">
        <v>55</v>
      </c>
      <c r="L16" s="256" t="s">
        <v>56</v>
      </c>
      <c r="M16" s="256" t="s">
        <v>11</v>
      </c>
      <c r="N16" s="257" t="s">
        <v>333</v>
      </c>
      <c r="O16" s="746" t="s">
        <v>51</v>
      </c>
      <c r="P16" s="747"/>
      <c r="R16" s="233"/>
      <c r="S16" s="211"/>
      <c r="T16" s="211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</row>
    <row r="17" spans="1:36" s="136" customFormat="1" ht="20.149999999999999" customHeight="1">
      <c r="A17" s="790">
        <v>2</v>
      </c>
      <c r="B17" s="793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62"/>
      <c r="O17" s="748"/>
      <c r="P17" s="749"/>
      <c r="R17" s="233"/>
      <c r="S17" s="263"/>
      <c r="T17" s="26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</row>
    <row r="18" spans="1:36" s="136" customFormat="1" ht="20.149999999999999" customHeight="1">
      <c r="A18" s="791"/>
      <c r="B18" s="794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62"/>
      <c r="O18" s="748"/>
      <c r="P18" s="749"/>
      <c r="R18" s="233"/>
      <c r="S18" s="211"/>
      <c r="T18" s="211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</row>
    <row r="19" spans="1:36" s="136" customFormat="1" ht="20.149999999999999" customHeight="1">
      <c r="A19" s="791"/>
      <c r="B19" s="794"/>
      <c r="C19" s="258">
        <v>3</v>
      </c>
      <c r="D19" s="239"/>
      <c r="E19" s="240"/>
      <c r="F19" s="241"/>
      <c r="G19" s="239"/>
      <c r="H19" s="240"/>
      <c r="I19" s="270"/>
      <c r="J19" s="259"/>
      <c r="K19" s="260"/>
      <c r="L19" s="259"/>
      <c r="M19" s="261">
        <f t="shared" si="1"/>
        <v>0</v>
      </c>
      <c r="N19" s="262"/>
      <c r="O19" s="748"/>
      <c r="P19" s="749"/>
      <c r="R19" s="233"/>
      <c r="S19" s="263"/>
      <c r="T19" s="26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</row>
    <row r="20" spans="1:36" s="136" customFormat="1" ht="20.149999999999999" customHeight="1">
      <c r="A20" s="791"/>
      <c r="B20" s="794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62"/>
      <c r="O20" s="748"/>
      <c r="P20" s="749"/>
      <c r="R20" s="233"/>
      <c r="S20" s="211"/>
      <c r="T20" s="211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</row>
    <row r="21" spans="1:36" s="136" customFormat="1" ht="20.149999999999999" customHeight="1" thickBot="1">
      <c r="A21" s="791"/>
      <c r="B21" s="794"/>
      <c r="C21" s="264">
        <v>5</v>
      </c>
      <c r="D21" s="246"/>
      <c r="E21" s="247"/>
      <c r="F21" s="248"/>
      <c r="G21" s="239"/>
      <c r="H21" s="240"/>
      <c r="I21" s="241"/>
      <c r="J21" s="265"/>
      <c r="K21" s="266"/>
      <c r="L21" s="265"/>
      <c r="M21" s="267">
        <f t="shared" si="1"/>
        <v>0</v>
      </c>
      <c r="N21" s="268"/>
      <c r="O21" s="748"/>
      <c r="P21" s="749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</row>
    <row r="22" spans="1:36" s="136" customFormat="1" ht="15.75" customHeight="1" thickTop="1">
      <c r="A22" s="792"/>
      <c r="B22" s="795"/>
      <c r="C22" s="656"/>
      <c r="D22" s="657"/>
      <c r="E22" s="657"/>
      <c r="F22" s="657"/>
      <c r="G22" s="657"/>
      <c r="H22" s="657"/>
      <c r="I22" s="798"/>
      <c r="J22" s="251" t="s">
        <v>58</v>
      </c>
      <c r="K22" s="213">
        <f>M22/'生產管理報表 7-1 (週)'!$B$9</f>
        <v>0</v>
      </c>
      <c r="L22" s="251" t="s">
        <v>59</v>
      </c>
      <c r="M22" s="252">
        <f>SUM(M17:M21)</f>
        <v>0</v>
      </c>
      <c r="N22" s="750"/>
      <c r="O22" s="751"/>
      <c r="P22" s="752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</row>
    <row r="23" spans="1:36" s="136" customFormat="1" ht="15.75" customHeight="1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</row>
    <row r="24" spans="1:36" s="136" customFormat="1" ht="15.75" customHeight="1">
      <c r="A24" s="737" t="s">
        <v>191</v>
      </c>
      <c r="B24" s="738"/>
      <c r="C24" s="254" t="s">
        <v>47</v>
      </c>
      <c r="D24" s="653" t="s">
        <v>12</v>
      </c>
      <c r="E24" s="654"/>
      <c r="F24" s="655"/>
      <c r="G24" s="653" t="s">
        <v>53</v>
      </c>
      <c r="H24" s="654"/>
      <c r="I24" s="789"/>
      <c r="J24" s="255" t="s">
        <v>54</v>
      </c>
      <c r="K24" s="256" t="s">
        <v>55</v>
      </c>
      <c r="L24" s="256" t="s">
        <v>56</v>
      </c>
      <c r="M24" s="256" t="s">
        <v>11</v>
      </c>
      <c r="N24" s="257" t="s">
        <v>333</v>
      </c>
      <c r="O24" s="744" t="s">
        <v>51</v>
      </c>
      <c r="P24" s="745"/>
      <c r="R24" s="233"/>
      <c r="S24" s="233"/>
      <c r="T24" s="233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</row>
    <row r="25" spans="1:36" s="136" customFormat="1" ht="50.15" customHeight="1">
      <c r="A25" s="790">
        <v>3</v>
      </c>
      <c r="B25" s="793" t="s">
        <v>424</v>
      </c>
      <c r="C25" s="258">
        <v>1</v>
      </c>
      <c r="D25" s="239" t="s">
        <v>340</v>
      </c>
      <c r="E25" s="240"/>
      <c r="F25" s="241"/>
      <c r="G25" s="248" t="s">
        <v>450</v>
      </c>
      <c r="H25" s="247"/>
      <c r="I25" s="248"/>
      <c r="J25" s="259">
        <v>2.4499999999999997</v>
      </c>
      <c r="K25" s="260">
        <v>1.0117182821590888E-2</v>
      </c>
      <c r="L25" s="259">
        <v>1605</v>
      </c>
      <c r="M25" s="327">
        <f t="shared" ref="M25:M29" si="2">L25*J25</f>
        <v>3932.2499999999995</v>
      </c>
      <c r="N25" s="272"/>
      <c r="O25" s="796" t="s">
        <v>462</v>
      </c>
      <c r="P25" s="797"/>
      <c r="R25" s="233"/>
      <c r="S25" s="402"/>
      <c r="T25" s="402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</row>
    <row r="26" spans="1:36" s="136" customFormat="1" ht="50.15" customHeight="1">
      <c r="A26" s="791"/>
      <c r="B26" s="794"/>
      <c r="C26" s="258">
        <v>2</v>
      </c>
      <c r="D26" s="239" t="s">
        <v>340</v>
      </c>
      <c r="E26" s="240"/>
      <c r="F26" s="241"/>
      <c r="G26" s="248" t="s">
        <v>449</v>
      </c>
      <c r="H26" s="247"/>
      <c r="I26" s="248"/>
      <c r="J26" s="259">
        <v>1.17</v>
      </c>
      <c r="K26" s="260">
        <v>9.8520029512607962E-3</v>
      </c>
      <c r="L26" s="259">
        <v>2951</v>
      </c>
      <c r="M26" s="327">
        <f t="shared" si="2"/>
        <v>3452.6699999999996</v>
      </c>
      <c r="N26" s="272"/>
      <c r="O26" s="739" t="s">
        <v>530</v>
      </c>
      <c r="P26" s="740"/>
      <c r="R26" s="233"/>
      <c r="S26" s="402"/>
      <c r="T26" s="408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</row>
    <row r="27" spans="1:36" s="136" customFormat="1" ht="50.15" customHeight="1">
      <c r="A27" s="791"/>
      <c r="B27" s="794"/>
      <c r="C27" s="258">
        <v>3</v>
      </c>
      <c r="D27" s="239" t="s">
        <v>465</v>
      </c>
      <c r="E27" s="240"/>
      <c r="F27" s="241"/>
      <c r="G27" s="248" t="s">
        <v>463</v>
      </c>
      <c r="H27" s="247"/>
      <c r="I27" s="248"/>
      <c r="J27" s="259">
        <v>407.74000000000007</v>
      </c>
      <c r="K27" s="260">
        <v>5.5205047318611991E-3</v>
      </c>
      <c r="L27" s="259">
        <v>6.65</v>
      </c>
      <c r="M27" s="327">
        <f t="shared" si="2"/>
        <v>2711.4710000000005</v>
      </c>
      <c r="N27" s="272"/>
      <c r="O27" s="739" t="s">
        <v>613</v>
      </c>
      <c r="P27" s="740"/>
      <c r="R27" s="402"/>
      <c r="S27" s="402"/>
      <c r="T27" s="408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</row>
    <row r="28" spans="1:36" s="136" customFormat="1" ht="50.15" customHeight="1">
      <c r="A28" s="791"/>
      <c r="B28" s="794"/>
      <c r="C28" s="258">
        <v>4</v>
      </c>
      <c r="D28" s="239" t="s">
        <v>582</v>
      </c>
      <c r="E28" s="240"/>
      <c r="F28" s="241"/>
      <c r="G28" s="248" t="s">
        <v>599</v>
      </c>
      <c r="H28" s="247"/>
      <c r="I28" s="248"/>
      <c r="J28" s="271">
        <v>24.59</v>
      </c>
      <c r="K28" s="260">
        <v>4.9395941200976014E-3</v>
      </c>
      <c r="L28" s="259">
        <v>83</v>
      </c>
      <c r="M28" s="327">
        <f t="shared" si="2"/>
        <v>2040.97</v>
      </c>
      <c r="N28" s="272"/>
      <c r="O28" s="739" t="s">
        <v>635</v>
      </c>
      <c r="P28" s="740"/>
      <c r="R28" s="233"/>
      <c r="S28" s="233"/>
      <c r="T28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</row>
    <row r="29" spans="1:36" s="136" customFormat="1" ht="50.15" customHeight="1" thickBot="1">
      <c r="A29" s="791"/>
      <c r="B29" s="794"/>
      <c r="C29" s="264">
        <v>5</v>
      </c>
      <c r="D29" s="246" t="s">
        <v>342</v>
      </c>
      <c r="E29" s="247"/>
      <c r="F29" s="248"/>
      <c r="G29" s="386" t="s">
        <v>461</v>
      </c>
      <c r="H29" s="385"/>
      <c r="I29" s="386"/>
      <c r="J29" s="274">
        <v>605.77999999999986</v>
      </c>
      <c r="K29" s="266">
        <v>2.4467637726038921E-3</v>
      </c>
      <c r="L29" s="275">
        <v>2.56</v>
      </c>
      <c r="M29" s="327">
        <f t="shared" si="2"/>
        <v>1550.7967999999996</v>
      </c>
      <c r="N29" s="272"/>
      <c r="O29" s="739" t="s">
        <v>613</v>
      </c>
      <c r="P29" s="740"/>
      <c r="R29" s="233"/>
      <c r="S29" s="233"/>
      <c r="T29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</row>
    <row r="30" spans="1:36" s="136" customFormat="1" ht="15.75" customHeight="1" thickTop="1">
      <c r="A30" s="792"/>
      <c r="B30" s="795"/>
      <c r="C30" s="656"/>
      <c r="D30" s="657"/>
      <c r="E30" s="657"/>
      <c r="F30" s="657"/>
      <c r="G30" s="657"/>
      <c r="H30" s="657"/>
      <c r="I30" s="798"/>
      <c r="J30" s="276" t="s">
        <v>58</v>
      </c>
      <c r="K30" s="213">
        <f>M30/'生產管理報表 7-1 (週)'!$B$9</f>
        <v>0.14894571872540677</v>
      </c>
      <c r="L30" s="276" t="s">
        <v>59</v>
      </c>
      <c r="M30" s="328">
        <f>SUM(M25:M29)</f>
        <v>13688.157799999999</v>
      </c>
      <c r="N30" s="741"/>
      <c r="O30" s="742"/>
      <c r="P30" s="743"/>
      <c r="R30" s="233"/>
      <c r="S30" s="233"/>
      <c r="T30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</row>
    <row r="31" spans="1:36" s="136" customFormat="1" ht="15.75" customHeight="1">
      <c r="A31" s="806" t="s">
        <v>675</v>
      </c>
      <c r="B31" s="806"/>
      <c r="C31" s="806"/>
      <c r="D31" s="806"/>
      <c r="E31" s="806"/>
      <c r="F31" s="806"/>
      <c r="G31" s="806"/>
      <c r="H31" s="806"/>
      <c r="I31" s="806"/>
      <c r="J31" s="806"/>
      <c r="K31" s="806"/>
      <c r="L31" s="806"/>
      <c r="M31" s="806"/>
      <c r="R31" s="233"/>
      <c r="S31" s="233"/>
      <c r="T31" s="233"/>
      <c r="U31" s="233"/>
    </row>
    <row r="32" spans="1:36" s="137" customFormat="1" ht="15.75" customHeight="1">
      <c r="A32" s="734"/>
      <c r="B32" s="734"/>
      <c r="C32" s="734"/>
      <c r="D32" s="734"/>
      <c r="E32" s="734"/>
      <c r="F32" s="734"/>
      <c r="G32" s="734"/>
      <c r="H32" s="734"/>
      <c r="I32" s="734"/>
      <c r="J32" s="734"/>
      <c r="K32" s="734"/>
      <c r="L32" s="734"/>
      <c r="M32" s="734"/>
    </row>
    <row r="33" spans="1:75" s="136" customFormat="1" ht="15.75" customHeight="1">
      <c r="A33" s="735" t="s">
        <v>191</v>
      </c>
      <c r="B33" s="728">
        <v>1</v>
      </c>
      <c r="C33" s="729"/>
      <c r="D33" s="728">
        <v>2</v>
      </c>
      <c r="E33" s="729"/>
      <c r="F33" s="728">
        <v>3</v>
      </c>
      <c r="G33" s="729"/>
      <c r="H33" s="737">
        <v>4</v>
      </c>
      <c r="I33" s="738"/>
      <c r="J33" s="737">
        <v>5</v>
      </c>
      <c r="K33" s="738"/>
      <c r="L33" s="737">
        <v>6</v>
      </c>
      <c r="M33" s="738"/>
      <c r="N33" s="737">
        <v>7</v>
      </c>
      <c r="O33" s="738"/>
      <c r="P33" s="737">
        <v>8</v>
      </c>
      <c r="Q33" s="738"/>
      <c r="R33" s="233"/>
      <c r="S33" s="233"/>
      <c r="T33" s="233"/>
      <c r="U33" s="233"/>
    </row>
    <row r="34" spans="1:75" s="136" customFormat="1" ht="15.75" customHeight="1">
      <c r="A34" s="736"/>
      <c r="B34" s="730" t="s">
        <v>454</v>
      </c>
      <c r="C34" s="731"/>
      <c r="D34" s="730" t="s">
        <v>212</v>
      </c>
      <c r="E34" s="731"/>
      <c r="F34" s="730" t="s">
        <v>166</v>
      </c>
      <c r="G34" s="731"/>
      <c r="H34" s="732" t="s">
        <v>430</v>
      </c>
      <c r="I34" s="733"/>
      <c r="J34" s="732" t="s">
        <v>189</v>
      </c>
      <c r="K34" s="733"/>
      <c r="L34" s="732" t="s">
        <v>167</v>
      </c>
      <c r="M34" s="733"/>
      <c r="N34" s="732" t="s">
        <v>190</v>
      </c>
      <c r="O34" s="733"/>
      <c r="P34" s="804" t="s">
        <v>217</v>
      </c>
      <c r="Q34" s="805"/>
      <c r="R34" s="233"/>
      <c r="S34" s="233"/>
      <c r="T34" s="233"/>
      <c r="U34" s="233"/>
    </row>
    <row r="35" spans="1:75" s="136" customFormat="1" ht="15.75" customHeight="1">
      <c r="B35" s="234"/>
      <c r="C35" s="235"/>
      <c r="R35" s="233"/>
      <c r="S35" s="233"/>
      <c r="T35" s="233"/>
      <c r="U35" s="233"/>
    </row>
    <row r="36" spans="1:75" s="237" customFormat="1" ht="15.75" customHeight="1">
      <c r="A36" s="737" t="s">
        <v>191</v>
      </c>
      <c r="B36" s="738"/>
      <c r="C36" s="236" t="s">
        <v>47</v>
      </c>
      <c r="D36" s="799" t="s">
        <v>12</v>
      </c>
      <c r="E36" s="654"/>
      <c r="F36" s="789"/>
      <c r="G36" s="656" t="s">
        <v>53</v>
      </c>
      <c r="H36" s="657"/>
      <c r="I36" s="658"/>
      <c r="J36" s="236" t="s">
        <v>54</v>
      </c>
      <c r="K36" s="236" t="s">
        <v>55</v>
      </c>
      <c r="L36" s="236" t="s">
        <v>56</v>
      </c>
      <c r="M36" s="236" t="s">
        <v>11</v>
      </c>
      <c r="N36" s="236" t="s">
        <v>333</v>
      </c>
      <c r="O36" s="800" t="s">
        <v>51</v>
      </c>
      <c r="P36" s="801"/>
    </row>
    <row r="37" spans="1:75" s="136" customFormat="1" ht="50.15" customHeight="1">
      <c r="A37" s="790">
        <v>1</v>
      </c>
      <c r="B37" s="793" t="s">
        <v>455</v>
      </c>
      <c r="C37" s="238">
        <v>1</v>
      </c>
      <c r="D37" s="239"/>
      <c r="E37" s="240"/>
      <c r="F37" s="240"/>
      <c r="G37" s="364"/>
      <c r="H37" s="307"/>
      <c r="I37" s="308"/>
      <c r="J37" s="238"/>
      <c r="K37" s="244"/>
      <c r="L37" s="238"/>
      <c r="M37" s="324">
        <f>L37*J37</f>
        <v>0</v>
      </c>
      <c r="N37" s="245"/>
      <c r="O37" s="719"/>
      <c r="P37" s="720"/>
      <c r="R37" s="233"/>
      <c r="S37" s="400"/>
      <c r="T37" s="263"/>
      <c r="U37" s="233"/>
    </row>
    <row r="38" spans="1:75" s="136" customFormat="1" ht="50.15" customHeight="1">
      <c r="A38" s="791"/>
      <c r="B38" s="794"/>
      <c r="C38" s="238">
        <v>2</v>
      </c>
      <c r="D38" s="239"/>
      <c r="E38" s="240"/>
      <c r="F38" s="240"/>
      <c r="G38" s="364"/>
      <c r="H38" s="307"/>
      <c r="I38" s="308"/>
      <c r="J38" s="238"/>
      <c r="K38" s="244"/>
      <c r="L38" s="238"/>
      <c r="M38" s="324">
        <f t="shared" ref="M38:M41" si="3">L38*J38</f>
        <v>0</v>
      </c>
      <c r="N38" s="245"/>
      <c r="O38" s="802"/>
      <c r="P38" s="797"/>
      <c r="R38" s="233"/>
      <c r="S38" s="401"/>
      <c r="T38" s="401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  <c r="BL38" s="233"/>
      <c r="BM38" s="233"/>
      <c r="BN38" s="233"/>
      <c r="BO38" s="233"/>
      <c r="BP38" s="233"/>
      <c r="BQ38" s="233"/>
      <c r="BR38" s="233"/>
      <c r="BS38" s="233"/>
      <c r="BT38" s="233"/>
      <c r="BU38" s="233"/>
      <c r="BV38" s="233"/>
      <c r="BW38" s="233"/>
    </row>
    <row r="39" spans="1:75" s="136" customFormat="1" ht="50.15" customHeight="1">
      <c r="A39" s="791"/>
      <c r="B39" s="794"/>
      <c r="C39" s="238">
        <v>3</v>
      </c>
      <c r="D39" s="239"/>
      <c r="E39" s="240"/>
      <c r="F39" s="240"/>
      <c r="G39" s="364"/>
      <c r="H39" s="307"/>
      <c r="I39" s="308"/>
      <c r="J39" s="238"/>
      <c r="K39" s="244"/>
      <c r="L39" s="238"/>
      <c r="M39" s="324">
        <f t="shared" si="3"/>
        <v>0</v>
      </c>
      <c r="N39" s="245"/>
      <c r="O39" s="803"/>
      <c r="P39" s="740"/>
      <c r="R39" s="233"/>
      <c r="S39" s="400"/>
      <c r="T39" s="400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3"/>
      <c r="BH39" s="233"/>
      <c r="BI39" s="233"/>
      <c r="BJ39" s="233"/>
      <c r="BK39" s="233"/>
      <c r="BL39" s="233"/>
      <c r="BM39" s="233"/>
      <c r="BN39" s="233"/>
      <c r="BO39" s="233"/>
      <c r="BP39" s="233"/>
      <c r="BQ39" s="233"/>
      <c r="BR39" s="233"/>
      <c r="BS39" s="233"/>
      <c r="BT39" s="233"/>
      <c r="BU39" s="233"/>
      <c r="BV39" s="233"/>
      <c r="BW39" s="233"/>
    </row>
    <row r="40" spans="1:75" s="136" customFormat="1" ht="50.15" customHeight="1">
      <c r="A40" s="791"/>
      <c r="B40" s="794"/>
      <c r="C40" s="238">
        <v>4</v>
      </c>
      <c r="D40" s="239"/>
      <c r="E40" s="240"/>
      <c r="F40" s="240"/>
      <c r="G40" s="364"/>
      <c r="H40" s="307"/>
      <c r="I40" s="308"/>
      <c r="J40" s="238"/>
      <c r="K40" s="244"/>
      <c r="L40" s="238"/>
      <c r="M40" s="324">
        <f t="shared" si="3"/>
        <v>0</v>
      </c>
      <c r="N40" s="245"/>
      <c r="O40" s="803"/>
      <c r="P40" s="740"/>
      <c r="R40" s="233"/>
      <c r="S40" s="401"/>
      <c r="T40" s="401"/>
      <c r="U40" s="233"/>
      <c r="V40" s="233"/>
      <c r="W40" s="233"/>
      <c r="X40" s="233"/>
      <c r="Y40" s="233"/>
      <c r="Z40" s="233"/>
      <c r="AA40" s="233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33"/>
      <c r="AW40" s="233"/>
      <c r="AX40" s="233"/>
      <c r="AY40" s="233"/>
      <c r="AZ40" s="233"/>
      <c r="BA40" s="233"/>
      <c r="BB40" s="233"/>
      <c r="BC40" s="233"/>
      <c r="BD40" s="233"/>
      <c r="BE40" s="233"/>
      <c r="BF40" s="233"/>
      <c r="BG40" s="233"/>
      <c r="BH40" s="233"/>
      <c r="BI40" s="233"/>
      <c r="BJ40" s="233"/>
      <c r="BK40" s="233"/>
      <c r="BL40" s="233"/>
      <c r="BM40" s="233"/>
      <c r="BN40" s="233"/>
      <c r="BO40" s="233"/>
      <c r="BP40" s="233"/>
      <c r="BQ40" s="233"/>
      <c r="BR40" s="233"/>
      <c r="BS40" s="233"/>
      <c r="BT40" s="233"/>
      <c r="BU40" s="233"/>
      <c r="BV40" s="233"/>
      <c r="BW40" s="233"/>
    </row>
    <row r="41" spans="1:75" s="136" customFormat="1" ht="50.15" customHeight="1" thickBot="1">
      <c r="A41" s="791"/>
      <c r="B41" s="794"/>
      <c r="C41" s="238">
        <v>5</v>
      </c>
      <c r="D41" s="246"/>
      <c r="E41" s="247"/>
      <c r="F41" s="247"/>
      <c r="G41" s="489"/>
      <c r="H41" s="307"/>
      <c r="I41" s="308"/>
      <c r="J41" s="249"/>
      <c r="K41" s="250"/>
      <c r="L41" s="249"/>
      <c r="M41" s="325">
        <f t="shared" si="3"/>
        <v>0</v>
      </c>
      <c r="N41" s="245"/>
      <c r="O41" s="803"/>
      <c r="P41" s="740"/>
      <c r="R41" s="233"/>
      <c r="S41" s="400"/>
      <c r="T41" s="400"/>
      <c r="U41" s="233"/>
      <c r="V41" s="402"/>
      <c r="W41" s="233"/>
      <c r="X41" s="233"/>
      <c r="Y41" s="233"/>
      <c r="Z41" s="233"/>
      <c r="AA41" s="233"/>
      <c r="AB41" s="233"/>
      <c r="AC41" s="233"/>
      <c r="AD41" s="233"/>
      <c r="AE41" s="233"/>
      <c r="AF41" s="233"/>
      <c r="AG41" s="233"/>
      <c r="AH41" s="233"/>
      <c r="AI41" s="233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3"/>
      <c r="BH41" s="233"/>
      <c r="BI41" s="233"/>
      <c r="BJ41" s="233"/>
      <c r="BK41" s="233"/>
      <c r="BL41" s="233"/>
      <c r="BM41" s="233"/>
      <c r="BN41" s="233"/>
      <c r="BO41" s="233"/>
      <c r="BP41" s="233"/>
      <c r="BQ41" s="233"/>
      <c r="BR41" s="233"/>
      <c r="BS41" s="233"/>
      <c r="BT41" s="233"/>
      <c r="BU41" s="233"/>
      <c r="BV41" s="233"/>
      <c r="BW41" s="233"/>
    </row>
    <row r="42" spans="1:75" s="136" customFormat="1" ht="15.75" customHeight="1" thickTop="1">
      <c r="A42" s="792"/>
      <c r="B42" s="795"/>
      <c r="C42" s="656"/>
      <c r="D42" s="657"/>
      <c r="E42" s="657"/>
      <c r="F42" s="657"/>
      <c r="G42" s="657"/>
      <c r="H42" s="657"/>
      <c r="I42" s="798"/>
      <c r="J42" s="251" t="s">
        <v>58</v>
      </c>
      <c r="K42" s="213">
        <f>M42/'生產管理報表 7-1 (週)'!$B$20</f>
        <v>0</v>
      </c>
      <c r="L42" s="251" t="s">
        <v>59</v>
      </c>
      <c r="M42" s="326">
        <f>SUM(M37:M41)</f>
        <v>0</v>
      </c>
      <c r="N42" s="755"/>
      <c r="O42" s="756"/>
      <c r="P42" s="757"/>
      <c r="R42" s="233"/>
      <c r="S42" s="211"/>
      <c r="T42" s="211"/>
      <c r="U42" s="233"/>
      <c r="V42" s="233"/>
      <c r="W42" s="233"/>
      <c r="X42" s="233"/>
      <c r="Y42" s="233"/>
      <c r="Z42" s="233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33"/>
      <c r="BG42" s="233"/>
      <c r="BH42" s="233"/>
      <c r="BI42" s="233"/>
      <c r="BJ42" s="233"/>
      <c r="BK42" s="233"/>
      <c r="BL42" s="233"/>
      <c r="BM42" s="233"/>
      <c r="BN42" s="233"/>
      <c r="BO42" s="233"/>
      <c r="BP42" s="233"/>
      <c r="BQ42" s="233"/>
      <c r="BR42" s="233"/>
      <c r="BS42" s="233"/>
      <c r="BT42" s="233"/>
      <c r="BU42" s="233"/>
      <c r="BV42" s="233"/>
      <c r="BW42" s="233"/>
    </row>
    <row r="43" spans="1:75" s="136" customFormat="1" ht="15.75" customHeight="1">
      <c r="B43" s="234"/>
      <c r="C43" s="235"/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53"/>
      <c r="O43" s="253"/>
      <c r="P43" s="253"/>
      <c r="R43" s="233"/>
      <c r="S43" s="263"/>
      <c r="T43" s="26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3"/>
      <c r="BH43" s="233"/>
      <c r="BI43" s="233"/>
      <c r="BJ43" s="233"/>
      <c r="BK43" s="233"/>
      <c r="BL43" s="233"/>
      <c r="BM43" s="233"/>
      <c r="BN43" s="233"/>
      <c r="BO43" s="233"/>
      <c r="BP43" s="233"/>
      <c r="BQ43" s="233"/>
      <c r="BR43" s="233"/>
      <c r="BS43" s="233"/>
      <c r="BT43" s="233"/>
      <c r="BU43" s="233"/>
      <c r="BV43" s="233"/>
      <c r="BW43" s="233"/>
    </row>
    <row r="44" spans="1:75" s="136" customFormat="1" ht="15.75" customHeight="1">
      <c r="A44" s="737" t="s">
        <v>191</v>
      </c>
      <c r="B44" s="738"/>
      <c r="C44" s="254" t="s">
        <v>47</v>
      </c>
      <c r="D44" s="653" t="s">
        <v>12</v>
      </c>
      <c r="E44" s="654"/>
      <c r="F44" s="655"/>
      <c r="G44" s="653" t="s">
        <v>53</v>
      </c>
      <c r="H44" s="654"/>
      <c r="I44" s="655"/>
      <c r="J44" s="256" t="s">
        <v>54</v>
      </c>
      <c r="K44" s="256" t="s">
        <v>55</v>
      </c>
      <c r="L44" s="256" t="s">
        <v>56</v>
      </c>
      <c r="M44" s="256" t="s">
        <v>11</v>
      </c>
      <c r="N44" s="257" t="s">
        <v>333</v>
      </c>
      <c r="O44" s="746" t="s">
        <v>51</v>
      </c>
      <c r="P44" s="747"/>
      <c r="R44" s="233"/>
      <c r="S44" s="211"/>
      <c r="T44" s="211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  <c r="AE44" s="233"/>
      <c r="AF44" s="233"/>
      <c r="AG44" s="233"/>
      <c r="AH44" s="233"/>
      <c r="AI44" s="233"/>
      <c r="AJ44" s="233"/>
    </row>
    <row r="45" spans="1:75" s="136" customFormat="1" ht="20.149999999999999" customHeight="1">
      <c r="A45" s="790">
        <v>2</v>
      </c>
      <c r="B45" s="793" t="s">
        <v>213</v>
      </c>
      <c r="C45" s="258">
        <v>1</v>
      </c>
      <c r="D45" s="239"/>
      <c r="E45" s="240"/>
      <c r="F45" s="241"/>
      <c r="G45" s="239"/>
      <c r="H45" s="240"/>
      <c r="I45" s="241"/>
      <c r="J45" s="259"/>
      <c r="K45" s="260"/>
      <c r="L45" s="259"/>
      <c r="M45" s="261">
        <f t="shared" ref="M45:M49" si="4">L45*J45</f>
        <v>0</v>
      </c>
      <c r="N45" s="262"/>
      <c r="O45" s="748"/>
      <c r="P45" s="749"/>
      <c r="R45" s="233"/>
      <c r="S45" s="263"/>
      <c r="T45" s="263"/>
      <c r="U45" s="233"/>
      <c r="V45" s="233"/>
      <c r="W45" s="233"/>
      <c r="X45" s="233"/>
      <c r="Y45" s="233"/>
      <c r="Z45" s="233"/>
      <c r="AA45" s="233"/>
      <c r="AB45" s="233"/>
      <c r="AC45" s="233"/>
      <c r="AD45" s="233"/>
      <c r="AE45" s="233"/>
      <c r="AF45" s="233"/>
      <c r="AG45" s="233"/>
      <c r="AH45" s="233"/>
      <c r="AI45" s="233"/>
      <c r="AJ45" s="233"/>
    </row>
    <row r="46" spans="1:75" s="136" customFormat="1" ht="20.149999999999999" customHeight="1">
      <c r="A46" s="791"/>
      <c r="B46" s="794"/>
      <c r="C46" s="258">
        <v>2</v>
      </c>
      <c r="D46" s="239"/>
      <c r="E46" s="240"/>
      <c r="F46" s="241"/>
      <c r="G46" s="239"/>
      <c r="H46" s="240"/>
      <c r="I46" s="241"/>
      <c r="J46" s="259"/>
      <c r="K46" s="260"/>
      <c r="L46" s="259"/>
      <c r="M46" s="261">
        <f t="shared" si="4"/>
        <v>0</v>
      </c>
      <c r="N46" s="262"/>
      <c r="O46" s="748"/>
      <c r="P46" s="749"/>
      <c r="R46" s="233"/>
      <c r="S46" s="211"/>
      <c r="T46" s="211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</row>
    <row r="47" spans="1:75" s="136" customFormat="1" ht="20.149999999999999" customHeight="1">
      <c r="A47" s="791"/>
      <c r="B47" s="794"/>
      <c r="C47" s="258">
        <v>3</v>
      </c>
      <c r="D47" s="239"/>
      <c r="E47" s="240"/>
      <c r="F47" s="241"/>
      <c r="G47" s="239"/>
      <c r="H47" s="240"/>
      <c r="I47" s="270"/>
      <c r="J47" s="259"/>
      <c r="K47" s="260"/>
      <c r="L47" s="259"/>
      <c r="M47" s="261">
        <f t="shared" si="4"/>
        <v>0</v>
      </c>
      <c r="N47" s="262"/>
      <c r="O47" s="748"/>
      <c r="P47" s="749"/>
      <c r="R47" s="233"/>
      <c r="S47" s="263"/>
      <c r="T47" s="26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  <c r="AE47" s="233"/>
      <c r="AF47" s="233"/>
      <c r="AG47" s="233"/>
      <c r="AH47" s="233"/>
    </row>
    <row r="48" spans="1:75" s="136" customFormat="1" ht="20.149999999999999" customHeight="1">
      <c r="A48" s="791"/>
      <c r="B48" s="794"/>
      <c r="C48" s="258">
        <v>4</v>
      </c>
      <c r="D48" s="239"/>
      <c r="E48" s="240"/>
      <c r="F48" s="241"/>
      <c r="G48" s="239"/>
      <c r="H48" s="240"/>
      <c r="I48" s="241"/>
      <c r="J48" s="259"/>
      <c r="K48" s="260"/>
      <c r="L48" s="259"/>
      <c r="M48" s="261">
        <f t="shared" si="4"/>
        <v>0</v>
      </c>
      <c r="N48" s="262"/>
      <c r="O48" s="748"/>
      <c r="P48" s="749"/>
      <c r="R48" s="233"/>
      <c r="S48" s="211"/>
      <c r="T48" s="211"/>
      <c r="U48" s="233"/>
      <c r="V48" s="233"/>
      <c r="W48" s="233"/>
      <c r="X48" s="233"/>
      <c r="Y48" s="233"/>
      <c r="Z48" s="233"/>
      <c r="AA48" s="233"/>
      <c r="AB48" s="233"/>
      <c r="AC48" s="233"/>
      <c r="AD48" s="233"/>
      <c r="AE48" s="233"/>
      <c r="AF48" s="233"/>
      <c r="AG48" s="233"/>
      <c r="AH48" s="233"/>
    </row>
    <row r="49" spans="1:36" s="136" customFormat="1" ht="20.149999999999999" customHeight="1" thickBot="1">
      <c r="A49" s="791"/>
      <c r="B49" s="794"/>
      <c r="C49" s="264">
        <v>5</v>
      </c>
      <c r="D49" s="246"/>
      <c r="E49" s="247"/>
      <c r="F49" s="248"/>
      <c r="G49" s="239"/>
      <c r="H49" s="240"/>
      <c r="I49" s="241"/>
      <c r="J49" s="265"/>
      <c r="K49" s="266"/>
      <c r="L49" s="265"/>
      <c r="M49" s="267">
        <f t="shared" si="4"/>
        <v>0</v>
      </c>
      <c r="N49" s="268"/>
      <c r="O49" s="748"/>
      <c r="P49" s="749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233"/>
      <c r="AG49" s="233"/>
      <c r="AH49" s="233"/>
    </row>
    <row r="50" spans="1:36" s="136" customFormat="1" ht="15.75" customHeight="1" thickTop="1">
      <c r="A50" s="792"/>
      <c r="B50" s="795"/>
      <c r="C50" s="650"/>
      <c r="D50" s="651"/>
      <c r="E50" s="651"/>
      <c r="F50" s="651"/>
      <c r="G50" s="651"/>
      <c r="H50" s="651"/>
      <c r="I50" s="652"/>
      <c r="J50" s="251" t="s">
        <v>58</v>
      </c>
      <c r="K50" s="213">
        <f>M50/'生產管理報表 7-1 (週)'!$B$20</f>
        <v>0</v>
      </c>
      <c r="L50" s="251" t="s">
        <v>59</v>
      </c>
      <c r="M50" s="252">
        <f>SUM(M45:M49)</f>
        <v>0</v>
      </c>
      <c r="N50" s="750"/>
      <c r="O50" s="751"/>
      <c r="P50" s="752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  <c r="AH50" s="233"/>
    </row>
    <row r="51" spans="1:36" s="136" customFormat="1" ht="15.75" customHeight="1">
      <c r="B51" s="234"/>
      <c r="C51" s="235"/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69"/>
      <c r="O51" s="269"/>
      <c r="P51" s="269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233"/>
      <c r="AG51" s="233"/>
      <c r="AH51" s="233"/>
    </row>
    <row r="52" spans="1:36" s="136" customFormat="1" ht="15.75" customHeight="1">
      <c r="A52" s="737" t="s">
        <v>191</v>
      </c>
      <c r="B52" s="738"/>
      <c r="C52" s="254" t="s">
        <v>47</v>
      </c>
      <c r="D52" s="653" t="s">
        <v>12</v>
      </c>
      <c r="E52" s="654"/>
      <c r="F52" s="655"/>
      <c r="G52" s="653" t="s">
        <v>53</v>
      </c>
      <c r="H52" s="654"/>
      <c r="I52" s="789"/>
      <c r="J52" s="255" t="s">
        <v>54</v>
      </c>
      <c r="K52" s="256" t="s">
        <v>55</v>
      </c>
      <c r="L52" s="256" t="s">
        <v>56</v>
      </c>
      <c r="M52" s="256" t="s">
        <v>11</v>
      </c>
      <c r="N52" s="257" t="s">
        <v>333</v>
      </c>
      <c r="O52" s="744" t="s">
        <v>51</v>
      </c>
      <c r="P52" s="745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</row>
    <row r="53" spans="1:36" s="136" customFormat="1" ht="50.15" customHeight="1">
      <c r="A53" s="790">
        <v>3</v>
      </c>
      <c r="B53" s="793" t="s">
        <v>424</v>
      </c>
      <c r="C53" s="258">
        <v>1</v>
      </c>
      <c r="D53" s="239"/>
      <c r="E53" s="240"/>
      <c r="F53" s="241"/>
      <c r="G53" s="248"/>
      <c r="H53" s="247"/>
      <c r="I53" s="248"/>
      <c r="J53" s="259"/>
      <c r="K53" s="260"/>
      <c r="L53" s="259"/>
      <c r="M53" s="327">
        <f t="shared" ref="M53:M57" si="5">L53*J53</f>
        <v>0</v>
      </c>
      <c r="N53" s="272"/>
      <c r="O53" s="796"/>
      <c r="P53" s="797"/>
      <c r="R53" s="233"/>
      <c r="S53" s="402"/>
      <c r="T53" s="402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</row>
    <row r="54" spans="1:36" s="136" customFormat="1" ht="50.15" customHeight="1">
      <c r="A54" s="791"/>
      <c r="B54" s="794"/>
      <c r="C54" s="258">
        <v>2</v>
      </c>
      <c r="D54" s="239"/>
      <c r="E54" s="240"/>
      <c r="F54" s="241"/>
      <c r="G54" s="248"/>
      <c r="H54" s="247"/>
      <c r="I54" s="248"/>
      <c r="J54" s="259"/>
      <c r="K54" s="260"/>
      <c r="L54" s="259"/>
      <c r="M54" s="327">
        <f t="shared" si="5"/>
        <v>0</v>
      </c>
      <c r="N54" s="272"/>
      <c r="O54" s="739"/>
      <c r="P54" s="740"/>
      <c r="R54" s="233"/>
      <c r="S54" s="402"/>
      <c r="T54" s="408"/>
      <c r="U54" s="233"/>
      <c r="V54" s="233"/>
      <c r="W54" s="233"/>
      <c r="X54" s="233"/>
      <c r="Y54" s="233"/>
      <c r="Z54" s="233"/>
      <c r="AA54" s="233"/>
      <c r="AB54" s="233"/>
      <c r="AC54" s="233"/>
      <c r="AD54" s="233"/>
      <c r="AE54" s="233"/>
      <c r="AF54" s="233"/>
      <c r="AG54" s="233"/>
      <c r="AH54" s="233"/>
      <c r="AI54" s="233"/>
      <c r="AJ54" s="233"/>
    </row>
    <row r="55" spans="1:36" s="136" customFormat="1" ht="50.15" customHeight="1">
      <c r="A55" s="791"/>
      <c r="B55" s="794"/>
      <c r="C55" s="258">
        <v>3</v>
      </c>
      <c r="D55" s="239"/>
      <c r="E55" s="240"/>
      <c r="F55" s="241"/>
      <c r="G55" s="248"/>
      <c r="H55" s="247"/>
      <c r="I55" s="248"/>
      <c r="J55" s="259"/>
      <c r="K55" s="260"/>
      <c r="L55" s="259"/>
      <c r="M55" s="327">
        <f t="shared" si="5"/>
        <v>0</v>
      </c>
      <c r="N55" s="272"/>
      <c r="O55" s="739"/>
      <c r="P55" s="740"/>
      <c r="R55" s="402"/>
      <c r="S55" s="402"/>
      <c r="T55" s="408"/>
      <c r="U55" s="233"/>
      <c r="V55" s="233"/>
      <c r="W55" s="233"/>
      <c r="X55" s="233"/>
      <c r="Y55" s="233"/>
      <c r="Z55" s="233"/>
      <c r="AA55" s="233"/>
      <c r="AB55" s="233"/>
      <c r="AC55" s="233"/>
      <c r="AD55" s="233"/>
      <c r="AE55" s="233"/>
      <c r="AF55" s="233"/>
      <c r="AG55" s="233"/>
      <c r="AH55" s="233"/>
      <c r="AI55" s="233"/>
      <c r="AJ55" s="233"/>
    </row>
    <row r="56" spans="1:36" s="136" customFormat="1" ht="50.15" customHeight="1">
      <c r="A56" s="791"/>
      <c r="B56" s="794"/>
      <c r="C56" s="258">
        <v>4</v>
      </c>
      <c r="D56" s="239"/>
      <c r="E56" s="240"/>
      <c r="F56" s="241"/>
      <c r="G56" s="246"/>
      <c r="H56" s="247"/>
      <c r="I56" s="248"/>
      <c r="J56" s="271"/>
      <c r="K56" s="260"/>
      <c r="L56" s="259"/>
      <c r="M56" s="327">
        <f t="shared" si="5"/>
        <v>0</v>
      </c>
      <c r="N56" s="272"/>
      <c r="O56" s="739"/>
      <c r="P56" s="740"/>
      <c r="R56" s="233"/>
      <c r="S56" s="233"/>
      <c r="T56"/>
      <c r="U56" s="233"/>
      <c r="V56" s="233"/>
      <c r="W56" s="233"/>
      <c r="X56" s="233"/>
      <c r="Y56" s="233"/>
      <c r="Z56" s="233"/>
      <c r="AA56" s="233"/>
      <c r="AB56" s="233"/>
      <c r="AC56" s="233"/>
      <c r="AD56" s="233"/>
      <c r="AE56" s="233"/>
      <c r="AF56" s="233"/>
      <c r="AG56" s="233"/>
      <c r="AH56" s="233"/>
      <c r="AI56" s="233"/>
      <c r="AJ56" s="233"/>
    </row>
    <row r="57" spans="1:36" s="136" customFormat="1" ht="30" customHeight="1" thickBot="1">
      <c r="A57" s="791"/>
      <c r="B57" s="794"/>
      <c r="C57" s="264">
        <v>5</v>
      </c>
      <c r="D57" s="246"/>
      <c r="E57" s="247"/>
      <c r="F57" s="248"/>
      <c r="G57" s="384"/>
      <c r="H57" s="385"/>
      <c r="I57" s="386"/>
      <c r="J57" s="274"/>
      <c r="K57" s="266"/>
      <c r="L57" s="275"/>
      <c r="M57" s="327">
        <f t="shared" si="5"/>
        <v>0</v>
      </c>
      <c r="N57" s="272"/>
      <c r="O57" s="739"/>
      <c r="P57" s="740"/>
      <c r="R57" s="233"/>
      <c r="S57" s="233"/>
      <c r="T57"/>
      <c r="U57" s="233"/>
      <c r="V57" s="233"/>
      <c r="W57" s="233"/>
      <c r="X57" s="233"/>
      <c r="Y57" s="233"/>
      <c r="Z57" s="233"/>
      <c r="AA57" s="233"/>
      <c r="AB57" s="233"/>
      <c r="AC57" s="233"/>
      <c r="AD57" s="233"/>
      <c r="AE57" s="233"/>
      <c r="AF57" s="233"/>
      <c r="AG57" s="233"/>
      <c r="AH57" s="233"/>
      <c r="AI57" s="233"/>
      <c r="AJ57" s="233"/>
    </row>
    <row r="58" spans="1:36" s="136" customFormat="1" ht="15.75" customHeight="1" thickTop="1">
      <c r="A58" s="792"/>
      <c r="B58" s="795"/>
      <c r="C58" s="656"/>
      <c r="D58" s="657"/>
      <c r="E58" s="657"/>
      <c r="F58" s="657"/>
      <c r="G58" s="657"/>
      <c r="H58" s="657"/>
      <c r="I58" s="798"/>
      <c r="J58" s="276" t="s">
        <v>58</v>
      </c>
      <c r="K58" s="213">
        <f>M58/'生產管理報表 7-1 (週)'!$B$20</f>
        <v>0</v>
      </c>
      <c r="L58" s="276" t="s">
        <v>59</v>
      </c>
      <c r="M58" s="328">
        <f>SUM(M53:M57)</f>
        <v>0</v>
      </c>
      <c r="N58" s="741"/>
      <c r="O58" s="742"/>
      <c r="P58" s="743"/>
      <c r="R58" s="233"/>
      <c r="S58" s="233"/>
      <c r="T58"/>
      <c r="U58" s="233"/>
      <c r="V58" s="233"/>
      <c r="W58" s="233"/>
      <c r="X58" s="233"/>
      <c r="Y58" s="233"/>
      <c r="Z58" s="233"/>
      <c r="AA58" s="233"/>
      <c r="AB58" s="233"/>
      <c r="AC58" s="233"/>
      <c r="AD58" s="233"/>
      <c r="AE58" s="233"/>
      <c r="AF58" s="233"/>
      <c r="AG58" s="233"/>
      <c r="AH58" s="233"/>
      <c r="AI58" s="233"/>
      <c r="AJ58" s="233"/>
    </row>
    <row r="59" spans="1:36" s="136" customFormat="1" ht="15.75" customHeight="1">
      <c r="A59" s="806" t="s">
        <v>677</v>
      </c>
      <c r="B59" s="806"/>
      <c r="C59" s="806"/>
      <c r="D59" s="806"/>
      <c r="E59" s="806"/>
      <c r="F59" s="806"/>
      <c r="G59" s="806"/>
      <c r="H59" s="806"/>
      <c r="I59" s="806"/>
      <c r="J59" s="806"/>
      <c r="K59" s="806"/>
      <c r="L59" s="806"/>
      <c r="M59" s="806"/>
      <c r="R59" s="233"/>
      <c r="S59" s="233"/>
      <c r="T59" s="233"/>
      <c r="U59" s="233"/>
    </row>
    <row r="60" spans="1:36" s="137" customFormat="1" ht="15.75" customHeight="1">
      <c r="A60" s="734"/>
      <c r="B60" s="734"/>
      <c r="C60" s="734"/>
      <c r="D60" s="734"/>
      <c r="E60" s="734"/>
      <c r="F60" s="734"/>
      <c r="G60" s="734"/>
      <c r="H60" s="734"/>
      <c r="I60" s="734"/>
      <c r="J60" s="734"/>
      <c r="K60" s="734"/>
      <c r="L60" s="734"/>
      <c r="M60" s="734"/>
    </row>
    <row r="61" spans="1:36" s="136" customFormat="1" ht="15.75" customHeight="1">
      <c r="A61" s="735" t="s">
        <v>191</v>
      </c>
      <c r="B61" s="728">
        <v>1</v>
      </c>
      <c r="C61" s="729"/>
      <c r="D61" s="728">
        <v>2</v>
      </c>
      <c r="E61" s="729"/>
      <c r="F61" s="728">
        <v>3</v>
      </c>
      <c r="G61" s="729"/>
      <c r="H61" s="737">
        <v>4</v>
      </c>
      <c r="I61" s="738"/>
      <c r="J61" s="737">
        <v>5</v>
      </c>
      <c r="K61" s="738"/>
      <c r="L61" s="737">
        <v>6</v>
      </c>
      <c r="M61" s="738"/>
      <c r="N61" s="737">
        <v>7</v>
      </c>
      <c r="O61" s="738"/>
      <c r="P61" s="737">
        <v>8</v>
      </c>
      <c r="Q61" s="738"/>
      <c r="R61" s="233"/>
      <c r="S61" s="233"/>
      <c r="T61" s="233"/>
      <c r="U61" s="233"/>
    </row>
    <row r="62" spans="1:36" s="136" customFormat="1" ht="15.75" customHeight="1">
      <c r="A62" s="736"/>
      <c r="B62" s="730" t="s">
        <v>454</v>
      </c>
      <c r="C62" s="731"/>
      <c r="D62" s="730" t="s">
        <v>212</v>
      </c>
      <c r="E62" s="731"/>
      <c r="F62" s="730" t="s">
        <v>166</v>
      </c>
      <c r="G62" s="731"/>
      <c r="H62" s="732" t="s">
        <v>430</v>
      </c>
      <c r="I62" s="733"/>
      <c r="J62" s="732" t="s">
        <v>189</v>
      </c>
      <c r="K62" s="733"/>
      <c r="L62" s="732" t="s">
        <v>167</v>
      </c>
      <c r="M62" s="733"/>
      <c r="N62" s="732" t="s">
        <v>190</v>
      </c>
      <c r="O62" s="733"/>
      <c r="P62" s="804" t="s">
        <v>217</v>
      </c>
      <c r="Q62" s="805"/>
      <c r="R62" s="233"/>
      <c r="S62" s="233"/>
      <c r="T62" s="233"/>
      <c r="U62" s="233"/>
    </row>
    <row r="63" spans="1:36" s="136" customFormat="1" ht="15.75" customHeight="1">
      <c r="B63" s="234"/>
      <c r="C63" s="235"/>
      <c r="R63" s="233"/>
      <c r="S63" s="233"/>
      <c r="T63" s="233"/>
      <c r="U63" s="233"/>
    </row>
    <row r="64" spans="1:36" s="237" customFormat="1" ht="15.75" customHeight="1">
      <c r="A64" s="737" t="s">
        <v>191</v>
      </c>
      <c r="B64" s="738"/>
      <c r="C64" s="236" t="s">
        <v>47</v>
      </c>
      <c r="D64" s="799" t="s">
        <v>12</v>
      </c>
      <c r="E64" s="654"/>
      <c r="F64" s="789"/>
      <c r="G64" s="656" t="s">
        <v>53</v>
      </c>
      <c r="H64" s="657"/>
      <c r="I64" s="658"/>
      <c r="J64" s="236" t="s">
        <v>54</v>
      </c>
      <c r="K64" s="236" t="s">
        <v>55</v>
      </c>
      <c r="L64" s="236" t="s">
        <v>56</v>
      </c>
      <c r="M64" s="236" t="s">
        <v>11</v>
      </c>
      <c r="N64" s="236" t="s">
        <v>333</v>
      </c>
      <c r="O64" s="800" t="s">
        <v>51</v>
      </c>
      <c r="P64" s="801"/>
    </row>
    <row r="65" spans="1:75" s="136" customFormat="1" ht="50.15" customHeight="1">
      <c r="A65" s="790">
        <v>1</v>
      </c>
      <c r="B65" s="793" t="s">
        <v>455</v>
      </c>
      <c r="C65" s="238">
        <v>1</v>
      </c>
      <c r="D65" s="239"/>
      <c r="E65" s="240"/>
      <c r="F65" s="240"/>
      <c r="G65" s="364"/>
      <c r="H65" s="307"/>
      <c r="I65" s="308"/>
      <c r="J65" s="238"/>
      <c r="K65" s="244"/>
      <c r="L65" s="238"/>
      <c r="M65" s="324">
        <f>L65*J65</f>
        <v>0</v>
      </c>
      <c r="N65" s="245"/>
      <c r="O65" s="719"/>
      <c r="P65" s="720"/>
      <c r="R65" s="233"/>
      <c r="S65" s="400"/>
      <c r="T65" s="263"/>
      <c r="U65" s="233"/>
    </row>
    <row r="66" spans="1:75" s="136" customFormat="1" ht="50.15" customHeight="1">
      <c r="A66" s="791"/>
      <c r="B66" s="794"/>
      <c r="C66" s="238">
        <v>2</v>
      </c>
      <c r="D66" s="239"/>
      <c r="E66" s="240"/>
      <c r="F66" s="240"/>
      <c r="G66" s="364"/>
      <c r="H66" s="307"/>
      <c r="I66" s="308"/>
      <c r="J66" s="238"/>
      <c r="K66" s="244"/>
      <c r="L66" s="238"/>
      <c r="M66" s="324">
        <f t="shared" ref="M66:M69" si="6">L66*J66</f>
        <v>0</v>
      </c>
      <c r="N66" s="245"/>
      <c r="O66" s="802"/>
      <c r="P66" s="797"/>
      <c r="R66" s="233"/>
      <c r="S66" s="401"/>
      <c r="T66" s="401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233"/>
      <c r="AS66" s="233"/>
      <c r="AT66" s="233"/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3"/>
      <c r="BQ66" s="233"/>
      <c r="BR66" s="233"/>
      <c r="BS66" s="233"/>
      <c r="BT66" s="233"/>
      <c r="BU66" s="233"/>
      <c r="BV66" s="233"/>
      <c r="BW66" s="233"/>
    </row>
    <row r="67" spans="1:75" s="136" customFormat="1" ht="50.15" customHeight="1">
      <c r="A67" s="791"/>
      <c r="B67" s="794"/>
      <c r="C67" s="238">
        <v>3</v>
      </c>
      <c r="D67" s="239"/>
      <c r="E67" s="240"/>
      <c r="F67" s="240"/>
      <c r="G67" s="364"/>
      <c r="H67" s="307"/>
      <c r="I67" s="308"/>
      <c r="J67" s="238"/>
      <c r="K67" s="244"/>
      <c r="L67" s="238"/>
      <c r="M67" s="324">
        <f t="shared" si="6"/>
        <v>0</v>
      </c>
      <c r="N67" s="245"/>
      <c r="O67" s="803"/>
      <c r="P67" s="740"/>
      <c r="R67" s="233"/>
      <c r="S67" s="400"/>
      <c r="T67" s="400"/>
      <c r="U67" s="233"/>
      <c r="V67" s="233"/>
      <c r="W67" s="233"/>
      <c r="X67" s="233"/>
      <c r="Y67" s="233"/>
      <c r="Z67" s="233"/>
      <c r="AA67" s="233"/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/>
      <c r="AO67" s="233"/>
      <c r="AP67" s="233"/>
      <c r="AQ67" s="233"/>
      <c r="AR67" s="233"/>
      <c r="AS67" s="233"/>
      <c r="AT67" s="233"/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3"/>
      <c r="BQ67" s="233"/>
      <c r="BR67" s="233"/>
      <c r="BS67" s="233"/>
      <c r="BT67" s="233"/>
      <c r="BU67" s="233"/>
      <c r="BV67" s="233"/>
      <c r="BW67" s="233"/>
    </row>
    <row r="68" spans="1:75" s="136" customFormat="1" ht="50.15" customHeight="1">
      <c r="A68" s="791"/>
      <c r="B68" s="794"/>
      <c r="C68" s="238">
        <v>4</v>
      </c>
      <c r="D68" s="239"/>
      <c r="E68" s="240"/>
      <c r="F68" s="240"/>
      <c r="G68" s="364"/>
      <c r="H68" s="307"/>
      <c r="I68" s="308"/>
      <c r="J68" s="238"/>
      <c r="K68" s="244"/>
      <c r="L68" s="238"/>
      <c r="M68" s="324">
        <f t="shared" si="6"/>
        <v>0</v>
      </c>
      <c r="N68" s="245"/>
      <c r="O68" s="803"/>
      <c r="P68" s="740"/>
      <c r="R68" s="233"/>
      <c r="S68" s="401"/>
      <c r="T68" s="401"/>
      <c r="U68" s="233"/>
      <c r="V68" s="233"/>
      <c r="W68" s="23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3"/>
      <c r="BQ68" s="233"/>
      <c r="BR68" s="233"/>
      <c r="BS68" s="233"/>
      <c r="BT68" s="233"/>
      <c r="BU68" s="233"/>
      <c r="BV68" s="233"/>
      <c r="BW68" s="233"/>
    </row>
    <row r="69" spans="1:75" s="136" customFormat="1" ht="50.15" customHeight="1" thickBot="1">
      <c r="A69" s="791"/>
      <c r="B69" s="794"/>
      <c r="C69" s="238">
        <v>5</v>
      </c>
      <c r="D69" s="246"/>
      <c r="E69" s="247"/>
      <c r="F69" s="247"/>
      <c r="G69" s="364"/>
      <c r="H69" s="307"/>
      <c r="I69" s="308"/>
      <c r="J69" s="249"/>
      <c r="K69" s="250"/>
      <c r="L69" s="249"/>
      <c r="M69" s="325">
        <f t="shared" si="6"/>
        <v>0</v>
      </c>
      <c r="N69" s="245"/>
      <c r="O69" s="803"/>
      <c r="P69" s="740"/>
      <c r="R69" s="233"/>
      <c r="S69" s="400"/>
      <c r="T69" s="400"/>
      <c r="U69" s="233"/>
      <c r="V69" s="402"/>
      <c r="W69" s="233"/>
      <c r="X69" s="233"/>
      <c r="Y69" s="233"/>
      <c r="Z69" s="233"/>
      <c r="AA69" s="233"/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/>
      <c r="AO69" s="233"/>
      <c r="AP69" s="233"/>
      <c r="AQ69" s="233"/>
      <c r="AR69" s="233"/>
      <c r="AS69" s="233"/>
      <c r="AT69" s="233"/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3"/>
      <c r="BQ69" s="233"/>
      <c r="BR69" s="233"/>
      <c r="BS69" s="233"/>
      <c r="BT69" s="233"/>
      <c r="BU69" s="233"/>
      <c r="BV69" s="233"/>
      <c r="BW69" s="233"/>
    </row>
    <row r="70" spans="1:75" s="136" customFormat="1" ht="15.75" customHeight="1" thickTop="1">
      <c r="A70" s="792"/>
      <c r="B70" s="795"/>
      <c r="C70" s="656"/>
      <c r="D70" s="657"/>
      <c r="E70" s="657"/>
      <c r="F70" s="657"/>
      <c r="G70" s="657"/>
      <c r="H70" s="657"/>
      <c r="I70" s="798"/>
      <c r="J70" s="251" t="s">
        <v>58</v>
      </c>
      <c r="K70" s="213" t="e">
        <f>M70/'生產管理報表 7-1 (週)'!$B$31</f>
        <v>#DIV/0!</v>
      </c>
      <c r="L70" s="251" t="s">
        <v>59</v>
      </c>
      <c r="M70" s="326">
        <f>SUM(M65:M69)</f>
        <v>0</v>
      </c>
      <c r="N70" s="755"/>
      <c r="O70" s="756"/>
      <c r="P70" s="757"/>
      <c r="R70" s="233"/>
      <c r="S70" s="211"/>
      <c r="T70" s="211"/>
      <c r="U70" s="233"/>
      <c r="V70" s="233"/>
      <c r="W70" s="233"/>
      <c r="X70" s="233"/>
      <c r="Y70" s="233"/>
      <c r="Z70" s="233"/>
      <c r="AA70" s="233"/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/>
      <c r="AO70" s="233"/>
      <c r="AP70" s="233"/>
      <c r="AQ70" s="233"/>
      <c r="AR70" s="233"/>
      <c r="AS70" s="233"/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3"/>
      <c r="BQ70" s="233"/>
      <c r="BR70" s="233"/>
      <c r="BS70" s="233"/>
      <c r="BT70" s="233"/>
      <c r="BU70" s="233"/>
      <c r="BV70" s="233"/>
      <c r="BW70" s="233"/>
    </row>
    <row r="71" spans="1:75" s="136" customFormat="1" ht="15.75" customHeight="1">
      <c r="B71" s="234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53"/>
      <c r="O71" s="253"/>
      <c r="P71" s="253"/>
      <c r="R71" s="233"/>
      <c r="S71" s="263"/>
      <c r="T71" s="26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3"/>
      <c r="AP71" s="233"/>
      <c r="AQ71" s="233"/>
      <c r="AR71" s="233"/>
      <c r="AS71" s="233"/>
      <c r="AT71" s="233"/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3"/>
      <c r="BQ71" s="233"/>
      <c r="BR71" s="233"/>
      <c r="BS71" s="233"/>
      <c r="BT71" s="233"/>
      <c r="BU71" s="233"/>
      <c r="BV71" s="233"/>
      <c r="BW71" s="233"/>
    </row>
    <row r="72" spans="1:75" s="136" customFormat="1" ht="15.75" customHeight="1">
      <c r="A72" s="737" t="s">
        <v>191</v>
      </c>
      <c r="B72" s="738"/>
      <c r="C72" s="254" t="s">
        <v>47</v>
      </c>
      <c r="D72" s="653" t="s">
        <v>12</v>
      </c>
      <c r="E72" s="654"/>
      <c r="F72" s="655"/>
      <c r="G72" s="653" t="s">
        <v>53</v>
      </c>
      <c r="H72" s="654"/>
      <c r="I72" s="655"/>
      <c r="J72" s="256" t="s">
        <v>54</v>
      </c>
      <c r="K72" s="256" t="s">
        <v>55</v>
      </c>
      <c r="L72" s="256" t="s">
        <v>56</v>
      </c>
      <c r="M72" s="256" t="s">
        <v>11</v>
      </c>
      <c r="N72" s="257" t="s">
        <v>333</v>
      </c>
      <c r="O72" s="746" t="s">
        <v>51</v>
      </c>
      <c r="P72" s="747"/>
      <c r="R72" s="233"/>
      <c r="S72" s="211"/>
      <c r="T72" s="211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</row>
    <row r="73" spans="1:75" s="136" customFormat="1" ht="20.149999999999999" customHeight="1">
      <c r="A73" s="790">
        <v>2</v>
      </c>
      <c r="B73" s="793" t="s">
        <v>213</v>
      </c>
      <c r="C73" s="258">
        <v>1</v>
      </c>
      <c r="D73" s="239"/>
      <c r="E73" s="240"/>
      <c r="F73" s="241"/>
      <c r="G73" s="239"/>
      <c r="H73" s="240"/>
      <c r="I73" s="241"/>
      <c r="J73" s="259"/>
      <c r="K73" s="260"/>
      <c r="L73" s="259"/>
      <c r="M73" s="261">
        <f t="shared" ref="M73:M77" si="7">L73*J73</f>
        <v>0</v>
      </c>
      <c r="N73" s="262"/>
      <c r="O73" s="748"/>
      <c r="P73" s="749"/>
      <c r="R73" s="233"/>
      <c r="S73" s="263"/>
      <c r="T73" s="26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</row>
    <row r="74" spans="1:75" s="136" customFormat="1" ht="20.149999999999999" customHeight="1">
      <c r="A74" s="791"/>
      <c r="B74" s="794"/>
      <c r="C74" s="258">
        <v>2</v>
      </c>
      <c r="D74" s="239"/>
      <c r="E74" s="240"/>
      <c r="F74" s="241" t="s">
        <v>676</v>
      </c>
      <c r="G74" s="239"/>
      <c r="H74" s="240"/>
      <c r="I74" s="241"/>
      <c r="J74" s="259"/>
      <c r="K74" s="260"/>
      <c r="L74" s="259"/>
      <c r="M74" s="261">
        <f t="shared" si="7"/>
        <v>0</v>
      </c>
      <c r="N74" s="262"/>
      <c r="O74" s="748"/>
      <c r="P74" s="749"/>
      <c r="R74" s="233"/>
      <c r="S74" s="211"/>
      <c r="T74" s="211"/>
      <c r="U74" s="233"/>
      <c r="V74" s="233"/>
      <c r="W74" s="233"/>
      <c r="X74" s="233"/>
      <c r="Y74" s="233"/>
      <c r="Z74" s="233"/>
      <c r="AA74" s="233"/>
      <c r="AB74" s="233"/>
      <c r="AC74" s="233"/>
      <c r="AD74" s="233"/>
      <c r="AE74" s="233"/>
      <c r="AF74" s="233"/>
      <c r="AG74" s="233"/>
      <c r="AH74" s="233"/>
      <c r="AI74" s="233"/>
      <c r="AJ74" s="233"/>
    </row>
    <row r="75" spans="1:75" s="136" customFormat="1" ht="20.149999999999999" customHeight="1">
      <c r="A75" s="791"/>
      <c r="B75" s="794"/>
      <c r="C75" s="258">
        <v>3</v>
      </c>
      <c r="D75" s="239"/>
      <c r="E75" s="240"/>
      <c r="F75" s="241"/>
      <c r="G75" s="239"/>
      <c r="H75" s="240"/>
      <c r="I75" s="270"/>
      <c r="J75" s="259"/>
      <c r="K75" s="260"/>
      <c r="L75" s="259"/>
      <c r="M75" s="261">
        <f t="shared" si="7"/>
        <v>0</v>
      </c>
      <c r="N75" s="262"/>
      <c r="O75" s="748"/>
      <c r="P75" s="749"/>
      <c r="R75" s="233"/>
      <c r="S75" s="263"/>
      <c r="T75" s="263"/>
      <c r="U75" s="233"/>
      <c r="V75" s="233"/>
      <c r="W75" s="233"/>
      <c r="X75" s="233"/>
      <c r="Y75" s="233"/>
      <c r="Z75" s="233"/>
      <c r="AA75" s="233"/>
      <c r="AB75" s="233"/>
      <c r="AC75" s="233"/>
      <c r="AD75" s="233"/>
      <c r="AE75" s="233"/>
      <c r="AF75" s="233"/>
      <c r="AG75" s="233"/>
      <c r="AH75" s="233"/>
    </row>
    <row r="76" spans="1:75" s="136" customFormat="1" ht="20.149999999999999" customHeight="1">
      <c r="A76" s="791"/>
      <c r="B76" s="794"/>
      <c r="C76" s="258">
        <v>4</v>
      </c>
      <c r="D76" s="239"/>
      <c r="E76" s="240"/>
      <c r="F76" s="241"/>
      <c r="G76" s="239"/>
      <c r="H76" s="240"/>
      <c r="I76" s="241"/>
      <c r="J76" s="259"/>
      <c r="K76" s="260"/>
      <c r="L76" s="259"/>
      <c r="M76" s="261">
        <f t="shared" si="7"/>
        <v>0</v>
      </c>
      <c r="N76" s="262"/>
      <c r="O76" s="748"/>
      <c r="P76" s="749"/>
      <c r="R76" s="233"/>
      <c r="S76" s="211"/>
      <c r="T76" s="211"/>
      <c r="U76" s="233"/>
      <c r="V76" s="233"/>
      <c r="W76" s="233"/>
      <c r="X76" s="233"/>
      <c r="Y76" s="233"/>
      <c r="Z76" s="233"/>
      <c r="AA76" s="233"/>
      <c r="AB76" s="233"/>
      <c r="AC76" s="233"/>
      <c r="AD76" s="233"/>
      <c r="AE76" s="233"/>
      <c r="AF76" s="233"/>
      <c r="AG76" s="233"/>
      <c r="AH76" s="233"/>
    </row>
    <row r="77" spans="1:75" s="136" customFormat="1" ht="20.149999999999999" customHeight="1" thickBot="1">
      <c r="A77" s="791"/>
      <c r="B77" s="794"/>
      <c r="C77" s="264">
        <v>5</v>
      </c>
      <c r="D77" s="246"/>
      <c r="E77" s="247"/>
      <c r="F77" s="248"/>
      <c r="G77" s="239"/>
      <c r="H77" s="240"/>
      <c r="I77" s="241"/>
      <c r="J77" s="265"/>
      <c r="K77" s="266"/>
      <c r="L77" s="265"/>
      <c r="M77" s="267">
        <f t="shared" si="7"/>
        <v>0</v>
      </c>
      <c r="N77" s="268"/>
      <c r="O77" s="748"/>
      <c r="P77" s="749"/>
      <c r="R77" s="233"/>
      <c r="S77" s="233"/>
      <c r="T77" s="233"/>
      <c r="U77" s="233"/>
      <c r="V77" s="233"/>
      <c r="W77" s="233"/>
      <c r="X77" s="233"/>
      <c r="Y77" s="233"/>
      <c r="Z77" s="233"/>
      <c r="AA77" s="233"/>
      <c r="AB77" s="233"/>
      <c r="AC77" s="233"/>
      <c r="AD77" s="233"/>
      <c r="AE77" s="233"/>
      <c r="AF77" s="233"/>
      <c r="AG77" s="233"/>
      <c r="AH77" s="233"/>
    </row>
    <row r="78" spans="1:75" s="136" customFormat="1" ht="15.75" customHeight="1" thickTop="1">
      <c r="A78" s="792"/>
      <c r="B78" s="795"/>
      <c r="C78" s="650"/>
      <c r="D78" s="651"/>
      <c r="E78" s="651"/>
      <c r="F78" s="651"/>
      <c r="G78" s="651"/>
      <c r="H78" s="651"/>
      <c r="I78" s="652"/>
      <c r="J78" s="251" t="s">
        <v>58</v>
      </c>
      <c r="K78" s="213" t="e">
        <f>M78/'生產管理報表 7-1 (週)'!$B$31</f>
        <v>#DIV/0!</v>
      </c>
      <c r="L78" s="251" t="s">
        <v>59</v>
      </c>
      <c r="M78" s="252">
        <f>SUM(M73:M77)</f>
        <v>0</v>
      </c>
      <c r="N78" s="750"/>
      <c r="O78" s="751"/>
      <c r="P78" s="752"/>
      <c r="R78" s="233"/>
      <c r="S78" s="233"/>
      <c r="T78" s="233"/>
      <c r="U78" s="233"/>
      <c r="V78" s="233"/>
      <c r="W78" s="233"/>
      <c r="X78" s="233"/>
      <c r="Y78" s="233"/>
      <c r="Z78" s="233"/>
      <c r="AA78" s="233"/>
      <c r="AB78" s="233"/>
      <c r="AC78" s="233"/>
      <c r="AD78" s="233"/>
      <c r="AE78" s="233"/>
      <c r="AF78" s="233"/>
      <c r="AG78" s="233"/>
      <c r="AH78" s="233"/>
    </row>
    <row r="79" spans="1:75" s="136" customFormat="1" ht="15.75" customHeight="1">
      <c r="B79" s="234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69"/>
      <c r="O79" s="269"/>
      <c r="P79" s="269"/>
      <c r="R79" s="233"/>
      <c r="S79" s="233"/>
      <c r="T79" s="233"/>
      <c r="U79" s="233"/>
      <c r="V79" s="233"/>
      <c r="W79" s="233"/>
      <c r="X79" s="233"/>
      <c r="Y79" s="233"/>
      <c r="Z79" s="233"/>
      <c r="AA79" s="233"/>
      <c r="AB79" s="233"/>
      <c r="AC79" s="233"/>
      <c r="AD79" s="233"/>
      <c r="AE79" s="233"/>
      <c r="AF79" s="233"/>
      <c r="AG79" s="233"/>
      <c r="AH79" s="233"/>
    </row>
    <row r="80" spans="1:75" s="136" customFormat="1" ht="15.75" customHeight="1">
      <c r="A80" s="737" t="s">
        <v>191</v>
      </c>
      <c r="B80" s="738"/>
      <c r="C80" s="254" t="s">
        <v>47</v>
      </c>
      <c r="D80" s="653" t="s">
        <v>12</v>
      </c>
      <c r="E80" s="654"/>
      <c r="F80" s="655"/>
      <c r="G80" s="653" t="s">
        <v>53</v>
      </c>
      <c r="H80" s="654"/>
      <c r="I80" s="789"/>
      <c r="J80" s="255" t="s">
        <v>54</v>
      </c>
      <c r="K80" s="256" t="s">
        <v>55</v>
      </c>
      <c r="L80" s="256" t="s">
        <v>56</v>
      </c>
      <c r="M80" s="256" t="s">
        <v>11</v>
      </c>
      <c r="N80" s="257" t="s">
        <v>333</v>
      </c>
      <c r="O80" s="744" t="s">
        <v>51</v>
      </c>
      <c r="P80" s="745"/>
      <c r="R80" s="233"/>
      <c r="S80" s="233"/>
      <c r="T80" s="233"/>
      <c r="U80" s="233"/>
      <c r="V80" s="233"/>
      <c r="W80" s="233"/>
      <c r="X80" s="233"/>
      <c r="Y80" s="233"/>
      <c r="Z80" s="233"/>
      <c r="AA80" s="233"/>
      <c r="AB80" s="233"/>
      <c r="AC80" s="233"/>
      <c r="AD80" s="233"/>
      <c r="AE80" s="233"/>
      <c r="AF80" s="233"/>
      <c r="AG80" s="233"/>
      <c r="AH80" s="233"/>
      <c r="AI80" s="233"/>
      <c r="AJ80" s="233"/>
    </row>
    <row r="81" spans="1:75" s="136" customFormat="1" ht="50.15" customHeight="1">
      <c r="A81" s="790">
        <v>3</v>
      </c>
      <c r="B81" s="793" t="s">
        <v>424</v>
      </c>
      <c r="C81" s="258">
        <v>1</v>
      </c>
      <c r="D81" s="239"/>
      <c r="E81" s="240"/>
      <c r="F81" s="241"/>
      <c r="G81" s="248"/>
      <c r="H81" s="247"/>
      <c r="I81" s="248"/>
      <c r="J81" s="259"/>
      <c r="K81" s="260"/>
      <c r="L81" s="259"/>
      <c r="M81" s="327">
        <f t="shared" ref="M81:M85" si="8">L81*J81</f>
        <v>0</v>
      </c>
      <c r="N81" s="272"/>
      <c r="O81" s="796"/>
      <c r="P81" s="797"/>
      <c r="R81" s="233"/>
      <c r="S81" s="402"/>
      <c r="T81" s="402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3"/>
      <c r="AF81" s="233"/>
      <c r="AG81" s="233"/>
      <c r="AH81" s="233"/>
      <c r="AI81" s="233"/>
      <c r="AJ81" s="233"/>
    </row>
    <row r="82" spans="1:75" s="136" customFormat="1" ht="50.15" customHeight="1">
      <c r="A82" s="791"/>
      <c r="B82" s="794"/>
      <c r="C82" s="258">
        <v>2</v>
      </c>
      <c r="D82" s="239"/>
      <c r="E82" s="240"/>
      <c r="F82" s="241"/>
      <c r="G82" s="248"/>
      <c r="H82" s="247"/>
      <c r="I82" s="248"/>
      <c r="J82" s="259"/>
      <c r="K82" s="260"/>
      <c r="L82" s="259"/>
      <c r="M82" s="327">
        <f t="shared" si="8"/>
        <v>0</v>
      </c>
      <c r="N82" s="272"/>
      <c r="O82" s="739"/>
      <c r="P82" s="740"/>
      <c r="R82" s="233"/>
      <c r="S82" s="402"/>
      <c r="T82" s="408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3"/>
      <c r="AF82" s="233"/>
      <c r="AG82" s="233"/>
      <c r="AH82" s="233"/>
      <c r="AI82" s="233"/>
      <c r="AJ82" s="233"/>
    </row>
    <row r="83" spans="1:75" s="136" customFormat="1" ht="50.15" customHeight="1">
      <c r="A83" s="791"/>
      <c r="B83" s="794"/>
      <c r="C83" s="258">
        <v>3</v>
      </c>
      <c r="D83" s="239"/>
      <c r="E83" s="240"/>
      <c r="F83" s="241"/>
      <c r="G83" s="248"/>
      <c r="H83" s="247"/>
      <c r="I83" s="248"/>
      <c r="J83" s="259"/>
      <c r="K83" s="260"/>
      <c r="L83" s="259"/>
      <c r="M83" s="327">
        <f t="shared" si="8"/>
        <v>0</v>
      </c>
      <c r="N83" s="272"/>
      <c r="O83" s="739"/>
      <c r="P83" s="740"/>
      <c r="R83" s="402"/>
      <c r="S83" s="402"/>
      <c r="T83" s="408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3"/>
      <c r="AF83" s="233"/>
      <c r="AG83" s="233"/>
      <c r="AH83" s="233"/>
      <c r="AI83" s="233"/>
      <c r="AJ83" s="233"/>
    </row>
    <row r="84" spans="1:75" s="136" customFormat="1" ht="50.15" customHeight="1">
      <c r="A84" s="791"/>
      <c r="B84" s="794"/>
      <c r="C84" s="258">
        <v>4</v>
      </c>
      <c r="D84" s="239"/>
      <c r="E84" s="240"/>
      <c r="F84" s="241"/>
      <c r="G84" s="248"/>
      <c r="H84" s="247"/>
      <c r="I84" s="248"/>
      <c r="J84" s="271"/>
      <c r="K84" s="260"/>
      <c r="L84" s="259"/>
      <c r="M84" s="327">
        <f t="shared" si="8"/>
        <v>0</v>
      </c>
      <c r="N84" s="272"/>
      <c r="O84" s="739"/>
      <c r="P84" s="740"/>
      <c r="R84" s="233"/>
      <c r="S84" s="233"/>
      <c r="T84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3"/>
      <c r="AF84" s="233"/>
      <c r="AG84" s="233"/>
      <c r="AH84" s="233"/>
      <c r="AI84" s="233"/>
      <c r="AJ84" s="233"/>
    </row>
    <row r="85" spans="1:75" s="136" customFormat="1" ht="50.15" customHeight="1" thickBot="1">
      <c r="A85" s="791"/>
      <c r="B85" s="794"/>
      <c r="C85" s="264">
        <v>5</v>
      </c>
      <c r="D85" s="246"/>
      <c r="E85" s="247"/>
      <c r="F85" s="248"/>
      <c r="G85" s="386"/>
      <c r="H85" s="385"/>
      <c r="I85" s="386"/>
      <c r="J85" s="274"/>
      <c r="K85" s="266"/>
      <c r="L85" s="275"/>
      <c r="M85" s="327">
        <f t="shared" si="8"/>
        <v>0</v>
      </c>
      <c r="N85" s="272"/>
      <c r="O85" s="739"/>
      <c r="P85" s="740"/>
      <c r="R85" s="233"/>
      <c r="S85" s="233"/>
      <c r="T85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3"/>
      <c r="AF85" s="233"/>
      <c r="AG85" s="233"/>
      <c r="AH85" s="233"/>
      <c r="AI85" s="233"/>
      <c r="AJ85" s="233"/>
    </row>
    <row r="86" spans="1:75" s="136" customFormat="1" ht="15.75" customHeight="1" thickTop="1">
      <c r="A86" s="792"/>
      <c r="B86" s="795"/>
      <c r="C86" s="656"/>
      <c r="D86" s="657"/>
      <c r="E86" s="657"/>
      <c r="F86" s="657"/>
      <c r="G86" s="657"/>
      <c r="H86" s="657"/>
      <c r="I86" s="798"/>
      <c r="J86" s="276" t="s">
        <v>58</v>
      </c>
      <c r="K86" s="213" t="e">
        <f>M86/'生產管理報表 7-1 (週)'!$B$31</f>
        <v>#DIV/0!</v>
      </c>
      <c r="L86" s="276" t="s">
        <v>59</v>
      </c>
      <c r="M86" s="328">
        <f>SUM(M81:M85)</f>
        <v>0</v>
      </c>
      <c r="N86" s="741"/>
      <c r="O86" s="742"/>
      <c r="P86" s="743"/>
      <c r="R86" s="233"/>
      <c r="S86" s="233"/>
      <c r="T86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3"/>
      <c r="AF86" s="233"/>
      <c r="AG86" s="233"/>
      <c r="AH86" s="233"/>
      <c r="AI86" s="233"/>
      <c r="AJ86" s="233"/>
    </row>
    <row r="87" spans="1:75" s="136" customFormat="1" ht="15.75" customHeight="1">
      <c r="A87" s="806" t="s">
        <v>679</v>
      </c>
      <c r="B87" s="806"/>
      <c r="C87" s="806"/>
      <c r="D87" s="806"/>
      <c r="E87" s="806"/>
      <c r="F87" s="806"/>
      <c r="G87" s="806"/>
      <c r="H87" s="806"/>
      <c r="I87" s="806"/>
      <c r="J87" s="806"/>
      <c r="K87" s="806"/>
      <c r="L87" s="806"/>
      <c r="M87" s="806"/>
      <c r="R87" s="233"/>
      <c r="S87" s="233"/>
      <c r="T87" s="233"/>
      <c r="U87" s="233"/>
    </row>
    <row r="88" spans="1:75" s="137" customFormat="1" ht="15.75" customHeight="1">
      <c r="A88" s="734"/>
      <c r="B88" s="734"/>
      <c r="C88" s="734"/>
      <c r="D88" s="734"/>
      <c r="E88" s="734"/>
      <c r="F88" s="734"/>
      <c r="G88" s="734"/>
      <c r="H88" s="734"/>
      <c r="I88" s="734"/>
      <c r="J88" s="734"/>
      <c r="K88" s="734"/>
      <c r="L88" s="734"/>
      <c r="M88" s="734"/>
    </row>
    <row r="89" spans="1:75" s="136" customFormat="1" ht="15.75" customHeight="1">
      <c r="A89" s="735" t="s">
        <v>191</v>
      </c>
      <c r="B89" s="728">
        <v>1</v>
      </c>
      <c r="C89" s="729"/>
      <c r="D89" s="728">
        <v>2</v>
      </c>
      <c r="E89" s="729"/>
      <c r="F89" s="728">
        <v>3</v>
      </c>
      <c r="G89" s="729"/>
      <c r="H89" s="737">
        <v>4</v>
      </c>
      <c r="I89" s="738"/>
      <c r="J89" s="737">
        <v>5</v>
      </c>
      <c r="K89" s="738"/>
      <c r="L89" s="737">
        <v>6</v>
      </c>
      <c r="M89" s="738"/>
      <c r="N89" s="737">
        <v>7</v>
      </c>
      <c r="O89" s="738"/>
      <c r="P89" s="737">
        <v>8</v>
      </c>
      <c r="Q89" s="738"/>
      <c r="R89" s="233"/>
      <c r="S89" s="233"/>
      <c r="T89" s="233"/>
      <c r="U89" s="233"/>
    </row>
    <row r="90" spans="1:75" s="136" customFormat="1" ht="15.75" customHeight="1">
      <c r="A90" s="736"/>
      <c r="B90" s="730" t="s">
        <v>454</v>
      </c>
      <c r="C90" s="731"/>
      <c r="D90" s="730" t="s">
        <v>212</v>
      </c>
      <c r="E90" s="731"/>
      <c r="F90" s="730" t="s">
        <v>166</v>
      </c>
      <c r="G90" s="731"/>
      <c r="H90" s="732" t="s">
        <v>430</v>
      </c>
      <c r="I90" s="733"/>
      <c r="J90" s="732" t="s">
        <v>189</v>
      </c>
      <c r="K90" s="733"/>
      <c r="L90" s="732" t="s">
        <v>167</v>
      </c>
      <c r="M90" s="733"/>
      <c r="N90" s="732" t="s">
        <v>190</v>
      </c>
      <c r="O90" s="733"/>
      <c r="P90" s="804" t="s">
        <v>217</v>
      </c>
      <c r="Q90" s="805"/>
      <c r="R90" s="233"/>
      <c r="S90" s="233"/>
      <c r="T90" s="233"/>
      <c r="U90" s="233"/>
    </row>
    <row r="91" spans="1:75" s="136" customFormat="1" ht="15.75" customHeight="1">
      <c r="B91" s="234"/>
      <c r="C91" s="235"/>
      <c r="R91" s="233"/>
      <c r="S91" s="233"/>
      <c r="T91" s="233"/>
      <c r="U91" s="233"/>
    </row>
    <row r="92" spans="1:75" s="237" customFormat="1" ht="15.75" customHeight="1">
      <c r="A92" s="737" t="s">
        <v>191</v>
      </c>
      <c r="B92" s="738"/>
      <c r="C92" s="236" t="s">
        <v>47</v>
      </c>
      <c r="D92" s="799" t="s">
        <v>12</v>
      </c>
      <c r="E92" s="654"/>
      <c r="F92" s="789"/>
      <c r="G92" s="656" t="s">
        <v>53</v>
      </c>
      <c r="H92" s="657"/>
      <c r="I92" s="658"/>
      <c r="J92" s="236" t="s">
        <v>54</v>
      </c>
      <c r="K92" s="236" t="s">
        <v>55</v>
      </c>
      <c r="L92" s="236" t="s">
        <v>56</v>
      </c>
      <c r="M92" s="236" t="s">
        <v>11</v>
      </c>
      <c r="N92" s="236" t="s">
        <v>333</v>
      </c>
      <c r="O92" s="800" t="s">
        <v>51</v>
      </c>
      <c r="P92" s="801"/>
    </row>
    <row r="93" spans="1:75" s="136" customFormat="1" ht="50.15" customHeight="1">
      <c r="A93" s="790">
        <v>1</v>
      </c>
      <c r="B93" s="793" t="s">
        <v>455</v>
      </c>
      <c r="C93" s="238">
        <v>1</v>
      </c>
      <c r="D93" s="239"/>
      <c r="E93" s="240"/>
      <c r="F93" s="240"/>
      <c r="G93" s="364"/>
      <c r="H93" s="307"/>
      <c r="I93" s="308"/>
      <c r="J93" s="238"/>
      <c r="K93" s="244"/>
      <c r="L93" s="238"/>
      <c r="M93" s="324">
        <f>L93*J93</f>
        <v>0</v>
      </c>
      <c r="N93" s="245"/>
      <c r="O93" s="719"/>
      <c r="P93" s="720"/>
      <c r="R93" s="233"/>
      <c r="S93" s="400"/>
      <c r="T93" s="263"/>
      <c r="U93" s="233"/>
    </row>
    <row r="94" spans="1:75" s="136" customFormat="1" ht="50.15" customHeight="1">
      <c r="A94" s="791"/>
      <c r="B94" s="794"/>
      <c r="C94" s="238">
        <v>2</v>
      </c>
      <c r="D94" s="239"/>
      <c r="E94" s="240"/>
      <c r="F94" s="240"/>
      <c r="G94" s="364"/>
      <c r="H94" s="307"/>
      <c r="I94" s="308"/>
      <c r="J94" s="238"/>
      <c r="K94" s="244"/>
      <c r="L94" s="238"/>
      <c r="M94" s="324">
        <f t="shared" ref="M94:M97" si="9">L94*J94</f>
        <v>0</v>
      </c>
      <c r="N94" s="245"/>
      <c r="O94" s="802"/>
      <c r="P94" s="797"/>
      <c r="R94" s="233"/>
      <c r="S94" s="401"/>
      <c r="T94" s="401"/>
      <c r="U94" s="233"/>
      <c r="V94" s="233"/>
      <c r="W94" s="233"/>
      <c r="X94" s="233"/>
      <c r="Y94" s="233"/>
      <c r="Z94" s="233"/>
      <c r="AA94" s="233"/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3"/>
      <c r="AP94" s="233"/>
      <c r="AQ94" s="233"/>
      <c r="AR94" s="233"/>
      <c r="AS94" s="233"/>
      <c r="AT94" s="233"/>
      <c r="AU94" s="233"/>
      <c r="AV94" s="233"/>
      <c r="AW94" s="233"/>
      <c r="AX94" s="233"/>
      <c r="AY94" s="233"/>
      <c r="AZ94" s="233"/>
      <c r="BA94" s="233"/>
      <c r="BB94" s="233"/>
      <c r="BC94" s="233"/>
      <c r="BD94" s="233"/>
      <c r="BE94" s="233"/>
      <c r="BF94" s="233"/>
      <c r="BG94" s="233"/>
      <c r="BH94" s="233"/>
      <c r="BI94" s="233"/>
      <c r="BJ94" s="233"/>
      <c r="BK94" s="233"/>
      <c r="BL94" s="233"/>
      <c r="BM94" s="233"/>
      <c r="BN94" s="233"/>
      <c r="BO94" s="233"/>
      <c r="BP94" s="233"/>
      <c r="BQ94" s="233"/>
      <c r="BR94" s="233"/>
      <c r="BS94" s="233"/>
      <c r="BT94" s="233"/>
      <c r="BU94" s="233"/>
      <c r="BV94" s="233"/>
      <c r="BW94" s="233"/>
    </row>
    <row r="95" spans="1:75" s="136" customFormat="1" ht="50.15" customHeight="1">
      <c r="A95" s="791"/>
      <c r="B95" s="794"/>
      <c r="C95" s="238">
        <v>3</v>
      </c>
      <c r="D95" s="239"/>
      <c r="E95" s="240"/>
      <c r="F95" s="240"/>
      <c r="G95" s="364"/>
      <c r="H95" s="307"/>
      <c r="I95" s="308"/>
      <c r="J95" s="238"/>
      <c r="K95" s="244"/>
      <c r="L95" s="238"/>
      <c r="M95" s="324">
        <f t="shared" si="9"/>
        <v>0</v>
      </c>
      <c r="N95" s="245"/>
      <c r="O95" s="803"/>
      <c r="P95" s="740"/>
      <c r="R95" s="233"/>
      <c r="S95" s="400"/>
      <c r="T95" s="400"/>
      <c r="U95" s="233"/>
      <c r="V95" s="233"/>
      <c r="W95" s="233"/>
      <c r="X95" s="233"/>
      <c r="Y95" s="233"/>
      <c r="Z95" s="233"/>
      <c r="AA95" s="233"/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3"/>
      <c r="AP95" s="233"/>
      <c r="AQ95" s="233"/>
      <c r="AR95" s="233"/>
      <c r="AS95" s="233"/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3"/>
      <c r="BH95" s="233"/>
      <c r="BI95" s="233"/>
      <c r="BJ95" s="233"/>
      <c r="BK95" s="233"/>
      <c r="BL95" s="233"/>
      <c r="BM95" s="233"/>
      <c r="BN95" s="233"/>
      <c r="BO95" s="233"/>
      <c r="BP95" s="233"/>
      <c r="BQ95" s="233"/>
      <c r="BR95" s="233"/>
      <c r="BS95" s="233"/>
      <c r="BT95" s="233"/>
      <c r="BU95" s="233"/>
      <c r="BV95" s="233"/>
      <c r="BW95" s="233"/>
    </row>
    <row r="96" spans="1:75" s="136" customFormat="1" ht="50.15" customHeight="1">
      <c r="A96" s="791"/>
      <c r="B96" s="794"/>
      <c r="C96" s="238">
        <v>4</v>
      </c>
      <c r="D96" s="239"/>
      <c r="E96" s="240"/>
      <c r="F96" s="240"/>
      <c r="G96" s="364"/>
      <c r="H96" s="307"/>
      <c r="I96" s="308"/>
      <c r="J96" s="238"/>
      <c r="K96" s="244"/>
      <c r="L96" s="238"/>
      <c r="M96" s="324">
        <f t="shared" si="9"/>
        <v>0</v>
      </c>
      <c r="N96" s="245"/>
      <c r="O96" s="803"/>
      <c r="P96" s="740"/>
      <c r="R96" s="233"/>
      <c r="S96" s="401"/>
      <c r="T96" s="401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3"/>
      <c r="AP96" s="233"/>
      <c r="AQ96" s="233"/>
      <c r="AR96" s="233"/>
      <c r="AS96" s="233"/>
      <c r="AT96" s="233"/>
      <c r="AU96" s="233"/>
      <c r="AV96" s="233"/>
      <c r="AW96" s="233"/>
      <c r="AX96" s="233"/>
      <c r="AY96" s="233"/>
      <c r="AZ96" s="233"/>
      <c r="BA96" s="233"/>
      <c r="BB96" s="233"/>
      <c r="BC96" s="233"/>
      <c r="BD96" s="233"/>
      <c r="BE96" s="233"/>
      <c r="BF96" s="233"/>
      <c r="BG96" s="233"/>
      <c r="BH96" s="233"/>
      <c r="BI96" s="233"/>
      <c r="BJ96" s="233"/>
      <c r="BK96" s="233"/>
      <c r="BL96" s="233"/>
      <c r="BM96" s="233"/>
      <c r="BN96" s="233"/>
      <c r="BO96" s="233"/>
      <c r="BP96" s="233"/>
      <c r="BQ96" s="233"/>
      <c r="BR96" s="233"/>
      <c r="BS96" s="233"/>
      <c r="BT96" s="233"/>
      <c r="BU96" s="233"/>
      <c r="BV96" s="233"/>
      <c r="BW96" s="233"/>
    </row>
    <row r="97" spans="1:75" s="136" customFormat="1" ht="50.15" customHeight="1" thickBot="1">
      <c r="A97" s="791"/>
      <c r="B97" s="794"/>
      <c r="C97" s="238">
        <v>5</v>
      </c>
      <c r="D97" s="246"/>
      <c r="E97" s="247"/>
      <c r="F97" s="247"/>
      <c r="G97" s="364"/>
      <c r="H97" s="307"/>
      <c r="I97" s="308"/>
      <c r="J97" s="249"/>
      <c r="K97" s="250"/>
      <c r="L97" s="249"/>
      <c r="M97" s="325">
        <f t="shared" si="9"/>
        <v>0</v>
      </c>
      <c r="N97" s="245"/>
      <c r="O97" s="803"/>
      <c r="P97" s="740"/>
      <c r="R97" s="233"/>
      <c r="S97" s="400"/>
      <c r="T97" s="400"/>
      <c r="U97" s="233"/>
      <c r="V97" s="402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3"/>
      <c r="AP97" s="233"/>
      <c r="AQ97" s="233"/>
      <c r="AR97" s="233"/>
      <c r="AS97" s="233"/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3"/>
      <c r="BH97" s="233"/>
      <c r="BI97" s="233"/>
      <c r="BJ97" s="233"/>
      <c r="BK97" s="233"/>
      <c r="BL97" s="233"/>
      <c r="BM97" s="233"/>
      <c r="BN97" s="233"/>
      <c r="BO97" s="233"/>
      <c r="BP97" s="233"/>
      <c r="BQ97" s="233"/>
      <c r="BR97" s="233"/>
      <c r="BS97" s="233"/>
      <c r="BT97" s="233"/>
      <c r="BU97" s="233"/>
      <c r="BV97" s="233"/>
      <c r="BW97" s="233"/>
    </row>
    <row r="98" spans="1:75" s="136" customFormat="1" ht="15.75" customHeight="1" thickTop="1">
      <c r="A98" s="792"/>
      <c r="B98" s="795"/>
      <c r="C98" s="656"/>
      <c r="D98" s="657"/>
      <c r="E98" s="657"/>
      <c r="F98" s="657"/>
      <c r="G98" s="657"/>
      <c r="H98" s="657"/>
      <c r="I98" s="798"/>
      <c r="J98" s="251" t="s">
        <v>58</v>
      </c>
      <c r="K98" s="213" t="e">
        <f>M98/'生產管理報表 7-1 (週)'!$B$42</f>
        <v>#DIV/0!</v>
      </c>
      <c r="L98" s="251" t="s">
        <v>59</v>
      </c>
      <c r="M98" s="326">
        <f>SUM(M93:M97)</f>
        <v>0</v>
      </c>
      <c r="N98" s="755"/>
      <c r="O98" s="756"/>
      <c r="P98" s="757"/>
      <c r="R98" s="233"/>
      <c r="S98" s="211"/>
      <c r="T98" s="211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3"/>
      <c r="AP98" s="233"/>
      <c r="AQ98" s="233"/>
      <c r="AR98" s="233"/>
      <c r="AS98" s="233"/>
      <c r="AT98" s="233"/>
      <c r="AU98" s="233"/>
      <c r="AV98" s="233"/>
      <c r="AW98" s="233"/>
      <c r="AX98" s="233"/>
      <c r="AY98" s="233"/>
      <c r="AZ98" s="233"/>
      <c r="BA98" s="233"/>
      <c r="BB98" s="233"/>
      <c r="BC98" s="233"/>
      <c r="BD98" s="233"/>
      <c r="BE98" s="233"/>
      <c r="BF98" s="233"/>
      <c r="BG98" s="233"/>
      <c r="BH98" s="233"/>
      <c r="BI98" s="233"/>
      <c r="BJ98" s="233"/>
      <c r="BK98" s="233"/>
      <c r="BL98" s="233"/>
      <c r="BM98" s="233"/>
      <c r="BN98" s="233"/>
      <c r="BO98" s="233"/>
      <c r="BP98" s="233"/>
      <c r="BQ98" s="233"/>
      <c r="BR98" s="233"/>
      <c r="BS98" s="233"/>
      <c r="BT98" s="233"/>
      <c r="BU98" s="233"/>
      <c r="BV98" s="233"/>
      <c r="BW98" s="233"/>
    </row>
    <row r="99" spans="1:75" s="136" customFormat="1" ht="15.75" customHeight="1">
      <c r="B99" s="234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53"/>
      <c r="O99" s="253"/>
      <c r="P99" s="253"/>
      <c r="R99" s="233"/>
      <c r="S99" s="263"/>
      <c r="T99" s="26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3"/>
      <c r="AP99" s="233"/>
      <c r="AQ99" s="233"/>
      <c r="AR99" s="233"/>
      <c r="AS99" s="233"/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3"/>
      <c r="BH99" s="233"/>
      <c r="BI99" s="233"/>
      <c r="BJ99" s="233"/>
      <c r="BK99" s="233"/>
      <c r="BL99" s="233"/>
      <c r="BM99" s="233"/>
      <c r="BN99" s="233"/>
      <c r="BO99" s="233"/>
      <c r="BP99" s="233"/>
      <c r="BQ99" s="233"/>
      <c r="BR99" s="233"/>
      <c r="BS99" s="233"/>
      <c r="BT99" s="233"/>
      <c r="BU99" s="233"/>
      <c r="BV99" s="233"/>
      <c r="BW99" s="233"/>
    </row>
    <row r="100" spans="1:75" s="136" customFormat="1" ht="15.75" customHeight="1">
      <c r="A100" s="737" t="s">
        <v>191</v>
      </c>
      <c r="B100" s="738"/>
      <c r="C100" s="254" t="s">
        <v>47</v>
      </c>
      <c r="D100" s="653" t="s">
        <v>12</v>
      </c>
      <c r="E100" s="654"/>
      <c r="F100" s="655"/>
      <c r="G100" s="653" t="s">
        <v>53</v>
      </c>
      <c r="H100" s="654"/>
      <c r="I100" s="655"/>
      <c r="J100" s="256" t="s">
        <v>54</v>
      </c>
      <c r="K100" s="256" t="s">
        <v>55</v>
      </c>
      <c r="L100" s="256" t="s">
        <v>56</v>
      </c>
      <c r="M100" s="256" t="s">
        <v>11</v>
      </c>
      <c r="N100" s="257" t="s">
        <v>333</v>
      </c>
      <c r="O100" s="746" t="s">
        <v>51</v>
      </c>
      <c r="P100" s="747"/>
      <c r="R100" s="233"/>
      <c r="S100" s="211"/>
      <c r="T100" s="211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</row>
    <row r="101" spans="1:75" s="136" customFormat="1" ht="20.149999999999999" customHeight="1">
      <c r="A101" s="790">
        <v>2</v>
      </c>
      <c r="B101" s="793" t="s">
        <v>213</v>
      </c>
      <c r="C101" s="258">
        <v>1</v>
      </c>
      <c r="D101" s="239"/>
      <c r="E101" s="240"/>
      <c r="F101" s="241"/>
      <c r="G101" s="239"/>
      <c r="H101" s="240"/>
      <c r="I101" s="241"/>
      <c r="J101" s="259"/>
      <c r="K101" s="260"/>
      <c r="L101" s="259"/>
      <c r="M101" s="261">
        <f t="shared" ref="M101:M105" si="10">L101*J101</f>
        <v>0</v>
      </c>
      <c r="N101" s="262"/>
      <c r="O101" s="748"/>
      <c r="P101" s="749"/>
      <c r="R101" s="233"/>
      <c r="S101" s="263"/>
      <c r="T101" s="263"/>
      <c r="U101" s="233"/>
      <c r="V101" s="233"/>
      <c r="W101" s="233"/>
      <c r="X101" s="233"/>
      <c r="Y101" s="233"/>
      <c r="Z101" s="233"/>
      <c r="AA101" s="233"/>
      <c r="AB101" s="233"/>
      <c r="AC101" s="233"/>
      <c r="AD101" s="233"/>
      <c r="AE101" s="233"/>
      <c r="AF101" s="233"/>
      <c r="AG101" s="233"/>
      <c r="AH101" s="233"/>
      <c r="AI101" s="233"/>
      <c r="AJ101" s="233"/>
    </row>
    <row r="102" spans="1:75" s="136" customFormat="1" ht="20.149999999999999" customHeight="1">
      <c r="A102" s="791"/>
      <c r="B102" s="794"/>
      <c r="C102" s="258">
        <v>2</v>
      </c>
      <c r="D102" s="239"/>
      <c r="E102" s="240"/>
      <c r="F102" s="241"/>
      <c r="G102" s="239"/>
      <c r="H102" s="240"/>
      <c r="I102" s="241"/>
      <c r="J102" s="259"/>
      <c r="K102" s="260"/>
      <c r="L102" s="259"/>
      <c r="M102" s="261">
        <f t="shared" si="10"/>
        <v>0</v>
      </c>
      <c r="N102" s="262"/>
      <c r="O102" s="748"/>
      <c r="P102" s="749"/>
      <c r="R102" s="233"/>
      <c r="S102" s="211"/>
      <c r="T102" s="211"/>
      <c r="U102" s="233"/>
      <c r="V102" s="233"/>
      <c r="W102" s="233"/>
      <c r="X102" s="233"/>
      <c r="Y102" s="233"/>
      <c r="Z102" s="233"/>
      <c r="AA102" s="233"/>
      <c r="AB102" s="233"/>
      <c r="AC102" s="233"/>
      <c r="AD102" s="233"/>
      <c r="AE102" s="233"/>
      <c r="AF102" s="233"/>
      <c r="AG102" s="233"/>
      <c r="AH102" s="233"/>
      <c r="AI102" s="233"/>
      <c r="AJ102" s="233"/>
    </row>
    <row r="103" spans="1:75" s="136" customFormat="1" ht="20.149999999999999" customHeight="1">
      <c r="A103" s="791"/>
      <c r="B103" s="794"/>
      <c r="C103" s="258">
        <v>3</v>
      </c>
      <c r="D103" s="239"/>
      <c r="E103" s="240"/>
      <c r="F103" s="241"/>
      <c r="G103" s="239"/>
      <c r="H103" s="240"/>
      <c r="I103" s="270"/>
      <c r="J103" s="259"/>
      <c r="K103" s="260"/>
      <c r="L103" s="259"/>
      <c r="M103" s="261">
        <f t="shared" si="10"/>
        <v>0</v>
      </c>
      <c r="N103" s="262"/>
      <c r="O103" s="748"/>
      <c r="P103" s="749"/>
      <c r="R103" s="233"/>
      <c r="S103" s="263"/>
      <c r="T103" s="263"/>
      <c r="U103" s="233"/>
      <c r="V103" s="233"/>
      <c r="W103" s="233"/>
      <c r="X103" s="233"/>
      <c r="Y103" s="233"/>
      <c r="Z103" s="233"/>
      <c r="AA103" s="233"/>
      <c r="AB103" s="233"/>
      <c r="AC103" s="233"/>
      <c r="AD103" s="233"/>
      <c r="AE103" s="233"/>
      <c r="AF103" s="233"/>
      <c r="AG103" s="233"/>
      <c r="AH103" s="233"/>
    </row>
    <row r="104" spans="1:75" s="136" customFormat="1" ht="20.149999999999999" customHeight="1">
      <c r="A104" s="791"/>
      <c r="B104" s="794"/>
      <c r="C104" s="258">
        <v>4</v>
      </c>
      <c r="D104" s="239"/>
      <c r="E104" s="240"/>
      <c r="F104" s="241"/>
      <c r="G104" s="239"/>
      <c r="H104" s="240"/>
      <c r="I104" s="241"/>
      <c r="J104" s="259"/>
      <c r="K104" s="260"/>
      <c r="L104" s="259"/>
      <c r="M104" s="261">
        <f t="shared" si="10"/>
        <v>0</v>
      </c>
      <c r="N104" s="262"/>
      <c r="O104" s="748"/>
      <c r="P104" s="749"/>
      <c r="R104" s="233"/>
      <c r="S104" s="211"/>
      <c r="T104" s="211"/>
      <c r="U104" s="233"/>
      <c r="V104" s="233"/>
      <c r="W104" s="233"/>
      <c r="X104" s="233"/>
      <c r="Y104" s="233"/>
      <c r="Z104" s="233"/>
      <c r="AA104" s="233"/>
      <c r="AB104" s="233"/>
      <c r="AC104" s="233"/>
      <c r="AD104" s="233"/>
      <c r="AE104" s="233"/>
      <c r="AF104" s="233"/>
      <c r="AG104" s="233"/>
      <c r="AH104" s="233"/>
    </row>
    <row r="105" spans="1:75" s="136" customFormat="1" ht="20.149999999999999" customHeight="1" thickBot="1">
      <c r="A105" s="791"/>
      <c r="B105" s="794"/>
      <c r="C105" s="264">
        <v>5</v>
      </c>
      <c r="D105" s="246"/>
      <c r="E105" s="247"/>
      <c r="F105" s="248"/>
      <c r="G105" s="239"/>
      <c r="H105" s="240"/>
      <c r="I105" s="241"/>
      <c r="J105" s="265"/>
      <c r="K105" s="266"/>
      <c r="L105" s="265"/>
      <c r="M105" s="267">
        <f t="shared" si="10"/>
        <v>0</v>
      </c>
      <c r="N105" s="268"/>
      <c r="O105" s="748"/>
      <c r="P105" s="749"/>
      <c r="R105" s="233"/>
      <c r="S105" s="233"/>
      <c r="T105" s="233"/>
      <c r="U105" s="233"/>
      <c r="V105" s="233"/>
      <c r="W105" s="233"/>
      <c r="X105" s="233"/>
      <c r="Y105" s="233"/>
      <c r="Z105" s="233"/>
      <c r="AA105" s="233"/>
      <c r="AB105" s="233"/>
      <c r="AC105" s="233"/>
      <c r="AD105" s="233"/>
      <c r="AE105" s="233"/>
      <c r="AF105" s="233"/>
      <c r="AG105" s="233"/>
      <c r="AH105" s="233"/>
    </row>
    <row r="106" spans="1:75" s="136" customFormat="1" ht="15.75" customHeight="1" thickTop="1">
      <c r="A106" s="792"/>
      <c r="B106" s="795"/>
      <c r="C106" s="650"/>
      <c r="D106" s="651"/>
      <c r="E106" s="651"/>
      <c r="F106" s="651"/>
      <c r="G106" s="651"/>
      <c r="H106" s="651"/>
      <c r="I106" s="652"/>
      <c r="J106" s="251" t="s">
        <v>58</v>
      </c>
      <c r="K106" s="213" t="e">
        <f>M106/'生產管理報表 7-1 (週)'!$B$42</f>
        <v>#DIV/0!</v>
      </c>
      <c r="L106" s="251" t="s">
        <v>59</v>
      </c>
      <c r="M106" s="252">
        <f>SUM(M101:M105)</f>
        <v>0</v>
      </c>
      <c r="N106" s="750"/>
      <c r="O106" s="751"/>
      <c r="P106" s="752"/>
      <c r="R106" s="233"/>
      <c r="S106" s="233"/>
      <c r="T106" s="233"/>
      <c r="U106" s="233"/>
      <c r="V106" s="233"/>
      <c r="W106" s="233"/>
      <c r="X106" s="233"/>
      <c r="Y106" s="233"/>
      <c r="Z106" s="233"/>
      <c r="AA106" s="233"/>
      <c r="AB106" s="233"/>
      <c r="AC106" s="233"/>
      <c r="AD106" s="233"/>
      <c r="AE106" s="233"/>
      <c r="AF106" s="233"/>
      <c r="AG106" s="233"/>
      <c r="AH106" s="233"/>
    </row>
    <row r="107" spans="1:75" s="136" customFormat="1" ht="15.75" customHeight="1">
      <c r="B107" s="234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69"/>
      <c r="O107" s="269"/>
      <c r="P107" s="269"/>
      <c r="R107" s="233"/>
      <c r="S107" s="233"/>
      <c r="T107" s="233"/>
      <c r="U107" s="233"/>
      <c r="V107" s="233"/>
      <c r="W107" s="233"/>
      <c r="X107" s="233"/>
      <c r="Y107" s="233"/>
      <c r="Z107" s="233"/>
      <c r="AA107" s="233"/>
      <c r="AB107" s="233"/>
      <c r="AC107" s="233"/>
      <c r="AD107" s="233"/>
      <c r="AE107" s="233"/>
      <c r="AF107" s="233"/>
      <c r="AG107" s="233"/>
      <c r="AH107" s="233"/>
    </row>
    <row r="108" spans="1:75" s="136" customFormat="1" ht="15.75" customHeight="1">
      <c r="A108" s="737" t="s">
        <v>191</v>
      </c>
      <c r="B108" s="738"/>
      <c r="C108" s="254" t="s">
        <v>47</v>
      </c>
      <c r="D108" s="653" t="s">
        <v>12</v>
      </c>
      <c r="E108" s="654"/>
      <c r="F108" s="655"/>
      <c r="G108" s="653" t="s">
        <v>53</v>
      </c>
      <c r="H108" s="654"/>
      <c r="I108" s="789"/>
      <c r="J108" s="255" t="s">
        <v>54</v>
      </c>
      <c r="K108" s="256" t="s">
        <v>55</v>
      </c>
      <c r="L108" s="256" t="s">
        <v>56</v>
      </c>
      <c r="M108" s="256" t="s">
        <v>11</v>
      </c>
      <c r="N108" s="257" t="s">
        <v>333</v>
      </c>
      <c r="O108" s="744" t="s">
        <v>51</v>
      </c>
      <c r="P108" s="745"/>
      <c r="R108" s="233"/>
      <c r="S108" s="233"/>
      <c r="T108" s="233"/>
      <c r="U108" s="233"/>
      <c r="V108" s="233"/>
      <c r="W108" s="233"/>
      <c r="X108" s="233"/>
      <c r="Y108" s="233"/>
      <c r="Z108" s="233"/>
      <c r="AA108" s="233"/>
      <c r="AB108" s="233"/>
      <c r="AC108" s="233"/>
      <c r="AD108" s="233"/>
      <c r="AE108" s="233"/>
      <c r="AF108" s="233"/>
      <c r="AG108" s="233"/>
      <c r="AH108" s="233"/>
      <c r="AI108" s="233"/>
      <c r="AJ108" s="233"/>
    </row>
    <row r="109" spans="1:75" s="136" customFormat="1" ht="50.15" customHeight="1">
      <c r="A109" s="790">
        <v>3</v>
      </c>
      <c r="B109" s="793" t="s">
        <v>424</v>
      </c>
      <c r="C109" s="258">
        <v>1</v>
      </c>
      <c r="D109" s="239"/>
      <c r="E109" s="240"/>
      <c r="F109" s="241"/>
      <c r="G109" s="248"/>
      <c r="H109" s="247"/>
      <c r="I109" s="248"/>
      <c r="J109" s="259"/>
      <c r="K109" s="260"/>
      <c r="L109" s="259"/>
      <c r="M109" s="327">
        <f t="shared" ref="M109:M113" si="11">L109*J109</f>
        <v>0</v>
      </c>
      <c r="N109" s="272"/>
      <c r="O109" s="796"/>
      <c r="P109" s="797"/>
      <c r="R109" s="233"/>
      <c r="S109" s="402"/>
      <c r="T109" s="402"/>
      <c r="U109" s="233"/>
      <c r="V109" s="233"/>
      <c r="W109" s="233"/>
      <c r="X109" s="233"/>
      <c r="Y109" s="233"/>
      <c r="Z109" s="233"/>
      <c r="AA109" s="233"/>
      <c r="AB109" s="233"/>
      <c r="AC109" s="233"/>
      <c r="AD109" s="233"/>
      <c r="AE109" s="233"/>
      <c r="AF109" s="233"/>
      <c r="AG109" s="233"/>
      <c r="AH109" s="233"/>
      <c r="AI109" s="233"/>
      <c r="AJ109" s="233"/>
    </row>
    <row r="110" spans="1:75" s="136" customFormat="1" ht="50.15" customHeight="1">
      <c r="A110" s="791"/>
      <c r="B110" s="794"/>
      <c r="C110" s="258">
        <v>2</v>
      </c>
      <c r="D110" s="239"/>
      <c r="E110" s="240"/>
      <c r="F110" s="241"/>
      <c r="G110" s="248"/>
      <c r="H110" s="247"/>
      <c r="I110" s="248"/>
      <c r="J110" s="259"/>
      <c r="K110" s="260"/>
      <c r="L110" s="259"/>
      <c r="M110" s="327">
        <f t="shared" si="11"/>
        <v>0</v>
      </c>
      <c r="N110" s="272"/>
      <c r="O110" s="739"/>
      <c r="P110" s="740"/>
      <c r="R110" s="233"/>
      <c r="S110" s="402"/>
      <c r="T110" s="408"/>
      <c r="U110" s="233"/>
      <c r="V110" s="233"/>
      <c r="W110" s="233"/>
      <c r="X110" s="233"/>
      <c r="Y110" s="233"/>
      <c r="Z110" s="233"/>
      <c r="AA110" s="233"/>
      <c r="AB110" s="233"/>
      <c r="AC110" s="233"/>
      <c r="AD110" s="233"/>
      <c r="AE110" s="233"/>
      <c r="AF110" s="233"/>
      <c r="AG110" s="233"/>
      <c r="AH110" s="233"/>
      <c r="AI110" s="233"/>
      <c r="AJ110" s="233"/>
    </row>
    <row r="111" spans="1:75" s="136" customFormat="1" ht="50.15" customHeight="1">
      <c r="A111" s="791"/>
      <c r="B111" s="794"/>
      <c r="C111" s="258">
        <v>3</v>
      </c>
      <c r="D111" s="239"/>
      <c r="E111" s="240"/>
      <c r="F111" s="241"/>
      <c r="G111" s="248"/>
      <c r="H111" s="247"/>
      <c r="I111" s="248"/>
      <c r="J111" s="259"/>
      <c r="K111" s="260"/>
      <c r="L111" s="259"/>
      <c r="M111" s="327">
        <f t="shared" si="11"/>
        <v>0</v>
      </c>
      <c r="N111" s="272"/>
      <c r="O111" s="739"/>
      <c r="P111" s="740"/>
      <c r="R111" s="402"/>
      <c r="S111" s="402"/>
      <c r="T111" s="408"/>
      <c r="U111" s="233"/>
      <c r="V111" s="233"/>
      <c r="W111" s="233"/>
      <c r="X111" s="233"/>
      <c r="Y111" s="233"/>
      <c r="Z111" s="233"/>
      <c r="AA111" s="233"/>
      <c r="AB111" s="233"/>
      <c r="AC111" s="233"/>
      <c r="AD111" s="233"/>
      <c r="AE111" s="233"/>
      <c r="AF111" s="233"/>
      <c r="AG111" s="233"/>
      <c r="AH111" s="233"/>
      <c r="AI111" s="233"/>
      <c r="AJ111" s="233"/>
    </row>
    <row r="112" spans="1:75" s="136" customFormat="1" ht="50.15" customHeight="1">
      <c r="A112" s="791"/>
      <c r="B112" s="794"/>
      <c r="C112" s="258">
        <v>4</v>
      </c>
      <c r="D112" s="239"/>
      <c r="E112" s="240"/>
      <c r="F112" s="241"/>
      <c r="G112" s="365"/>
      <c r="H112" s="366"/>
      <c r="I112" s="388"/>
      <c r="J112" s="271"/>
      <c r="K112" s="260"/>
      <c r="L112" s="259"/>
      <c r="M112" s="327">
        <f t="shared" si="11"/>
        <v>0</v>
      </c>
      <c r="N112" s="272"/>
      <c r="O112" s="739"/>
      <c r="P112" s="740"/>
      <c r="R112" s="233"/>
      <c r="S112" s="233"/>
      <c r="T112"/>
      <c r="U112" s="233"/>
      <c r="V112" s="233"/>
      <c r="W112" s="233"/>
      <c r="X112" s="233"/>
      <c r="Y112" s="233"/>
      <c r="Z112" s="233"/>
      <c r="AA112" s="233"/>
      <c r="AB112" s="233"/>
      <c r="AC112" s="233"/>
      <c r="AD112" s="233"/>
      <c r="AE112" s="233"/>
      <c r="AF112" s="233"/>
      <c r="AG112" s="233"/>
      <c r="AH112" s="233"/>
      <c r="AI112" s="233"/>
      <c r="AJ112" s="233"/>
    </row>
    <row r="113" spans="1:75" s="136" customFormat="1" ht="50.15" customHeight="1" thickBot="1">
      <c r="A113" s="791"/>
      <c r="B113" s="794"/>
      <c r="C113" s="264">
        <v>5</v>
      </c>
      <c r="D113" s="246"/>
      <c r="E113" s="247"/>
      <c r="F113" s="248"/>
      <c r="G113" s="386"/>
      <c r="H113" s="385"/>
      <c r="I113" s="386"/>
      <c r="J113" s="274"/>
      <c r="K113" s="266"/>
      <c r="L113" s="275"/>
      <c r="M113" s="327">
        <f t="shared" si="11"/>
        <v>0</v>
      </c>
      <c r="N113" s="272"/>
      <c r="O113" s="739"/>
      <c r="P113" s="740"/>
      <c r="R113" s="233"/>
      <c r="S113" s="233"/>
      <c r="T113"/>
      <c r="U113" s="233"/>
      <c r="V113" s="233"/>
      <c r="W113" s="233"/>
      <c r="X113" s="233"/>
      <c r="Y113" s="233"/>
      <c r="Z113" s="233"/>
      <c r="AA113" s="233"/>
      <c r="AB113" s="233"/>
      <c r="AC113" s="233"/>
      <c r="AD113" s="233"/>
      <c r="AE113" s="233"/>
      <c r="AF113" s="233"/>
      <c r="AG113" s="233"/>
      <c r="AH113" s="233"/>
      <c r="AI113" s="233"/>
      <c r="AJ113" s="233"/>
    </row>
    <row r="114" spans="1:75" s="136" customFormat="1" ht="15.75" customHeight="1" thickTop="1">
      <c r="A114" s="792"/>
      <c r="B114" s="795"/>
      <c r="C114" s="656"/>
      <c r="D114" s="657"/>
      <c r="E114" s="657"/>
      <c r="F114" s="657"/>
      <c r="G114" s="657"/>
      <c r="H114" s="657"/>
      <c r="I114" s="798"/>
      <c r="J114" s="276" t="s">
        <v>58</v>
      </c>
      <c r="K114" s="213" t="e">
        <f>M114/'生產管理報表 7-1 (週)'!$B$42</f>
        <v>#DIV/0!</v>
      </c>
      <c r="L114" s="276" t="s">
        <v>59</v>
      </c>
      <c r="M114" s="328">
        <f>SUM(M109:M113)</f>
        <v>0</v>
      </c>
      <c r="N114" s="741"/>
      <c r="O114" s="742"/>
      <c r="P114" s="743"/>
      <c r="R114" s="233"/>
      <c r="S114" s="233"/>
      <c r="T114"/>
      <c r="U114" s="233"/>
      <c r="V114" s="233"/>
      <c r="W114" s="233"/>
      <c r="X114" s="233"/>
      <c r="Y114" s="233"/>
      <c r="Z114" s="233"/>
      <c r="AA114" s="233"/>
      <c r="AB114" s="233"/>
      <c r="AC114" s="233"/>
      <c r="AD114" s="233"/>
      <c r="AE114" s="233"/>
      <c r="AF114" s="233"/>
      <c r="AG114" s="233"/>
      <c r="AH114" s="233"/>
      <c r="AI114" s="233"/>
      <c r="AJ114" s="233"/>
    </row>
    <row r="115" spans="1:75" s="136" customFormat="1" ht="15.75" customHeight="1">
      <c r="A115" s="806" t="s">
        <v>678</v>
      </c>
      <c r="B115" s="806"/>
      <c r="C115" s="806"/>
      <c r="D115" s="806"/>
      <c r="E115" s="806"/>
      <c r="F115" s="806"/>
      <c r="G115" s="806"/>
      <c r="H115" s="806"/>
      <c r="I115" s="806"/>
      <c r="J115" s="806"/>
      <c r="K115" s="806"/>
      <c r="L115" s="806"/>
      <c r="M115" s="806"/>
      <c r="R115" s="233"/>
      <c r="S115" s="233"/>
      <c r="T115" s="233"/>
      <c r="U115" s="233"/>
    </row>
    <row r="116" spans="1:75" s="137" customFormat="1" ht="15.75" customHeight="1">
      <c r="A116" s="734"/>
      <c r="B116" s="734"/>
      <c r="C116" s="734"/>
      <c r="D116" s="734"/>
      <c r="E116" s="734"/>
      <c r="F116" s="734"/>
      <c r="G116" s="734"/>
      <c r="H116" s="734"/>
      <c r="I116" s="734"/>
      <c r="J116" s="734"/>
      <c r="K116" s="734"/>
      <c r="L116" s="734"/>
      <c r="M116" s="734"/>
    </row>
    <row r="117" spans="1:75" s="136" customFormat="1" ht="15.75" customHeight="1">
      <c r="A117" s="735" t="s">
        <v>191</v>
      </c>
      <c r="B117" s="728">
        <v>1</v>
      </c>
      <c r="C117" s="729"/>
      <c r="D117" s="728">
        <v>2</v>
      </c>
      <c r="E117" s="729"/>
      <c r="F117" s="728">
        <v>3</v>
      </c>
      <c r="G117" s="729"/>
      <c r="H117" s="737">
        <v>4</v>
      </c>
      <c r="I117" s="738"/>
      <c r="J117" s="737">
        <v>5</v>
      </c>
      <c r="K117" s="738"/>
      <c r="L117" s="737">
        <v>6</v>
      </c>
      <c r="M117" s="738"/>
      <c r="N117" s="737">
        <v>7</v>
      </c>
      <c r="O117" s="738"/>
      <c r="P117" s="737">
        <v>8</v>
      </c>
      <c r="Q117" s="738"/>
      <c r="R117" s="233"/>
      <c r="S117" s="233"/>
      <c r="T117" s="233"/>
      <c r="U117" s="233"/>
    </row>
    <row r="118" spans="1:75" s="136" customFormat="1" ht="15.75" customHeight="1">
      <c r="A118" s="736"/>
      <c r="B118" s="730" t="s">
        <v>454</v>
      </c>
      <c r="C118" s="731"/>
      <c r="D118" s="730" t="s">
        <v>212</v>
      </c>
      <c r="E118" s="731"/>
      <c r="F118" s="730" t="s">
        <v>166</v>
      </c>
      <c r="G118" s="731"/>
      <c r="H118" s="732" t="s">
        <v>430</v>
      </c>
      <c r="I118" s="733"/>
      <c r="J118" s="732" t="s">
        <v>189</v>
      </c>
      <c r="K118" s="733"/>
      <c r="L118" s="732" t="s">
        <v>167</v>
      </c>
      <c r="M118" s="733"/>
      <c r="N118" s="732" t="s">
        <v>190</v>
      </c>
      <c r="O118" s="733"/>
      <c r="P118" s="804" t="s">
        <v>217</v>
      </c>
      <c r="Q118" s="805"/>
      <c r="R118" s="233"/>
      <c r="S118" s="233"/>
      <c r="T118" s="233"/>
      <c r="U118" s="233"/>
    </row>
    <row r="119" spans="1:75" s="136" customFormat="1" ht="15.75" customHeight="1">
      <c r="B119" s="234"/>
      <c r="C119" s="235"/>
      <c r="R119" s="233"/>
      <c r="S119" s="233"/>
      <c r="T119" s="233"/>
      <c r="U119" s="233"/>
    </row>
    <row r="120" spans="1:75" s="237" customFormat="1" ht="15.75" customHeight="1">
      <c r="A120" s="737" t="s">
        <v>191</v>
      </c>
      <c r="B120" s="738"/>
      <c r="C120" s="236" t="s">
        <v>47</v>
      </c>
      <c r="D120" s="799" t="s">
        <v>12</v>
      </c>
      <c r="E120" s="654"/>
      <c r="F120" s="789"/>
      <c r="G120" s="807" t="s">
        <v>53</v>
      </c>
      <c r="H120" s="808"/>
      <c r="I120" s="809"/>
      <c r="J120" s="236" t="s">
        <v>54</v>
      </c>
      <c r="K120" s="236" t="s">
        <v>55</v>
      </c>
      <c r="L120" s="236" t="s">
        <v>56</v>
      </c>
      <c r="M120" s="236" t="s">
        <v>11</v>
      </c>
      <c r="N120" s="236" t="s">
        <v>333</v>
      </c>
      <c r="O120" s="800" t="s">
        <v>51</v>
      </c>
      <c r="P120" s="801"/>
    </row>
    <row r="121" spans="1:75" s="136" customFormat="1" ht="50.15" customHeight="1">
      <c r="A121" s="790">
        <v>1</v>
      </c>
      <c r="B121" s="793" t="s">
        <v>455</v>
      </c>
      <c r="C121" s="238">
        <v>1</v>
      </c>
      <c r="D121" s="239"/>
      <c r="E121" s="240"/>
      <c r="F121" s="240"/>
      <c r="G121" s="364"/>
      <c r="H121" s="307"/>
      <c r="I121" s="308"/>
      <c r="J121" s="238"/>
      <c r="K121" s="244"/>
      <c r="L121" s="238"/>
      <c r="M121" s="324">
        <f>L121*J121</f>
        <v>0</v>
      </c>
      <c r="N121" s="245"/>
      <c r="O121" s="719"/>
      <c r="P121" s="720"/>
      <c r="R121" s="233"/>
      <c r="S121" s="400"/>
      <c r="T121" s="263"/>
      <c r="U121" s="233"/>
    </row>
    <row r="122" spans="1:75" s="136" customFormat="1" ht="50.15" customHeight="1">
      <c r="A122" s="791"/>
      <c r="B122" s="794"/>
      <c r="C122" s="238">
        <v>2</v>
      </c>
      <c r="D122" s="239"/>
      <c r="E122" s="240"/>
      <c r="F122" s="240"/>
      <c r="G122" s="364"/>
      <c r="H122" s="307"/>
      <c r="I122" s="308"/>
      <c r="J122" s="238"/>
      <c r="K122" s="244"/>
      <c r="L122" s="238"/>
      <c r="M122" s="324">
        <f t="shared" ref="M122:M125" si="12">L122*J122</f>
        <v>0</v>
      </c>
      <c r="N122" s="245"/>
      <c r="O122" s="802"/>
      <c r="P122" s="797"/>
      <c r="R122" s="233"/>
      <c r="S122" s="401"/>
      <c r="T122" s="401"/>
      <c r="U122" s="233"/>
      <c r="V122" s="233"/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3"/>
      <c r="AT122" s="233"/>
      <c r="AU122" s="233"/>
      <c r="AV122" s="233"/>
      <c r="AW122" s="233"/>
      <c r="AX122" s="233"/>
      <c r="AY122" s="233"/>
      <c r="AZ122" s="233"/>
      <c r="BA122" s="233"/>
      <c r="BB122" s="233"/>
      <c r="BC122" s="233"/>
      <c r="BD122" s="233"/>
      <c r="BE122" s="233"/>
      <c r="BF122" s="233"/>
      <c r="BG122" s="233"/>
      <c r="BH122" s="233"/>
      <c r="BI122" s="233"/>
      <c r="BJ122" s="233"/>
      <c r="BK122" s="233"/>
      <c r="BL122" s="233"/>
      <c r="BM122" s="233"/>
      <c r="BN122" s="233"/>
      <c r="BO122" s="233"/>
      <c r="BP122" s="233"/>
      <c r="BQ122" s="233"/>
      <c r="BR122" s="233"/>
      <c r="BS122" s="233"/>
      <c r="BT122" s="233"/>
      <c r="BU122" s="233"/>
      <c r="BV122" s="233"/>
      <c r="BW122" s="233"/>
    </row>
    <row r="123" spans="1:75" s="136" customFormat="1" ht="50.15" customHeight="1">
      <c r="A123" s="791"/>
      <c r="B123" s="794"/>
      <c r="C123" s="238">
        <v>3</v>
      </c>
      <c r="D123" s="239"/>
      <c r="E123" s="240"/>
      <c r="F123" s="240"/>
      <c r="G123" s="364"/>
      <c r="H123" s="307"/>
      <c r="I123" s="308"/>
      <c r="J123" s="238"/>
      <c r="K123" s="244"/>
      <c r="L123" s="238"/>
      <c r="M123" s="324">
        <f t="shared" si="12"/>
        <v>0</v>
      </c>
      <c r="N123" s="245"/>
      <c r="O123" s="803"/>
      <c r="P123" s="740"/>
      <c r="R123" s="233"/>
      <c r="S123" s="400"/>
      <c r="T123" s="400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33"/>
      <c r="AK123" s="233"/>
      <c r="AL123" s="233"/>
      <c r="AM123" s="233"/>
      <c r="AN123" s="233"/>
      <c r="AO123" s="233"/>
      <c r="AP123" s="233"/>
      <c r="AQ123" s="233"/>
      <c r="AR123" s="233"/>
      <c r="AS123" s="233"/>
      <c r="AT123" s="233"/>
      <c r="AU123" s="233"/>
      <c r="AV123" s="233"/>
      <c r="AW123" s="233"/>
      <c r="AX123" s="233"/>
      <c r="AY123" s="233"/>
      <c r="AZ123" s="233"/>
      <c r="BA123" s="233"/>
      <c r="BB123" s="233"/>
      <c r="BC123" s="233"/>
      <c r="BD123" s="233"/>
      <c r="BE123" s="233"/>
      <c r="BF123" s="233"/>
      <c r="BG123" s="233"/>
      <c r="BH123" s="233"/>
      <c r="BI123" s="233"/>
      <c r="BJ123" s="233"/>
      <c r="BK123" s="233"/>
      <c r="BL123" s="233"/>
      <c r="BM123" s="233"/>
      <c r="BN123" s="233"/>
      <c r="BO123" s="233"/>
      <c r="BP123" s="233"/>
      <c r="BQ123" s="233"/>
      <c r="BR123" s="233"/>
      <c r="BS123" s="233"/>
      <c r="BT123" s="233"/>
      <c r="BU123" s="233"/>
      <c r="BV123" s="233"/>
      <c r="BW123" s="233"/>
    </row>
    <row r="124" spans="1:75" s="136" customFormat="1" ht="50.15" customHeight="1">
      <c r="A124" s="791"/>
      <c r="B124" s="794"/>
      <c r="C124" s="238">
        <v>4</v>
      </c>
      <c r="D124" s="239"/>
      <c r="E124" s="240"/>
      <c r="F124" s="240"/>
      <c r="G124" s="364"/>
      <c r="H124" s="307"/>
      <c r="I124" s="308"/>
      <c r="J124" s="238"/>
      <c r="K124" s="244"/>
      <c r="L124" s="238"/>
      <c r="M124" s="324">
        <f t="shared" si="12"/>
        <v>0</v>
      </c>
      <c r="N124" s="245"/>
      <c r="O124" s="803"/>
      <c r="P124" s="740"/>
      <c r="R124" s="233"/>
      <c r="S124" s="401"/>
      <c r="T124" s="401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33"/>
      <c r="AK124" s="233"/>
      <c r="AL124" s="233"/>
      <c r="AM124" s="233"/>
      <c r="AN124" s="233"/>
      <c r="AO124" s="233"/>
      <c r="AP124" s="233"/>
      <c r="AQ124" s="233"/>
      <c r="AR124" s="233"/>
      <c r="AS124" s="233"/>
      <c r="AT124" s="233"/>
      <c r="AU124" s="233"/>
      <c r="AV124" s="233"/>
      <c r="AW124" s="233"/>
      <c r="AX124" s="233"/>
      <c r="AY124" s="233"/>
      <c r="AZ124" s="233"/>
      <c r="BA124" s="233"/>
      <c r="BB124" s="233"/>
      <c r="BC124" s="233"/>
      <c r="BD124" s="233"/>
      <c r="BE124" s="233"/>
      <c r="BF124" s="233"/>
      <c r="BG124" s="233"/>
      <c r="BH124" s="233"/>
      <c r="BI124" s="233"/>
      <c r="BJ124" s="233"/>
      <c r="BK124" s="233"/>
      <c r="BL124" s="233"/>
      <c r="BM124" s="233"/>
      <c r="BN124" s="233"/>
      <c r="BO124" s="233"/>
      <c r="BP124" s="233"/>
      <c r="BQ124" s="233"/>
      <c r="BR124" s="233"/>
      <c r="BS124" s="233"/>
      <c r="BT124" s="233"/>
      <c r="BU124" s="233"/>
      <c r="BV124" s="233"/>
      <c r="BW124" s="233"/>
    </row>
    <row r="125" spans="1:75" s="136" customFormat="1" ht="50.15" customHeight="1" thickBot="1">
      <c r="A125" s="791"/>
      <c r="B125" s="794"/>
      <c r="C125" s="238">
        <v>5</v>
      </c>
      <c r="D125" s="246"/>
      <c r="E125" s="247"/>
      <c r="F125" s="247"/>
      <c r="G125" s="364"/>
      <c r="H125" s="307"/>
      <c r="I125" s="308"/>
      <c r="J125" s="249"/>
      <c r="K125" s="250"/>
      <c r="L125" s="249"/>
      <c r="M125" s="325">
        <f t="shared" si="12"/>
        <v>0</v>
      </c>
      <c r="N125" s="245"/>
      <c r="O125" s="803"/>
      <c r="P125" s="740"/>
      <c r="R125" s="233"/>
      <c r="S125" s="400"/>
      <c r="T125" s="400"/>
      <c r="U125" s="233"/>
      <c r="V125" s="402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33"/>
      <c r="AK125" s="233"/>
      <c r="AL125" s="233"/>
      <c r="AM125" s="233"/>
      <c r="AN125" s="233"/>
      <c r="AO125" s="233"/>
      <c r="AP125" s="233"/>
      <c r="AQ125" s="233"/>
      <c r="AR125" s="233"/>
      <c r="AS125" s="233"/>
      <c r="AT125" s="233"/>
      <c r="AU125" s="233"/>
      <c r="AV125" s="233"/>
      <c r="AW125" s="233"/>
      <c r="AX125" s="233"/>
      <c r="AY125" s="233"/>
      <c r="AZ125" s="233"/>
      <c r="BA125" s="233"/>
      <c r="BB125" s="233"/>
      <c r="BC125" s="233"/>
      <c r="BD125" s="233"/>
      <c r="BE125" s="233"/>
      <c r="BF125" s="233"/>
      <c r="BG125" s="233"/>
      <c r="BH125" s="233"/>
      <c r="BI125" s="233"/>
      <c r="BJ125" s="233"/>
      <c r="BK125" s="233"/>
      <c r="BL125" s="233"/>
      <c r="BM125" s="233"/>
      <c r="BN125" s="233"/>
      <c r="BO125" s="233"/>
      <c r="BP125" s="233"/>
      <c r="BQ125" s="233"/>
      <c r="BR125" s="233"/>
      <c r="BS125" s="233"/>
      <c r="BT125" s="233"/>
      <c r="BU125" s="233"/>
      <c r="BV125" s="233"/>
      <c r="BW125" s="233"/>
    </row>
    <row r="126" spans="1:75" s="136" customFormat="1" ht="15.75" customHeight="1" thickTop="1">
      <c r="A126" s="792"/>
      <c r="B126" s="795"/>
      <c r="C126" s="656"/>
      <c r="D126" s="657"/>
      <c r="E126" s="657"/>
      <c r="F126" s="657"/>
      <c r="G126" s="657"/>
      <c r="H126" s="657"/>
      <c r="I126" s="798"/>
      <c r="J126" s="251" t="s">
        <v>58</v>
      </c>
      <c r="K126" s="213" t="e">
        <f>M126/'生產管理報表 7-1 (週)'!$B$53</f>
        <v>#DIV/0!</v>
      </c>
      <c r="L126" s="251" t="s">
        <v>59</v>
      </c>
      <c r="M126" s="326">
        <f>SUM(M121:M125)</f>
        <v>0</v>
      </c>
      <c r="N126" s="755"/>
      <c r="O126" s="756"/>
      <c r="P126" s="757"/>
      <c r="R126" s="233"/>
      <c r="S126" s="211"/>
      <c r="T126" s="211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33"/>
      <c r="AK126" s="233"/>
      <c r="AL126" s="233"/>
      <c r="AM126" s="233"/>
      <c r="AN126" s="233"/>
      <c r="AO126" s="233"/>
      <c r="AP126" s="233"/>
      <c r="AQ126" s="233"/>
      <c r="AR126" s="233"/>
      <c r="AS126" s="233"/>
      <c r="AT126" s="233"/>
      <c r="AU126" s="233"/>
      <c r="AV126" s="233"/>
      <c r="AW126" s="233"/>
      <c r="AX126" s="233"/>
      <c r="AY126" s="233"/>
      <c r="AZ126" s="233"/>
      <c r="BA126" s="233"/>
      <c r="BB126" s="233"/>
      <c r="BC126" s="233"/>
      <c r="BD126" s="233"/>
      <c r="BE126" s="233"/>
      <c r="BF126" s="233"/>
      <c r="BG126" s="233"/>
      <c r="BH126" s="233"/>
      <c r="BI126" s="233"/>
      <c r="BJ126" s="233"/>
      <c r="BK126" s="233"/>
      <c r="BL126" s="233"/>
      <c r="BM126" s="233"/>
      <c r="BN126" s="233"/>
      <c r="BO126" s="233"/>
      <c r="BP126" s="233"/>
      <c r="BQ126" s="233"/>
      <c r="BR126" s="233"/>
      <c r="BS126" s="233"/>
      <c r="BT126" s="233"/>
      <c r="BU126" s="233"/>
      <c r="BV126" s="233"/>
      <c r="BW126" s="233"/>
    </row>
    <row r="127" spans="1:75" s="136" customFormat="1" ht="15.75" customHeight="1">
      <c r="B127" s="234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53"/>
      <c r="O127" s="253"/>
      <c r="P127" s="253"/>
      <c r="R127" s="233"/>
      <c r="S127" s="263"/>
      <c r="T127" s="26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33"/>
      <c r="AK127" s="233"/>
      <c r="AL127" s="233"/>
      <c r="AM127" s="233"/>
      <c r="AN127" s="233"/>
      <c r="AO127" s="233"/>
      <c r="AP127" s="233"/>
      <c r="AQ127" s="233"/>
      <c r="AR127" s="233"/>
      <c r="AS127" s="233"/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3"/>
      <c r="BH127" s="233"/>
      <c r="BI127" s="233"/>
      <c r="BJ127" s="233"/>
      <c r="BK127" s="233"/>
      <c r="BL127" s="233"/>
      <c r="BM127" s="233"/>
      <c r="BN127" s="233"/>
      <c r="BO127" s="233"/>
      <c r="BP127" s="233"/>
      <c r="BQ127" s="233"/>
      <c r="BR127" s="233"/>
      <c r="BS127" s="233"/>
      <c r="BT127" s="233"/>
      <c r="BU127" s="233"/>
      <c r="BV127" s="233"/>
      <c r="BW127" s="233"/>
    </row>
    <row r="128" spans="1:75" s="136" customFormat="1" ht="15.75" customHeight="1">
      <c r="A128" s="737" t="s">
        <v>191</v>
      </c>
      <c r="B128" s="738"/>
      <c r="C128" s="254" t="s">
        <v>47</v>
      </c>
      <c r="D128" s="653" t="s">
        <v>12</v>
      </c>
      <c r="E128" s="654"/>
      <c r="F128" s="655"/>
      <c r="G128" s="653" t="s">
        <v>53</v>
      </c>
      <c r="H128" s="654"/>
      <c r="I128" s="655"/>
      <c r="J128" s="256" t="s">
        <v>54</v>
      </c>
      <c r="K128" s="256" t="s">
        <v>55</v>
      </c>
      <c r="L128" s="256" t="s">
        <v>56</v>
      </c>
      <c r="M128" s="256" t="s">
        <v>11</v>
      </c>
      <c r="N128" s="257" t="s">
        <v>333</v>
      </c>
      <c r="O128" s="746" t="s">
        <v>51</v>
      </c>
      <c r="P128" s="747"/>
      <c r="R128" s="233"/>
      <c r="S128" s="211"/>
      <c r="T128" s="211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33"/>
    </row>
    <row r="129" spans="1:36" s="136" customFormat="1" ht="20.149999999999999" customHeight="1">
      <c r="A129" s="790">
        <v>2</v>
      </c>
      <c r="B129" s="793" t="s">
        <v>213</v>
      </c>
      <c r="C129" s="258">
        <v>1</v>
      </c>
      <c r="D129" s="239"/>
      <c r="E129" s="240"/>
      <c r="F129" s="241"/>
      <c r="G129" s="239"/>
      <c r="H129" s="240"/>
      <c r="I129" s="241"/>
      <c r="J129" s="259"/>
      <c r="K129" s="260"/>
      <c r="L129" s="259"/>
      <c r="M129" s="261">
        <f t="shared" ref="M129:M133" si="13">L129*J129</f>
        <v>0</v>
      </c>
      <c r="N129" s="262"/>
      <c r="O129" s="748"/>
      <c r="P129" s="749"/>
      <c r="R129" s="233"/>
      <c r="S129" s="263"/>
      <c r="T129" s="263"/>
      <c r="U129" s="233"/>
      <c r="V129" s="233"/>
      <c r="W129" s="233"/>
      <c r="X129" s="233"/>
      <c r="Y129" s="233"/>
      <c r="Z129" s="233"/>
      <c r="AA129" s="233"/>
      <c r="AB129" s="233"/>
      <c r="AC129" s="233"/>
      <c r="AD129" s="233"/>
      <c r="AE129" s="233"/>
      <c r="AF129" s="233"/>
      <c r="AG129" s="233"/>
      <c r="AH129" s="233"/>
      <c r="AI129" s="233"/>
      <c r="AJ129" s="233"/>
    </row>
    <row r="130" spans="1:36" s="136" customFormat="1" ht="20.149999999999999" customHeight="1">
      <c r="A130" s="791"/>
      <c r="B130" s="794"/>
      <c r="C130" s="258">
        <v>2</v>
      </c>
      <c r="D130" s="239"/>
      <c r="E130" s="240"/>
      <c r="F130" s="241"/>
      <c r="G130" s="239"/>
      <c r="H130" s="240"/>
      <c r="I130" s="241"/>
      <c r="J130" s="259"/>
      <c r="K130" s="260"/>
      <c r="L130" s="259"/>
      <c r="M130" s="261">
        <f t="shared" si="13"/>
        <v>0</v>
      </c>
      <c r="N130" s="262"/>
      <c r="O130" s="748"/>
      <c r="P130" s="749"/>
      <c r="R130" s="233"/>
      <c r="S130" s="211"/>
      <c r="T130" s="211"/>
      <c r="U130" s="233"/>
      <c r="V130" s="233"/>
      <c r="W130" s="233"/>
      <c r="X130" s="233"/>
      <c r="Y130" s="233"/>
      <c r="Z130" s="233"/>
      <c r="AA130" s="233"/>
      <c r="AB130" s="233"/>
      <c r="AC130" s="233"/>
      <c r="AD130" s="233"/>
      <c r="AE130" s="233"/>
      <c r="AF130" s="233"/>
      <c r="AG130" s="233"/>
      <c r="AH130" s="233"/>
      <c r="AI130" s="233"/>
      <c r="AJ130" s="233"/>
    </row>
    <row r="131" spans="1:36" s="136" customFormat="1" ht="20.149999999999999" customHeight="1">
      <c r="A131" s="791"/>
      <c r="B131" s="794"/>
      <c r="C131" s="258">
        <v>3</v>
      </c>
      <c r="D131" s="239"/>
      <c r="E131" s="240"/>
      <c r="F131" s="241"/>
      <c r="G131" s="239"/>
      <c r="H131" s="240"/>
      <c r="I131" s="270"/>
      <c r="J131" s="259"/>
      <c r="K131" s="260"/>
      <c r="L131" s="259"/>
      <c r="M131" s="261">
        <f t="shared" si="13"/>
        <v>0</v>
      </c>
      <c r="N131" s="262"/>
      <c r="O131" s="748"/>
      <c r="P131" s="749"/>
      <c r="R131" s="233"/>
      <c r="S131" s="263"/>
      <c r="T131" s="26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</row>
    <row r="132" spans="1:36" s="136" customFormat="1" ht="20.149999999999999" customHeight="1">
      <c r="A132" s="791"/>
      <c r="B132" s="794"/>
      <c r="C132" s="258">
        <v>4</v>
      </c>
      <c r="D132" s="239"/>
      <c r="E132" s="240"/>
      <c r="F132" s="241"/>
      <c r="G132" s="239"/>
      <c r="H132" s="240"/>
      <c r="I132" s="241"/>
      <c r="J132" s="259"/>
      <c r="K132" s="260"/>
      <c r="L132" s="259"/>
      <c r="M132" s="261">
        <f t="shared" si="13"/>
        <v>0</v>
      </c>
      <c r="N132" s="262"/>
      <c r="O132" s="748"/>
      <c r="P132" s="749"/>
      <c r="R132" s="233"/>
      <c r="S132" s="211"/>
      <c r="T132" s="211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</row>
    <row r="133" spans="1:36" s="136" customFormat="1" ht="20.149999999999999" customHeight="1" thickBot="1">
      <c r="A133" s="791"/>
      <c r="B133" s="794"/>
      <c r="C133" s="264">
        <v>5</v>
      </c>
      <c r="D133" s="246"/>
      <c r="E133" s="247"/>
      <c r="F133" s="248"/>
      <c r="G133" s="239"/>
      <c r="H133" s="240"/>
      <c r="I133" s="241"/>
      <c r="J133" s="265"/>
      <c r="K133" s="266"/>
      <c r="L133" s="265"/>
      <c r="M133" s="267">
        <f t="shared" si="13"/>
        <v>0</v>
      </c>
      <c r="N133" s="268"/>
      <c r="O133" s="748"/>
      <c r="P133" s="749"/>
      <c r="R133" s="233"/>
      <c r="S133" s="233"/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</row>
    <row r="134" spans="1:36" s="136" customFormat="1" ht="15.75" customHeight="1" thickTop="1">
      <c r="A134" s="792"/>
      <c r="B134" s="795"/>
      <c r="C134" s="656"/>
      <c r="D134" s="657"/>
      <c r="E134" s="657"/>
      <c r="F134" s="657"/>
      <c r="G134" s="657"/>
      <c r="H134" s="657"/>
      <c r="I134" s="798"/>
      <c r="J134" s="251" t="s">
        <v>58</v>
      </c>
      <c r="K134" s="213" t="e">
        <f>M134/'生產管理報表 7-1 (週)'!$B$53</f>
        <v>#DIV/0!</v>
      </c>
      <c r="L134" s="251" t="s">
        <v>59</v>
      </c>
      <c r="M134" s="252">
        <f>SUM(M129:M133)</f>
        <v>0</v>
      </c>
      <c r="N134" s="750"/>
      <c r="O134" s="751"/>
      <c r="P134" s="752"/>
      <c r="R134" s="233"/>
      <c r="S134" s="233"/>
      <c r="T134" s="233"/>
      <c r="U134" s="233"/>
      <c r="V134" s="233"/>
      <c r="W134" s="233"/>
      <c r="X134" s="233"/>
      <c r="Y134" s="233"/>
      <c r="Z134" s="233"/>
      <c r="AA134" s="233"/>
      <c r="AB134" s="233"/>
      <c r="AC134" s="233"/>
      <c r="AD134" s="233"/>
      <c r="AE134" s="233"/>
      <c r="AF134" s="233"/>
      <c r="AG134" s="233"/>
      <c r="AH134" s="233"/>
    </row>
    <row r="135" spans="1:36" s="136" customFormat="1" ht="15.75" customHeight="1">
      <c r="B135" s="234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69"/>
      <c r="O135" s="269"/>
      <c r="P135" s="269"/>
      <c r="R135" s="233"/>
      <c r="S135" s="233"/>
      <c r="T135" s="233"/>
      <c r="U135" s="233"/>
      <c r="V135" s="233"/>
      <c r="W135" s="233"/>
      <c r="X135" s="233"/>
      <c r="Y135" s="233"/>
      <c r="Z135" s="233"/>
      <c r="AA135" s="233"/>
      <c r="AB135" s="233"/>
      <c r="AC135" s="233"/>
      <c r="AD135" s="233"/>
      <c r="AE135" s="233"/>
      <c r="AF135" s="233"/>
      <c r="AG135" s="233"/>
      <c r="AH135" s="233"/>
    </row>
    <row r="136" spans="1:36" s="136" customFormat="1" ht="15.75" customHeight="1">
      <c r="A136" s="737" t="s">
        <v>191</v>
      </c>
      <c r="B136" s="738"/>
      <c r="C136" s="254" t="s">
        <v>47</v>
      </c>
      <c r="D136" s="653" t="s">
        <v>12</v>
      </c>
      <c r="E136" s="654"/>
      <c r="F136" s="655"/>
      <c r="G136" s="653" t="s">
        <v>53</v>
      </c>
      <c r="H136" s="654"/>
      <c r="I136" s="789"/>
      <c r="J136" s="255" t="s">
        <v>54</v>
      </c>
      <c r="K136" s="256" t="s">
        <v>55</v>
      </c>
      <c r="L136" s="256" t="s">
        <v>56</v>
      </c>
      <c r="M136" s="256" t="s">
        <v>11</v>
      </c>
      <c r="N136" s="257" t="s">
        <v>333</v>
      </c>
      <c r="O136" s="744" t="s">
        <v>51</v>
      </c>
      <c r="P136" s="745"/>
      <c r="R136" s="233"/>
      <c r="S136" s="233"/>
      <c r="T136" s="233"/>
      <c r="U136" s="233"/>
      <c r="V136" s="233"/>
      <c r="W136" s="233"/>
      <c r="X136" s="233"/>
      <c r="Y136" s="233"/>
      <c r="Z136" s="233"/>
      <c r="AA136" s="233"/>
      <c r="AB136" s="233"/>
      <c r="AC136" s="233"/>
      <c r="AD136" s="233"/>
      <c r="AE136" s="233"/>
      <c r="AF136" s="233"/>
      <c r="AG136" s="233"/>
      <c r="AH136" s="233"/>
      <c r="AI136" s="233"/>
      <c r="AJ136" s="233"/>
    </row>
    <row r="137" spans="1:36" s="136" customFormat="1" ht="50.15" customHeight="1">
      <c r="A137" s="790">
        <v>3</v>
      </c>
      <c r="B137" s="793" t="s">
        <v>424</v>
      </c>
      <c r="C137" s="258">
        <v>1</v>
      </c>
      <c r="D137" s="239"/>
      <c r="E137" s="240"/>
      <c r="F137" s="241"/>
      <c r="G137" s="248"/>
      <c r="H137" s="247"/>
      <c r="I137" s="248"/>
      <c r="J137" s="259"/>
      <c r="K137" s="260"/>
      <c r="L137" s="259"/>
      <c r="M137" s="327">
        <f t="shared" ref="M137:M141" si="14">L137*J137</f>
        <v>0</v>
      </c>
      <c r="N137" s="272"/>
      <c r="O137" s="796"/>
      <c r="P137" s="797"/>
      <c r="R137" s="233"/>
      <c r="S137" s="402"/>
      <c r="T137" s="402"/>
      <c r="U137" s="233"/>
      <c r="V137" s="233"/>
      <c r="W137" s="233"/>
      <c r="X137" s="233"/>
      <c r="Y137" s="233"/>
      <c r="Z137" s="233"/>
      <c r="AA137" s="233"/>
      <c r="AB137" s="233"/>
      <c r="AC137" s="233"/>
      <c r="AD137" s="233"/>
      <c r="AE137" s="233"/>
      <c r="AF137" s="233"/>
      <c r="AG137" s="233"/>
      <c r="AH137" s="233"/>
      <c r="AI137" s="233"/>
      <c r="AJ137" s="233"/>
    </row>
    <row r="138" spans="1:36" s="136" customFormat="1" ht="50.15" customHeight="1">
      <c r="A138" s="791"/>
      <c r="B138" s="794"/>
      <c r="C138" s="258">
        <v>2</v>
      </c>
      <c r="D138" s="239"/>
      <c r="E138" s="240"/>
      <c r="F138" s="241"/>
      <c r="G138" s="248"/>
      <c r="H138" s="247"/>
      <c r="I138" s="248"/>
      <c r="J138" s="259"/>
      <c r="K138" s="260"/>
      <c r="L138" s="259"/>
      <c r="M138" s="327">
        <f t="shared" si="14"/>
        <v>0</v>
      </c>
      <c r="N138" s="272"/>
      <c r="O138" s="739"/>
      <c r="P138" s="740"/>
      <c r="R138" s="233"/>
      <c r="S138" s="402"/>
      <c r="T138" s="408"/>
      <c r="U138" s="233"/>
      <c r="V138" s="233"/>
      <c r="W138" s="233"/>
      <c r="X138" s="233"/>
      <c r="Y138" s="233"/>
      <c r="Z138" s="233"/>
      <c r="AA138" s="233"/>
      <c r="AB138" s="233"/>
      <c r="AC138" s="233"/>
      <c r="AD138" s="233"/>
      <c r="AE138" s="233"/>
      <c r="AF138" s="233"/>
      <c r="AG138" s="233"/>
      <c r="AH138" s="233"/>
      <c r="AI138" s="233"/>
      <c r="AJ138" s="233"/>
    </row>
    <row r="139" spans="1:36" s="136" customFormat="1" ht="50.15" customHeight="1">
      <c r="A139" s="791"/>
      <c r="B139" s="794"/>
      <c r="C139" s="258">
        <v>3</v>
      </c>
      <c r="D139" s="239"/>
      <c r="E139" s="240"/>
      <c r="F139" s="241"/>
      <c r="G139" s="248"/>
      <c r="H139" s="247"/>
      <c r="I139" s="248"/>
      <c r="J139" s="259"/>
      <c r="K139" s="260"/>
      <c r="L139" s="259"/>
      <c r="M139" s="327">
        <f t="shared" si="14"/>
        <v>0</v>
      </c>
      <c r="N139" s="272"/>
      <c r="O139" s="739"/>
      <c r="P139" s="740"/>
      <c r="R139" s="402"/>
      <c r="S139" s="402"/>
      <c r="T139" s="408"/>
      <c r="U139" s="233"/>
      <c r="V139" s="233"/>
      <c r="W139" s="233"/>
      <c r="X139" s="233"/>
      <c r="Y139" s="233"/>
      <c r="Z139" s="233"/>
      <c r="AA139" s="233"/>
      <c r="AB139" s="233"/>
      <c r="AC139" s="233"/>
      <c r="AD139" s="233"/>
      <c r="AE139" s="233"/>
      <c r="AF139" s="233"/>
      <c r="AG139" s="233"/>
      <c r="AH139" s="233"/>
      <c r="AI139" s="233"/>
      <c r="AJ139" s="233"/>
    </row>
    <row r="140" spans="1:36" s="136" customFormat="1" ht="50.15" customHeight="1">
      <c r="A140" s="791"/>
      <c r="B140" s="794"/>
      <c r="C140" s="258">
        <v>4</v>
      </c>
      <c r="D140" s="239"/>
      <c r="E140" s="240"/>
      <c r="F140" s="241"/>
      <c r="G140" s="248"/>
      <c r="H140" s="247"/>
      <c r="I140" s="248"/>
      <c r="J140" s="271"/>
      <c r="K140" s="260"/>
      <c r="L140" s="259"/>
      <c r="M140" s="327">
        <f t="shared" si="14"/>
        <v>0</v>
      </c>
      <c r="N140" s="272"/>
      <c r="O140" s="739"/>
      <c r="P140" s="740"/>
      <c r="R140" s="233"/>
      <c r="S140" s="233"/>
      <c r="T140"/>
      <c r="U140" s="233"/>
      <c r="V140" s="233"/>
      <c r="W140" s="233"/>
      <c r="X140" s="233"/>
      <c r="Y140" s="233"/>
      <c r="Z140" s="233"/>
      <c r="AA140" s="233"/>
      <c r="AB140" s="233"/>
      <c r="AC140" s="233"/>
      <c r="AD140" s="233"/>
      <c r="AE140" s="233"/>
      <c r="AF140" s="233"/>
      <c r="AG140" s="233"/>
      <c r="AH140" s="233"/>
      <c r="AI140" s="233"/>
      <c r="AJ140" s="233"/>
    </row>
    <row r="141" spans="1:36" s="136" customFormat="1" ht="50.15" customHeight="1" thickBot="1">
      <c r="A141" s="791"/>
      <c r="B141" s="794"/>
      <c r="C141" s="264">
        <v>5</v>
      </c>
      <c r="D141" s="246"/>
      <c r="E141" s="247"/>
      <c r="F141" s="248"/>
      <c r="G141" s="386"/>
      <c r="H141" s="385"/>
      <c r="I141" s="386"/>
      <c r="J141" s="274"/>
      <c r="K141" s="266"/>
      <c r="L141" s="275"/>
      <c r="M141" s="327">
        <f t="shared" si="14"/>
        <v>0</v>
      </c>
      <c r="N141" s="272"/>
      <c r="O141" s="739"/>
      <c r="P141" s="740"/>
      <c r="R141" s="233"/>
      <c r="S141" s="233"/>
      <c r="T141"/>
      <c r="U141" s="233"/>
      <c r="V141" s="233"/>
      <c r="W141" s="233"/>
      <c r="X141" s="233"/>
      <c r="Y141" s="233"/>
      <c r="Z141" s="233"/>
      <c r="AA141" s="233"/>
      <c r="AB141" s="233"/>
      <c r="AC141" s="233"/>
      <c r="AD141" s="233"/>
      <c r="AE141" s="233"/>
      <c r="AF141" s="233"/>
      <c r="AG141" s="233"/>
      <c r="AH141" s="233"/>
      <c r="AI141" s="233"/>
      <c r="AJ141" s="233"/>
    </row>
    <row r="142" spans="1:36" s="136" customFormat="1" ht="15.75" customHeight="1" thickTop="1">
      <c r="A142" s="792"/>
      <c r="B142" s="795"/>
      <c r="C142" s="656"/>
      <c r="D142" s="657"/>
      <c r="E142" s="657"/>
      <c r="F142" s="657"/>
      <c r="G142" s="657"/>
      <c r="H142" s="657"/>
      <c r="I142" s="798"/>
      <c r="J142" s="276" t="s">
        <v>58</v>
      </c>
      <c r="K142" s="213" t="e">
        <f>M142/'生產管理報表 7-1 (週)'!$B$53</f>
        <v>#DIV/0!</v>
      </c>
      <c r="L142" s="276" t="s">
        <v>59</v>
      </c>
      <c r="M142" s="328">
        <f>SUM(M137:M141)</f>
        <v>0</v>
      </c>
      <c r="N142" s="741"/>
      <c r="O142" s="742"/>
      <c r="P142" s="743"/>
      <c r="R142" s="233"/>
      <c r="S142" s="233"/>
      <c r="T142"/>
      <c r="U142" s="233"/>
      <c r="V142" s="233"/>
      <c r="W142" s="233"/>
      <c r="X142" s="233"/>
      <c r="Y142" s="233"/>
      <c r="Z142" s="233"/>
      <c r="AA142" s="233"/>
      <c r="AB142" s="233"/>
      <c r="AC142" s="233"/>
      <c r="AD142" s="233"/>
      <c r="AE142" s="233"/>
      <c r="AF142" s="233"/>
      <c r="AG142" s="233"/>
      <c r="AH142" s="233"/>
      <c r="AI142" s="233"/>
      <c r="AJ142" s="233"/>
    </row>
  </sheetData>
  <mergeCells count="286"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L34:M34"/>
    <mergeCell ref="N34:O34"/>
    <mergeCell ref="P34:Q34"/>
    <mergeCell ref="A36:B36"/>
    <mergeCell ref="D36:F36"/>
    <mergeCell ref="G36:I36"/>
    <mergeCell ref="O36:P36"/>
    <mergeCell ref="A1:Q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A3:M4"/>
    <mergeCell ref="A5:A6"/>
    <mergeCell ref="B5:C5"/>
    <mergeCell ref="D5:E5"/>
    <mergeCell ref="F5:G5"/>
    <mergeCell ref="H5:I5"/>
    <mergeCell ref="J5:K5"/>
    <mergeCell ref="L5:M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N5:O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4" manualBreakCount="4">
    <brk id="30" max="16" man="1"/>
    <brk id="58" max="16" man="1"/>
    <brk id="86" max="16" man="1"/>
    <brk id="114" max="16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92D050"/>
    <outlinePr summaryBelow="0" summaryRight="0"/>
  </sheetPr>
  <dimension ref="A1:U183"/>
  <sheetViews>
    <sheetView view="pageBreakPreview" topLeftCell="A27" zoomScale="91" zoomScaleNormal="60" zoomScaleSheetLayoutView="91" workbookViewId="0">
      <selection activeCell="L170" sqref="D169:L170"/>
    </sheetView>
  </sheetViews>
  <sheetFormatPr defaultColWidth="12.54296875" defaultRowHeight="15.75" customHeight="1"/>
  <cols>
    <col min="1" max="1" width="5.453125" style="2" customWidth="1"/>
    <col min="2" max="2" width="11.453125" style="98" customWidth="1"/>
    <col min="3" max="3" width="4" style="97" customWidth="1"/>
    <col min="4" max="4" width="9.54296875" style="2" customWidth="1"/>
    <col min="5" max="5" width="10.26953125" style="2" customWidth="1"/>
    <col min="6" max="15" width="9.54296875" style="2" customWidth="1"/>
    <col min="16" max="16" width="51.453125" style="2" customWidth="1"/>
    <col min="17" max="16384" width="12.54296875" style="2"/>
  </cols>
  <sheetData>
    <row r="1" spans="1:21" s="99" customFormat="1" ht="15.75" customHeight="1">
      <c r="A1" s="502" t="s">
        <v>362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</row>
    <row r="2" spans="1:21" s="100" customFormat="1" ht="15.75" customHeight="1">
      <c r="A2" s="502"/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</row>
    <row r="3" spans="1:21" s="136" customFormat="1" ht="15.75" customHeight="1">
      <c r="A3" s="806" t="s">
        <v>623</v>
      </c>
      <c r="B3" s="806"/>
      <c r="C3" s="806"/>
      <c r="D3" s="806"/>
      <c r="E3" s="806"/>
      <c r="F3" s="806"/>
      <c r="G3" s="806"/>
      <c r="H3" s="806"/>
      <c r="I3" s="806"/>
      <c r="J3" s="806"/>
      <c r="K3" s="806"/>
      <c r="L3" s="806"/>
      <c r="M3" s="806"/>
      <c r="R3" s="233"/>
      <c r="S3" s="233"/>
      <c r="T3" s="233"/>
      <c r="U3" s="233"/>
    </row>
    <row r="4" spans="1:21" s="137" customFormat="1" ht="15.75" customHeight="1">
      <c r="A4" s="734"/>
      <c r="B4" s="734"/>
      <c r="C4" s="734"/>
      <c r="D4" s="734"/>
      <c r="E4" s="734"/>
      <c r="F4" s="734"/>
      <c r="G4" s="734"/>
      <c r="H4" s="734"/>
      <c r="I4" s="734"/>
      <c r="J4" s="734"/>
      <c r="K4" s="734"/>
      <c r="L4" s="734"/>
      <c r="M4" s="734"/>
    </row>
    <row r="5" spans="1:21" s="136" customFormat="1" ht="15.75" customHeight="1">
      <c r="A5" s="735" t="s">
        <v>191</v>
      </c>
      <c r="B5" s="737">
        <v>1</v>
      </c>
      <c r="C5" s="738"/>
      <c r="D5" s="737">
        <v>2</v>
      </c>
      <c r="E5" s="738"/>
      <c r="F5" s="737">
        <v>3</v>
      </c>
      <c r="G5" s="738"/>
      <c r="H5" s="728">
        <v>4</v>
      </c>
      <c r="I5" s="729"/>
      <c r="J5" s="728">
        <v>5</v>
      </c>
      <c r="K5" s="729"/>
      <c r="L5" s="728">
        <v>6</v>
      </c>
      <c r="M5" s="729"/>
      <c r="N5" s="728">
        <v>7</v>
      </c>
      <c r="O5" s="729"/>
      <c r="P5" s="329">
        <v>8</v>
      </c>
    </row>
    <row r="6" spans="1:21" s="136" customFormat="1" ht="15.75" customHeight="1">
      <c r="A6" s="736"/>
      <c r="B6" s="732" t="s">
        <v>454</v>
      </c>
      <c r="C6" s="733"/>
      <c r="D6" s="732" t="s">
        <v>212</v>
      </c>
      <c r="E6" s="733"/>
      <c r="F6" s="732" t="s">
        <v>166</v>
      </c>
      <c r="G6" s="733"/>
      <c r="H6" s="730" t="s">
        <v>430</v>
      </c>
      <c r="I6" s="731"/>
      <c r="J6" s="730" t="s">
        <v>189</v>
      </c>
      <c r="K6" s="731"/>
      <c r="L6" s="730" t="s">
        <v>167</v>
      </c>
      <c r="M6" s="731"/>
      <c r="N6" s="730" t="s">
        <v>190</v>
      </c>
      <c r="O6" s="731"/>
      <c r="P6" s="330" t="s">
        <v>217</v>
      </c>
    </row>
    <row r="7" spans="1:21" s="136" customFormat="1" ht="15.75" customHeight="1">
      <c r="B7" s="234"/>
      <c r="C7" s="235"/>
    </row>
    <row r="8" spans="1:21" s="280" customFormat="1" ht="15.75" customHeight="1">
      <c r="A8" s="672" t="s">
        <v>191</v>
      </c>
      <c r="B8" s="673"/>
      <c r="C8" s="277" t="s">
        <v>47</v>
      </c>
      <c r="D8" s="702" t="s">
        <v>12</v>
      </c>
      <c r="E8" s="703"/>
      <c r="F8" s="704"/>
      <c r="G8" s="705" t="s">
        <v>53</v>
      </c>
      <c r="H8" s="706"/>
      <c r="I8" s="707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680" t="s">
        <v>51</v>
      </c>
      <c r="P8" s="681"/>
      <c r="R8" s="211"/>
      <c r="S8" s="263"/>
    </row>
    <row r="9" spans="1:21" s="300" customFormat="1" ht="20.149999999999999" customHeight="1">
      <c r="A9" s="682">
        <v>4</v>
      </c>
      <c r="B9" s="716" t="s">
        <v>430</v>
      </c>
      <c r="C9" s="281">
        <v>1</v>
      </c>
      <c r="D9" s="239"/>
      <c r="E9" s="240"/>
      <c r="F9" s="241"/>
      <c r="G9" s="356"/>
      <c r="H9" s="307"/>
      <c r="I9" s="308"/>
      <c r="J9" s="314"/>
      <c r="K9" s="315"/>
      <c r="L9" s="316"/>
      <c r="M9" s="324">
        <f t="shared" ref="M9:M13" si="0">L9*J9</f>
        <v>0</v>
      </c>
      <c r="N9" s="316"/>
      <c r="O9" s="719"/>
      <c r="P9" s="720"/>
      <c r="R9" s="317"/>
      <c r="S9" s="263"/>
    </row>
    <row r="10" spans="1:21" s="300" customFormat="1" ht="20.149999999999999" customHeight="1">
      <c r="A10" s="683"/>
      <c r="B10" s="717"/>
      <c r="C10" s="281">
        <v>2</v>
      </c>
      <c r="D10" s="239"/>
      <c r="E10" s="240"/>
      <c r="F10" s="241"/>
      <c r="G10" s="356"/>
      <c r="H10" s="307"/>
      <c r="I10" s="308"/>
      <c r="J10" s="314"/>
      <c r="K10" s="315"/>
      <c r="L10" s="316"/>
      <c r="M10" s="324">
        <f t="shared" si="0"/>
        <v>0</v>
      </c>
      <c r="N10" s="316"/>
      <c r="O10" s="712"/>
      <c r="P10" s="713"/>
      <c r="R10" s="317"/>
      <c r="S10" s="211"/>
      <c r="T10" s="338"/>
    </row>
    <row r="11" spans="1:21" s="300" customFormat="1" ht="20.149999999999999" customHeight="1">
      <c r="A11" s="683"/>
      <c r="B11" s="717"/>
      <c r="C11" s="281">
        <v>3</v>
      </c>
      <c r="D11" s="239"/>
      <c r="E11" s="240"/>
      <c r="F11" s="241"/>
      <c r="G11" s="356"/>
      <c r="H11" s="307"/>
      <c r="I11" s="308"/>
      <c r="J11" s="314"/>
      <c r="K11" s="315"/>
      <c r="L11" s="316"/>
      <c r="M11" s="324">
        <f t="shared" si="0"/>
        <v>0</v>
      </c>
      <c r="N11" s="316"/>
      <c r="O11" s="719"/>
      <c r="P11" s="720"/>
      <c r="R11" s="317"/>
      <c r="S11" s="263"/>
    </row>
    <row r="12" spans="1:21" s="300" customFormat="1" ht="20.149999999999999" customHeight="1">
      <c r="A12" s="683"/>
      <c r="B12" s="717"/>
      <c r="C12" s="281">
        <v>4</v>
      </c>
      <c r="D12" s="239"/>
      <c r="E12" s="240"/>
      <c r="F12" s="241"/>
      <c r="G12" s="356"/>
      <c r="H12" s="307"/>
      <c r="I12" s="308"/>
      <c r="J12" s="314"/>
      <c r="K12" s="315"/>
      <c r="L12" s="316"/>
      <c r="M12" s="324">
        <f t="shared" si="0"/>
        <v>0</v>
      </c>
      <c r="N12" s="316"/>
      <c r="O12" s="719"/>
      <c r="P12" s="720"/>
      <c r="R12" s="317"/>
      <c r="S12" s="211"/>
      <c r="T12" s="338"/>
    </row>
    <row r="13" spans="1:21" s="300" customFormat="1" ht="20.149999999999999" customHeight="1" thickBot="1">
      <c r="A13" s="683"/>
      <c r="B13" s="717"/>
      <c r="C13" s="281">
        <v>5</v>
      </c>
      <c r="D13" s="239"/>
      <c r="E13" s="247"/>
      <c r="F13" s="248"/>
      <c r="G13" s="356"/>
      <c r="H13" s="307"/>
      <c r="I13" s="308"/>
      <c r="J13" s="398"/>
      <c r="K13" s="392"/>
      <c r="L13" s="319"/>
      <c r="M13" s="324">
        <f t="shared" si="0"/>
        <v>0</v>
      </c>
      <c r="N13" s="316"/>
      <c r="O13" s="719"/>
      <c r="P13" s="720"/>
      <c r="R13" s="320"/>
      <c r="S13" s="263"/>
      <c r="T13" s="291"/>
    </row>
    <row r="14" spans="1:21" s="291" customFormat="1" ht="15.75" customHeight="1" thickTop="1" thickBot="1">
      <c r="A14" s="684"/>
      <c r="B14" s="718"/>
      <c r="C14" s="725"/>
      <c r="D14" s="726"/>
      <c r="E14" s="726"/>
      <c r="F14" s="726"/>
      <c r="G14" s="726"/>
      <c r="H14" s="726"/>
      <c r="I14" s="727"/>
      <c r="J14" s="351" t="s">
        <v>58</v>
      </c>
      <c r="K14" s="213">
        <f>M14/'生產管理報表 7-1 (週)'!$B$9</f>
        <v>0</v>
      </c>
      <c r="L14" s="352" t="s">
        <v>59</v>
      </c>
      <c r="M14" s="399">
        <f>SUM(M9:M13)</f>
        <v>0</v>
      </c>
      <c r="N14" s="669"/>
      <c r="O14" s="670"/>
      <c r="P14" s="671"/>
      <c r="R14" s="211"/>
      <c r="S14" s="211"/>
    </row>
    <row r="15" spans="1:21" s="291" customFormat="1" ht="15.75" customHeight="1" thickTop="1">
      <c r="B15" s="299"/>
      <c r="C15" s="300"/>
      <c r="M15" s="331"/>
      <c r="S15" s="263"/>
    </row>
    <row r="16" spans="1:21" s="291" customFormat="1" ht="15.75" customHeight="1">
      <c r="A16" s="672" t="s">
        <v>191</v>
      </c>
      <c r="B16" s="673"/>
      <c r="C16" s="277" t="s">
        <v>47</v>
      </c>
      <c r="D16" s="702" t="s">
        <v>12</v>
      </c>
      <c r="E16" s="703"/>
      <c r="F16" s="704"/>
      <c r="G16" s="705" t="s">
        <v>53</v>
      </c>
      <c r="H16" s="706"/>
      <c r="I16" s="707"/>
      <c r="J16" s="278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680" t="s">
        <v>51</v>
      </c>
      <c r="P16" s="681"/>
      <c r="S16" s="211"/>
      <c r="T16" s="338"/>
    </row>
    <row r="17" spans="1:20" s="300" customFormat="1" ht="40" customHeight="1">
      <c r="A17" s="682">
        <v>5</v>
      </c>
      <c r="B17" s="695" t="s">
        <v>215</v>
      </c>
      <c r="C17" s="281">
        <v>1</v>
      </c>
      <c r="D17" s="239" t="s">
        <v>340</v>
      </c>
      <c r="E17" s="240"/>
      <c r="F17" s="241"/>
      <c r="G17" s="308" t="s">
        <v>336</v>
      </c>
      <c r="H17" s="307"/>
      <c r="I17" s="308"/>
      <c r="J17" s="314">
        <v>147.43000000000004</v>
      </c>
      <c r="K17" s="315">
        <v>1.9463405817969496E-3</v>
      </c>
      <c r="L17" s="316">
        <v>9.8000000000000007</v>
      </c>
      <c r="M17" s="324">
        <f>L17*J17</f>
        <v>1444.8140000000005</v>
      </c>
      <c r="N17" s="316"/>
      <c r="O17" s="712" t="s">
        <v>634</v>
      </c>
      <c r="P17" s="713"/>
      <c r="R17" s="338"/>
      <c r="S17" s="400"/>
    </row>
    <row r="18" spans="1:20" s="300" customFormat="1" ht="20.149999999999999" customHeight="1">
      <c r="A18" s="683"/>
      <c r="B18" s="696"/>
      <c r="C18" s="281">
        <v>2</v>
      </c>
      <c r="D18" s="239"/>
      <c r="E18" s="240"/>
      <c r="F18" s="241"/>
      <c r="G18" s="356"/>
      <c r="H18" s="307"/>
      <c r="I18" s="308"/>
      <c r="J18" s="314"/>
      <c r="K18" s="315"/>
      <c r="L18" s="316"/>
      <c r="M18" s="324">
        <f t="shared" ref="M18:M21" si="1">L18*J18</f>
        <v>0</v>
      </c>
      <c r="N18" s="316"/>
      <c r="O18" s="712"/>
      <c r="P18" s="713"/>
      <c r="S18" s="211"/>
      <c r="T18" s="339"/>
    </row>
    <row r="19" spans="1:20" s="291" customFormat="1" ht="20.149999999999999" customHeight="1">
      <c r="A19" s="683"/>
      <c r="B19" s="696"/>
      <c r="C19" s="281">
        <v>3</v>
      </c>
      <c r="D19" s="239"/>
      <c r="E19" s="283"/>
      <c r="F19" s="284"/>
      <c r="G19" s="356"/>
      <c r="H19" s="307"/>
      <c r="I19" s="308"/>
      <c r="J19" s="314"/>
      <c r="K19" s="315"/>
      <c r="L19" s="316"/>
      <c r="M19" s="324">
        <f t="shared" si="1"/>
        <v>0</v>
      </c>
      <c r="N19" s="290"/>
      <c r="O19" s="700"/>
      <c r="P19" s="701"/>
    </row>
    <row r="20" spans="1:20" s="291" customFormat="1" ht="20.149999999999999" customHeight="1">
      <c r="A20" s="683"/>
      <c r="B20" s="696"/>
      <c r="C20" s="281">
        <v>4</v>
      </c>
      <c r="D20" s="239"/>
      <c r="E20" s="283"/>
      <c r="F20" s="284"/>
      <c r="G20" s="356"/>
      <c r="H20" s="307"/>
      <c r="I20" s="308"/>
      <c r="J20" s="314"/>
      <c r="K20" s="315"/>
      <c r="L20" s="316"/>
      <c r="M20" s="324">
        <f t="shared" si="1"/>
        <v>0</v>
      </c>
      <c r="N20" s="290"/>
      <c r="O20" s="712"/>
      <c r="P20" s="713"/>
    </row>
    <row r="21" spans="1:20" s="291" customFormat="1" ht="20.149999999999999" customHeight="1" thickBot="1">
      <c r="A21" s="683"/>
      <c r="B21" s="696"/>
      <c r="C21" s="281">
        <v>5</v>
      </c>
      <c r="D21" s="246"/>
      <c r="E21" s="293"/>
      <c r="F21" s="294"/>
      <c r="G21" s="356"/>
      <c r="H21" s="307"/>
      <c r="I21" s="308"/>
      <c r="J21" s="398"/>
      <c r="K21" s="392"/>
      <c r="L21" s="319"/>
      <c r="M21" s="324">
        <f t="shared" si="1"/>
        <v>0</v>
      </c>
      <c r="N21" s="290"/>
      <c r="O21" s="810"/>
      <c r="P21" s="811"/>
      <c r="R21" s="212"/>
    </row>
    <row r="22" spans="1:20" s="291" customFormat="1" ht="15.75" customHeight="1" thickTop="1" thickBot="1">
      <c r="A22" s="684"/>
      <c r="B22" s="697"/>
      <c r="C22" s="692"/>
      <c r="D22" s="693"/>
      <c r="E22" s="693"/>
      <c r="F22" s="693"/>
      <c r="G22" s="693"/>
      <c r="H22" s="693"/>
      <c r="I22" s="694"/>
      <c r="J22" s="351" t="s">
        <v>58</v>
      </c>
      <c r="K22" s="213">
        <f>M22/'生產管理報表 7-1 (週)'!$B$9</f>
        <v>1.5721535563721363E-2</v>
      </c>
      <c r="L22" s="352" t="s">
        <v>59</v>
      </c>
      <c r="M22" s="399">
        <f>SUM(M17:M21)</f>
        <v>1444.8140000000005</v>
      </c>
      <c r="N22" s="669"/>
      <c r="O22" s="670"/>
      <c r="P22" s="671"/>
      <c r="R22" s="211"/>
    </row>
    <row r="23" spans="1:20" s="291" customFormat="1" ht="15.75" customHeight="1" thickTop="1">
      <c r="B23" s="299"/>
      <c r="C23" s="300"/>
      <c r="M23" s="331"/>
      <c r="R23" s="211"/>
    </row>
    <row r="24" spans="1:20" s="291" customFormat="1" ht="15.75" customHeight="1">
      <c r="A24" s="672" t="s">
        <v>191</v>
      </c>
      <c r="B24" s="673"/>
      <c r="C24" s="305" t="s">
        <v>47</v>
      </c>
      <c r="D24" s="674" t="s">
        <v>12</v>
      </c>
      <c r="E24" s="675"/>
      <c r="F24" s="676"/>
      <c r="G24" s="677" t="s">
        <v>53</v>
      </c>
      <c r="H24" s="678"/>
      <c r="I24" s="679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680" t="s">
        <v>51</v>
      </c>
      <c r="P24" s="681"/>
      <c r="R24" s="211"/>
      <c r="S24" s="2"/>
    </row>
    <row r="25" spans="1:20" s="291" customFormat="1" ht="40" customHeight="1">
      <c r="A25" s="682">
        <v>6</v>
      </c>
      <c r="B25" s="695" t="s">
        <v>216</v>
      </c>
      <c r="C25" s="281">
        <v>1</v>
      </c>
      <c r="D25" s="340" t="s">
        <v>525</v>
      </c>
      <c r="E25" s="283"/>
      <c r="F25" s="284"/>
      <c r="G25" s="242" t="s">
        <v>335</v>
      </c>
      <c r="H25" s="243"/>
      <c r="I25" s="242"/>
      <c r="J25" s="314">
        <v>15.450000000000001</v>
      </c>
      <c r="K25" s="315">
        <v>3.1708401244628834E-3</v>
      </c>
      <c r="L25" s="316">
        <v>214</v>
      </c>
      <c r="M25" s="324">
        <f t="shared" ref="M25:M26" si="2">L25*J25</f>
        <v>3306.3</v>
      </c>
      <c r="N25" s="290"/>
      <c r="O25" s="700" t="s">
        <v>592</v>
      </c>
      <c r="P25" s="701"/>
      <c r="R25" s="339"/>
      <c r="S25" s="407"/>
    </row>
    <row r="26" spans="1:20" s="300" customFormat="1" ht="40" customHeight="1">
      <c r="A26" s="683"/>
      <c r="B26" s="696"/>
      <c r="C26" s="281">
        <v>2</v>
      </c>
      <c r="D26" s="239" t="s">
        <v>340</v>
      </c>
      <c r="E26" s="240"/>
      <c r="F26" s="241"/>
      <c r="G26" s="242" t="s">
        <v>538</v>
      </c>
      <c r="H26" s="243"/>
      <c r="I26" s="242"/>
      <c r="J26" s="314">
        <v>39.389999999999993</v>
      </c>
      <c r="K26" s="315">
        <v>9.8903901396435066E-4</v>
      </c>
      <c r="L26" s="316">
        <v>38.200000000000003</v>
      </c>
      <c r="M26" s="324">
        <f t="shared" si="2"/>
        <v>1504.6979999999999</v>
      </c>
      <c r="N26" s="316"/>
      <c r="O26" s="814" t="s">
        <v>614</v>
      </c>
      <c r="P26" s="815"/>
      <c r="S26" s="97"/>
    </row>
    <row r="27" spans="1:20" s="291" customFormat="1" ht="20.149999999999999" customHeight="1">
      <c r="A27" s="683"/>
      <c r="B27" s="696"/>
      <c r="C27" s="281">
        <v>3</v>
      </c>
      <c r="D27" s="282"/>
      <c r="E27" s="283"/>
      <c r="F27" s="284"/>
      <c r="G27" s="285"/>
      <c r="H27" s="286"/>
      <c r="I27" s="287"/>
      <c r="J27" s="288"/>
      <c r="K27" s="289"/>
      <c r="L27" s="290"/>
      <c r="M27" s="333">
        <v>0</v>
      </c>
      <c r="N27" s="290"/>
      <c r="O27" s="301"/>
      <c r="P27" s="302"/>
      <c r="S27" s="2"/>
    </row>
    <row r="28" spans="1:20" s="291" customFormat="1" ht="20.149999999999999" customHeight="1">
      <c r="A28" s="683"/>
      <c r="B28" s="696"/>
      <c r="C28" s="281">
        <v>4</v>
      </c>
      <c r="D28" s="282"/>
      <c r="E28" s="283"/>
      <c r="F28" s="284"/>
      <c r="G28" s="285"/>
      <c r="H28" s="286"/>
      <c r="I28" s="287"/>
      <c r="J28" s="288"/>
      <c r="K28" s="289"/>
      <c r="L28" s="290"/>
      <c r="M28" s="333">
        <v>0</v>
      </c>
      <c r="N28" s="290"/>
      <c r="O28" s="301"/>
      <c r="P28" s="302"/>
      <c r="R28" s="2"/>
      <c r="S28" s="2"/>
    </row>
    <row r="29" spans="1:20" s="291" customFormat="1" ht="20.149999999999999" customHeight="1" thickBot="1">
      <c r="A29" s="683"/>
      <c r="B29" s="696"/>
      <c r="C29" s="281">
        <v>5</v>
      </c>
      <c r="D29" s="292"/>
      <c r="E29" s="293"/>
      <c r="F29" s="294"/>
      <c r="G29" s="285"/>
      <c r="H29" s="286"/>
      <c r="I29" s="287"/>
      <c r="J29" s="398"/>
      <c r="K29" s="392"/>
      <c r="L29" s="319"/>
      <c r="M29" s="324">
        <v>0</v>
      </c>
      <c r="N29" s="290"/>
      <c r="O29" s="303"/>
      <c r="P29" s="304"/>
      <c r="R29" s="2"/>
      <c r="S29" s="2"/>
    </row>
    <row r="30" spans="1:20" s="291" customFormat="1" ht="15.75" customHeight="1" thickTop="1" thickBot="1">
      <c r="A30" s="684"/>
      <c r="B30" s="697"/>
      <c r="C30" s="692"/>
      <c r="D30" s="693"/>
      <c r="E30" s="693"/>
      <c r="F30" s="693"/>
      <c r="G30" s="693"/>
      <c r="H30" s="693"/>
      <c r="I30" s="694"/>
      <c r="J30" s="351" t="s">
        <v>58</v>
      </c>
      <c r="K30" s="213">
        <f>M30/'生產管理報表 7-1 (週)'!$B$9</f>
        <v>5.2350182206147164E-2</v>
      </c>
      <c r="L30" s="352" t="s">
        <v>59</v>
      </c>
      <c r="M30" s="399">
        <f>SUM(M25:M29)</f>
        <v>4810.9979999999996</v>
      </c>
      <c r="N30" s="669"/>
      <c r="O30" s="670"/>
      <c r="P30" s="671"/>
      <c r="R30" s="2"/>
      <c r="S30" s="2"/>
    </row>
    <row r="31" spans="1:20" s="291" customFormat="1" ht="15.75" customHeight="1" thickTop="1">
      <c r="B31" s="299"/>
      <c r="C31" s="300"/>
      <c r="M31" s="331"/>
      <c r="R31" s="2"/>
      <c r="S31" s="2"/>
    </row>
    <row r="32" spans="1:20" s="291" customFormat="1" ht="15.75" customHeight="1">
      <c r="A32" s="672" t="s">
        <v>191</v>
      </c>
      <c r="B32" s="673"/>
      <c r="C32" s="305" t="s">
        <v>47</v>
      </c>
      <c r="D32" s="674" t="s">
        <v>12</v>
      </c>
      <c r="E32" s="675"/>
      <c r="F32" s="676"/>
      <c r="G32" s="677" t="s">
        <v>53</v>
      </c>
      <c r="H32" s="678"/>
      <c r="I32" s="679"/>
      <c r="J32" s="306" t="s">
        <v>54</v>
      </c>
      <c r="K32" s="278" t="s">
        <v>55</v>
      </c>
      <c r="L32" s="278" t="s">
        <v>56</v>
      </c>
      <c r="M32" s="332" t="s">
        <v>11</v>
      </c>
      <c r="N32" s="279" t="s">
        <v>333</v>
      </c>
      <c r="O32" s="680" t="s">
        <v>51</v>
      </c>
      <c r="P32" s="681"/>
      <c r="R32" s="2"/>
      <c r="S32" s="2"/>
    </row>
    <row r="33" spans="1:21" s="291" customFormat="1" ht="20.149999999999999" customHeight="1">
      <c r="A33" s="682">
        <v>7</v>
      </c>
      <c r="B33" s="685" t="s">
        <v>249</v>
      </c>
      <c r="C33" s="281">
        <v>1</v>
      </c>
      <c r="D33" s="282"/>
      <c r="E33" s="283"/>
      <c r="F33" s="284"/>
      <c r="G33" s="285"/>
      <c r="H33" s="286"/>
      <c r="I33" s="287"/>
      <c r="J33" s="288"/>
      <c r="K33" s="289"/>
      <c r="L33" s="290"/>
      <c r="M33" s="333">
        <f t="shared" ref="M33:M35" si="3">L33*J33</f>
        <v>0</v>
      </c>
      <c r="N33" s="290"/>
      <c r="O33" s="688"/>
      <c r="P33" s="689"/>
      <c r="R33" s="2"/>
      <c r="S33" s="2"/>
    </row>
    <row r="34" spans="1:21" s="291" customFormat="1" ht="20.149999999999999" customHeight="1">
      <c r="A34" s="683"/>
      <c r="B34" s="686"/>
      <c r="C34" s="281">
        <v>2</v>
      </c>
      <c r="D34" s="282"/>
      <c r="E34" s="283"/>
      <c r="F34" s="284"/>
      <c r="G34" s="285"/>
      <c r="H34" s="286"/>
      <c r="I34" s="287"/>
      <c r="J34" s="288"/>
      <c r="K34" s="289"/>
      <c r="L34" s="290"/>
      <c r="M34" s="333">
        <f t="shared" si="3"/>
        <v>0</v>
      </c>
      <c r="N34" s="290"/>
      <c r="O34" s="690"/>
      <c r="P34" s="691"/>
      <c r="R34" s="2"/>
      <c r="S34" s="2"/>
    </row>
    <row r="35" spans="1:21" s="291" customFormat="1" ht="20.149999999999999" customHeight="1">
      <c r="A35" s="683"/>
      <c r="B35" s="686"/>
      <c r="C35" s="281">
        <v>3</v>
      </c>
      <c r="D35" s="282"/>
      <c r="E35" s="283"/>
      <c r="F35" s="284"/>
      <c r="G35" s="285"/>
      <c r="H35" s="286"/>
      <c r="I35" s="287"/>
      <c r="J35" s="288"/>
      <c r="K35" s="289"/>
      <c r="L35" s="290"/>
      <c r="M35" s="333">
        <f t="shared" si="3"/>
        <v>0</v>
      </c>
      <c r="N35" s="290"/>
      <c r="O35" s="690"/>
      <c r="P35" s="691"/>
      <c r="R35" s="2"/>
      <c r="S35" s="2"/>
    </row>
    <row r="36" spans="1:21" s="291" customFormat="1" ht="20.149999999999999" customHeight="1">
      <c r="A36" s="683"/>
      <c r="B36" s="686"/>
      <c r="C36" s="281">
        <v>4</v>
      </c>
      <c r="D36" s="282"/>
      <c r="E36" s="283"/>
      <c r="F36" s="284"/>
      <c r="G36" s="285"/>
      <c r="H36" s="286"/>
      <c r="I36" s="287"/>
      <c r="J36" s="288"/>
      <c r="K36" s="289"/>
      <c r="L36" s="290"/>
      <c r="M36" s="334">
        <v>0</v>
      </c>
      <c r="N36" s="290"/>
      <c r="O36" s="301"/>
      <c r="P36" s="302"/>
      <c r="R36" s="2"/>
      <c r="S36" s="2"/>
    </row>
    <row r="37" spans="1:21" s="291" customFormat="1" ht="20.149999999999999" customHeight="1" thickBot="1">
      <c r="A37" s="683"/>
      <c r="B37" s="686"/>
      <c r="C37" s="281">
        <v>5</v>
      </c>
      <c r="D37" s="292"/>
      <c r="E37" s="293"/>
      <c r="F37" s="294"/>
      <c r="G37" s="285"/>
      <c r="H37" s="286"/>
      <c r="I37" s="287"/>
      <c r="J37" s="398"/>
      <c r="K37" s="392"/>
      <c r="L37" s="319"/>
      <c r="M37" s="335">
        <v>0</v>
      </c>
      <c r="N37" s="290"/>
      <c r="O37" s="303"/>
      <c r="P37" s="304"/>
      <c r="R37" s="2"/>
      <c r="S37" s="2"/>
    </row>
    <row r="38" spans="1:21" s="291" customFormat="1" ht="15.75" customHeight="1" thickTop="1" thickBot="1">
      <c r="A38" s="684"/>
      <c r="B38" s="687"/>
      <c r="C38" s="692"/>
      <c r="D38" s="693"/>
      <c r="E38" s="693"/>
      <c r="F38" s="693"/>
      <c r="G38" s="693"/>
      <c r="H38" s="693"/>
      <c r="I38" s="694"/>
      <c r="J38" s="351" t="s">
        <v>58</v>
      </c>
      <c r="K38" s="213" t="e">
        <f>M38/'生產管理報表 7-1 (週)'!$B$53</f>
        <v>#DIV/0!</v>
      </c>
      <c r="L38" s="352" t="s">
        <v>59</v>
      </c>
      <c r="M38" s="399">
        <f>SUM(M33:M37)</f>
        <v>0</v>
      </c>
      <c r="N38" s="669"/>
      <c r="O38" s="670"/>
      <c r="P38" s="671"/>
      <c r="R38" s="2"/>
      <c r="S38" s="2"/>
      <c r="T38" s="2"/>
    </row>
    <row r="39" spans="1:21" s="136" customFormat="1" ht="15.75" customHeight="1" thickTop="1">
      <c r="A39" s="812" t="s">
        <v>675</v>
      </c>
      <c r="B39" s="806"/>
      <c r="C39" s="806"/>
      <c r="D39" s="806"/>
      <c r="E39" s="806"/>
      <c r="F39" s="806"/>
      <c r="G39" s="806"/>
      <c r="H39" s="806"/>
      <c r="I39" s="806"/>
      <c r="J39" s="806"/>
      <c r="K39" s="806"/>
      <c r="L39" s="806"/>
      <c r="M39" s="806"/>
      <c r="N39" s="485"/>
      <c r="O39" s="485"/>
      <c r="P39" s="486"/>
      <c r="R39" s="233"/>
      <c r="S39" s="233"/>
      <c r="T39" s="233"/>
      <c r="U39" s="233"/>
    </row>
    <row r="40" spans="1:21" s="137" customFormat="1" ht="15.75" customHeight="1">
      <c r="A40" s="813"/>
      <c r="B40" s="734"/>
      <c r="C40" s="734"/>
      <c r="D40" s="734"/>
      <c r="E40" s="734"/>
      <c r="F40" s="734"/>
      <c r="G40" s="734"/>
      <c r="H40" s="734"/>
      <c r="I40" s="734"/>
      <c r="J40" s="734"/>
      <c r="K40" s="734"/>
      <c r="L40" s="734"/>
      <c r="M40" s="734"/>
      <c r="N40" s="487"/>
      <c r="O40" s="487"/>
      <c r="P40" s="488"/>
    </row>
    <row r="41" spans="1:21" s="136" customFormat="1" ht="15.75" customHeight="1">
      <c r="A41" s="735" t="s">
        <v>191</v>
      </c>
      <c r="B41" s="737">
        <v>1</v>
      </c>
      <c r="C41" s="738"/>
      <c r="D41" s="737">
        <v>2</v>
      </c>
      <c r="E41" s="738"/>
      <c r="F41" s="737">
        <v>3</v>
      </c>
      <c r="G41" s="738"/>
      <c r="H41" s="728">
        <v>4</v>
      </c>
      <c r="I41" s="729"/>
      <c r="J41" s="728">
        <v>5</v>
      </c>
      <c r="K41" s="729"/>
      <c r="L41" s="728">
        <v>6</v>
      </c>
      <c r="M41" s="729"/>
      <c r="N41" s="728">
        <v>7</v>
      </c>
      <c r="O41" s="729"/>
      <c r="P41" s="329">
        <v>8</v>
      </c>
    </row>
    <row r="42" spans="1:21" s="136" customFormat="1" ht="15.75" customHeight="1">
      <c r="A42" s="736"/>
      <c r="B42" s="732" t="s">
        <v>454</v>
      </c>
      <c r="C42" s="733"/>
      <c r="D42" s="732" t="s">
        <v>212</v>
      </c>
      <c r="E42" s="733"/>
      <c r="F42" s="732" t="s">
        <v>166</v>
      </c>
      <c r="G42" s="733"/>
      <c r="H42" s="730" t="s">
        <v>430</v>
      </c>
      <c r="I42" s="731"/>
      <c r="J42" s="730" t="s">
        <v>189</v>
      </c>
      <c r="K42" s="731"/>
      <c r="L42" s="730" t="s">
        <v>167</v>
      </c>
      <c r="M42" s="731"/>
      <c r="N42" s="730" t="s">
        <v>190</v>
      </c>
      <c r="O42" s="731"/>
      <c r="P42" s="330" t="s">
        <v>217</v>
      </c>
    </row>
    <row r="43" spans="1:21" s="136" customFormat="1" ht="15.75" customHeight="1">
      <c r="B43" s="234"/>
      <c r="C43" s="235"/>
    </row>
    <row r="44" spans="1:21" s="280" customFormat="1" ht="15.75" customHeight="1">
      <c r="A44" s="672" t="s">
        <v>191</v>
      </c>
      <c r="B44" s="673"/>
      <c r="C44" s="277" t="s">
        <v>47</v>
      </c>
      <c r="D44" s="702" t="s">
        <v>12</v>
      </c>
      <c r="E44" s="703"/>
      <c r="F44" s="704"/>
      <c r="G44" s="705" t="s">
        <v>53</v>
      </c>
      <c r="H44" s="706"/>
      <c r="I44" s="707"/>
      <c r="J44" s="278" t="s">
        <v>54</v>
      </c>
      <c r="K44" s="278" t="s">
        <v>55</v>
      </c>
      <c r="L44" s="278" t="s">
        <v>56</v>
      </c>
      <c r="M44" s="279" t="s">
        <v>11</v>
      </c>
      <c r="N44" s="279" t="s">
        <v>333</v>
      </c>
      <c r="O44" s="680" t="s">
        <v>51</v>
      </c>
      <c r="P44" s="681"/>
      <c r="R44" s="211"/>
      <c r="S44" s="263"/>
    </row>
    <row r="45" spans="1:21" s="300" customFormat="1" ht="20.149999999999999" customHeight="1">
      <c r="A45" s="682">
        <v>4</v>
      </c>
      <c r="B45" s="716" t="s">
        <v>430</v>
      </c>
      <c r="C45" s="281">
        <v>1</v>
      </c>
      <c r="D45" s="239"/>
      <c r="E45" s="240"/>
      <c r="F45" s="241"/>
      <c r="G45" s="356"/>
      <c r="H45" s="307"/>
      <c r="I45" s="308"/>
      <c r="J45" s="314"/>
      <c r="K45" s="315"/>
      <c r="L45" s="316"/>
      <c r="M45" s="324">
        <f t="shared" ref="M45:M49" si="4">L45*J45</f>
        <v>0</v>
      </c>
      <c r="N45" s="316"/>
      <c r="O45" s="719"/>
      <c r="P45" s="720"/>
      <c r="R45" s="317"/>
      <c r="S45" s="263"/>
    </row>
    <row r="46" spans="1:21" s="300" customFormat="1" ht="20.149999999999999" customHeight="1">
      <c r="A46" s="683"/>
      <c r="B46" s="717"/>
      <c r="C46" s="281">
        <v>2</v>
      </c>
      <c r="D46" s="239"/>
      <c r="E46" s="240"/>
      <c r="F46" s="241"/>
      <c r="G46" s="356"/>
      <c r="H46" s="307"/>
      <c r="I46" s="308"/>
      <c r="J46" s="314"/>
      <c r="K46" s="315"/>
      <c r="L46" s="316"/>
      <c r="M46" s="324">
        <f t="shared" si="4"/>
        <v>0</v>
      </c>
      <c r="N46" s="316"/>
      <c r="O46" s="712"/>
      <c r="P46" s="713"/>
      <c r="R46" s="317"/>
      <c r="S46" s="211"/>
      <c r="T46" s="338"/>
    </row>
    <row r="47" spans="1:21" s="300" customFormat="1" ht="20.149999999999999" customHeight="1">
      <c r="A47" s="683"/>
      <c r="B47" s="717"/>
      <c r="C47" s="281">
        <v>3</v>
      </c>
      <c r="D47" s="239"/>
      <c r="E47" s="240"/>
      <c r="F47" s="241"/>
      <c r="G47" s="356"/>
      <c r="H47" s="307"/>
      <c r="I47" s="308"/>
      <c r="J47" s="314"/>
      <c r="K47" s="315"/>
      <c r="L47" s="316"/>
      <c r="M47" s="324">
        <f t="shared" si="4"/>
        <v>0</v>
      </c>
      <c r="N47" s="316"/>
      <c r="O47" s="719"/>
      <c r="P47" s="720"/>
      <c r="R47" s="317"/>
      <c r="S47" s="263"/>
    </row>
    <row r="48" spans="1:21" s="300" customFormat="1" ht="20.149999999999999" customHeight="1">
      <c r="A48" s="683"/>
      <c r="B48" s="717"/>
      <c r="C48" s="281">
        <v>4</v>
      </c>
      <c r="D48" s="239"/>
      <c r="E48" s="240"/>
      <c r="F48" s="241"/>
      <c r="G48" s="356"/>
      <c r="H48" s="307"/>
      <c r="I48" s="308"/>
      <c r="J48" s="314"/>
      <c r="K48" s="315"/>
      <c r="L48" s="316"/>
      <c r="M48" s="324">
        <f t="shared" si="4"/>
        <v>0</v>
      </c>
      <c r="N48" s="316"/>
      <c r="O48" s="719"/>
      <c r="P48" s="720"/>
      <c r="R48" s="317"/>
      <c r="S48" s="211"/>
      <c r="T48" s="338"/>
    </row>
    <row r="49" spans="1:20" s="300" customFormat="1" ht="20.149999999999999" customHeight="1" thickBot="1">
      <c r="A49" s="683"/>
      <c r="B49" s="717"/>
      <c r="C49" s="281">
        <v>5</v>
      </c>
      <c r="D49" s="239"/>
      <c r="E49" s="247"/>
      <c r="F49" s="248"/>
      <c r="G49" s="356"/>
      <c r="H49" s="307"/>
      <c r="I49" s="308"/>
      <c r="J49" s="398"/>
      <c r="K49" s="392"/>
      <c r="L49" s="319"/>
      <c r="M49" s="324">
        <f t="shared" si="4"/>
        <v>0</v>
      </c>
      <c r="N49" s="316"/>
      <c r="O49" s="719"/>
      <c r="P49" s="720"/>
      <c r="R49" s="320"/>
      <c r="S49" s="263"/>
      <c r="T49" s="291"/>
    </row>
    <row r="50" spans="1:20" s="291" customFormat="1" ht="15.75" customHeight="1" thickTop="1" thickBot="1">
      <c r="A50" s="684"/>
      <c r="B50" s="718"/>
      <c r="C50" s="725"/>
      <c r="D50" s="726"/>
      <c r="E50" s="726"/>
      <c r="F50" s="726"/>
      <c r="G50" s="726"/>
      <c r="H50" s="726"/>
      <c r="I50" s="727"/>
      <c r="J50" s="351" t="s">
        <v>58</v>
      </c>
      <c r="K50" s="213">
        <f>M50/'生產管理報表 7-1 (週)'!$B$20</f>
        <v>0</v>
      </c>
      <c r="L50" s="352" t="s">
        <v>59</v>
      </c>
      <c r="M50" s="399">
        <f>SUM(M45:M49)</f>
        <v>0</v>
      </c>
      <c r="N50" s="669"/>
      <c r="O50" s="670"/>
      <c r="P50" s="671"/>
      <c r="R50" s="211"/>
      <c r="S50" s="211"/>
    </row>
    <row r="51" spans="1:20" s="291" customFormat="1" ht="15.75" customHeight="1" thickTop="1">
      <c r="B51" s="299"/>
      <c r="C51" s="300"/>
      <c r="M51" s="331"/>
      <c r="S51" s="263"/>
    </row>
    <row r="52" spans="1:20" s="291" customFormat="1" ht="15.75" customHeight="1">
      <c r="A52" s="672" t="s">
        <v>191</v>
      </c>
      <c r="B52" s="673"/>
      <c r="C52" s="277" t="s">
        <v>47</v>
      </c>
      <c r="D52" s="702" t="s">
        <v>12</v>
      </c>
      <c r="E52" s="703"/>
      <c r="F52" s="704"/>
      <c r="G52" s="705" t="s">
        <v>53</v>
      </c>
      <c r="H52" s="706"/>
      <c r="I52" s="707"/>
      <c r="J52" s="278" t="s">
        <v>54</v>
      </c>
      <c r="K52" s="278" t="s">
        <v>55</v>
      </c>
      <c r="L52" s="278" t="s">
        <v>56</v>
      </c>
      <c r="M52" s="332" t="s">
        <v>11</v>
      </c>
      <c r="N52" s="279" t="s">
        <v>333</v>
      </c>
      <c r="O52" s="680" t="s">
        <v>51</v>
      </c>
      <c r="P52" s="681"/>
      <c r="S52" s="211"/>
      <c r="T52" s="338"/>
    </row>
    <row r="53" spans="1:20" s="300" customFormat="1" ht="40" customHeight="1">
      <c r="A53" s="682">
        <v>5</v>
      </c>
      <c r="B53" s="695" t="s">
        <v>215</v>
      </c>
      <c r="C53" s="281">
        <v>1</v>
      </c>
      <c r="D53" s="239"/>
      <c r="E53" s="240"/>
      <c r="F53" s="241"/>
      <c r="G53" s="308"/>
      <c r="H53" s="307"/>
      <c r="I53" s="308"/>
      <c r="J53" s="314"/>
      <c r="K53" s="315"/>
      <c r="L53" s="316"/>
      <c r="M53" s="324">
        <f>L53*J53</f>
        <v>0</v>
      </c>
      <c r="N53" s="316"/>
      <c r="O53" s="712"/>
      <c r="P53" s="713"/>
      <c r="R53" s="338"/>
      <c r="S53" s="400"/>
    </row>
    <row r="54" spans="1:20" s="300" customFormat="1" ht="20.149999999999999" customHeight="1">
      <c r="A54" s="683"/>
      <c r="B54" s="696"/>
      <c r="C54" s="281">
        <v>2</v>
      </c>
      <c r="D54" s="239"/>
      <c r="E54" s="240"/>
      <c r="F54" s="241"/>
      <c r="G54" s="356"/>
      <c r="H54" s="307"/>
      <c r="I54" s="308"/>
      <c r="J54" s="314"/>
      <c r="K54" s="315"/>
      <c r="L54" s="316"/>
      <c r="M54" s="324">
        <f t="shared" ref="M54:M57" si="5">L54*J54</f>
        <v>0</v>
      </c>
      <c r="N54" s="316"/>
      <c r="O54" s="712"/>
      <c r="P54" s="713"/>
      <c r="S54" s="211"/>
      <c r="T54" s="339"/>
    </row>
    <row r="55" spans="1:20" s="291" customFormat="1" ht="20.149999999999999" customHeight="1">
      <c r="A55" s="683"/>
      <c r="B55" s="696"/>
      <c r="C55" s="281">
        <v>3</v>
      </c>
      <c r="D55" s="239"/>
      <c r="E55" s="283"/>
      <c r="F55" s="284"/>
      <c r="G55" s="356"/>
      <c r="H55" s="307"/>
      <c r="I55" s="308"/>
      <c r="J55" s="314"/>
      <c r="K55" s="315"/>
      <c r="L55" s="316"/>
      <c r="M55" s="324">
        <f t="shared" si="5"/>
        <v>0</v>
      </c>
      <c r="N55" s="290"/>
      <c r="O55" s="700"/>
      <c r="P55" s="701"/>
    </row>
    <row r="56" spans="1:20" s="291" customFormat="1" ht="20.149999999999999" customHeight="1">
      <c r="A56" s="683"/>
      <c r="B56" s="696"/>
      <c r="C56" s="281">
        <v>4</v>
      </c>
      <c r="D56" s="239"/>
      <c r="E56" s="283"/>
      <c r="F56" s="284"/>
      <c r="G56" s="356"/>
      <c r="H56" s="307"/>
      <c r="I56" s="308"/>
      <c r="J56" s="314"/>
      <c r="K56" s="315"/>
      <c r="L56" s="316"/>
      <c r="M56" s="324">
        <f t="shared" si="5"/>
        <v>0</v>
      </c>
      <c r="N56" s="290"/>
      <c r="O56" s="712"/>
      <c r="P56" s="713"/>
    </row>
    <row r="57" spans="1:20" s="291" customFormat="1" ht="20.149999999999999" customHeight="1" thickBot="1">
      <c r="A57" s="683"/>
      <c r="B57" s="696"/>
      <c r="C57" s="281">
        <v>5</v>
      </c>
      <c r="D57" s="246"/>
      <c r="E57" s="293"/>
      <c r="F57" s="294"/>
      <c r="G57" s="356"/>
      <c r="H57" s="307"/>
      <c r="I57" s="308"/>
      <c r="J57" s="398"/>
      <c r="K57" s="392"/>
      <c r="L57" s="319"/>
      <c r="M57" s="324">
        <f t="shared" si="5"/>
        <v>0</v>
      </c>
      <c r="N57" s="290"/>
      <c r="O57" s="810"/>
      <c r="P57" s="811"/>
      <c r="R57" s="212"/>
    </row>
    <row r="58" spans="1:20" s="291" customFormat="1" ht="15.75" customHeight="1" thickTop="1" thickBot="1">
      <c r="A58" s="684"/>
      <c r="B58" s="697"/>
      <c r="C58" s="692"/>
      <c r="D58" s="693"/>
      <c r="E58" s="693"/>
      <c r="F58" s="693"/>
      <c r="G58" s="693"/>
      <c r="H58" s="693"/>
      <c r="I58" s="694"/>
      <c r="J58" s="351" t="s">
        <v>58</v>
      </c>
      <c r="K58" s="213">
        <f>M58/'生產管理報表 7-1 (週)'!$B$20</f>
        <v>0</v>
      </c>
      <c r="L58" s="352" t="s">
        <v>59</v>
      </c>
      <c r="M58" s="399">
        <f>SUM(M53:M57)</f>
        <v>0</v>
      </c>
      <c r="N58" s="669"/>
      <c r="O58" s="670"/>
      <c r="P58" s="671"/>
      <c r="R58" s="211"/>
    </row>
    <row r="59" spans="1:20" s="291" customFormat="1" ht="15.75" customHeight="1" thickTop="1">
      <c r="B59" s="299"/>
      <c r="C59" s="300"/>
      <c r="M59" s="331"/>
      <c r="R59" s="211"/>
    </row>
    <row r="60" spans="1:20" s="291" customFormat="1" ht="15.75" customHeight="1">
      <c r="A60" s="672" t="s">
        <v>191</v>
      </c>
      <c r="B60" s="673"/>
      <c r="C60" s="305" t="s">
        <v>47</v>
      </c>
      <c r="D60" s="674" t="s">
        <v>12</v>
      </c>
      <c r="E60" s="675"/>
      <c r="F60" s="676"/>
      <c r="G60" s="677" t="s">
        <v>53</v>
      </c>
      <c r="H60" s="678"/>
      <c r="I60" s="679"/>
      <c r="J60" s="306" t="s">
        <v>54</v>
      </c>
      <c r="K60" s="278" t="s">
        <v>55</v>
      </c>
      <c r="L60" s="278" t="s">
        <v>56</v>
      </c>
      <c r="M60" s="332" t="s">
        <v>11</v>
      </c>
      <c r="N60" s="279" t="s">
        <v>333</v>
      </c>
      <c r="O60" s="680" t="s">
        <v>51</v>
      </c>
      <c r="P60" s="681"/>
      <c r="R60" s="211"/>
      <c r="S60" s="2"/>
    </row>
    <row r="61" spans="1:20" s="291" customFormat="1" ht="40" customHeight="1">
      <c r="A61" s="682">
        <v>6</v>
      </c>
      <c r="B61" s="695" t="s">
        <v>216</v>
      </c>
      <c r="C61" s="281">
        <v>1</v>
      </c>
      <c r="D61" s="340"/>
      <c r="E61" s="283"/>
      <c r="F61" s="284"/>
      <c r="G61" s="242"/>
      <c r="H61" s="243"/>
      <c r="I61" s="242"/>
      <c r="J61" s="314"/>
      <c r="K61" s="315"/>
      <c r="L61" s="316"/>
      <c r="M61" s="324">
        <f t="shared" ref="M61" si="6">L61*J61</f>
        <v>0</v>
      </c>
      <c r="N61" s="290"/>
      <c r="O61" s="700"/>
      <c r="P61" s="701"/>
      <c r="R61" s="339"/>
      <c r="S61" s="407"/>
    </row>
    <row r="62" spans="1:20" s="291" customFormat="1" ht="20.149999999999999" customHeight="1">
      <c r="A62" s="683"/>
      <c r="B62" s="696"/>
      <c r="C62" s="281">
        <v>2</v>
      </c>
      <c r="D62" s="282"/>
      <c r="E62" s="283"/>
      <c r="F62" s="284"/>
      <c r="G62" s="285"/>
      <c r="H62" s="286"/>
      <c r="I62" s="287"/>
      <c r="J62" s="288"/>
      <c r="K62" s="289"/>
      <c r="L62" s="290"/>
      <c r="M62" s="333">
        <v>0</v>
      </c>
      <c r="N62" s="290"/>
      <c r="O62" s="301"/>
      <c r="P62" s="302"/>
      <c r="S62" s="2"/>
    </row>
    <row r="63" spans="1:20" s="291" customFormat="1" ht="20.149999999999999" customHeight="1">
      <c r="A63" s="683"/>
      <c r="B63" s="696"/>
      <c r="C63" s="281">
        <v>3</v>
      </c>
      <c r="D63" s="282"/>
      <c r="E63" s="283"/>
      <c r="F63" s="284"/>
      <c r="G63" s="285"/>
      <c r="H63" s="286"/>
      <c r="I63" s="287"/>
      <c r="J63" s="288"/>
      <c r="K63" s="289"/>
      <c r="L63" s="290"/>
      <c r="M63" s="333">
        <v>0</v>
      </c>
      <c r="N63" s="290"/>
      <c r="O63" s="301"/>
      <c r="P63" s="302"/>
      <c r="S63" s="2"/>
    </row>
    <row r="64" spans="1:20" s="291" customFormat="1" ht="20.149999999999999" customHeight="1">
      <c r="A64" s="683"/>
      <c r="B64" s="696"/>
      <c r="C64" s="281">
        <v>4</v>
      </c>
      <c r="D64" s="282"/>
      <c r="E64" s="283"/>
      <c r="F64" s="284"/>
      <c r="G64" s="285"/>
      <c r="H64" s="286"/>
      <c r="I64" s="287"/>
      <c r="J64" s="288"/>
      <c r="K64" s="289"/>
      <c r="L64" s="290"/>
      <c r="M64" s="333">
        <v>0</v>
      </c>
      <c r="N64" s="290"/>
      <c r="O64" s="301"/>
      <c r="P64" s="302"/>
      <c r="R64" s="2"/>
      <c r="S64" s="2"/>
    </row>
    <row r="65" spans="1:21" s="291" customFormat="1" ht="20.149999999999999" customHeight="1" thickBot="1">
      <c r="A65" s="683"/>
      <c r="B65" s="696"/>
      <c r="C65" s="281">
        <v>5</v>
      </c>
      <c r="D65" s="292"/>
      <c r="E65" s="293"/>
      <c r="F65" s="294"/>
      <c r="G65" s="285"/>
      <c r="H65" s="286"/>
      <c r="I65" s="287"/>
      <c r="J65" s="398"/>
      <c r="K65" s="392"/>
      <c r="L65" s="319"/>
      <c r="M65" s="324">
        <v>0</v>
      </c>
      <c r="N65" s="290"/>
      <c r="O65" s="303"/>
      <c r="P65" s="304"/>
      <c r="R65" s="2"/>
      <c r="S65" s="2"/>
    </row>
    <row r="66" spans="1:21" s="291" customFormat="1" ht="15.75" customHeight="1" thickTop="1" thickBot="1">
      <c r="A66" s="684"/>
      <c r="B66" s="697"/>
      <c r="C66" s="692"/>
      <c r="D66" s="693"/>
      <c r="E66" s="693"/>
      <c r="F66" s="693"/>
      <c r="G66" s="693"/>
      <c r="H66" s="693"/>
      <c r="I66" s="694"/>
      <c r="J66" s="351" t="s">
        <v>58</v>
      </c>
      <c r="K66" s="213">
        <f>M66/'生產管理報表 7-1 (週)'!$B$20</f>
        <v>0</v>
      </c>
      <c r="L66" s="352" t="s">
        <v>59</v>
      </c>
      <c r="M66" s="399">
        <f>SUM(M61:M65)</f>
        <v>0</v>
      </c>
      <c r="N66" s="669"/>
      <c r="O66" s="670"/>
      <c r="P66" s="671"/>
      <c r="R66" s="2"/>
      <c r="S66" s="2"/>
    </row>
    <row r="67" spans="1:21" s="291" customFormat="1" ht="15.75" customHeight="1" thickTop="1">
      <c r="B67" s="299"/>
      <c r="C67" s="300"/>
      <c r="M67" s="331"/>
      <c r="R67" s="2"/>
      <c r="S67" s="2"/>
    </row>
    <row r="68" spans="1:21" s="291" customFormat="1" ht="15.75" customHeight="1">
      <c r="A68" s="672" t="s">
        <v>191</v>
      </c>
      <c r="B68" s="673"/>
      <c r="C68" s="305" t="s">
        <v>47</v>
      </c>
      <c r="D68" s="674" t="s">
        <v>12</v>
      </c>
      <c r="E68" s="675"/>
      <c r="F68" s="676"/>
      <c r="G68" s="677" t="s">
        <v>53</v>
      </c>
      <c r="H68" s="678"/>
      <c r="I68" s="679"/>
      <c r="J68" s="306" t="s">
        <v>54</v>
      </c>
      <c r="K68" s="278" t="s">
        <v>55</v>
      </c>
      <c r="L68" s="278" t="s">
        <v>56</v>
      </c>
      <c r="M68" s="332" t="s">
        <v>11</v>
      </c>
      <c r="N68" s="279" t="s">
        <v>333</v>
      </c>
      <c r="O68" s="680" t="s">
        <v>51</v>
      </c>
      <c r="P68" s="681"/>
      <c r="R68" s="2"/>
      <c r="S68" s="2"/>
    </row>
    <row r="69" spans="1:21" s="291" customFormat="1" ht="20.149999999999999" customHeight="1">
      <c r="A69" s="682">
        <v>7</v>
      </c>
      <c r="B69" s="685" t="s">
        <v>249</v>
      </c>
      <c r="C69" s="281">
        <v>1</v>
      </c>
      <c r="D69" s="282"/>
      <c r="E69" s="283"/>
      <c r="F69" s="284"/>
      <c r="G69" s="285"/>
      <c r="H69" s="286"/>
      <c r="I69" s="287"/>
      <c r="J69" s="288"/>
      <c r="K69" s="289"/>
      <c r="L69" s="290"/>
      <c r="M69" s="333">
        <f t="shared" ref="M69:M71" si="7">L69*J69</f>
        <v>0</v>
      </c>
      <c r="N69" s="290"/>
      <c r="O69" s="688"/>
      <c r="P69" s="689"/>
      <c r="R69" s="2"/>
      <c r="S69" s="2"/>
    </row>
    <row r="70" spans="1:21" s="291" customFormat="1" ht="20.149999999999999" customHeight="1">
      <c r="A70" s="683"/>
      <c r="B70" s="686"/>
      <c r="C70" s="281">
        <v>2</v>
      </c>
      <c r="D70" s="282"/>
      <c r="E70" s="283"/>
      <c r="F70" s="284"/>
      <c r="G70" s="285"/>
      <c r="H70" s="286"/>
      <c r="I70" s="287"/>
      <c r="J70" s="288"/>
      <c r="K70" s="289"/>
      <c r="L70" s="290"/>
      <c r="M70" s="333">
        <f t="shared" si="7"/>
        <v>0</v>
      </c>
      <c r="N70" s="290"/>
      <c r="O70" s="690"/>
      <c r="P70" s="691"/>
      <c r="R70" s="2"/>
      <c r="S70" s="2"/>
    </row>
    <row r="71" spans="1:21" s="291" customFormat="1" ht="20.149999999999999" customHeight="1">
      <c r="A71" s="683"/>
      <c r="B71" s="686"/>
      <c r="C71" s="281">
        <v>3</v>
      </c>
      <c r="D71" s="282"/>
      <c r="E71" s="283"/>
      <c r="F71" s="284"/>
      <c r="G71" s="285"/>
      <c r="H71" s="286"/>
      <c r="I71" s="287"/>
      <c r="J71" s="288"/>
      <c r="K71" s="289"/>
      <c r="L71" s="290"/>
      <c r="M71" s="333">
        <f t="shared" si="7"/>
        <v>0</v>
      </c>
      <c r="N71" s="290"/>
      <c r="O71" s="690"/>
      <c r="P71" s="691"/>
      <c r="R71" s="2"/>
      <c r="S71" s="2"/>
    </row>
    <row r="72" spans="1:21" s="291" customFormat="1" ht="20.149999999999999" customHeight="1">
      <c r="A72" s="683"/>
      <c r="B72" s="686"/>
      <c r="C72" s="281">
        <v>4</v>
      </c>
      <c r="D72" s="282"/>
      <c r="E72" s="283"/>
      <c r="F72" s="284"/>
      <c r="G72" s="285"/>
      <c r="H72" s="286"/>
      <c r="I72" s="287"/>
      <c r="J72" s="288"/>
      <c r="K72" s="289"/>
      <c r="L72" s="290"/>
      <c r="M72" s="334">
        <v>0</v>
      </c>
      <c r="N72" s="290"/>
      <c r="O72" s="301"/>
      <c r="P72" s="302"/>
      <c r="R72" s="2"/>
      <c r="S72" s="2"/>
    </row>
    <row r="73" spans="1:21" s="291" customFormat="1" ht="20.149999999999999" customHeight="1" thickBot="1">
      <c r="A73" s="683"/>
      <c r="B73" s="686"/>
      <c r="C73" s="281">
        <v>5</v>
      </c>
      <c r="D73" s="292"/>
      <c r="E73" s="293"/>
      <c r="F73" s="294"/>
      <c r="G73" s="285"/>
      <c r="H73" s="286"/>
      <c r="I73" s="287"/>
      <c r="J73" s="398"/>
      <c r="K73" s="392"/>
      <c r="L73" s="319"/>
      <c r="M73" s="335">
        <v>0</v>
      </c>
      <c r="N73" s="290"/>
      <c r="O73" s="303"/>
      <c r="P73" s="304"/>
      <c r="R73" s="2"/>
      <c r="S73" s="2"/>
    </row>
    <row r="74" spans="1:21" s="291" customFormat="1" ht="15.75" customHeight="1" thickTop="1" thickBot="1">
      <c r="A74" s="684"/>
      <c r="B74" s="687"/>
      <c r="C74" s="692"/>
      <c r="D74" s="693"/>
      <c r="E74" s="693"/>
      <c r="F74" s="693"/>
      <c r="G74" s="693"/>
      <c r="H74" s="693"/>
      <c r="I74" s="694"/>
      <c r="J74" s="351" t="s">
        <v>58</v>
      </c>
      <c r="K74" s="213">
        <f>M74/'生產管理報表 7-1 (週)'!$B$20</f>
        <v>0</v>
      </c>
      <c r="L74" s="352" t="s">
        <v>59</v>
      </c>
      <c r="M74" s="399">
        <f>SUM(M69:M73)</f>
        <v>0</v>
      </c>
      <c r="N74" s="669"/>
      <c r="O74" s="670"/>
      <c r="P74" s="671"/>
      <c r="R74" s="2"/>
      <c r="S74" s="2"/>
      <c r="T74" s="2"/>
    </row>
    <row r="75" spans="1:21" s="136" customFormat="1" ht="15.75" customHeight="1" thickTop="1">
      <c r="A75" s="812" t="s">
        <v>677</v>
      </c>
      <c r="B75" s="806"/>
      <c r="C75" s="806"/>
      <c r="D75" s="806"/>
      <c r="E75" s="806"/>
      <c r="F75" s="806"/>
      <c r="G75" s="806"/>
      <c r="H75" s="806"/>
      <c r="I75" s="806"/>
      <c r="J75" s="806"/>
      <c r="K75" s="806"/>
      <c r="L75" s="806"/>
      <c r="M75" s="806"/>
      <c r="N75" s="485"/>
      <c r="O75" s="485"/>
      <c r="P75" s="486"/>
      <c r="R75" s="233"/>
      <c r="S75" s="233"/>
      <c r="T75" s="233"/>
      <c r="U75" s="233"/>
    </row>
    <row r="76" spans="1:21" s="137" customFormat="1" ht="15.75" customHeight="1">
      <c r="A76" s="813"/>
      <c r="B76" s="734"/>
      <c r="C76" s="734"/>
      <c r="D76" s="734"/>
      <c r="E76" s="734"/>
      <c r="F76" s="734"/>
      <c r="G76" s="734"/>
      <c r="H76" s="734"/>
      <c r="I76" s="734"/>
      <c r="J76" s="734"/>
      <c r="K76" s="734"/>
      <c r="L76" s="734"/>
      <c r="M76" s="734"/>
      <c r="N76" s="487"/>
      <c r="O76" s="487"/>
      <c r="P76" s="488"/>
    </row>
    <row r="77" spans="1:21" s="136" customFormat="1" ht="15.75" customHeight="1">
      <c r="A77" s="735" t="s">
        <v>191</v>
      </c>
      <c r="B77" s="737">
        <v>1</v>
      </c>
      <c r="C77" s="738"/>
      <c r="D77" s="737">
        <v>2</v>
      </c>
      <c r="E77" s="738"/>
      <c r="F77" s="737">
        <v>3</v>
      </c>
      <c r="G77" s="738"/>
      <c r="H77" s="728">
        <v>4</v>
      </c>
      <c r="I77" s="729"/>
      <c r="J77" s="728">
        <v>5</v>
      </c>
      <c r="K77" s="729"/>
      <c r="L77" s="728">
        <v>6</v>
      </c>
      <c r="M77" s="729"/>
      <c r="N77" s="728">
        <v>7</v>
      </c>
      <c r="O77" s="729"/>
      <c r="P77" s="329">
        <v>8</v>
      </c>
    </row>
    <row r="78" spans="1:21" s="136" customFormat="1" ht="15.75" customHeight="1">
      <c r="A78" s="736"/>
      <c r="B78" s="732" t="s">
        <v>454</v>
      </c>
      <c r="C78" s="733"/>
      <c r="D78" s="732" t="s">
        <v>212</v>
      </c>
      <c r="E78" s="733"/>
      <c r="F78" s="732" t="s">
        <v>166</v>
      </c>
      <c r="G78" s="733"/>
      <c r="H78" s="730" t="s">
        <v>430</v>
      </c>
      <c r="I78" s="731"/>
      <c r="J78" s="730" t="s">
        <v>189</v>
      </c>
      <c r="K78" s="731"/>
      <c r="L78" s="730" t="s">
        <v>167</v>
      </c>
      <c r="M78" s="731"/>
      <c r="N78" s="730" t="s">
        <v>190</v>
      </c>
      <c r="O78" s="731"/>
      <c r="P78" s="330" t="s">
        <v>217</v>
      </c>
    </row>
    <row r="79" spans="1:21" s="136" customFormat="1" ht="15.75" customHeight="1">
      <c r="B79" s="234"/>
      <c r="C79" s="235"/>
    </row>
    <row r="80" spans="1:21" s="280" customFormat="1" ht="15.75" customHeight="1">
      <c r="A80" s="672" t="s">
        <v>191</v>
      </c>
      <c r="B80" s="673"/>
      <c r="C80" s="277" t="s">
        <v>47</v>
      </c>
      <c r="D80" s="702" t="s">
        <v>12</v>
      </c>
      <c r="E80" s="703"/>
      <c r="F80" s="704"/>
      <c r="G80" s="705" t="s">
        <v>53</v>
      </c>
      <c r="H80" s="706"/>
      <c r="I80" s="707"/>
      <c r="J80" s="278" t="s">
        <v>54</v>
      </c>
      <c r="K80" s="278" t="s">
        <v>55</v>
      </c>
      <c r="L80" s="278" t="s">
        <v>56</v>
      </c>
      <c r="M80" s="279" t="s">
        <v>11</v>
      </c>
      <c r="N80" s="279" t="s">
        <v>333</v>
      </c>
      <c r="O80" s="680" t="s">
        <v>51</v>
      </c>
      <c r="P80" s="681"/>
      <c r="R80" s="211"/>
      <c r="S80" s="263"/>
    </row>
    <row r="81" spans="1:20" s="300" customFormat="1" ht="20.149999999999999" customHeight="1">
      <c r="A81" s="682">
        <v>4</v>
      </c>
      <c r="B81" s="716" t="s">
        <v>430</v>
      </c>
      <c r="C81" s="281">
        <v>1</v>
      </c>
      <c r="D81" s="239"/>
      <c r="E81" s="240"/>
      <c r="F81" s="241"/>
      <c r="G81" s="356"/>
      <c r="H81" s="307"/>
      <c r="I81" s="308"/>
      <c r="J81" s="314"/>
      <c r="K81" s="315"/>
      <c r="L81" s="316"/>
      <c r="M81" s="324">
        <f t="shared" ref="M81:M85" si="8">L81*J81</f>
        <v>0</v>
      </c>
      <c r="N81" s="316"/>
      <c r="O81" s="719"/>
      <c r="P81" s="720"/>
      <c r="R81" s="317"/>
      <c r="S81" s="263"/>
    </row>
    <row r="82" spans="1:20" s="300" customFormat="1" ht="20.149999999999999" customHeight="1">
      <c r="A82" s="683"/>
      <c r="B82" s="717"/>
      <c r="C82" s="281">
        <v>2</v>
      </c>
      <c r="D82" s="239"/>
      <c r="E82" s="240"/>
      <c r="F82" s="241"/>
      <c r="G82" s="356"/>
      <c r="H82" s="307"/>
      <c r="I82" s="308"/>
      <c r="J82" s="314"/>
      <c r="K82" s="315"/>
      <c r="L82" s="316"/>
      <c r="M82" s="324">
        <f t="shared" si="8"/>
        <v>0</v>
      </c>
      <c r="N82" s="316"/>
      <c r="O82" s="712"/>
      <c r="P82" s="713"/>
      <c r="R82" s="317"/>
      <c r="S82" s="211"/>
      <c r="T82" s="338"/>
    </row>
    <row r="83" spans="1:20" s="300" customFormat="1" ht="20.149999999999999" customHeight="1">
      <c r="A83" s="683"/>
      <c r="B83" s="717"/>
      <c r="C83" s="281">
        <v>3</v>
      </c>
      <c r="D83" s="239"/>
      <c r="E83" s="240"/>
      <c r="F83" s="241"/>
      <c r="G83" s="356"/>
      <c r="H83" s="307"/>
      <c r="I83" s="308"/>
      <c r="J83" s="314"/>
      <c r="K83" s="315"/>
      <c r="L83" s="316"/>
      <c r="M83" s="324">
        <f t="shared" si="8"/>
        <v>0</v>
      </c>
      <c r="N83" s="316"/>
      <c r="O83" s="719"/>
      <c r="P83" s="720"/>
      <c r="R83" s="317"/>
      <c r="S83" s="263"/>
    </row>
    <row r="84" spans="1:20" s="300" customFormat="1" ht="20.149999999999999" customHeight="1">
      <c r="A84" s="683"/>
      <c r="B84" s="717"/>
      <c r="C84" s="281">
        <v>4</v>
      </c>
      <c r="D84" s="239"/>
      <c r="E84" s="240"/>
      <c r="F84" s="241"/>
      <c r="G84" s="356"/>
      <c r="H84" s="307"/>
      <c r="I84" s="308"/>
      <c r="J84" s="314"/>
      <c r="K84" s="315"/>
      <c r="L84" s="316"/>
      <c r="M84" s="324">
        <f t="shared" si="8"/>
        <v>0</v>
      </c>
      <c r="N84" s="316"/>
      <c r="O84" s="719"/>
      <c r="P84" s="720"/>
      <c r="R84" s="317"/>
      <c r="S84" s="211"/>
      <c r="T84" s="338"/>
    </row>
    <row r="85" spans="1:20" s="300" customFormat="1" ht="20.149999999999999" customHeight="1" thickBot="1">
      <c r="A85" s="683"/>
      <c r="B85" s="717"/>
      <c r="C85" s="281">
        <v>5</v>
      </c>
      <c r="D85" s="239"/>
      <c r="E85" s="247"/>
      <c r="F85" s="248"/>
      <c r="G85" s="356"/>
      <c r="H85" s="307"/>
      <c r="I85" s="308"/>
      <c r="J85" s="398"/>
      <c r="K85" s="392"/>
      <c r="L85" s="319"/>
      <c r="M85" s="324">
        <f t="shared" si="8"/>
        <v>0</v>
      </c>
      <c r="N85" s="316"/>
      <c r="O85" s="719"/>
      <c r="P85" s="720"/>
      <c r="R85" s="320"/>
      <c r="S85" s="263"/>
      <c r="T85" s="291"/>
    </row>
    <row r="86" spans="1:20" s="291" customFormat="1" ht="15.75" customHeight="1" thickTop="1" thickBot="1">
      <c r="A86" s="684"/>
      <c r="B86" s="718"/>
      <c r="C86" s="725"/>
      <c r="D86" s="726"/>
      <c r="E86" s="726"/>
      <c r="F86" s="726"/>
      <c r="G86" s="726"/>
      <c r="H86" s="726"/>
      <c r="I86" s="727"/>
      <c r="J86" s="351" t="s">
        <v>58</v>
      </c>
      <c r="K86" s="213" t="e">
        <f>M86/'生產管理報表 7-1 (週)'!$B$31</f>
        <v>#DIV/0!</v>
      </c>
      <c r="L86" s="352" t="s">
        <v>59</v>
      </c>
      <c r="M86" s="399">
        <f>SUM(M81:M85)</f>
        <v>0</v>
      </c>
      <c r="N86" s="669"/>
      <c r="O86" s="670"/>
      <c r="P86" s="671"/>
      <c r="R86" s="211"/>
      <c r="S86" s="211"/>
    </row>
    <row r="87" spans="1:20" s="291" customFormat="1" ht="15.75" customHeight="1" thickTop="1">
      <c r="B87" s="299"/>
      <c r="C87" s="300"/>
      <c r="M87" s="331"/>
      <c r="S87" s="263"/>
    </row>
    <row r="88" spans="1:20" s="291" customFormat="1" ht="15.75" customHeight="1">
      <c r="A88" s="672" t="s">
        <v>191</v>
      </c>
      <c r="B88" s="673"/>
      <c r="C88" s="277" t="s">
        <v>47</v>
      </c>
      <c r="D88" s="702" t="s">
        <v>12</v>
      </c>
      <c r="E88" s="703"/>
      <c r="F88" s="704"/>
      <c r="G88" s="705" t="s">
        <v>53</v>
      </c>
      <c r="H88" s="706"/>
      <c r="I88" s="707"/>
      <c r="J88" s="278" t="s">
        <v>54</v>
      </c>
      <c r="K88" s="278" t="s">
        <v>55</v>
      </c>
      <c r="L88" s="278" t="s">
        <v>56</v>
      </c>
      <c r="M88" s="332" t="s">
        <v>11</v>
      </c>
      <c r="N88" s="279" t="s">
        <v>333</v>
      </c>
      <c r="O88" s="680" t="s">
        <v>51</v>
      </c>
      <c r="P88" s="681"/>
      <c r="S88" s="211"/>
      <c r="T88" s="338"/>
    </row>
    <row r="89" spans="1:20" s="300" customFormat="1" ht="40" customHeight="1">
      <c r="A89" s="682">
        <v>5</v>
      </c>
      <c r="B89" s="695" t="s">
        <v>215</v>
      </c>
      <c r="C89" s="281">
        <v>1</v>
      </c>
      <c r="D89" s="239"/>
      <c r="E89" s="240"/>
      <c r="F89" s="241"/>
      <c r="G89" s="308"/>
      <c r="H89" s="307"/>
      <c r="I89" s="308"/>
      <c r="J89" s="314"/>
      <c r="K89" s="315"/>
      <c r="L89" s="316"/>
      <c r="M89" s="324">
        <f>L89*J89</f>
        <v>0</v>
      </c>
      <c r="N89" s="316"/>
      <c r="O89" s="712"/>
      <c r="P89" s="713"/>
      <c r="R89" s="338"/>
      <c r="S89" s="400"/>
    </row>
    <row r="90" spans="1:20" s="300" customFormat="1" ht="20.149999999999999" customHeight="1">
      <c r="A90" s="683"/>
      <c r="B90" s="696"/>
      <c r="C90" s="281">
        <v>2</v>
      </c>
      <c r="D90" s="239"/>
      <c r="E90" s="240"/>
      <c r="F90" s="241"/>
      <c r="G90" s="356"/>
      <c r="H90" s="307"/>
      <c r="I90" s="308"/>
      <c r="J90" s="314"/>
      <c r="K90" s="315"/>
      <c r="L90" s="316"/>
      <c r="M90" s="324">
        <f t="shared" ref="M90:M93" si="9">L90*J90</f>
        <v>0</v>
      </c>
      <c r="N90" s="316"/>
      <c r="O90" s="712"/>
      <c r="P90" s="713"/>
      <c r="S90" s="211"/>
      <c r="T90" s="339"/>
    </row>
    <row r="91" spans="1:20" s="291" customFormat="1" ht="20.149999999999999" customHeight="1">
      <c r="A91" s="683"/>
      <c r="B91" s="696"/>
      <c r="C91" s="281">
        <v>3</v>
      </c>
      <c r="D91" s="239"/>
      <c r="E91" s="283"/>
      <c r="F91" s="284"/>
      <c r="G91" s="356"/>
      <c r="H91" s="307"/>
      <c r="I91" s="308"/>
      <c r="J91" s="314"/>
      <c r="K91" s="315"/>
      <c r="L91" s="316"/>
      <c r="M91" s="324">
        <f t="shared" si="9"/>
        <v>0</v>
      </c>
      <c r="N91" s="290"/>
      <c r="O91" s="700"/>
      <c r="P91" s="701"/>
    </row>
    <row r="92" spans="1:20" s="291" customFormat="1" ht="20.149999999999999" customHeight="1">
      <c r="A92" s="683"/>
      <c r="B92" s="696"/>
      <c r="C92" s="281">
        <v>4</v>
      </c>
      <c r="D92" s="239"/>
      <c r="E92" s="283"/>
      <c r="F92" s="284"/>
      <c r="G92" s="356"/>
      <c r="H92" s="307"/>
      <c r="I92" s="308"/>
      <c r="J92" s="314"/>
      <c r="K92" s="315"/>
      <c r="L92" s="316"/>
      <c r="M92" s="324">
        <f t="shared" si="9"/>
        <v>0</v>
      </c>
      <c r="N92" s="290"/>
      <c r="O92" s="712"/>
      <c r="P92" s="713"/>
    </row>
    <row r="93" spans="1:20" s="291" customFormat="1" ht="20.149999999999999" customHeight="1" thickBot="1">
      <c r="A93" s="683"/>
      <c r="B93" s="696"/>
      <c r="C93" s="281">
        <v>5</v>
      </c>
      <c r="D93" s="246"/>
      <c r="E93" s="293"/>
      <c r="F93" s="294"/>
      <c r="G93" s="356"/>
      <c r="H93" s="307"/>
      <c r="I93" s="308"/>
      <c r="J93" s="398"/>
      <c r="K93" s="392"/>
      <c r="L93" s="319"/>
      <c r="M93" s="324">
        <f t="shared" si="9"/>
        <v>0</v>
      </c>
      <c r="N93" s="290"/>
      <c r="O93" s="810"/>
      <c r="P93" s="811"/>
      <c r="R93" s="212"/>
    </row>
    <row r="94" spans="1:20" s="291" customFormat="1" ht="15.75" customHeight="1" thickTop="1" thickBot="1">
      <c r="A94" s="684"/>
      <c r="B94" s="697"/>
      <c r="C94" s="692"/>
      <c r="D94" s="693"/>
      <c r="E94" s="693"/>
      <c r="F94" s="693"/>
      <c r="G94" s="693"/>
      <c r="H94" s="693"/>
      <c r="I94" s="694"/>
      <c r="J94" s="351" t="s">
        <v>58</v>
      </c>
      <c r="K94" s="213" t="e">
        <f>M94/'生產管理報表 7-1 (週)'!$B$31</f>
        <v>#DIV/0!</v>
      </c>
      <c r="L94" s="352" t="s">
        <v>59</v>
      </c>
      <c r="M94" s="399">
        <f>SUM(M89:M93)</f>
        <v>0</v>
      </c>
      <c r="N94" s="669"/>
      <c r="O94" s="670"/>
      <c r="P94" s="671"/>
      <c r="R94" s="211"/>
    </row>
    <row r="95" spans="1:20" s="291" customFormat="1" ht="15.75" customHeight="1" thickTop="1">
      <c r="B95" s="299"/>
      <c r="C95" s="300"/>
      <c r="M95" s="331"/>
      <c r="R95" s="211"/>
    </row>
    <row r="96" spans="1:20" s="291" customFormat="1" ht="15.75" customHeight="1">
      <c r="A96" s="672" t="s">
        <v>191</v>
      </c>
      <c r="B96" s="673"/>
      <c r="C96" s="305" t="s">
        <v>47</v>
      </c>
      <c r="D96" s="674" t="s">
        <v>12</v>
      </c>
      <c r="E96" s="675"/>
      <c r="F96" s="676"/>
      <c r="G96" s="677" t="s">
        <v>53</v>
      </c>
      <c r="H96" s="678"/>
      <c r="I96" s="679"/>
      <c r="J96" s="306" t="s">
        <v>54</v>
      </c>
      <c r="K96" s="278" t="s">
        <v>55</v>
      </c>
      <c r="L96" s="278" t="s">
        <v>56</v>
      </c>
      <c r="M96" s="332" t="s">
        <v>11</v>
      </c>
      <c r="N96" s="279" t="s">
        <v>333</v>
      </c>
      <c r="O96" s="680" t="s">
        <v>51</v>
      </c>
      <c r="P96" s="681"/>
      <c r="R96" s="211"/>
      <c r="S96" s="2"/>
    </row>
    <row r="97" spans="1:21" s="291" customFormat="1" ht="50.15" customHeight="1">
      <c r="A97" s="682">
        <v>6</v>
      </c>
      <c r="B97" s="695" t="s">
        <v>216</v>
      </c>
      <c r="C97" s="281">
        <v>1</v>
      </c>
      <c r="D97" s="340"/>
      <c r="E97" s="283"/>
      <c r="F97" s="284"/>
      <c r="G97" s="242"/>
      <c r="H97" s="243"/>
      <c r="I97" s="242"/>
      <c r="J97" s="314"/>
      <c r="K97" s="315"/>
      <c r="L97" s="316"/>
      <c r="M97" s="324">
        <f t="shared" ref="M97" si="10">L97*J97</f>
        <v>0</v>
      </c>
      <c r="N97" s="290"/>
      <c r="O97" s="712"/>
      <c r="P97" s="713"/>
      <c r="R97" s="339"/>
      <c r="S97" s="407"/>
    </row>
    <row r="98" spans="1:21" s="291" customFormat="1" ht="50.15" customHeight="1">
      <c r="A98" s="683"/>
      <c r="B98" s="696"/>
      <c r="C98" s="281">
        <v>2</v>
      </c>
      <c r="D98" s="282"/>
      <c r="E98" s="283"/>
      <c r="F98" s="284"/>
      <c r="G98" s="287"/>
      <c r="H98" s="286"/>
      <c r="I98" s="287"/>
      <c r="J98" s="288"/>
      <c r="K98" s="289"/>
      <c r="L98" s="290"/>
      <c r="M98" s="333">
        <v>0</v>
      </c>
      <c r="N98" s="290"/>
      <c r="O98" s="712"/>
      <c r="P98" s="713"/>
      <c r="S98" s="2"/>
    </row>
    <row r="99" spans="1:21" s="291" customFormat="1" ht="50.15" customHeight="1">
      <c r="A99" s="683"/>
      <c r="B99" s="696"/>
      <c r="C99" s="281">
        <v>3</v>
      </c>
      <c r="D99" s="282"/>
      <c r="E99" s="283"/>
      <c r="F99" s="284"/>
      <c r="G99" s="287"/>
      <c r="H99" s="286"/>
      <c r="I99" s="287"/>
      <c r="J99" s="288"/>
      <c r="K99" s="289"/>
      <c r="L99" s="290"/>
      <c r="M99" s="333">
        <v>0</v>
      </c>
      <c r="N99" s="290"/>
      <c r="O99" s="712"/>
      <c r="P99" s="713"/>
      <c r="S99" s="2"/>
    </row>
    <row r="100" spans="1:21" s="291" customFormat="1" ht="20.149999999999999" customHeight="1">
      <c r="A100" s="683"/>
      <c r="B100" s="696"/>
      <c r="C100" s="281">
        <v>4</v>
      </c>
      <c r="D100" s="282"/>
      <c r="E100" s="283"/>
      <c r="F100" s="284"/>
      <c r="G100" s="285"/>
      <c r="H100" s="286"/>
      <c r="I100" s="287"/>
      <c r="J100" s="288"/>
      <c r="K100" s="289"/>
      <c r="L100" s="290"/>
      <c r="M100" s="333">
        <v>0</v>
      </c>
      <c r="N100" s="290"/>
      <c r="O100" s="301"/>
      <c r="P100" s="302"/>
      <c r="R100" s="2"/>
      <c r="S100" s="2"/>
    </row>
    <row r="101" spans="1:21" s="291" customFormat="1" ht="20.149999999999999" customHeight="1" thickBot="1">
      <c r="A101" s="683"/>
      <c r="B101" s="696"/>
      <c r="C101" s="281">
        <v>5</v>
      </c>
      <c r="D101" s="292"/>
      <c r="E101" s="293"/>
      <c r="F101" s="294"/>
      <c r="G101" s="285"/>
      <c r="H101" s="286"/>
      <c r="I101" s="287"/>
      <c r="J101" s="398"/>
      <c r="K101" s="392"/>
      <c r="L101" s="319"/>
      <c r="M101" s="324">
        <v>0</v>
      </c>
      <c r="N101" s="290"/>
      <c r="O101" s="303"/>
      <c r="P101" s="304"/>
      <c r="R101" s="2"/>
      <c r="S101" s="2"/>
    </row>
    <row r="102" spans="1:21" s="291" customFormat="1" ht="15.75" customHeight="1" thickTop="1" thickBot="1">
      <c r="A102" s="684"/>
      <c r="B102" s="697"/>
      <c r="C102" s="692"/>
      <c r="D102" s="693"/>
      <c r="E102" s="693"/>
      <c r="F102" s="693"/>
      <c r="G102" s="693"/>
      <c r="H102" s="693"/>
      <c r="I102" s="694"/>
      <c r="J102" s="351" t="s">
        <v>58</v>
      </c>
      <c r="K102" s="213" t="e">
        <f>M102/'生產管理報表 7-1 (週)'!$B$31</f>
        <v>#DIV/0!</v>
      </c>
      <c r="L102" s="352" t="s">
        <v>59</v>
      </c>
      <c r="M102" s="399">
        <f>SUM(M97:M101)</f>
        <v>0</v>
      </c>
      <c r="N102" s="669"/>
      <c r="O102" s="670"/>
      <c r="P102" s="671"/>
      <c r="R102" s="2"/>
      <c r="S102" s="2"/>
    </row>
    <row r="103" spans="1:21" s="291" customFormat="1" ht="15.75" customHeight="1" thickTop="1">
      <c r="B103" s="299"/>
      <c r="C103" s="300"/>
      <c r="M103" s="331"/>
      <c r="R103" s="2"/>
      <c r="S103" s="2"/>
    </row>
    <row r="104" spans="1:21" s="291" customFormat="1" ht="15.75" customHeight="1">
      <c r="A104" s="672" t="s">
        <v>191</v>
      </c>
      <c r="B104" s="673"/>
      <c r="C104" s="305" t="s">
        <v>47</v>
      </c>
      <c r="D104" s="674" t="s">
        <v>12</v>
      </c>
      <c r="E104" s="675"/>
      <c r="F104" s="676"/>
      <c r="G104" s="677" t="s">
        <v>53</v>
      </c>
      <c r="H104" s="678"/>
      <c r="I104" s="679"/>
      <c r="J104" s="306" t="s">
        <v>54</v>
      </c>
      <c r="K104" s="278" t="s">
        <v>55</v>
      </c>
      <c r="L104" s="278" t="s">
        <v>56</v>
      </c>
      <c r="M104" s="332" t="s">
        <v>11</v>
      </c>
      <c r="N104" s="279" t="s">
        <v>333</v>
      </c>
      <c r="O104" s="680" t="s">
        <v>51</v>
      </c>
      <c r="P104" s="681"/>
      <c r="R104" s="2"/>
      <c r="S104" s="2"/>
    </row>
    <row r="105" spans="1:21" s="291" customFormat="1" ht="20.149999999999999" customHeight="1">
      <c r="A105" s="682">
        <v>7</v>
      </c>
      <c r="B105" s="685" t="s">
        <v>249</v>
      </c>
      <c r="C105" s="281">
        <v>1</v>
      </c>
      <c r="D105" s="282"/>
      <c r="E105" s="283"/>
      <c r="F105" s="284"/>
      <c r="G105" s="285"/>
      <c r="H105" s="286"/>
      <c r="I105" s="287"/>
      <c r="J105" s="288"/>
      <c r="K105" s="289"/>
      <c r="L105" s="290"/>
      <c r="M105" s="333">
        <f t="shared" ref="M105:M107" si="11">L105*J105</f>
        <v>0</v>
      </c>
      <c r="N105" s="290"/>
      <c r="O105" s="688"/>
      <c r="P105" s="689"/>
      <c r="R105" s="2"/>
      <c r="S105" s="2"/>
    </row>
    <row r="106" spans="1:21" s="291" customFormat="1" ht="20.149999999999999" customHeight="1">
      <c r="A106" s="683"/>
      <c r="B106" s="686"/>
      <c r="C106" s="281">
        <v>2</v>
      </c>
      <c r="D106" s="282"/>
      <c r="E106" s="283"/>
      <c r="F106" s="284"/>
      <c r="G106" s="285"/>
      <c r="H106" s="286"/>
      <c r="I106" s="287"/>
      <c r="J106" s="288"/>
      <c r="K106" s="289"/>
      <c r="L106" s="290"/>
      <c r="M106" s="333">
        <f t="shared" si="11"/>
        <v>0</v>
      </c>
      <c r="N106" s="290"/>
      <c r="O106" s="690"/>
      <c r="P106" s="691"/>
      <c r="R106" s="2"/>
      <c r="S106" s="2"/>
    </row>
    <row r="107" spans="1:21" s="291" customFormat="1" ht="20.149999999999999" customHeight="1">
      <c r="A107" s="683"/>
      <c r="B107" s="686"/>
      <c r="C107" s="281">
        <v>3</v>
      </c>
      <c r="D107" s="282"/>
      <c r="E107" s="283"/>
      <c r="F107" s="284"/>
      <c r="G107" s="285"/>
      <c r="H107" s="286"/>
      <c r="I107" s="287"/>
      <c r="J107" s="288"/>
      <c r="K107" s="289"/>
      <c r="L107" s="290"/>
      <c r="M107" s="333">
        <f t="shared" si="11"/>
        <v>0</v>
      </c>
      <c r="N107" s="290"/>
      <c r="O107" s="690"/>
      <c r="P107" s="691"/>
      <c r="R107" s="2"/>
      <c r="S107" s="2"/>
    </row>
    <row r="108" spans="1:21" s="291" customFormat="1" ht="20.149999999999999" customHeight="1">
      <c r="A108" s="683"/>
      <c r="B108" s="686"/>
      <c r="C108" s="281">
        <v>4</v>
      </c>
      <c r="D108" s="282"/>
      <c r="E108" s="283"/>
      <c r="F108" s="284"/>
      <c r="G108" s="285"/>
      <c r="H108" s="286"/>
      <c r="I108" s="287"/>
      <c r="J108" s="288"/>
      <c r="K108" s="289"/>
      <c r="L108" s="290"/>
      <c r="M108" s="334">
        <v>0</v>
      </c>
      <c r="N108" s="290"/>
      <c r="O108" s="301"/>
      <c r="P108" s="302"/>
      <c r="R108" s="2"/>
      <c r="S108" s="2"/>
    </row>
    <row r="109" spans="1:21" s="291" customFormat="1" ht="20.149999999999999" customHeight="1" thickBot="1">
      <c r="A109" s="683"/>
      <c r="B109" s="686"/>
      <c r="C109" s="281">
        <v>5</v>
      </c>
      <c r="D109" s="292"/>
      <c r="E109" s="293"/>
      <c r="F109" s="294"/>
      <c r="G109" s="285"/>
      <c r="H109" s="286"/>
      <c r="I109" s="287"/>
      <c r="J109" s="398"/>
      <c r="K109" s="392"/>
      <c r="L109" s="319"/>
      <c r="M109" s="335">
        <v>0</v>
      </c>
      <c r="N109" s="290"/>
      <c r="O109" s="303"/>
      <c r="P109" s="304"/>
      <c r="R109" s="2"/>
      <c r="S109" s="2"/>
    </row>
    <row r="110" spans="1:21" s="291" customFormat="1" ht="15.75" customHeight="1" thickTop="1" thickBot="1">
      <c r="A110" s="684"/>
      <c r="B110" s="687"/>
      <c r="C110" s="692"/>
      <c r="D110" s="693"/>
      <c r="E110" s="693"/>
      <c r="F110" s="693"/>
      <c r="G110" s="693"/>
      <c r="H110" s="693"/>
      <c r="I110" s="694"/>
      <c r="J110" s="351" t="s">
        <v>58</v>
      </c>
      <c r="K110" s="213" t="e">
        <f>M110/'生產管理報表 7-1 (週)'!$B$31</f>
        <v>#DIV/0!</v>
      </c>
      <c r="L110" s="352" t="s">
        <v>59</v>
      </c>
      <c r="M110" s="399">
        <f>SUM(M105:M109)</f>
        <v>0</v>
      </c>
      <c r="N110" s="669"/>
      <c r="O110" s="670"/>
      <c r="P110" s="671"/>
      <c r="R110" s="2"/>
      <c r="S110" s="2"/>
      <c r="T110" s="2"/>
    </row>
    <row r="111" spans="1:21" s="136" customFormat="1" ht="15.75" customHeight="1" thickTop="1">
      <c r="A111" s="812" t="s">
        <v>679</v>
      </c>
      <c r="B111" s="806"/>
      <c r="C111" s="806"/>
      <c r="D111" s="806"/>
      <c r="E111" s="806"/>
      <c r="F111" s="806"/>
      <c r="G111" s="806"/>
      <c r="H111" s="806"/>
      <c r="I111" s="806"/>
      <c r="J111" s="806"/>
      <c r="K111" s="806"/>
      <c r="L111" s="806"/>
      <c r="M111" s="806"/>
      <c r="N111" s="485"/>
      <c r="O111" s="485"/>
      <c r="P111" s="486"/>
      <c r="R111" s="233"/>
      <c r="S111" s="233"/>
      <c r="T111" s="233"/>
      <c r="U111" s="233"/>
    </row>
    <row r="112" spans="1:21" s="137" customFormat="1" ht="15.75" customHeight="1">
      <c r="A112" s="813"/>
      <c r="B112" s="734"/>
      <c r="C112" s="734"/>
      <c r="D112" s="734"/>
      <c r="E112" s="734"/>
      <c r="F112" s="734"/>
      <c r="G112" s="734"/>
      <c r="H112" s="734"/>
      <c r="I112" s="734"/>
      <c r="J112" s="734"/>
      <c r="K112" s="734"/>
      <c r="L112" s="734"/>
      <c r="M112" s="734"/>
      <c r="N112" s="487"/>
      <c r="O112" s="487"/>
      <c r="P112" s="488"/>
    </row>
    <row r="113" spans="1:20" s="136" customFormat="1" ht="15.75" customHeight="1">
      <c r="A113" s="735" t="s">
        <v>191</v>
      </c>
      <c r="B113" s="737">
        <v>1</v>
      </c>
      <c r="C113" s="738"/>
      <c r="D113" s="737">
        <v>2</v>
      </c>
      <c r="E113" s="738"/>
      <c r="F113" s="737">
        <v>3</v>
      </c>
      <c r="G113" s="738"/>
      <c r="H113" s="728">
        <v>4</v>
      </c>
      <c r="I113" s="729"/>
      <c r="J113" s="728">
        <v>5</v>
      </c>
      <c r="K113" s="729"/>
      <c r="L113" s="728">
        <v>6</v>
      </c>
      <c r="M113" s="729"/>
      <c r="N113" s="728">
        <v>7</v>
      </c>
      <c r="O113" s="729"/>
      <c r="P113" s="329">
        <v>8</v>
      </c>
    </row>
    <row r="114" spans="1:20" s="136" customFormat="1" ht="15.75" customHeight="1">
      <c r="A114" s="736"/>
      <c r="B114" s="732" t="s">
        <v>454</v>
      </c>
      <c r="C114" s="733"/>
      <c r="D114" s="732" t="s">
        <v>212</v>
      </c>
      <c r="E114" s="733"/>
      <c r="F114" s="732" t="s">
        <v>166</v>
      </c>
      <c r="G114" s="733"/>
      <c r="H114" s="730" t="s">
        <v>430</v>
      </c>
      <c r="I114" s="731"/>
      <c r="J114" s="730" t="s">
        <v>189</v>
      </c>
      <c r="K114" s="731"/>
      <c r="L114" s="730" t="s">
        <v>167</v>
      </c>
      <c r="M114" s="731"/>
      <c r="N114" s="730" t="s">
        <v>190</v>
      </c>
      <c r="O114" s="731"/>
      <c r="P114" s="330" t="s">
        <v>217</v>
      </c>
    </row>
    <row r="115" spans="1:20" s="136" customFormat="1" ht="15.75" customHeight="1">
      <c r="B115" s="234"/>
      <c r="C115" s="235"/>
    </row>
    <row r="116" spans="1:20" s="280" customFormat="1" ht="15.75" customHeight="1">
      <c r="A116" s="672" t="s">
        <v>191</v>
      </c>
      <c r="B116" s="673"/>
      <c r="C116" s="277" t="s">
        <v>47</v>
      </c>
      <c r="D116" s="702" t="s">
        <v>12</v>
      </c>
      <c r="E116" s="703"/>
      <c r="F116" s="704"/>
      <c r="G116" s="705" t="s">
        <v>53</v>
      </c>
      <c r="H116" s="706"/>
      <c r="I116" s="707"/>
      <c r="J116" s="278" t="s">
        <v>54</v>
      </c>
      <c r="K116" s="278" t="s">
        <v>55</v>
      </c>
      <c r="L116" s="278" t="s">
        <v>56</v>
      </c>
      <c r="M116" s="279" t="s">
        <v>11</v>
      </c>
      <c r="N116" s="279" t="s">
        <v>333</v>
      </c>
      <c r="O116" s="680" t="s">
        <v>51</v>
      </c>
      <c r="P116" s="681"/>
      <c r="R116" s="211"/>
      <c r="S116" s="263"/>
    </row>
    <row r="117" spans="1:20" s="300" customFormat="1" ht="20.149999999999999" customHeight="1">
      <c r="A117" s="682">
        <v>4</v>
      </c>
      <c r="B117" s="716" t="s">
        <v>430</v>
      </c>
      <c r="C117" s="281">
        <v>1</v>
      </c>
      <c r="D117" s="239"/>
      <c r="E117" s="240"/>
      <c r="F117" s="241"/>
      <c r="G117" s="356"/>
      <c r="H117" s="307"/>
      <c r="I117" s="308"/>
      <c r="J117" s="314"/>
      <c r="K117" s="315"/>
      <c r="L117" s="316"/>
      <c r="M117" s="324">
        <f t="shared" ref="M117:M121" si="12">L117*J117</f>
        <v>0</v>
      </c>
      <c r="N117" s="316"/>
      <c r="O117" s="719"/>
      <c r="P117" s="720"/>
      <c r="R117" s="317"/>
      <c r="S117" s="263"/>
    </row>
    <row r="118" spans="1:20" s="300" customFormat="1" ht="20.149999999999999" customHeight="1">
      <c r="A118" s="683"/>
      <c r="B118" s="717"/>
      <c r="C118" s="281">
        <v>2</v>
      </c>
      <c r="D118" s="239"/>
      <c r="E118" s="240"/>
      <c r="F118" s="241"/>
      <c r="G118" s="356"/>
      <c r="H118" s="307"/>
      <c r="I118" s="308"/>
      <c r="J118" s="314"/>
      <c r="K118" s="315"/>
      <c r="L118" s="316"/>
      <c r="M118" s="324">
        <f t="shared" si="12"/>
        <v>0</v>
      </c>
      <c r="N118" s="316"/>
      <c r="O118" s="712"/>
      <c r="P118" s="713"/>
      <c r="R118" s="317"/>
      <c r="S118" s="211"/>
      <c r="T118" s="338"/>
    </row>
    <row r="119" spans="1:20" s="300" customFormat="1" ht="20.149999999999999" customHeight="1">
      <c r="A119" s="683"/>
      <c r="B119" s="717"/>
      <c r="C119" s="281">
        <v>3</v>
      </c>
      <c r="D119" s="239"/>
      <c r="E119" s="240"/>
      <c r="F119" s="241"/>
      <c r="G119" s="356"/>
      <c r="H119" s="307"/>
      <c r="I119" s="308"/>
      <c r="J119" s="314"/>
      <c r="K119" s="315"/>
      <c r="L119" s="316"/>
      <c r="M119" s="324">
        <f t="shared" si="12"/>
        <v>0</v>
      </c>
      <c r="N119" s="316"/>
      <c r="O119" s="719"/>
      <c r="P119" s="720"/>
      <c r="R119" s="317"/>
      <c r="S119" s="263"/>
    </row>
    <row r="120" spans="1:20" s="300" customFormat="1" ht="20.149999999999999" customHeight="1">
      <c r="A120" s="683"/>
      <c r="B120" s="717"/>
      <c r="C120" s="281">
        <v>4</v>
      </c>
      <c r="D120" s="239"/>
      <c r="E120" s="240"/>
      <c r="F120" s="241"/>
      <c r="G120" s="356"/>
      <c r="H120" s="307"/>
      <c r="I120" s="308"/>
      <c r="J120" s="314"/>
      <c r="K120" s="315"/>
      <c r="L120" s="316"/>
      <c r="M120" s="324">
        <f t="shared" si="12"/>
        <v>0</v>
      </c>
      <c r="N120" s="316"/>
      <c r="O120" s="719"/>
      <c r="P120" s="720"/>
      <c r="R120" s="317"/>
      <c r="S120" s="211"/>
      <c r="T120" s="338"/>
    </row>
    <row r="121" spans="1:20" s="300" customFormat="1" ht="20.149999999999999" customHeight="1" thickBot="1">
      <c r="A121" s="683"/>
      <c r="B121" s="717"/>
      <c r="C121" s="281">
        <v>5</v>
      </c>
      <c r="D121" s="239"/>
      <c r="E121" s="247"/>
      <c r="F121" s="248"/>
      <c r="G121" s="356"/>
      <c r="H121" s="307"/>
      <c r="I121" s="308"/>
      <c r="J121" s="398"/>
      <c r="K121" s="392"/>
      <c r="L121" s="319"/>
      <c r="M121" s="324">
        <f t="shared" si="12"/>
        <v>0</v>
      </c>
      <c r="N121" s="316"/>
      <c r="O121" s="719"/>
      <c r="P121" s="720"/>
      <c r="R121" s="320"/>
      <c r="S121" s="263"/>
      <c r="T121" s="291"/>
    </row>
    <row r="122" spans="1:20" s="291" customFormat="1" ht="15.75" customHeight="1" thickTop="1" thickBot="1">
      <c r="A122" s="684"/>
      <c r="B122" s="718"/>
      <c r="C122" s="725"/>
      <c r="D122" s="726"/>
      <c r="E122" s="726"/>
      <c r="F122" s="726"/>
      <c r="G122" s="726"/>
      <c r="H122" s="726"/>
      <c r="I122" s="727"/>
      <c r="J122" s="351" t="s">
        <v>58</v>
      </c>
      <c r="K122" s="213" t="e">
        <f>M122/'生產管理報表 7-1 (週)'!$B$42</f>
        <v>#DIV/0!</v>
      </c>
      <c r="L122" s="352" t="s">
        <v>59</v>
      </c>
      <c r="M122" s="399">
        <f>SUM(M117:M121)</f>
        <v>0</v>
      </c>
      <c r="N122" s="669"/>
      <c r="O122" s="670"/>
      <c r="P122" s="671"/>
      <c r="R122" s="211"/>
      <c r="S122" s="211"/>
    </row>
    <row r="123" spans="1:20" s="291" customFormat="1" ht="15.75" customHeight="1" thickTop="1">
      <c r="B123" s="299"/>
      <c r="C123" s="300"/>
      <c r="M123" s="331"/>
      <c r="S123" s="263"/>
    </row>
    <row r="124" spans="1:20" s="291" customFormat="1" ht="15.75" customHeight="1">
      <c r="A124" s="672" t="s">
        <v>191</v>
      </c>
      <c r="B124" s="673"/>
      <c r="C124" s="277" t="s">
        <v>47</v>
      </c>
      <c r="D124" s="702" t="s">
        <v>12</v>
      </c>
      <c r="E124" s="703"/>
      <c r="F124" s="704"/>
      <c r="G124" s="705" t="s">
        <v>53</v>
      </c>
      <c r="H124" s="706"/>
      <c r="I124" s="707"/>
      <c r="J124" s="278" t="s">
        <v>54</v>
      </c>
      <c r="K124" s="278" t="s">
        <v>55</v>
      </c>
      <c r="L124" s="278" t="s">
        <v>56</v>
      </c>
      <c r="M124" s="332" t="s">
        <v>11</v>
      </c>
      <c r="N124" s="279" t="s">
        <v>333</v>
      </c>
      <c r="O124" s="680" t="s">
        <v>51</v>
      </c>
      <c r="P124" s="681"/>
      <c r="S124" s="211"/>
      <c r="T124" s="338"/>
    </row>
    <row r="125" spans="1:20" s="300" customFormat="1" ht="40" customHeight="1">
      <c r="A125" s="682">
        <v>5</v>
      </c>
      <c r="B125" s="695" t="s">
        <v>215</v>
      </c>
      <c r="C125" s="281">
        <v>1</v>
      </c>
      <c r="D125" s="239"/>
      <c r="E125" s="240"/>
      <c r="F125" s="241"/>
      <c r="G125" s="308"/>
      <c r="H125" s="307"/>
      <c r="I125" s="308"/>
      <c r="J125" s="314"/>
      <c r="K125" s="315"/>
      <c r="L125" s="316"/>
      <c r="M125" s="324">
        <f>L125*J125</f>
        <v>0</v>
      </c>
      <c r="N125" s="316"/>
      <c r="O125" s="712"/>
      <c r="P125" s="713"/>
      <c r="R125" s="338"/>
      <c r="S125" s="400"/>
    </row>
    <row r="126" spans="1:20" s="300" customFormat="1" ht="20.149999999999999" customHeight="1">
      <c r="A126" s="683"/>
      <c r="B126" s="696"/>
      <c r="C126" s="281">
        <v>2</v>
      </c>
      <c r="D126" s="239"/>
      <c r="E126" s="240"/>
      <c r="F126" s="241"/>
      <c r="G126" s="356"/>
      <c r="H126" s="307"/>
      <c r="I126" s="308"/>
      <c r="J126" s="314"/>
      <c r="K126" s="315"/>
      <c r="L126" s="316"/>
      <c r="M126" s="324">
        <f t="shared" ref="M126:M129" si="13">L126*J126</f>
        <v>0</v>
      </c>
      <c r="N126" s="316"/>
      <c r="O126" s="712"/>
      <c r="P126" s="713"/>
      <c r="S126" s="211"/>
      <c r="T126" s="339"/>
    </row>
    <row r="127" spans="1:20" s="291" customFormat="1" ht="20.149999999999999" customHeight="1">
      <c r="A127" s="683"/>
      <c r="B127" s="696"/>
      <c r="C127" s="281">
        <v>3</v>
      </c>
      <c r="D127" s="239"/>
      <c r="E127" s="283"/>
      <c r="F127" s="284"/>
      <c r="G127" s="356"/>
      <c r="H127" s="307"/>
      <c r="I127" s="308"/>
      <c r="J127" s="314"/>
      <c r="K127" s="315"/>
      <c r="L127" s="316"/>
      <c r="M127" s="324">
        <f t="shared" si="13"/>
        <v>0</v>
      </c>
      <c r="N127" s="290"/>
      <c r="O127" s="700"/>
      <c r="P127" s="701"/>
    </row>
    <row r="128" spans="1:20" s="291" customFormat="1" ht="20.149999999999999" customHeight="1">
      <c r="A128" s="683"/>
      <c r="B128" s="696"/>
      <c r="C128" s="281">
        <v>4</v>
      </c>
      <c r="D128" s="239"/>
      <c r="E128" s="283"/>
      <c r="F128" s="284"/>
      <c r="G128" s="356"/>
      <c r="H128" s="307"/>
      <c r="I128" s="308"/>
      <c r="J128" s="314"/>
      <c r="K128" s="315"/>
      <c r="L128" s="316"/>
      <c r="M128" s="324">
        <f t="shared" si="13"/>
        <v>0</v>
      </c>
      <c r="N128" s="290"/>
      <c r="O128" s="712"/>
      <c r="P128" s="713"/>
    </row>
    <row r="129" spans="1:19" s="291" customFormat="1" ht="20.149999999999999" customHeight="1" thickBot="1">
      <c r="A129" s="683"/>
      <c r="B129" s="696"/>
      <c r="C129" s="281">
        <v>5</v>
      </c>
      <c r="D129" s="246"/>
      <c r="E129" s="293"/>
      <c r="F129" s="294"/>
      <c r="G129" s="356"/>
      <c r="H129" s="307"/>
      <c r="I129" s="308"/>
      <c r="J129" s="398"/>
      <c r="K129" s="392"/>
      <c r="L129" s="319"/>
      <c r="M129" s="324">
        <f t="shared" si="13"/>
        <v>0</v>
      </c>
      <c r="N129" s="290"/>
      <c r="O129" s="810"/>
      <c r="P129" s="811"/>
      <c r="R129" s="212"/>
    </row>
    <row r="130" spans="1:19" s="291" customFormat="1" ht="15.75" customHeight="1" thickTop="1" thickBot="1">
      <c r="A130" s="684"/>
      <c r="B130" s="697"/>
      <c r="C130" s="692"/>
      <c r="D130" s="693"/>
      <c r="E130" s="693"/>
      <c r="F130" s="693"/>
      <c r="G130" s="693"/>
      <c r="H130" s="693"/>
      <c r="I130" s="694"/>
      <c r="J130" s="351" t="s">
        <v>58</v>
      </c>
      <c r="K130" s="213" t="e">
        <f>M130/'生產管理報表 7-1 (週)'!$B$42</f>
        <v>#DIV/0!</v>
      </c>
      <c r="L130" s="352" t="s">
        <v>59</v>
      </c>
      <c r="M130" s="399">
        <f>SUM(M125:M129)</f>
        <v>0</v>
      </c>
      <c r="N130" s="669"/>
      <c r="O130" s="670"/>
      <c r="P130" s="671"/>
      <c r="R130" s="211"/>
    </row>
    <row r="131" spans="1:19" s="291" customFormat="1" ht="15.75" customHeight="1" thickTop="1">
      <c r="B131" s="299"/>
      <c r="C131" s="300"/>
      <c r="M131" s="331"/>
      <c r="R131" s="211"/>
    </row>
    <row r="132" spans="1:19" s="291" customFormat="1" ht="15.75" customHeight="1">
      <c r="A132" s="672" t="s">
        <v>191</v>
      </c>
      <c r="B132" s="673"/>
      <c r="C132" s="305" t="s">
        <v>47</v>
      </c>
      <c r="D132" s="674" t="s">
        <v>12</v>
      </c>
      <c r="E132" s="675"/>
      <c r="F132" s="676"/>
      <c r="G132" s="677" t="s">
        <v>53</v>
      </c>
      <c r="H132" s="678"/>
      <c r="I132" s="679"/>
      <c r="J132" s="306" t="s">
        <v>54</v>
      </c>
      <c r="K132" s="278" t="s">
        <v>55</v>
      </c>
      <c r="L132" s="278" t="s">
        <v>56</v>
      </c>
      <c r="M132" s="332" t="s">
        <v>11</v>
      </c>
      <c r="N132" s="279" t="s">
        <v>333</v>
      </c>
      <c r="O132" s="680" t="s">
        <v>51</v>
      </c>
      <c r="P132" s="681"/>
      <c r="R132" s="211"/>
      <c r="S132" s="2"/>
    </row>
    <row r="133" spans="1:19" s="291" customFormat="1" ht="40" customHeight="1">
      <c r="A133" s="682">
        <v>6</v>
      </c>
      <c r="B133" s="695" t="s">
        <v>216</v>
      </c>
      <c r="C133" s="281">
        <v>1</v>
      </c>
      <c r="D133" s="340"/>
      <c r="E133" s="283"/>
      <c r="F133" s="284"/>
      <c r="G133" s="242"/>
      <c r="H133" s="243"/>
      <c r="I133" s="242"/>
      <c r="J133" s="314"/>
      <c r="K133" s="315"/>
      <c r="L133" s="316"/>
      <c r="M133" s="324">
        <f t="shared" ref="M133" si="14">L133*J133</f>
        <v>0</v>
      </c>
      <c r="N133" s="290"/>
      <c r="O133" s="700"/>
      <c r="P133" s="701"/>
      <c r="R133" s="339"/>
      <c r="S133" s="407"/>
    </row>
    <row r="134" spans="1:19" s="291" customFormat="1" ht="40" customHeight="1">
      <c r="A134" s="683"/>
      <c r="B134" s="696"/>
      <c r="C134" s="281">
        <v>2</v>
      </c>
      <c r="D134" s="239"/>
      <c r="E134" s="240"/>
      <c r="F134" s="241"/>
      <c r="G134" s="242"/>
      <c r="H134" s="243"/>
      <c r="I134" s="242"/>
      <c r="J134" s="314"/>
      <c r="K134" s="315"/>
      <c r="L134" s="316"/>
      <c r="M134" s="324">
        <f>L134*J134</f>
        <v>0</v>
      </c>
      <c r="N134" s="290"/>
      <c r="O134" s="700"/>
      <c r="P134" s="701"/>
      <c r="S134" s="2"/>
    </row>
    <row r="135" spans="1:19" s="291" customFormat="1" ht="20.149999999999999" customHeight="1">
      <c r="A135" s="683"/>
      <c r="B135" s="696"/>
      <c r="C135" s="281">
        <v>3</v>
      </c>
      <c r="D135" s="282"/>
      <c r="E135" s="283"/>
      <c r="F135" s="284"/>
      <c r="G135" s="285"/>
      <c r="H135" s="286"/>
      <c r="I135" s="287"/>
      <c r="J135" s="288"/>
      <c r="K135" s="289"/>
      <c r="L135" s="290"/>
      <c r="M135" s="333">
        <v>0</v>
      </c>
      <c r="N135" s="290"/>
      <c r="O135" s="301"/>
      <c r="P135" s="302"/>
      <c r="S135" s="2"/>
    </row>
    <row r="136" spans="1:19" s="291" customFormat="1" ht="20.149999999999999" customHeight="1">
      <c r="A136" s="683"/>
      <c r="B136" s="696"/>
      <c r="C136" s="281">
        <v>4</v>
      </c>
      <c r="D136" s="282"/>
      <c r="E136" s="283"/>
      <c r="F136" s="284"/>
      <c r="G136" s="285"/>
      <c r="H136" s="286"/>
      <c r="I136" s="287"/>
      <c r="J136" s="288"/>
      <c r="K136" s="289"/>
      <c r="L136" s="290"/>
      <c r="M136" s="333">
        <v>0</v>
      </c>
      <c r="N136" s="290"/>
      <c r="O136" s="301"/>
      <c r="P136" s="302"/>
      <c r="R136" s="2"/>
      <c r="S136" s="2"/>
    </row>
    <row r="137" spans="1:19" s="291" customFormat="1" ht="20.149999999999999" customHeight="1" thickBot="1">
      <c r="A137" s="683"/>
      <c r="B137" s="696"/>
      <c r="C137" s="281">
        <v>5</v>
      </c>
      <c r="D137" s="292"/>
      <c r="E137" s="293"/>
      <c r="F137" s="294"/>
      <c r="G137" s="285"/>
      <c r="H137" s="286"/>
      <c r="I137" s="287"/>
      <c r="J137" s="398"/>
      <c r="K137" s="392"/>
      <c r="L137" s="319"/>
      <c r="M137" s="324">
        <v>0</v>
      </c>
      <c r="N137" s="290"/>
      <c r="O137" s="303"/>
      <c r="P137" s="304"/>
      <c r="R137" s="2"/>
    </row>
    <row r="138" spans="1:19" s="291" customFormat="1" ht="15.75" customHeight="1" thickTop="1" thickBot="1">
      <c r="A138" s="684"/>
      <c r="B138" s="697"/>
      <c r="C138" s="692"/>
      <c r="D138" s="693"/>
      <c r="E138" s="693"/>
      <c r="F138" s="693"/>
      <c r="G138" s="693"/>
      <c r="H138" s="693"/>
      <c r="I138" s="694"/>
      <c r="J138" s="351" t="s">
        <v>58</v>
      </c>
      <c r="K138" s="213" t="e">
        <f>M138/'生產管理報表 7-1 (週)'!$B$42</f>
        <v>#DIV/0!</v>
      </c>
      <c r="L138" s="352" t="s">
        <v>59</v>
      </c>
      <c r="M138" s="399">
        <f>SUM(M133:M137)</f>
        <v>0</v>
      </c>
      <c r="N138" s="669"/>
      <c r="O138" s="670"/>
      <c r="P138" s="671"/>
      <c r="R138" s="2"/>
      <c r="S138" s="2"/>
    </row>
    <row r="139" spans="1:19" s="291" customFormat="1" ht="15.75" customHeight="1" thickTop="1">
      <c r="B139" s="299"/>
      <c r="C139" s="300"/>
      <c r="M139" s="331"/>
      <c r="R139" s="2"/>
      <c r="S139" s="2"/>
    </row>
    <row r="140" spans="1:19" s="291" customFormat="1" ht="15.75" customHeight="1">
      <c r="A140" s="672" t="s">
        <v>191</v>
      </c>
      <c r="B140" s="673"/>
      <c r="C140" s="305" t="s">
        <v>47</v>
      </c>
      <c r="D140" s="674" t="s">
        <v>12</v>
      </c>
      <c r="E140" s="675"/>
      <c r="F140" s="676"/>
      <c r="G140" s="677" t="s">
        <v>53</v>
      </c>
      <c r="H140" s="678"/>
      <c r="I140" s="679"/>
      <c r="J140" s="306" t="s">
        <v>54</v>
      </c>
      <c r="K140" s="278" t="s">
        <v>55</v>
      </c>
      <c r="L140" s="278" t="s">
        <v>56</v>
      </c>
      <c r="M140" s="332" t="s">
        <v>11</v>
      </c>
      <c r="N140" s="279" t="s">
        <v>333</v>
      </c>
      <c r="O140" s="680" t="s">
        <v>51</v>
      </c>
      <c r="P140" s="681"/>
      <c r="R140" s="2"/>
      <c r="S140" s="2"/>
    </row>
    <row r="141" spans="1:19" s="291" customFormat="1" ht="20.149999999999999" customHeight="1">
      <c r="A141" s="682">
        <v>7</v>
      </c>
      <c r="B141" s="685" t="s">
        <v>249</v>
      </c>
      <c r="C141" s="281">
        <v>1</v>
      </c>
      <c r="D141" s="282"/>
      <c r="E141" s="283"/>
      <c r="F141" s="284"/>
      <c r="G141" s="285"/>
      <c r="H141" s="286"/>
      <c r="I141" s="287"/>
      <c r="J141" s="288"/>
      <c r="K141" s="289"/>
      <c r="L141" s="290"/>
      <c r="M141" s="333">
        <f t="shared" ref="M141:M143" si="15">L141*J141</f>
        <v>0</v>
      </c>
      <c r="N141" s="290"/>
      <c r="O141" s="688"/>
      <c r="P141" s="689"/>
      <c r="R141" s="2"/>
      <c r="S141" s="2"/>
    </row>
    <row r="142" spans="1:19" s="291" customFormat="1" ht="20.149999999999999" customHeight="1">
      <c r="A142" s="683"/>
      <c r="B142" s="686"/>
      <c r="C142" s="281">
        <v>2</v>
      </c>
      <c r="D142" s="282"/>
      <c r="E142" s="283"/>
      <c r="F142" s="284"/>
      <c r="G142" s="285"/>
      <c r="H142" s="286"/>
      <c r="I142" s="287"/>
      <c r="J142" s="288"/>
      <c r="K142" s="289"/>
      <c r="L142" s="290"/>
      <c r="M142" s="333">
        <f t="shared" si="15"/>
        <v>0</v>
      </c>
      <c r="N142" s="290"/>
      <c r="O142" s="690"/>
      <c r="P142" s="691"/>
      <c r="R142" s="2"/>
      <c r="S142" s="2"/>
    </row>
    <row r="143" spans="1:19" s="291" customFormat="1" ht="20.149999999999999" customHeight="1">
      <c r="A143" s="683"/>
      <c r="B143" s="686"/>
      <c r="C143" s="281">
        <v>3</v>
      </c>
      <c r="D143" s="282"/>
      <c r="E143" s="283"/>
      <c r="F143" s="284"/>
      <c r="G143" s="285"/>
      <c r="H143" s="286"/>
      <c r="I143" s="287"/>
      <c r="J143" s="288"/>
      <c r="K143" s="289"/>
      <c r="L143" s="290"/>
      <c r="M143" s="333">
        <f t="shared" si="15"/>
        <v>0</v>
      </c>
      <c r="N143" s="290"/>
      <c r="O143" s="690"/>
      <c r="P143" s="691"/>
      <c r="R143" s="2"/>
      <c r="S143" s="2"/>
    </row>
    <row r="144" spans="1:19" s="291" customFormat="1" ht="20.149999999999999" customHeight="1">
      <c r="A144" s="683"/>
      <c r="B144" s="686"/>
      <c r="C144" s="281">
        <v>4</v>
      </c>
      <c r="D144" s="282"/>
      <c r="E144" s="283"/>
      <c r="F144" s="284"/>
      <c r="G144" s="285"/>
      <c r="H144" s="286"/>
      <c r="I144" s="287"/>
      <c r="J144" s="288"/>
      <c r="K144" s="289"/>
      <c r="L144" s="290"/>
      <c r="M144" s="334">
        <v>0</v>
      </c>
      <c r="N144" s="290"/>
      <c r="O144" s="301"/>
      <c r="P144" s="302"/>
      <c r="R144" s="2"/>
      <c r="S144" s="2"/>
    </row>
    <row r="145" spans="1:21" s="291" customFormat="1" ht="20.149999999999999" customHeight="1" thickBot="1">
      <c r="A145" s="683"/>
      <c r="B145" s="686"/>
      <c r="C145" s="281">
        <v>5</v>
      </c>
      <c r="D145" s="292"/>
      <c r="E145" s="293"/>
      <c r="F145" s="294"/>
      <c r="G145" s="285"/>
      <c r="H145" s="286"/>
      <c r="I145" s="287"/>
      <c r="J145" s="398"/>
      <c r="K145" s="392"/>
      <c r="L145" s="319"/>
      <c r="M145" s="335">
        <v>0</v>
      </c>
      <c r="N145" s="290"/>
      <c r="O145" s="303"/>
      <c r="P145" s="304"/>
      <c r="R145" s="2"/>
      <c r="S145" s="2"/>
    </row>
    <row r="146" spans="1:21" s="291" customFormat="1" ht="15.75" customHeight="1" thickTop="1" thickBot="1">
      <c r="A146" s="684"/>
      <c r="B146" s="687"/>
      <c r="C146" s="692"/>
      <c r="D146" s="693"/>
      <c r="E146" s="693"/>
      <c r="F146" s="693"/>
      <c r="G146" s="693"/>
      <c r="H146" s="693"/>
      <c r="I146" s="694"/>
      <c r="J146" s="351" t="s">
        <v>58</v>
      </c>
      <c r="K146" s="213" t="e">
        <f>M146/'生產管理報表 7-1 (週)'!$B$42</f>
        <v>#DIV/0!</v>
      </c>
      <c r="L146" s="352" t="s">
        <v>59</v>
      </c>
      <c r="M146" s="399">
        <f>SUM(M141:M145)</f>
        <v>0</v>
      </c>
      <c r="N146" s="669"/>
      <c r="O146" s="670"/>
      <c r="P146" s="671"/>
      <c r="R146" s="2"/>
      <c r="S146" s="2"/>
      <c r="T146" s="2"/>
    </row>
    <row r="147" spans="1:21" s="136" customFormat="1" ht="15.75" customHeight="1" thickTop="1">
      <c r="A147" s="806" t="s">
        <v>678</v>
      </c>
      <c r="B147" s="806"/>
      <c r="C147" s="806"/>
      <c r="D147" s="806"/>
      <c r="E147" s="806"/>
      <c r="F147" s="806"/>
      <c r="G147" s="806"/>
      <c r="H147" s="806"/>
      <c r="I147" s="806"/>
      <c r="J147" s="806"/>
      <c r="K147" s="806"/>
      <c r="L147" s="806"/>
      <c r="M147" s="806"/>
      <c r="R147" s="233"/>
      <c r="S147" s="233"/>
      <c r="T147" s="233"/>
      <c r="U147" s="233"/>
    </row>
    <row r="148" spans="1:21" s="137" customFormat="1" ht="15.75" customHeight="1">
      <c r="A148" s="734"/>
      <c r="B148" s="734"/>
      <c r="C148" s="734"/>
      <c r="D148" s="734"/>
      <c r="E148" s="734"/>
      <c r="F148" s="734"/>
      <c r="G148" s="734"/>
      <c r="H148" s="734"/>
      <c r="I148" s="734"/>
      <c r="J148" s="734"/>
      <c r="K148" s="734"/>
      <c r="L148" s="734"/>
      <c r="M148" s="734"/>
    </row>
    <row r="149" spans="1:21" s="136" customFormat="1" ht="15.75" customHeight="1">
      <c r="A149" s="735" t="s">
        <v>191</v>
      </c>
      <c r="B149" s="737">
        <v>1</v>
      </c>
      <c r="C149" s="738"/>
      <c r="D149" s="737">
        <v>2</v>
      </c>
      <c r="E149" s="738"/>
      <c r="F149" s="737">
        <v>3</v>
      </c>
      <c r="G149" s="738"/>
      <c r="H149" s="728">
        <v>4</v>
      </c>
      <c r="I149" s="729"/>
      <c r="J149" s="728">
        <v>5</v>
      </c>
      <c r="K149" s="729"/>
      <c r="L149" s="728">
        <v>6</v>
      </c>
      <c r="M149" s="729"/>
      <c r="N149" s="728">
        <v>7</v>
      </c>
      <c r="O149" s="729"/>
      <c r="P149" s="329">
        <v>8</v>
      </c>
    </row>
    <row r="150" spans="1:21" s="136" customFormat="1" ht="15.75" customHeight="1">
      <c r="A150" s="736"/>
      <c r="B150" s="732" t="s">
        <v>454</v>
      </c>
      <c r="C150" s="733"/>
      <c r="D150" s="732" t="s">
        <v>212</v>
      </c>
      <c r="E150" s="733"/>
      <c r="F150" s="732" t="s">
        <v>166</v>
      </c>
      <c r="G150" s="733"/>
      <c r="H150" s="730" t="s">
        <v>430</v>
      </c>
      <c r="I150" s="731"/>
      <c r="J150" s="730" t="s">
        <v>189</v>
      </c>
      <c r="K150" s="731"/>
      <c r="L150" s="730" t="s">
        <v>167</v>
      </c>
      <c r="M150" s="731"/>
      <c r="N150" s="730" t="s">
        <v>190</v>
      </c>
      <c r="O150" s="731"/>
      <c r="P150" s="330" t="s">
        <v>217</v>
      </c>
    </row>
    <row r="151" spans="1:21" s="136" customFormat="1" ht="15.75" customHeight="1">
      <c r="B151" s="234"/>
      <c r="C151" s="235"/>
    </row>
    <row r="152" spans="1:21" s="280" customFormat="1" ht="15.75" customHeight="1">
      <c r="A152" s="672" t="s">
        <v>191</v>
      </c>
      <c r="B152" s="673"/>
      <c r="C152" s="277" t="s">
        <v>47</v>
      </c>
      <c r="D152" s="702" t="s">
        <v>12</v>
      </c>
      <c r="E152" s="703"/>
      <c r="F152" s="704"/>
      <c r="G152" s="705" t="s">
        <v>53</v>
      </c>
      <c r="H152" s="706"/>
      <c r="I152" s="707"/>
      <c r="J152" s="278" t="s">
        <v>54</v>
      </c>
      <c r="K152" s="278" t="s">
        <v>55</v>
      </c>
      <c r="L152" s="278" t="s">
        <v>56</v>
      </c>
      <c r="M152" s="279" t="s">
        <v>11</v>
      </c>
      <c r="N152" s="279" t="s">
        <v>333</v>
      </c>
      <c r="O152" s="680" t="s">
        <v>51</v>
      </c>
      <c r="P152" s="681"/>
      <c r="R152" s="211"/>
      <c r="S152" s="263"/>
    </row>
    <row r="153" spans="1:21" s="300" customFormat="1" ht="20.149999999999999" customHeight="1">
      <c r="A153" s="682">
        <v>4</v>
      </c>
      <c r="B153" s="716" t="s">
        <v>430</v>
      </c>
      <c r="C153" s="281">
        <v>1</v>
      </c>
      <c r="D153" s="239"/>
      <c r="E153" s="240"/>
      <c r="F153" s="241"/>
      <c r="G153" s="356"/>
      <c r="H153" s="307"/>
      <c r="I153" s="308"/>
      <c r="J153" s="314"/>
      <c r="K153" s="315"/>
      <c r="L153" s="316"/>
      <c r="M153" s="324">
        <f t="shared" ref="M153:M157" si="16">L153*J153</f>
        <v>0</v>
      </c>
      <c r="N153" s="316"/>
      <c r="O153" s="719"/>
      <c r="P153" s="720"/>
      <c r="R153" s="317"/>
      <c r="S153" s="263"/>
    </row>
    <row r="154" spans="1:21" s="300" customFormat="1" ht="20.149999999999999" customHeight="1">
      <c r="A154" s="683"/>
      <c r="B154" s="717"/>
      <c r="C154" s="281">
        <v>2</v>
      </c>
      <c r="D154" s="239"/>
      <c r="E154" s="240"/>
      <c r="F154" s="241"/>
      <c r="G154" s="356"/>
      <c r="H154" s="307"/>
      <c r="I154" s="308"/>
      <c r="J154" s="314"/>
      <c r="K154" s="315"/>
      <c r="L154" s="316"/>
      <c r="M154" s="324">
        <f t="shared" si="16"/>
        <v>0</v>
      </c>
      <c r="N154" s="316"/>
      <c r="O154" s="712"/>
      <c r="P154" s="713"/>
      <c r="R154" s="317"/>
      <c r="S154" s="211"/>
      <c r="T154" s="338"/>
    </row>
    <row r="155" spans="1:21" s="300" customFormat="1" ht="20.149999999999999" customHeight="1">
      <c r="A155" s="683"/>
      <c r="B155" s="717"/>
      <c r="C155" s="281">
        <v>3</v>
      </c>
      <c r="D155" s="239"/>
      <c r="E155" s="240"/>
      <c r="F155" s="241"/>
      <c r="G155" s="356"/>
      <c r="H155" s="307"/>
      <c r="I155" s="308"/>
      <c r="J155" s="314"/>
      <c r="K155" s="315"/>
      <c r="L155" s="316"/>
      <c r="M155" s="324">
        <f t="shared" si="16"/>
        <v>0</v>
      </c>
      <c r="N155" s="316"/>
      <c r="O155" s="719"/>
      <c r="P155" s="720"/>
      <c r="R155" s="317"/>
      <c r="S155" s="263"/>
    </row>
    <row r="156" spans="1:21" s="300" customFormat="1" ht="20.149999999999999" customHeight="1">
      <c r="A156" s="683"/>
      <c r="B156" s="717"/>
      <c r="C156" s="281">
        <v>4</v>
      </c>
      <c r="D156" s="239"/>
      <c r="E156" s="240"/>
      <c r="F156" s="241"/>
      <c r="G156" s="356"/>
      <c r="H156" s="307"/>
      <c r="I156" s="308"/>
      <c r="J156" s="314"/>
      <c r="K156" s="315"/>
      <c r="L156" s="316"/>
      <c r="M156" s="324">
        <f t="shared" si="16"/>
        <v>0</v>
      </c>
      <c r="N156" s="316"/>
      <c r="O156" s="719"/>
      <c r="P156" s="720"/>
      <c r="R156" s="317"/>
      <c r="S156" s="211"/>
      <c r="T156" s="338"/>
    </row>
    <row r="157" spans="1:21" s="300" customFormat="1" ht="20.149999999999999" customHeight="1" thickBot="1">
      <c r="A157" s="683"/>
      <c r="B157" s="717"/>
      <c r="C157" s="281">
        <v>5</v>
      </c>
      <c r="D157" s="239"/>
      <c r="E157" s="247"/>
      <c r="F157" s="248"/>
      <c r="G157" s="356"/>
      <c r="H157" s="307"/>
      <c r="I157" s="308"/>
      <c r="J157" s="398"/>
      <c r="K157" s="392"/>
      <c r="L157" s="319"/>
      <c r="M157" s="324">
        <f t="shared" si="16"/>
        <v>0</v>
      </c>
      <c r="N157" s="316"/>
      <c r="O157" s="719"/>
      <c r="P157" s="720"/>
      <c r="R157" s="320"/>
      <c r="S157" s="263"/>
      <c r="T157" s="291"/>
    </row>
    <row r="158" spans="1:21" s="291" customFormat="1" ht="15.75" customHeight="1" thickTop="1" thickBot="1">
      <c r="A158" s="684"/>
      <c r="B158" s="718"/>
      <c r="C158" s="725"/>
      <c r="D158" s="726"/>
      <c r="E158" s="726"/>
      <c r="F158" s="726"/>
      <c r="G158" s="726"/>
      <c r="H158" s="726"/>
      <c r="I158" s="727"/>
      <c r="J158" s="351" t="s">
        <v>58</v>
      </c>
      <c r="K158" s="213" t="e">
        <f>M158/'生產管理報表 7-1 (週)'!$B$53</f>
        <v>#DIV/0!</v>
      </c>
      <c r="L158" s="352" t="s">
        <v>59</v>
      </c>
      <c r="M158" s="399">
        <f>SUM(M153:M157)</f>
        <v>0</v>
      </c>
      <c r="N158" s="669"/>
      <c r="O158" s="670"/>
      <c r="P158" s="671"/>
      <c r="R158" s="211"/>
      <c r="S158" s="211"/>
    </row>
    <row r="159" spans="1:21" s="291" customFormat="1" ht="15.75" customHeight="1" thickTop="1">
      <c r="B159" s="299"/>
      <c r="C159" s="300"/>
      <c r="M159" s="331"/>
      <c r="S159" s="263"/>
    </row>
    <row r="160" spans="1:21" s="291" customFormat="1" ht="15.75" customHeight="1">
      <c r="A160" s="672" t="s">
        <v>191</v>
      </c>
      <c r="B160" s="673"/>
      <c r="C160" s="277" t="s">
        <v>47</v>
      </c>
      <c r="D160" s="702" t="s">
        <v>12</v>
      </c>
      <c r="E160" s="703"/>
      <c r="F160" s="704"/>
      <c r="G160" s="705" t="s">
        <v>53</v>
      </c>
      <c r="H160" s="706"/>
      <c r="I160" s="707"/>
      <c r="J160" s="278" t="s">
        <v>54</v>
      </c>
      <c r="K160" s="278" t="s">
        <v>55</v>
      </c>
      <c r="L160" s="278" t="s">
        <v>56</v>
      </c>
      <c r="M160" s="332" t="s">
        <v>11</v>
      </c>
      <c r="N160" s="279" t="s">
        <v>333</v>
      </c>
      <c r="O160" s="680" t="s">
        <v>51</v>
      </c>
      <c r="P160" s="681"/>
      <c r="S160" s="211"/>
      <c r="T160" s="338"/>
    </row>
    <row r="161" spans="1:20" s="300" customFormat="1" ht="40" customHeight="1">
      <c r="A161" s="682">
        <v>5</v>
      </c>
      <c r="B161" s="695" t="s">
        <v>215</v>
      </c>
      <c r="C161" s="281">
        <v>1</v>
      </c>
      <c r="D161" s="239"/>
      <c r="E161" s="240"/>
      <c r="F161" s="241"/>
      <c r="G161" s="308"/>
      <c r="H161" s="307"/>
      <c r="I161" s="308"/>
      <c r="J161" s="314"/>
      <c r="K161" s="315"/>
      <c r="L161" s="316"/>
      <c r="M161" s="324">
        <f>L161*J161</f>
        <v>0</v>
      </c>
      <c r="N161" s="316"/>
      <c r="O161" s="712"/>
      <c r="P161" s="713"/>
      <c r="R161" s="338"/>
      <c r="S161" s="400"/>
    </row>
    <row r="162" spans="1:20" s="300" customFormat="1" ht="20.149999999999999" customHeight="1">
      <c r="A162" s="683"/>
      <c r="B162" s="696"/>
      <c r="C162" s="281">
        <v>2</v>
      </c>
      <c r="D162" s="239"/>
      <c r="E162" s="240"/>
      <c r="F162" s="241"/>
      <c r="G162" s="356"/>
      <c r="H162" s="307"/>
      <c r="I162" s="308"/>
      <c r="J162" s="314"/>
      <c r="K162" s="315"/>
      <c r="L162" s="316"/>
      <c r="M162" s="324">
        <f t="shared" ref="M162:M165" si="17">L162*J162</f>
        <v>0</v>
      </c>
      <c r="N162" s="316"/>
      <c r="O162" s="712"/>
      <c r="P162" s="713"/>
      <c r="S162" s="211"/>
      <c r="T162" s="339"/>
    </row>
    <row r="163" spans="1:20" s="291" customFormat="1" ht="20.149999999999999" customHeight="1">
      <c r="A163" s="683"/>
      <c r="B163" s="696"/>
      <c r="C163" s="281">
        <v>3</v>
      </c>
      <c r="D163" s="239"/>
      <c r="E163" s="283"/>
      <c r="F163" s="284"/>
      <c r="G163" s="356"/>
      <c r="H163" s="307"/>
      <c r="I163" s="308"/>
      <c r="J163" s="314"/>
      <c r="K163" s="315"/>
      <c r="L163" s="316"/>
      <c r="M163" s="324">
        <f t="shared" si="17"/>
        <v>0</v>
      </c>
      <c r="N163" s="290"/>
      <c r="O163" s="700"/>
      <c r="P163" s="701"/>
    </row>
    <row r="164" spans="1:20" s="291" customFormat="1" ht="20.149999999999999" customHeight="1">
      <c r="A164" s="683"/>
      <c r="B164" s="696"/>
      <c r="C164" s="281">
        <v>4</v>
      </c>
      <c r="D164" s="239"/>
      <c r="E164" s="283"/>
      <c r="F164" s="284"/>
      <c r="G164" s="356"/>
      <c r="H164" s="307"/>
      <c r="I164" s="308"/>
      <c r="J164" s="314"/>
      <c r="K164" s="315"/>
      <c r="L164" s="316"/>
      <c r="M164" s="324">
        <f t="shared" si="17"/>
        <v>0</v>
      </c>
      <c r="N164" s="290"/>
      <c r="O164" s="712"/>
      <c r="P164" s="713"/>
    </row>
    <row r="165" spans="1:20" s="291" customFormat="1" ht="20.149999999999999" customHeight="1" thickBot="1">
      <c r="A165" s="683"/>
      <c r="B165" s="696"/>
      <c r="C165" s="281">
        <v>5</v>
      </c>
      <c r="D165" s="246"/>
      <c r="E165" s="293"/>
      <c r="F165" s="294"/>
      <c r="G165" s="356"/>
      <c r="H165" s="307"/>
      <c r="I165" s="308"/>
      <c r="J165" s="398"/>
      <c r="K165" s="392"/>
      <c r="L165" s="319"/>
      <c r="M165" s="324">
        <f t="shared" si="17"/>
        <v>0</v>
      </c>
      <c r="N165" s="290"/>
      <c r="O165" s="810"/>
      <c r="P165" s="811"/>
      <c r="R165" s="212"/>
    </row>
    <row r="166" spans="1:20" s="291" customFormat="1" ht="15.75" customHeight="1" thickTop="1" thickBot="1">
      <c r="A166" s="684"/>
      <c r="B166" s="697"/>
      <c r="C166" s="692"/>
      <c r="D166" s="693"/>
      <c r="E166" s="693"/>
      <c r="F166" s="693"/>
      <c r="G166" s="693"/>
      <c r="H166" s="693"/>
      <c r="I166" s="694"/>
      <c r="J166" s="351" t="s">
        <v>58</v>
      </c>
      <c r="K166" s="213" t="e">
        <f>M166/'生產管理報表 7-1 (週)'!$B$53</f>
        <v>#DIV/0!</v>
      </c>
      <c r="L166" s="352" t="s">
        <v>59</v>
      </c>
      <c r="M166" s="399">
        <f>SUM(M161:M165)</f>
        <v>0</v>
      </c>
      <c r="N166" s="669"/>
      <c r="O166" s="670"/>
      <c r="P166" s="671"/>
      <c r="R166" s="211"/>
    </row>
    <row r="167" spans="1:20" s="291" customFormat="1" ht="15.75" customHeight="1" thickTop="1">
      <c r="B167" s="299"/>
      <c r="C167" s="300"/>
      <c r="M167" s="331"/>
      <c r="R167" s="211"/>
    </row>
    <row r="168" spans="1:20" s="291" customFormat="1" ht="15.75" customHeight="1">
      <c r="A168" s="672" t="s">
        <v>191</v>
      </c>
      <c r="B168" s="673"/>
      <c r="C168" s="305" t="s">
        <v>47</v>
      </c>
      <c r="D168" s="674" t="s">
        <v>12</v>
      </c>
      <c r="E168" s="675"/>
      <c r="F168" s="676"/>
      <c r="G168" s="677" t="s">
        <v>53</v>
      </c>
      <c r="H168" s="678"/>
      <c r="I168" s="679"/>
      <c r="J168" s="306" t="s">
        <v>54</v>
      </c>
      <c r="K168" s="278" t="s">
        <v>55</v>
      </c>
      <c r="L168" s="278" t="s">
        <v>56</v>
      </c>
      <c r="M168" s="332" t="s">
        <v>11</v>
      </c>
      <c r="N168" s="279" t="s">
        <v>333</v>
      </c>
      <c r="O168" s="680" t="s">
        <v>51</v>
      </c>
      <c r="P168" s="681"/>
      <c r="R168" s="211"/>
      <c r="S168" s="2"/>
    </row>
    <row r="169" spans="1:20" s="291" customFormat="1" ht="40" customHeight="1">
      <c r="A169" s="682">
        <v>6</v>
      </c>
      <c r="B169" s="695" t="s">
        <v>216</v>
      </c>
      <c r="C169" s="281">
        <v>1</v>
      </c>
      <c r="D169" s="340"/>
      <c r="E169" s="283"/>
      <c r="F169" s="284"/>
      <c r="G169" s="242"/>
      <c r="H169" s="243"/>
      <c r="I169" s="242"/>
      <c r="J169" s="314"/>
      <c r="K169" s="315"/>
      <c r="L169" s="316"/>
      <c r="M169" s="324">
        <f t="shared" ref="M169:M170" si="18">L169*J169</f>
        <v>0</v>
      </c>
      <c r="N169" s="290"/>
      <c r="O169" s="700"/>
      <c r="P169" s="701"/>
      <c r="R169" s="339"/>
      <c r="S169" s="407"/>
    </row>
    <row r="170" spans="1:20" s="300" customFormat="1" ht="40" customHeight="1">
      <c r="A170" s="683"/>
      <c r="B170" s="696"/>
      <c r="C170" s="281">
        <v>2</v>
      </c>
      <c r="D170" s="239"/>
      <c r="E170" s="240"/>
      <c r="F170" s="241"/>
      <c r="G170" s="242"/>
      <c r="H170" s="243"/>
      <c r="I170" s="242"/>
      <c r="J170" s="314"/>
      <c r="K170" s="315"/>
      <c r="L170" s="316"/>
      <c r="M170" s="324">
        <f t="shared" si="18"/>
        <v>0</v>
      </c>
      <c r="N170" s="316"/>
      <c r="O170" s="814"/>
      <c r="P170" s="815"/>
      <c r="S170" s="97"/>
    </row>
    <row r="171" spans="1:20" s="291" customFormat="1" ht="20.149999999999999" customHeight="1">
      <c r="A171" s="683"/>
      <c r="B171" s="696"/>
      <c r="C171" s="281">
        <v>3</v>
      </c>
      <c r="D171" s="282"/>
      <c r="E171" s="283"/>
      <c r="F171" s="284"/>
      <c r="G171" s="285"/>
      <c r="H171" s="286"/>
      <c r="I171" s="287"/>
      <c r="J171" s="288"/>
      <c r="K171" s="289"/>
      <c r="L171" s="290"/>
      <c r="M171" s="333">
        <v>0</v>
      </c>
      <c r="N171" s="290"/>
      <c r="O171" s="301"/>
      <c r="P171" s="302"/>
      <c r="S171" s="2"/>
    </row>
    <row r="172" spans="1:20" s="291" customFormat="1" ht="20.149999999999999" customHeight="1">
      <c r="A172" s="683"/>
      <c r="B172" s="696"/>
      <c r="C172" s="281">
        <v>4</v>
      </c>
      <c r="D172" s="282"/>
      <c r="E172" s="283"/>
      <c r="F172" s="284"/>
      <c r="G172" s="285"/>
      <c r="H172" s="286"/>
      <c r="I172" s="287"/>
      <c r="J172" s="288"/>
      <c r="K172" s="289"/>
      <c r="L172" s="290"/>
      <c r="M172" s="333">
        <v>0</v>
      </c>
      <c r="N172" s="290"/>
      <c r="O172" s="301"/>
      <c r="P172" s="302"/>
      <c r="R172" s="2"/>
      <c r="S172" s="2"/>
    </row>
    <row r="173" spans="1:20" s="291" customFormat="1" ht="20.149999999999999" customHeight="1" thickBot="1">
      <c r="A173" s="683"/>
      <c r="B173" s="696"/>
      <c r="C173" s="281">
        <v>5</v>
      </c>
      <c r="D173" s="292"/>
      <c r="E173" s="293"/>
      <c r="F173" s="294"/>
      <c r="G173" s="285"/>
      <c r="H173" s="286"/>
      <c r="I173" s="287"/>
      <c r="J173" s="398"/>
      <c r="K173" s="392"/>
      <c r="L173" s="319"/>
      <c r="M173" s="324">
        <v>0</v>
      </c>
      <c r="N173" s="290"/>
      <c r="O173" s="303"/>
      <c r="P173" s="304"/>
      <c r="R173" s="2"/>
      <c r="S173" s="2"/>
    </row>
    <row r="174" spans="1:20" s="291" customFormat="1" ht="15.75" customHeight="1" thickTop="1" thickBot="1">
      <c r="A174" s="684"/>
      <c r="B174" s="697"/>
      <c r="C174" s="692"/>
      <c r="D174" s="693"/>
      <c r="E174" s="693"/>
      <c r="F174" s="693"/>
      <c r="G174" s="693"/>
      <c r="H174" s="693"/>
      <c r="I174" s="694"/>
      <c r="J174" s="351" t="s">
        <v>58</v>
      </c>
      <c r="K174" s="213" t="e">
        <f>M174/'生產管理報表 7-1 (週)'!$B$53</f>
        <v>#DIV/0!</v>
      </c>
      <c r="L174" s="352" t="s">
        <v>59</v>
      </c>
      <c r="M174" s="399">
        <f>SUM(M169:M173)</f>
        <v>0</v>
      </c>
      <c r="N174" s="669"/>
      <c r="O174" s="670"/>
      <c r="P174" s="671"/>
      <c r="R174" s="2"/>
      <c r="S174" s="2"/>
    </row>
    <row r="175" spans="1:20" s="291" customFormat="1" ht="15.75" customHeight="1" thickTop="1">
      <c r="B175" s="299"/>
      <c r="C175" s="300"/>
      <c r="M175" s="331"/>
      <c r="R175" s="2"/>
      <c r="S175" s="2"/>
    </row>
    <row r="176" spans="1:20" s="291" customFormat="1" ht="15.75" customHeight="1">
      <c r="A176" s="672" t="s">
        <v>191</v>
      </c>
      <c r="B176" s="673"/>
      <c r="C176" s="305" t="s">
        <v>47</v>
      </c>
      <c r="D176" s="674" t="s">
        <v>12</v>
      </c>
      <c r="E176" s="675"/>
      <c r="F176" s="676"/>
      <c r="G176" s="677" t="s">
        <v>53</v>
      </c>
      <c r="H176" s="678"/>
      <c r="I176" s="679"/>
      <c r="J176" s="306" t="s">
        <v>54</v>
      </c>
      <c r="K176" s="278" t="s">
        <v>55</v>
      </c>
      <c r="L176" s="278" t="s">
        <v>56</v>
      </c>
      <c r="M176" s="332" t="s">
        <v>11</v>
      </c>
      <c r="N176" s="279" t="s">
        <v>333</v>
      </c>
      <c r="O176" s="680" t="s">
        <v>51</v>
      </c>
      <c r="P176" s="681"/>
      <c r="R176" s="2"/>
      <c r="S176" s="2"/>
    </row>
    <row r="177" spans="1:20" s="291" customFormat="1" ht="20.149999999999999" customHeight="1">
      <c r="A177" s="682">
        <v>7</v>
      </c>
      <c r="B177" s="685" t="s">
        <v>249</v>
      </c>
      <c r="C177" s="281">
        <v>1</v>
      </c>
      <c r="D177" s="282"/>
      <c r="E177" s="283"/>
      <c r="F177" s="284"/>
      <c r="G177" s="285"/>
      <c r="H177" s="286"/>
      <c r="I177" s="287"/>
      <c r="J177" s="288"/>
      <c r="K177" s="289"/>
      <c r="L177" s="290"/>
      <c r="M177" s="333">
        <f t="shared" ref="M177:M179" si="19">L177*J177</f>
        <v>0</v>
      </c>
      <c r="N177" s="290"/>
      <c r="O177" s="688"/>
      <c r="P177" s="689"/>
      <c r="R177" s="2"/>
      <c r="S177" s="2"/>
    </row>
    <row r="178" spans="1:20" s="291" customFormat="1" ht="20.149999999999999" customHeight="1">
      <c r="A178" s="683"/>
      <c r="B178" s="686"/>
      <c r="C178" s="281">
        <v>2</v>
      </c>
      <c r="D178" s="282"/>
      <c r="E178" s="283"/>
      <c r="F178" s="284"/>
      <c r="G178" s="285"/>
      <c r="H178" s="286"/>
      <c r="I178" s="287"/>
      <c r="J178" s="288"/>
      <c r="K178" s="289"/>
      <c r="L178" s="290"/>
      <c r="M178" s="333">
        <f t="shared" si="19"/>
        <v>0</v>
      </c>
      <c r="N178" s="290"/>
      <c r="O178" s="690"/>
      <c r="P178" s="691"/>
      <c r="R178" s="2"/>
      <c r="S178" s="2"/>
    </row>
    <row r="179" spans="1:20" s="291" customFormat="1" ht="20.149999999999999" customHeight="1">
      <c r="A179" s="683"/>
      <c r="B179" s="686"/>
      <c r="C179" s="281">
        <v>3</v>
      </c>
      <c r="D179" s="282"/>
      <c r="E179" s="283"/>
      <c r="F179" s="284"/>
      <c r="G179" s="285"/>
      <c r="H179" s="286"/>
      <c r="I179" s="287"/>
      <c r="J179" s="288"/>
      <c r="K179" s="289"/>
      <c r="L179" s="290"/>
      <c r="M179" s="333">
        <f t="shared" si="19"/>
        <v>0</v>
      </c>
      <c r="N179" s="290"/>
      <c r="O179" s="690"/>
      <c r="P179" s="691"/>
      <c r="R179" s="2"/>
      <c r="S179" s="2"/>
    </row>
    <row r="180" spans="1:20" s="291" customFormat="1" ht="20.149999999999999" customHeight="1">
      <c r="A180" s="683"/>
      <c r="B180" s="686"/>
      <c r="C180" s="281">
        <v>4</v>
      </c>
      <c r="D180" s="282"/>
      <c r="E180" s="283"/>
      <c r="F180" s="284"/>
      <c r="G180" s="285"/>
      <c r="H180" s="286"/>
      <c r="I180" s="287"/>
      <c r="J180" s="288"/>
      <c r="K180" s="289"/>
      <c r="L180" s="290"/>
      <c r="M180" s="334">
        <v>0</v>
      </c>
      <c r="N180" s="290"/>
      <c r="O180" s="301"/>
      <c r="P180" s="302"/>
      <c r="R180" s="2"/>
      <c r="S180" s="2"/>
    </row>
    <row r="181" spans="1:20" s="291" customFormat="1" ht="20.149999999999999" customHeight="1" thickBot="1">
      <c r="A181" s="683"/>
      <c r="B181" s="686"/>
      <c r="C181" s="281">
        <v>5</v>
      </c>
      <c r="D181" s="292"/>
      <c r="E181" s="293"/>
      <c r="F181" s="294"/>
      <c r="G181" s="285"/>
      <c r="H181" s="286"/>
      <c r="I181" s="287"/>
      <c r="J181" s="398"/>
      <c r="K181" s="392"/>
      <c r="L181" s="319"/>
      <c r="M181" s="335">
        <v>0</v>
      </c>
      <c r="N181" s="290"/>
      <c r="O181" s="303"/>
      <c r="P181" s="304"/>
      <c r="R181" s="2"/>
      <c r="S181" s="2"/>
    </row>
    <row r="182" spans="1:20" s="291" customFormat="1" ht="15.75" customHeight="1" thickTop="1" thickBot="1">
      <c r="A182" s="684"/>
      <c r="B182" s="687"/>
      <c r="C182" s="692"/>
      <c r="D182" s="693"/>
      <c r="E182" s="693"/>
      <c r="F182" s="693"/>
      <c r="G182" s="693"/>
      <c r="H182" s="693"/>
      <c r="I182" s="694"/>
      <c r="J182" s="351" t="s">
        <v>58</v>
      </c>
      <c r="K182" s="213" t="e">
        <f>M182/'生產管理報表 7-1 (週)'!$B$53</f>
        <v>#DIV/0!</v>
      </c>
      <c r="L182" s="352" t="s">
        <v>59</v>
      </c>
      <c r="M182" s="399">
        <f>SUM(M177:M181)</f>
        <v>0</v>
      </c>
      <c r="N182" s="669"/>
      <c r="O182" s="670"/>
      <c r="P182" s="671"/>
      <c r="R182" s="2"/>
      <c r="S182" s="2"/>
      <c r="T182" s="2"/>
    </row>
    <row r="183" spans="1:20" ht="15.75" customHeight="1" thickTop="1"/>
  </sheetData>
  <mergeCells count="316"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  <mergeCell ref="A168:B168"/>
    <mergeCell ref="D168:F168"/>
    <mergeCell ref="G168:I168"/>
    <mergeCell ref="O168:P168"/>
    <mergeCell ref="A169:A174"/>
    <mergeCell ref="B169:B174"/>
    <mergeCell ref="O169:P169"/>
    <mergeCell ref="C174:I174"/>
    <mergeCell ref="N174:P174"/>
    <mergeCell ref="O170:P170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N42:O42"/>
    <mergeCell ref="A44:B44"/>
    <mergeCell ref="D44:F44"/>
    <mergeCell ref="G44:I44"/>
    <mergeCell ref="O44:P44"/>
    <mergeCell ref="A1:P2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O98:P98"/>
    <mergeCell ref="O99:P99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O134:P134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</mergeCells>
  <phoneticPr fontId="10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8" max="15" man="1"/>
    <brk id="74" max="15" man="1"/>
    <brk id="110" max="15" man="1"/>
    <brk id="146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92D050"/>
    <outlinePr summaryBelow="0" summaryRight="0"/>
  </sheetPr>
  <dimension ref="A1:BW31"/>
  <sheetViews>
    <sheetView view="pageBreakPreview" topLeftCell="A7" zoomScaleNormal="60" zoomScaleSheetLayoutView="100" workbookViewId="0">
      <selection activeCell="K30" sqref="K30"/>
    </sheetView>
  </sheetViews>
  <sheetFormatPr defaultColWidth="12.54296875" defaultRowHeight="15.75" customHeight="1"/>
  <cols>
    <col min="1" max="1" width="5.453125" style="136" customWidth="1"/>
    <col min="2" max="2" width="11.453125" style="234" customWidth="1"/>
    <col min="3" max="3" width="4" style="235" customWidth="1"/>
    <col min="4" max="15" width="9.54296875" style="136" customWidth="1"/>
    <col min="16" max="16" width="47.81640625" style="136" customWidth="1"/>
    <col min="17" max="17" width="9.54296875" style="136" customWidth="1"/>
    <col min="18" max="21" width="12.54296875" style="233"/>
    <col min="22" max="22" width="24.453125" style="136" bestFit="1" customWidth="1"/>
    <col min="23" max="23" width="19.453125" style="136" bestFit="1" customWidth="1"/>
    <col min="24" max="24" width="23" style="136" bestFit="1" customWidth="1"/>
    <col min="25" max="25" width="11.7265625" style="136" bestFit="1" customWidth="1"/>
    <col min="26" max="26" width="15.81640625" style="136" bestFit="1" customWidth="1"/>
    <col min="27" max="27" width="23.54296875" style="136" bestFit="1" customWidth="1"/>
    <col min="28" max="28" width="23" style="136" bestFit="1" customWidth="1"/>
    <col min="29" max="29" width="11.7265625" style="136" bestFit="1" customWidth="1"/>
    <col min="30" max="30" width="20.54296875" style="136" bestFit="1" customWidth="1"/>
    <col min="31" max="31" width="15" style="136" bestFit="1" customWidth="1"/>
    <col min="32" max="32" width="23" style="136" bestFit="1" customWidth="1"/>
    <col min="33" max="33" width="11.7265625" style="136" bestFit="1" customWidth="1"/>
    <col min="34" max="34" width="15.8164062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265625" style="136" bestFit="1" customWidth="1"/>
    <col min="40" max="40" width="13.81640625" style="136" bestFit="1" customWidth="1"/>
    <col min="41" max="41" width="27.81640625" style="136" bestFit="1" customWidth="1"/>
    <col min="42" max="42" width="23" style="136" bestFit="1" customWidth="1"/>
    <col min="43" max="43" width="8" style="136" bestFit="1" customWidth="1"/>
    <col min="44" max="44" width="30.7265625" style="136" bestFit="1" customWidth="1"/>
    <col min="45" max="45" width="25.726562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265625" style="136" bestFit="1" customWidth="1"/>
    <col min="50" max="50" width="20.1796875" style="136" bestFit="1" customWidth="1"/>
    <col min="51" max="51" width="23.54296875" style="136" bestFit="1" customWidth="1"/>
    <col min="52" max="52" width="23" style="136" bestFit="1" customWidth="1"/>
    <col min="53" max="53" width="11.7265625" style="136" bestFit="1" customWidth="1"/>
    <col min="54" max="54" width="21.453125" style="136" bestFit="1" customWidth="1"/>
    <col min="55" max="55" width="15" style="136" bestFit="1" customWidth="1"/>
    <col min="56" max="56" width="23" style="136" bestFit="1" customWidth="1"/>
    <col min="57" max="57" width="11.7265625" style="136" bestFit="1" customWidth="1"/>
    <col min="58" max="58" width="13.8164062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265625" style="136" bestFit="1" customWidth="1"/>
    <col min="64" max="64" width="24.7265625" style="136" bestFit="1" customWidth="1"/>
    <col min="65" max="65" width="18.726562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1640625" style="136" bestFit="1" customWidth="1"/>
    <col min="73" max="73" width="10.54296875" style="136" bestFit="1" customWidth="1"/>
    <col min="74" max="74" width="21.453125" style="136" bestFit="1" customWidth="1"/>
    <col min="75" max="75" width="5.453125" style="136" bestFit="1" customWidth="1"/>
    <col min="76" max="16384" width="12.54296875" style="136"/>
  </cols>
  <sheetData>
    <row r="1" spans="1:75" ht="15.75" customHeight="1">
      <c r="A1" s="638" t="s">
        <v>362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</row>
    <row r="2" spans="1:75" s="137" customFormat="1" ht="15.75" customHeight="1">
      <c r="A2" s="638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8"/>
      <c r="Q2" s="638"/>
    </row>
    <row r="3" spans="1:75" ht="15.75" customHeight="1">
      <c r="A3" s="639" t="s">
        <v>433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</row>
    <row r="4" spans="1:75" s="137" customFormat="1" ht="15.75" customHeight="1">
      <c r="A4" s="639"/>
      <c r="B4" s="639"/>
      <c r="C4" s="639"/>
      <c r="D4" s="639"/>
      <c r="E4" s="639"/>
      <c r="F4" s="639"/>
      <c r="G4" s="639"/>
      <c r="H4" s="639"/>
      <c r="I4" s="639"/>
      <c r="J4" s="639"/>
      <c r="K4" s="639"/>
      <c r="L4" s="639"/>
      <c r="M4" s="639"/>
    </row>
    <row r="5" spans="1:75" ht="15.75" customHeight="1">
      <c r="A5" s="641" t="s">
        <v>191</v>
      </c>
      <c r="B5" s="666">
        <v>1</v>
      </c>
      <c r="C5" s="666"/>
      <c r="D5" s="666">
        <v>2</v>
      </c>
      <c r="E5" s="666"/>
      <c r="F5" s="666">
        <v>3</v>
      </c>
      <c r="G5" s="666"/>
      <c r="H5" s="644">
        <v>4</v>
      </c>
      <c r="I5" s="644"/>
      <c r="J5" s="644">
        <v>5</v>
      </c>
      <c r="K5" s="644"/>
      <c r="L5" s="644">
        <v>6</v>
      </c>
      <c r="M5" s="644"/>
      <c r="N5" s="644">
        <v>7</v>
      </c>
      <c r="O5" s="644"/>
      <c r="P5" s="644">
        <v>8</v>
      </c>
      <c r="Q5" s="644"/>
    </row>
    <row r="6" spans="1:75" ht="15.75" customHeight="1">
      <c r="A6" s="641"/>
      <c r="B6" s="667" t="s">
        <v>454</v>
      </c>
      <c r="C6" s="667"/>
      <c r="D6" s="667" t="s">
        <v>212</v>
      </c>
      <c r="E6" s="667"/>
      <c r="F6" s="667" t="s">
        <v>166</v>
      </c>
      <c r="G6" s="667"/>
      <c r="H6" s="641" t="s">
        <v>430</v>
      </c>
      <c r="I6" s="641"/>
      <c r="J6" s="641" t="s">
        <v>189</v>
      </c>
      <c r="K6" s="641"/>
      <c r="L6" s="641" t="s">
        <v>167</v>
      </c>
      <c r="M6" s="641"/>
      <c r="N6" s="641" t="s">
        <v>190</v>
      </c>
      <c r="O6" s="641"/>
      <c r="P6" s="758" t="s">
        <v>217</v>
      </c>
      <c r="Q6" s="758"/>
    </row>
    <row r="8" spans="1:75" s="237" customFormat="1" ht="15.75" customHeight="1">
      <c r="A8" s="737" t="s">
        <v>191</v>
      </c>
      <c r="B8" s="738"/>
      <c r="C8" s="236" t="s">
        <v>47</v>
      </c>
      <c r="D8" s="799" t="s">
        <v>12</v>
      </c>
      <c r="E8" s="654"/>
      <c r="F8" s="789"/>
      <c r="G8" s="807" t="s">
        <v>53</v>
      </c>
      <c r="H8" s="808"/>
      <c r="I8" s="809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800" t="s">
        <v>51</v>
      </c>
      <c r="P8" s="801"/>
    </row>
    <row r="9" spans="1:75" ht="20.149999999999999" customHeight="1">
      <c r="A9" s="790">
        <v>1</v>
      </c>
      <c r="B9" s="793" t="s">
        <v>455</v>
      </c>
      <c r="C9" s="238">
        <v>1</v>
      </c>
      <c r="D9" s="239"/>
      <c r="E9" s="240"/>
      <c r="F9" s="240"/>
      <c r="G9" s="239"/>
      <c r="H9" s="240"/>
      <c r="I9" s="241"/>
      <c r="J9" s="238"/>
      <c r="K9" s="244"/>
      <c r="L9" s="238"/>
      <c r="M9" s="324">
        <f>L9*J9</f>
        <v>0</v>
      </c>
      <c r="N9" s="245"/>
      <c r="O9" s="719"/>
      <c r="P9" s="720"/>
      <c r="S9" s="343"/>
      <c r="T9" s="342"/>
    </row>
    <row r="10" spans="1:75" ht="20.149999999999999" customHeight="1">
      <c r="A10" s="791"/>
      <c r="B10" s="794"/>
      <c r="C10" s="238">
        <v>2</v>
      </c>
      <c r="D10" s="239"/>
      <c r="E10" s="240"/>
      <c r="F10" s="241"/>
      <c r="G10" s="239"/>
      <c r="H10" s="240"/>
      <c r="I10" s="241"/>
      <c r="J10" s="238"/>
      <c r="K10" s="244"/>
      <c r="L10" s="238"/>
      <c r="M10" s="324">
        <f t="shared" ref="M10:M13" si="0">L10*J10</f>
        <v>0</v>
      </c>
      <c r="N10" s="245"/>
      <c r="O10" s="803"/>
      <c r="P10" s="740"/>
      <c r="S10" s="342"/>
      <c r="T10" s="342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  <c r="BW10" s="233"/>
    </row>
    <row r="11" spans="1:75" ht="20.149999999999999" customHeight="1">
      <c r="A11" s="791"/>
      <c r="B11" s="794"/>
      <c r="C11" s="238">
        <v>3</v>
      </c>
      <c r="D11" s="239"/>
      <c r="E11" s="240"/>
      <c r="F11" s="241"/>
      <c r="G11" s="239"/>
      <c r="H11" s="240"/>
      <c r="I11" s="241"/>
      <c r="J11" s="238"/>
      <c r="K11" s="244"/>
      <c r="L11" s="238"/>
      <c r="M11" s="324">
        <f t="shared" si="0"/>
        <v>0</v>
      </c>
      <c r="N11" s="245"/>
      <c r="O11" s="803"/>
      <c r="P11" s="740"/>
      <c r="S11" s="343"/>
      <c r="T11" s="342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</row>
    <row r="12" spans="1:75" ht="20.149999999999999" customHeight="1">
      <c r="A12" s="791"/>
      <c r="B12" s="794"/>
      <c r="C12" s="238">
        <v>4</v>
      </c>
      <c r="D12" s="239"/>
      <c r="E12" s="240"/>
      <c r="F12" s="241"/>
      <c r="G12" s="239"/>
      <c r="H12" s="240"/>
      <c r="I12" s="241"/>
      <c r="J12" s="238"/>
      <c r="K12" s="244"/>
      <c r="L12" s="238"/>
      <c r="M12" s="324">
        <f t="shared" si="0"/>
        <v>0</v>
      </c>
      <c r="N12" s="245"/>
      <c r="O12" s="803"/>
      <c r="P12" s="740"/>
      <c r="S12" s="342"/>
      <c r="T12" s="342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  <c r="BW12" s="233"/>
    </row>
    <row r="13" spans="1:75" ht="20.149999999999999" customHeight="1" thickBot="1">
      <c r="A13" s="791"/>
      <c r="B13" s="794"/>
      <c r="C13" s="238">
        <v>5</v>
      </c>
      <c r="D13" s="246"/>
      <c r="E13" s="247"/>
      <c r="F13" s="248"/>
      <c r="G13" s="239"/>
      <c r="H13" s="240"/>
      <c r="I13" s="270"/>
      <c r="J13" s="249"/>
      <c r="K13" s="250"/>
      <c r="L13" s="249"/>
      <c r="M13" s="325">
        <f t="shared" si="0"/>
        <v>0</v>
      </c>
      <c r="N13" s="245"/>
      <c r="O13" s="803"/>
      <c r="P13" s="740"/>
      <c r="S13" s="343"/>
      <c r="T13" s="342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  <c r="BW13" s="233"/>
    </row>
    <row r="14" spans="1:75" ht="15.75" customHeight="1" thickTop="1" thickBot="1">
      <c r="A14" s="792"/>
      <c r="B14" s="795"/>
      <c r="C14" s="656"/>
      <c r="D14" s="657"/>
      <c r="E14" s="657"/>
      <c r="F14" s="657"/>
      <c r="G14" s="657"/>
      <c r="H14" s="657"/>
      <c r="I14" s="798"/>
      <c r="J14" s="348" t="s">
        <v>58</v>
      </c>
      <c r="K14" s="349">
        <f>M14/'生產管理報表 7-1 (週)'!$B$10</f>
        <v>0</v>
      </c>
      <c r="L14" s="348" t="s">
        <v>59</v>
      </c>
      <c r="M14" s="326">
        <f>SUM(M9:M13)</f>
        <v>0</v>
      </c>
      <c r="N14" s="755"/>
      <c r="O14" s="756"/>
      <c r="P14" s="757"/>
      <c r="S14" s="342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  <c r="BW14" s="233"/>
    </row>
    <row r="15" spans="1:75" ht="15.75" customHeight="1" thickTop="1"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S15" s="34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  <c r="BW15" s="233"/>
    </row>
    <row r="16" spans="1:75" ht="15.75" customHeight="1">
      <c r="A16" s="737" t="s">
        <v>191</v>
      </c>
      <c r="B16" s="738"/>
      <c r="C16" s="254" t="s">
        <v>47</v>
      </c>
      <c r="D16" s="653" t="s">
        <v>12</v>
      </c>
      <c r="E16" s="654"/>
      <c r="F16" s="655"/>
      <c r="G16" s="653" t="s">
        <v>53</v>
      </c>
      <c r="H16" s="654"/>
      <c r="I16" s="655"/>
      <c r="J16" s="256" t="s">
        <v>54</v>
      </c>
      <c r="K16" s="256" t="s">
        <v>55</v>
      </c>
      <c r="L16" s="256" t="s">
        <v>56</v>
      </c>
      <c r="M16" s="256" t="s">
        <v>11</v>
      </c>
      <c r="N16" s="257" t="s">
        <v>333</v>
      </c>
      <c r="O16" s="746" t="s">
        <v>51</v>
      </c>
      <c r="P16" s="747"/>
      <c r="S16" s="342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</row>
    <row r="17" spans="1:36" ht="20.149999999999999" customHeight="1">
      <c r="A17" s="790">
        <v>2</v>
      </c>
      <c r="B17" s="793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62"/>
      <c r="O17" s="748"/>
      <c r="P17" s="749"/>
      <c r="S17" s="34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</row>
    <row r="18" spans="1:36" ht="20.149999999999999" customHeight="1">
      <c r="A18" s="791"/>
      <c r="B18" s="794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62"/>
      <c r="O18" s="748"/>
      <c r="P18" s="749"/>
      <c r="S18" s="342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</row>
    <row r="19" spans="1:36" ht="20.149999999999999" customHeight="1">
      <c r="A19" s="791"/>
      <c r="B19" s="794"/>
      <c r="C19" s="258">
        <v>3</v>
      </c>
      <c r="D19" s="239"/>
      <c r="E19" s="240"/>
      <c r="F19" s="241"/>
      <c r="G19" s="239"/>
      <c r="H19" s="240"/>
      <c r="I19" s="241"/>
      <c r="J19" s="259"/>
      <c r="K19" s="260"/>
      <c r="L19" s="259"/>
      <c r="M19" s="261">
        <f t="shared" si="1"/>
        <v>0</v>
      </c>
      <c r="N19" s="262"/>
      <c r="O19" s="748"/>
      <c r="P19" s="749"/>
      <c r="S19" s="34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</row>
    <row r="20" spans="1:36" ht="20.149999999999999" customHeight="1">
      <c r="A20" s="791"/>
      <c r="B20" s="794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62"/>
      <c r="O20" s="748"/>
      <c r="P20" s="749"/>
      <c r="S20" s="342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</row>
    <row r="21" spans="1:36" ht="20.149999999999999" customHeight="1" thickBot="1">
      <c r="A21" s="791"/>
      <c r="B21" s="794"/>
      <c r="C21" s="264">
        <v>5</v>
      </c>
      <c r="D21" s="246"/>
      <c r="E21" s="247"/>
      <c r="F21" s="248"/>
      <c r="G21" s="246"/>
      <c r="H21" s="247"/>
      <c r="I21" s="248"/>
      <c r="J21" s="265"/>
      <c r="K21" s="266"/>
      <c r="L21" s="265"/>
      <c r="M21" s="267">
        <f t="shared" si="1"/>
        <v>0</v>
      </c>
      <c r="N21" s="268"/>
      <c r="O21" s="748"/>
      <c r="P21" s="749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</row>
    <row r="22" spans="1:36" ht="15.75" customHeight="1" thickTop="1" thickBot="1">
      <c r="A22" s="792"/>
      <c r="B22" s="795"/>
      <c r="C22" s="656"/>
      <c r="D22" s="657"/>
      <c r="E22" s="657"/>
      <c r="F22" s="657"/>
      <c r="G22" s="657"/>
      <c r="H22" s="657"/>
      <c r="I22" s="798"/>
      <c r="J22" s="348" t="s">
        <v>58</v>
      </c>
      <c r="K22" s="349">
        <f>M22/'生產管理報表 7-1 (週)'!$B$10</f>
        <v>0</v>
      </c>
      <c r="L22" s="348" t="s">
        <v>59</v>
      </c>
      <c r="M22" s="252">
        <f>SUM(M17:M21)</f>
        <v>0</v>
      </c>
      <c r="N22" s="750"/>
      <c r="O22" s="751"/>
      <c r="P22" s="752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</row>
    <row r="23" spans="1:36" ht="15.75" customHeight="1" thickTop="1"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</row>
    <row r="24" spans="1:36" ht="15.75" customHeight="1">
      <c r="A24" s="737" t="s">
        <v>191</v>
      </c>
      <c r="B24" s="738"/>
      <c r="C24" s="254" t="s">
        <v>47</v>
      </c>
      <c r="D24" s="653" t="s">
        <v>12</v>
      </c>
      <c r="E24" s="654"/>
      <c r="F24" s="655"/>
      <c r="G24" s="653" t="s">
        <v>53</v>
      </c>
      <c r="H24" s="654"/>
      <c r="I24" s="789"/>
      <c r="J24" s="255" t="s">
        <v>54</v>
      </c>
      <c r="K24" s="256" t="s">
        <v>55</v>
      </c>
      <c r="L24" s="256" t="s">
        <v>56</v>
      </c>
      <c r="M24" s="256" t="s">
        <v>11</v>
      </c>
      <c r="N24" s="257" t="s">
        <v>333</v>
      </c>
      <c r="O24" s="744" t="s">
        <v>51</v>
      </c>
      <c r="P24" s="745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</row>
    <row r="25" spans="1:36" ht="20.149999999999999" customHeight="1">
      <c r="A25" s="790">
        <v>3</v>
      </c>
      <c r="B25" s="793" t="s">
        <v>424</v>
      </c>
      <c r="C25" s="258">
        <v>1</v>
      </c>
      <c r="D25" s="239"/>
      <c r="E25" s="240"/>
      <c r="F25" s="241"/>
      <c r="G25" s="239"/>
      <c r="H25" s="240"/>
      <c r="I25" s="241"/>
      <c r="J25" s="259"/>
      <c r="K25" s="260"/>
      <c r="L25" s="259"/>
      <c r="M25" s="327">
        <f t="shared" ref="M25:M29" si="2">L25*J25</f>
        <v>0</v>
      </c>
      <c r="N25" s="272"/>
      <c r="O25" s="739"/>
      <c r="P25" s="740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</row>
    <row r="26" spans="1:36" ht="20.149999999999999" customHeight="1">
      <c r="A26" s="791"/>
      <c r="B26" s="794"/>
      <c r="C26" s="258">
        <v>2</v>
      </c>
      <c r="D26" s="239"/>
      <c r="E26" s="240"/>
      <c r="F26" s="241"/>
      <c r="G26" s="239"/>
      <c r="H26" s="240"/>
      <c r="I26" s="241"/>
      <c r="J26" s="259"/>
      <c r="K26" s="260"/>
      <c r="L26" s="259"/>
      <c r="M26" s="327">
        <f t="shared" si="2"/>
        <v>0</v>
      </c>
      <c r="N26" s="272"/>
      <c r="O26" s="739"/>
      <c r="P26" s="740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</row>
    <row r="27" spans="1:36" ht="20.149999999999999" customHeight="1">
      <c r="A27" s="791"/>
      <c r="B27" s="794"/>
      <c r="C27" s="258">
        <v>3</v>
      </c>
      <c r="D27" s="239"/>
      <c r="E27" s="240"/>
      <c r="F27" s="241"/>
      <c r="G27" s="239"/>
      <c r="H27" s="240"/>
      <c r="I27" s="241"/>
      <c r="J27" s="259"/>
      <c r="K27" s="260"/>
      <c r="L27" s="259"/>
      <c r="M27" s="327">
        <f t="shared" si="2"/>
        <v>0</v>
      </c>
      <c r="N27" s="272"/>
      <c r="O27" s="739"/>
      <c r="P27" s="740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</row>
    <row r="28" spans="1:36" ht="20.149999999999999" customHeight="1">
      <c r="A28" s="791"/>
      <c r="B28" s="794"/>
      <c r="C28" s="258">
        <v>4</v>
      </c>
      <c r="D28" s="239"/>
      <c r="E28" s="240"/>
      <c r="F28" s="241"/>
      <c r="G28" s="239"/>
      <c r="H28" s="240"/>
      <c r="I28" s="270"/>
      <c r="J28" s="271"/>
      <c r="K28" s="260"/>
      <c r="L28" s="259"/>
      <c r="M28" s="327">
        <f t="shared" si="2"/>
        <v>0</v>
      </c>
      <c r="N28" s="272"/>
      <c r="O28" s="739"/>
      <c r="P28" s="740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</row>
    <row r="29" spans="1:36" ht="20.149999999999999" customHeight="1" thickBot="1">
      <c r="A29" s="791"/>
      <c r="B29" s="794"/>
      <c r="C29" s="264">
        <v>5</v>
      </c>
      <c r="D29" s="246"/>
      <c r="E29" s="247"/>
      <c r="F29" s="248"/>
      <c r="G29" s="246"/>
      <c r="H29" s="247"/>
      <c r="I29" s="273"/>
      <c r="J29" s="274"/>
      <c r="K29" s="266"/>
      <c r="L29" s="275"/>
      <c r="M29" s="327">
        <f t="shared" si="2"/>
        <v>0</v>
      </c>
      <c r="N29" s="272"/>
      <c r="O29" s="739"/>
      <c r="P29" s="740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</row>
    <row r="30" spans="1:36" ht="15.75" customHeight="1" thickTop="1" thickBot="1">
      <c r="A30" s="792"/>
      <c r="B30" s="795"/>
      <c r="C30" s="656"/>
      <c r="D30" s="657"/>
      <c r="E30" s="657"/>
      <c r="F30" s="657"/>
      <c r="G30" s="657"/>
      <c r="H30" s="657"/>
      <c r="I30" s="798"/>
      <c r="J30" s="350" t="s">
        <v>58</v>
      </c>
      <c r="K30" s="349">
        <f>M30/'生產管理報表 7-1 (週)'!$B$10</f>
        <v>0</v>
      </c>
      <c r="L30" s="350" t="s">
        <v>59</v>
      </c>
      <c r="M30" s="328">
        <f>SUM(M25:M29)</f>
        <v>0</v>
      </c>
      <c r="N30" s="741"/>
      <c r="O30" s="742"/>
      <c r="P30" s="74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</row>
    <row r="31" spans="1:36" ht="15.75" customHeight="1" thickTop="1"/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U143"/>
  <sheetViews>
    <sheetView view="pageBreakPreview" topLeftCell="A21" zoomScaleNormal="60" zoomScaleSheetLayoutView="100" workbookViewId="0">
      <selection activeCell="O141" sqref="O137:P141"/>
    </sheetView>
  </sheetViews>
  <sheetFormatPr defaultColWidth="12.54296875" defaultRowHeight="15.75" customHeight="1"/>
  <cols>
    <col min="1" max="1" width="5.453125" style="291" customWidth="1"/>
    <col min="2" max="2" width="11.453125" style="299" customWidth="1"/>
    <col min="3" max="3" width="4" style="300" customWidth="1"/>
    <col min="4" max="4" width="9.54296875" style="291" customWidth="1"/>
    <col min="5" max="5" width="10.26953125" style="291" customWidth="1"/>
    <col min="6" max="15" width="9.54296875" style="291" customWidth="1"/>
    <col min="16" max="16" width="35.453125" style="291" customWidth="1"/>
    <col min="17" max="17" width="12.54296875" style="291"/>
    <col min="18" max="18" width="27.453125" style="291" bestFit="1" customWidth="1"/>
    <col min="19" max="16384" width="12.54296875" style="291"/>
  </cols>
  <sheetData>
    <row r="1" spans="1:21" s="136" customFormat="1" ht="15.75" customHeight="1">
      <c r="A1" s="638" t="s">
        <v>362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</row>
    <row r="2" spans="1:21" s="137" customFormat="1" ht="15.75" customHeight="1">
      <c r="A2" s="638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8"/>
    </row>
    <row r="3" spans="1:21" s="136" customFormat="1" ht="15.75" customHeight="1">
      <c r="A3" s="806" t="s">
        <v>623</v>
      </c>
      <c r="B3" s="806"/>
      <c r="C3" s="806"/>
      <c r="D3" s="806"/>
      <c r="E3" s="806"/>
      <c r="F3" s="806"/>
      <c r="G3" s="806"/>
      <c r="H3" s="806"/>
      <c r="I3" s="806"/>
      <c r="J3" s="806"/>
      <c r="K3" s="806"/>
      <c r="L3" s="806"/>
      <c r="M3" s="806"/>
      <c r="R3" s="233"/>
      <c r="S3" s="233"/>
      <c r="T3" s="233"/>
      <c r="U3" s="233"/>
    </row>
    <row r="4" spans="1:21" s="137" customFormat="1" ht="15.75" customHeight="1">
      <c r="A4" s="734"/>
      <c r="B4" s="734"/>
      <c r="C4" s="734"/>
      <c r="D4" s="734"/>
      <c r="E4" s="734"/>
      <c r="F4" s="734"/>
      <c r="G4" s="734"/>
      <c r="H4" s="734"/>
      <c r="I4" s="734"/>
      <c r="J4" s="734"/>
      <c r="K4" s="734"/>
      <c r="L4" s="734"/>
      <c r="M4" s="734"/>
    </row>
    <row r="5" spans="1:21" s="136" customFormat="1" ht="15.75" customHeight="1">
      <c r="A5" s="735" t="s">
        <v>191</v>
      </c>
      <c r="B5" s="737">
        <v>1</v>
      </c>
      <c r="C5" s="738"/>
      <c r="D5" s="737">
        <v>2</v>
      </c>
      <c r="E5" s="738"/>
      <c r="F5" s="737">
        <v>3</v>
      </c>
      <c r="G5" s="738"/>
      <c r="H5" s="728">
        <v>4</v>
      </c>
      <c r="I5" s="729"/>
      <c r="J5" s="728">
        <v>5</v>
      </c>
      <c r="K5" s="729"/>
      <c r="L5" s="728">
        <v>6</v>
      </c>
      <c r="M5" s="729"/>
      <c r="N5" s="728">
        <v>7</v>
      </c>
      <c r="O5" s="729"/>
      <c r="P5" s="329">
        <v>8</v>
      </c>
    </row>
    <row r="6" spans="1:21" s="136" customFormat="1" ht="15.75" customHeight="1">
      <c r="A6" s="736"/>
      <c r="B6" s="732" t="s">
        <v>454</v>
      </c>
      <c r="C6" s="733"/>
      <c r="D6" s="732" t="s">
        <v>212</v>
      </c>
      <c r="E6" s="733"/>
      <c r="F6" s="732" t="s">
        <v>166</v>
      </c>
      <c r="G6" s="733"/>
      <c r="H6" s="730" t="s">
        <v>430</v>
      </c>
      <c r="I6" s="731"/>
      <c r="J6" s="730" t="s">
        <v>189</v>
      </c>
      <c r="K6" s="731"/>
      <c r="L6" s="730" t="s">
        <v>167</v>
      </c>
      <c r="M6" s="731"/>
      <c r="N6" s="730" t="s">
        <v>190</v>
      </c>
      <c r="O6" s="731"/>
      <c r="P6" s="330" t="s">
        <v>217</v>
      </c>
    </row>
    <row r="7" spans="1:21" s="136" customFormat="1" ht="15.75" customHeight="1">
      <c r="B7" s="234"/>
      <c r="C7" s="235"/>
    </row>
    <row r="8" spans="1:21" s="280" customFormat="1" ht="15.75" customHeight="1">
      <c r="A8" s="672" t="s">
        <v>191</v>
      </c>
      <c r="B8" s="673"/>
      <c r="C8" s="277" t="s">
        <v>47</v>
      </c>
      <c r="D8" s="702" t="s">
        <v>12</v>
      </c>
      <c r="E8" s="703"/>
      <c r="F8" s="704"/>
      <c r="G8" s="705" t="s">
        <v>53</v>
      </c>
      <c r="H8" s="706"/>
      <c r="I8" s="707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680" t="s">
        <v>51</v>
      </c>
      <c r="P8" s="681"/>
      <c r="R8" s="342"/>
      <c r="S8" s="343"/>
    </row>
    <row r="9" spans="1:21" s="300" customFormat="1" ht="60" customHeight="1">
      <c r="A9" s="682">
        <v>4</v>
      </c>
      <c r="B9" s="716" t="s">
        <v>430</v>
      </c>
      <c r="C9" s="281">
        <v>1</v>
      </c>
      <c r="D9" s="239" t="s">
        <v>359</v>
      </c>
      <c r="E9" s="240"/>
      <c r="F9" s="241"/>
      <c r="G9" s="356" t="s">
        <v>358</v>
      </c>
      <c r="H9" s="307"/>
      <c r="I9" s="308"/>
      <c r="J9" s="314">
        <v>152.75</v>
      </c>
      <c r="K9" s="315">
        <v>4.8946515397082658E-3</v>
      </c>
      <c r="L9" s="316">
        <v>38.200000000000045</v>
      </c>
      <c r="M9" s="324">
        <f t="shared" ref="M9:M13" si="0">L9*J9</f>
        <v>5835.0500000000065</v>
      </c>
      <c r="N9" s="316"/>
      <c r="O9" s="712" t="s">
        <v>637</v>
      </c>
      <c r="P9" s="713"/>
      <c r="R9" s="403"/>
      <c r="S9" s="343"/>
    </row>
    <row r="10" spans="1:21" s="300" customFormat="1" ht="60" customHeight="1">
      <c r="A10" s="683"/>
      <c r="B10" s="717"/>
      <c r="C10" s="281">
        <v>2</v>
      </c>
      <c r="D10" s="239" t="s">
        <v>341</v>
      </c>
      <c r="E10" s="240"/>
      <c r="F10" s="241"/>
      <c r="G10" s="308" t="s">
        <v>551</v>
      </c>
      <c r="H10" s="307"/>
      <c r="I10" s="308"/>
      <c r="J10" s="314">
        <v>66.13</v>
      </c>
      <c r="K10" s="315">
        <v>7.0558225589262445E-3</v>
      </c>
      <c r="L10" s="316">
        <v>79.240000000000009</v>
      </c>
      <c r="M10" s="324">
        <f t="shared" si="0"/>
        <v>5240.1412</v>
      </c>
      <c r="N10" s="316"/>
      <c r="O10" s="712" t="s">
        <v>636</v>
      </c>
      <c r="P10" s="713"/>
      <c r="R10" s="403"/>
      <c r="S10" s="404"/>
      <c r="T10" s="338"/>
    </row>
    <row r="11" spans="1:21" s="300" customFormat="1" ht="60" customHeight="1">
      <c r="A11" s="683"/>
      <c r="B11" s="717"/>
      <c r="C11" s="281">
        <v>3</v>
      </c>
      <c r="D11" s="239" t="s">
        <v>460</v>
      </c>
      <c r="E11" s="240"/>
      <c r="F11" s="241"/>
      <c r="G11" s="308" t="s">
        <v>466</v>
      </c>
      <c r="H11" s="307"/>
      <c r="I11" s="308"/>
      <c r="J11" s="314">
        <v>629</v>
      </c>
      <c r="K11" s="315">
        <v>4.9655833704325197E-3</v>
      </c>
      <c r="L11" s="316">
        <v>9.6800000000000068</v>
      </c>
      <c r="M11" s="324">
        <f t="shared" si="0"/>
        <v>6088.7200000000039</v>
      </c>
      <c r="N11" s="316"/>
      <c r="O11" s="721" t="s">
        <v>554</v>
      </c>
      <c r="P11" s="722"/>
      <c r="R11" s="403"/>
      <c r="S11" s="405"/>
    </row>
    <row r="12" spans="1:21" s="300" customFormat="1" ht="60" customHeight="1">
      <c r="A12" s="683"/>
      <c r="B12" s="717"/>
      <c r="C12" s="281">
        <v>4</v>
      </c>
      <c r="D12" s="239" t="s">
        <v>473</v>
      </c>
      <c r="E12" s="240"/>
      <c r="F12" s="241"/>
      <c r="G12" s="308" t="s">
        <v>472</v>
      </c>
      <c r="H12" s="307"/>
      <c r="I12" s="308"/>
      <c r="J12" s="314">
        <v>266.27999999999997</v>
      </c>
      <c r="K12" s="315">
        <v>1.8497802928940654E-3</v>
      </c>
      <c r="L12" s="316">
        <v>16.630000000000109</v>
      </c>
      <c r="M12" s="324">
        <f t="shared" si="0"/>
        <v>4428.2364000000289</v>
      </c>
      <c r="N12" s="316"/>
      <c r="O12" s="721" t="s">
        <v>656</v>
      </c>
      <c r="P12" s="722"/>
      <c r="R12" s="403"/>
      <c r="S12" s="404"/>
      <c r="T12" s="338"/>
    </row>
    <row r="13" spans="1:21" s="300" customFormat="1" ht="60" customHeight="1" thickBot="1">
      <c r="A13" s="683"/>
      <c r="B13" s="717"/>
      <c r="C13" s="281">
        <v>5</v>
      </c>
      <c r="D13" s="239" t="s">
        <v>435</v>
      </c>
      <c r="E13" s="247"/>
      <c r="F13" s="248"/>
      <c r="G13" s="308" t="s">
        <v>434</v>
      </c>
      <c r="H13" s="307"/>
      <c r="I13" s="308"/>
      <c r="J13" s="318">
        <v>368.13999999999993</v>
      </c>
      <c r="K13" s="250">
        <v>5.9832559832559834E-3</v>
      </c>
      <c r="L13" s="319">
        <v>12.649999999999977</v>
      </c>
      <c r="M13" s="324">
        <f t="shared" si="0"/>
        <v>4656.9709999999905</v>
      </c>
      <c r="N13" s="316"/>
      <c r="O13" s="721" t="s">
        <v>657</v>
      </c>
      <c r="P13" s="722"/>
      <c r="R13" s="406"/>
      <c r="S13" s="405"/>
      <c r="T13" s="291"/>
    </row>
    <row r="14" spans="1:21" ht="15.75" customHeight="1" thickTop="1" thickBot="1">
      <c r="A14" s="684"/>
      <c r="B14" s="718"/>
      <c r="C14" s="725"/>
      <c r="D14" s="726"/>
      <c r="E14" s="726"/>
      <c r="F14" s="726"/>
      <c r="G14" s="726"/>
      <c r="H14" s="726"/>
      <c r="I14" s="727"/>
      <c r="J14" s="351" t="s">
        <v>58</v>
      </c>
      <c r="K14" s="349">
        <f>M14/'生產管理報表 7-1 (週)'!$B$10</f>
        <v>9.2800131352549858E-2</v>
      </c>
      <c r="L14" s="352" t="s">
        <v>59</v>
      </c>
      <c r="M14" s="353">
        <f>SUM(M9:M13)</f>
        <v>26249.118600000031</v>
      </c>
      <c r="N14" s="669"/>
      <c r="O14" s="670"/>
      <c r="P14" s="671"/>
      <c r="R14" s="342"/>
      <c r="S14" s="342"/>
    </row>
    <row r="15" spans="1:21" ht="15.75" customHeight="1" thickTop="1">
      <c r="M15" s="331"/>
      <c r="S15" s="343"/>
    </row>
    <row r="16" spans="1:21" ht="15.75" customHeight="1">
      <c r="A16" s="672" t="s">
        <v>191</v>
      </c>
      <c r="B16" s="673"/>
      <c r="C16" s="277" t="s">
        <v>47</v>
      </c>
      <c r="D16" s="702" t="s">
        <v>12</v>
      </c>
      <c r="E16" s="703"/>
      <c r="F16" s="704"/>
      <c r="G16" s="705" t="s">
        <v>53</v>
      </c>
      <c r="H16" s="706"/>
      <c r="I16" s="707"/>
      <c r="J16" s="387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680" t="s">
        <v>51</v>
      </c>
      <c r="P16" s="681"/>
      <c r="S16" s="342"/>
      <c r="T16" s="338"/>
    </row>
    <row r="17" spans="1:20" s="300" customFormat="1" ht="60" customHeight="1">
      <c r="A17" s="682">
        <v>5</v>
      </c>
      <c r="B17" s="695" t="s">
        <v>215</v>
      </c>
      <c r="C17" s="281">
        <v>1</v>
      </c>
      <c r="D17" s="239" t="s">
        <v>340</v>
      </c>
      <c r="E17" s="240"/>
      <c r="F17" s="241"/>
      <c r="G17" s="308" t="s">
        <v>336</v>
      </c>
      <c r="H17" s="307"/>
      <c r="I17" s="308"/>
      <c r="J17" s="314">
        <v>147.43000000000004</v>
      </c>
      <c r="K17" s="315">
        <v>1.9463405817969496E-3</v>
      </c>
      <c r="L17" s="316">
        <v>111.10999999999967</v>
      </c>
      <c r="M17" s="324">
        <f>L17*J17</f>
        <v>16380.947299999956</v>
      </c>
      <c r="N17" s="316"/>
      <c r="O17" s="761" t="s">
        <v>531</v>
      </c>
      <c r="P17" s="762"/>
      <c r="S17" s="405"/>
      <c r="T17" s="338"/>
    </row>
    <row r="18" spans="1:20" s="300" customFormat="1" ht="25" customHeight="1">
      <c r="A18" s="683"/>
      <c r="B18" s="696"/>
      <c r="C18" s="281">
        <v>2</v>
      </c>
      <c r="D18" s="239"/>
      <c r="E18" s="240"/>
      <c r="F18" s="241"/>
      <c r="G18" s="308"/>
      <c r="H18" s="307"/>
      <c r="I18" s="308"/>
      <c r="J18" s="314"/>
      <c r="K18" s="315"/>
      <c r="L18" s="316"/>
      <c r="M18" s="324">
        <f t="shared" ref="M18:M21" si="1">L18*J18</f>
        <v>0</v>
      </c>
      <c r="N18" s="316"/>
      <c r="O18" s="700"/>
      <c r="P18" s="701"/>
      <c r="S18" s="342"/>
      <c r="T18" s="339"/>
    </row>
    <row r="19" spans="1:20" ht="25" customHeight="1">
      <c r="A19" s="683"/>
      <c r="B19" s="696"/>
      <c r="C19" s="281">
        <v>3</v>
      </c>
      <c r="D19" s="239"/>
      <c r="E19" s="240"/>
      <c r="F19" s="241"/>
      <c r="G19" s="356"/>
      <c r="H19" s="307"/>
      <c r="I19" s="308"/>
      <c r="J19" s="314"/>
      <c r="K19" s="315"/>
      <c r="L19" s="316"/>
      <c r="M19" s="324">
        <f t="shared" si="1"/>
        <v>0</v>
      </c>
      <c r="N19" s="290"/>
      <c r="O19" s="690"/>
      <c r="P19" s="691"/>
    </row>
    <row r="20" spans="1:20" ht="25" customHeight="1">
      <c r="A20" s="683"/>
      <c r="B20" s="696"/>
      <c r="C20" s="281">
        <v>4</v>
      </c>
      <c r="D20" s="282"/>
      <c r="E20" s="283"/>
      <c r="F20" s="284"/>
      <c r="G20" s="356"/>
      <c r="H20" s="307"/>
      <c r="I20" s="308"/>
      <c r="J20" s="288"/>
      <c r="K20" s="289"/>
      <c r="L20" s="290"/>
      <c r="M20" s="324">
        <f t="shared" si="1"/>
        <v>0</v>
      </c>
      <c r="N20" s="290"/>
      <c r="O20" s="301"/>
      <c r="P20" s="302"/>
    </row>
    <row r="21" spans="1:20" ht="25" customHeight="1" thickBot="1">
      <c r="A21" s="683"/>
      <c r="B21" s="696"/>
      <c r="C21" s="281">
        <v>5</v>
      </c>
      <c r="D21" s="292"/>
      <c r="E21" s="293"/>
      <c r="F21" s="294"/>
      <c r="G21" s="356"/>
      <c r="H21" s="307"/>
      <c r="I21" s="308"/>
      <c r="J21" s="295"/>
      <c r="K21" s="250"/>
      <c r="L21" s="296"/>
      <c r="M21" s="324">
        <f t="shared" si="1"/>
        <v>0</v>
      </c>
      <c r="N21" s="290"/>
      <c r="O21" s="303"/>
      <c r="P21" s="304"/>
      <c r="R21" s="346"/>
    </row>
    <row r="22" spans="1:20" ht="15.75" customHeight="1" thickTop="1" thickBot="1">
      <c r="A22" s="684"/>
      <c r="B22" s="697"/>
      <c r="C22" s="692"/>
      <c r="D22" s="693"/>
      <c r="E22" s="693"/>
      <c r="F22" s="693"/>
      <c r="G22" s="693"/>
      <c r="H22" s="693"/>
      <c r="I22" s="694"/>
      <c r="J22" s="351" t="s">
        <v>58</v>
      </c>
      <c r="K22" s="349">
        <f>M22/'生產管理報表 7-1 (週)'!$B$10</f>
        <v>5.7912575438597437E-2</v>
      </c>
      <c r="L22" s="352" t="s">
        <v>59</v>
      </c>
      <c r="M22" s="353">
        <f>SUM(M17:M21)</f>
        <v>16380.947299999956</v>
      </c>
      <c r="N22" s="669"/>
      <c r="O22" s="670"/>
      <c r="P22" s="671"/>
      <c r="R22" s="342"/>
    </row>
    <row r="23" spans="1:20" ht="15.75" customHeight="1" thickTop="1">
      <c r="K23" s="291" t="s">
        <v>458</v>
      </c>
      <c r="M23" s="331"/>
      <c r="R23" s="342"/>
    </row>
    <row r="24" spans="1:20" ht="25" customHeight="1">
      <c r="A24" s="672" t="s">
        <v>191</v>
      </c>
      <c r="B24" s="673"/>
      <c r="C24" s="305" t="s">
        <v>47</v>
      </c>
      <c r="D24" s="674" t="s">
        <v>12</v>
      </c>
      <c r="E24" s="675"/>
      <c r="F24" s="676"/>
      <c r="G24" s="677" t="s">
        <v>53</v>
      </c>
      <c r="H24" s="678"/>
      <c r="I24" s="679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680" t="s">
        <v>51</v>
      </c>
      <c r="P24" s="681"/>
      <c r="R24" s="342"/>
    </row>
    <row r="25" spans="1:20" ht="55" customHeight="1">
      <c r="A25" s="682">
        <v>6</v>
      </c>
      <c r="B25" s="695" t="s">
        <v>216</v>
      </c>
      <c r="C25" s="281">
        <v>1</v>
      </c>
      <c r="D25" s="347" t="s">
        <v>340</v>
      </c>
      <c r="E25" s="283"/>
      <c r="F25" s="284"/>
      <c r="G25" s="308" t="s">
        <v>538</v>
      </c>
      <c r="H25" s="307"/>
      <c r="I25" s="308"/>
      <c r="J25" s="314">
        <v>39.389999999999993</v>
      </c>
      <c r="K25" s="315">
        <v>9.8903901396435066E-4</v>
      </c>
      <c r="L25" s="316">
        <v>330.73999999999796</v>
      </c>
      <c r="M25" s="324">
        <f t="shared" ref="M25:M29" si="2">L25*J25</f>
        <v>13027.848599999917</v>
      </c>
      <c r="N25" s="290"/>
      <c r="O25" s="723" t="s">
        <v>548</v>
      </c>
      <c r="P25" s="724"/>
      <c r="R25" s="339"/>
      <c r="S25" s="339"/>
    </row>
    <row r="26" spans="1:20" ht="55" customHeight="1">
      <c r="A26" s="683"/>
      <c r="B26" s="696"/>
      <c r="C26" s="281">
        <v>2</v>
      </c>
      <c r="D26" s="239" t="s">
        <v>465</v>
      </c>
      <c r="E26" s="283"/>
      <c r="F26" s="284"/>
      <c r="G26" s="308" t="s">
        <v>463</v>
      </c>
      <c r="H26" s="307"/>
      <c r="I26" s="308"/>
      <c r="J26" s="314">
        <v>407.74000000000007</v>
      </c>
      <c r="K26" s="315">
        <v>5.5205047318611991E-3</v>
      </c>
      <c r="L26" s="316">
        <v>15.759999999999991</v>
      </c>
      <c r="M26" s="324">
        <f t="shared" si="2"/>
        <v>6425.9823999999971</v>
      </c>
      <c r="N26" s="290"/>
      <c r="O26" s="723" t="s">
        <v>541</v>
      </c>
      <c r="P26" s="724"/>
      <c r="R26" s="339"/>
      <c r="S26" s="339"/>
    </row>
    <row r="27" spans="1:20" ht="55" customHeight="1">
      <c r="A27" s="683"/>
      <c r="B27" s="696"/>
      <c r="C27" s="281">
        <v>3</v>
      </c>
      <c r="D27" s="239" t="s">
        <v>342</v>
      </c>
      <c r="E27" s="283"/>
      <c r="F27" s="284"/>
      <c r="G27" s="308" t="s">
        <v>461</v>
      </c>
      <c r="H27" s="307"/>
      <c r="I27" s="308"/>
      <c r="J27" s="314">
        <v>605.77999999999986</v>
      </c>
      <c r="K27" s="315">
        <v>2.4467637726038921E-3</v>
      </c>
      <c r="L27" s="316">
        <v>16.549999999999955</v>
      </c>
      <c r="M27" s="324">
        <f t="shared" si="2"/>
        <v>10025.658999999971</v>
      </c>
      <c r="N27" s="290"/>
      <c r="O27" s="723" t="s">
        <v>649</v>
      </c>
      <c r="P27" s="724"/>
      <c r="R27" s="339"/>
    </row>
    <row r="28" spans="1:20" ht="55" customHeight="1">
      <c r="A28" s="683"/>
      <c r="B28" s="696"/>
      <c r="C28" s="281">
        <v>4</v>
      </c>
      <c r="D28" s="239" t="s">
        <v>549</v>
      </c>
      <c r="E28" s="283"/>
      <c r="F28" s="284"/>
      <c r="G28" s="308" t="s">
        <v>550</v>
      </c>
      <c r="H28" s="307"/>
      <c r="I28" s="308"/>
      <c r="J28" s="314">
        <v>62.43</v>
      </c>
      <c r="K28" s="315">
        <v>5.0760780750653831E-3</v>
      </c>
      <c r="L28" s="316">
        <v>105.88999999999987</v>
      </c>
      <c r="M28" s="324">
        <f t="shared" si="2"/>
        <v>6610.7126999999919</v>
      </c>
      <c r="N28" s="290"/>
      <c r="O28" s="723" t="s">
        <v>548</v>
      </c>
      <c r="P28" s="724"/>
      <c r="R28" s="339"/>
      <c r="S28" s="339"/>
    </row>
    <row r="29" spans="1:20" ht="54.75" customHeight="1" thickBot="1">
      <c r="A29" s="683"/>
      <c r="B29" s="696"/>
      <c r="C29" s="281">
        <v>5</v>
      </c>
      <c r="D29" s="246" t="s">
        <v>537</v>
      </c>
      <c r="E29" s="293"/>
      <c r="F29" s="294"/>
      <c r="G29" s="308" t="s">
        <v>585</v>
      </c>
      <c r="H29" s="307"/>
      <c r="I29" s="308"/>
      <c r="J29" s="318">
        <v>40.04</v>
      </c>
      <c r="K29" s="250">
        <v>5.4455135825022824E-3</v>
      </c>
      <c r="L29" s="319">
        <v>134.5600000000004</v>
      </c>
      <c r="M29" s="324">
        <f t="shared" si="2"/>
        <v>5387.7824000000155</v>
      </c>
      <c r="N29" s="290"/>
      <c r="O29" s="723" t="s">
        <v>548</v>
      </c>
      <c r="P29" s="724"/>
    </row>
    <row r="30" spans="1:20" ht="15.75" customHeight="1" thickTop="1" thickBot="1">
      <c r="A30" s="684"/>
      <c r="B30" s="697"/>
      <c r="C30" s="692"/>
      <c r="D30" s="693"/>
      <c r="E30" s="693"/>
      <c r="F30" s="693"/>
      <c r="G30" s="693"/>
      <c r="H30" s="693"/>
      <c r="I30" s="694"/>
      <c r="J30" s="351" t="s">
        <v>58</v>
      </c>
      <c r="K30" s="349">
        <f>M30/'生產管理報表 7-1 (週)'!$B$10</f>
        <v>0.14663968433283286</v>
      </c>
      <c r="L30" s="352" t="s">
        <v>59</v>
      </c>
      <c r="M30" s="353">
        <f>SUM(M25:M29)</f>
        <v>41477.985099999896</v>
      </c>
      <c r="N30" s="669"/>
      <c r="O30" s="670"/>
      <c r="P30" s="671"/>
    </row>
    <row r="31" spans="1:20" s="136" customFormat="1" ht="15.75" customHeight="1" thickTop="1">
      <c r="A31" s="639" t="s">
        <v>680</v>
      </c>
      <c r="B31" s="639"/>
      <c r="C31" s="639"/>
      <c r="D31" s="639"/>
      <c r="E31" s="639"/>
      <c r="F31" s="639"/>
      <c r="G31" s="639"/>
      <c r="H31" s="639"/>
      <c r="I31" s="639"/>
      <c r="J31" s="639"/>
      <c r="K31" s="639"/>
      <c r="L31" s="639"/>
      <c r="M31" s="639"/>
    </row>
    <row r="32" spans="1:20" s="137" customFormat="1" ht="15.75" customHeight="1">
      <c r="A32" s="734"/>
      <c r="B32" s="734"/>
      <c r="C32" s="734"/>
      <c r="D32" s="734"/>
      <c r="E32" s="734"/>
      <c r="F32" s="734"/>
      <c r="G32" s="734"/>
      <c r="H32" s="734"/>
      <c r="I32" s="734"/>
      <c r="J32" s="734"/>
      <c r="K32" s="734"/>
      <c r="L32" s="734"/>
      <c r="M32" s="734"/>
    </row>
    <row r="33" spans="1:20" s="136" customFormat="1" ht="15.75" customHeight="1">
      <c r="A33" s="735" t="s">
        <v>191</v>
      </c>
      <c r="B33" s="737">
        <v>1</v>
      </c>
      <c r="C33" s="738"/>
      <c r="D33" s="737">
        <v>2</v>
      </c>
      <c r="E33" s="738"/>
      <c r="F33" s="737">
        <v>3</v>
      </c>
      <c r="G33" s="738"/>
      <c r="H33" s="728">
        <v>4</v>
      </c>
      <c r="I33" s="729"/>
      <c r="J33" s="728">
        <v>5</v>
      </c>
      <c r="K33" s="729"/>
      <c r="L33" s="728">
        <v>6</v>
      </c>
      <c r="M33" s="729"/>
      <c r="N33" s="728">
        <v>7</v>
      </c>
      <c r="O33" s="729"/>
      <c r="P33" s="329">
        <v>8</v>
      </c>
    </row>
    <row r="34" spans="1:20" s="136" customFormat="1" ht="15.75" customHeight="1">
      <c r="A34" s="736"/>
      <c r="B34" s="732" t="s">
        <v>454</v>
      </c>
      <c r="C34" s="733"/>
      <c r="D34" s="732" t="s">
        <v>212</v>
      </c>
      <c r="E34" s="733"/>
      <c r="F34" s="732" t="s">
        <v>166</v>
      </c>
      <c r="G34" s="733"/>
      <c r="H34" s="730" t="s">
        <v>430</v>
      </c>
      <c r="I34" s="731"/>
      <c r="J34" s="730" t="s">
        <v>189</v>
      </c>
      <c r="K34" s="731"/>
      <c r="L34" s="730" t="s">
        <v>167</v>
      </c>
      <c r="M34" s="731"/>
      <c r="N34" s="730" t="s">
        <v>190</v>
      </c>
      <c r="O34" s="731"/>
      <c r="P34" s="330" t="s">
        <v>217</v>
      </c>
    </row>
    <row r="35" spans="1:20" s="136" customFormat="1" ht="15.75" customHeight="1">
      <c r="B35" s="234"/>
      <c r="C35" s="235"/>
    </row>
    <row r="36" spans="1:20" s="280" customFormat="1" ht="15.75" customHeight="1">
      <c r="A36" s="672" t="s">
        <v>191</v>
      </c>
      <c r="B36" s="673"/>
      <c r="C36" s="277" t="s">
        <v>47</v>
      </c>
      <c r="D36" s="702" t="s">
        <v>12</v>
      </c>
      <c r="E36" s="703"/>
      <c r="F36" s="704"/>
      <c r="G36" s="705" t="s">
        <v>53</v>
      </c>
      <c r="H36" s="706"/>
      <c r="I36" s="707"/>
      <c r="J36" s="278" t="s">
        <v>54</v>
      </c>
      <c r="K36" s="278" t="s">
        <v>55</v>
      </c>
      <c r="L36" s="278" t="s">
        <v>56</v>
      </c>
      <c r="M36" s="279" t="s">
        <v>11</v>
      </c>
      <c r="N36" s="279" t="s">
        <v>333</v>
      </c>
      <c r="O36" s="680" t="s">
        <v>51</v>
      </c>
      <c r="P36" s="681"/>
      <c r="R36" s="342"/>
      <c r="S36" s="343"/>
    </row>
    <row r="37" spans="1:20" s="300" customFormat="1" ht="60" customHeight="1">
      <c r="A37" s="682">
        <v>4</v>
      </c>
      <c r="B37" s="716" t="s">
        <v>430</v>
      </c>
      <c r="C37" s="281">
        <v>1</v>
      </c>
      <c r="D37" s="239"/>
      <c r="E37" s="240"/>
      <c r="F37" s="241"/>
      <c r="G37" s="308"/>
      <c r="H37" s="307"/>
      <c r="I37" s="308"/>
      <c r="J37" s="314"/>
      <c r="K37" s="315"/>
      <c r="L37" s="316"/>
      <c r="M37" s="324">
        <f t="shared" ref="M37:M41" si="3">L37*J37</f>
        <v>0</v>
      </c>
      <c r="N37" s="316"/>
      <c r="O37" s="712"/>
      <c r="P37" s="713"/>
      <c r="R37" s="403"/>
      <c r="S37" s="343"/>
    </row>
    <row r="38" spans="1:20" s="300" customFormat="1" ht="60" customHeight="1">
      <c r="A38" s="683"/>
      <c r="B38" s="717"/>
      <c r="C38" s="281">
        <v>2</v>
      </c>
      <c r="D38" s="239"/>
      <c r="E38" s="240"/>
      <c r="F38" s="241"/>
      <c r="G38" s="308"/>
      <c r="H38" s="307"/>
      <c r="I38" s="308"/>
      <c r="J38" s="314"/>
      <c r="K38" s="315"/>
      <c r="L38" s="316"/>
      <c r="M38" s="324">
        <f t="shared" si="3"/>
        <v>0</v>
      </c>
      <c r="N38" s="316"/>
      <c r="O38" s="712"/>
      <c r="P38" s="713"/>
      <c r="R38" s="403"/>
      <c r="S38" s="404"/>
      <c r="T38" s="338"/>
    </row>
    <row r="39" spans="1:20" s="300" customFormat="1" ht="60" customHeight="1">
      <c r="A39" s="683"/>
      <c r="B39" s="717"/>
      <c r="C39" s="281">
        <v>3</v>
      </c>
      <c r="D39" s="239"/>
      <c r="E39" s="240"/>
      <c r="F39" s="241"/>
      <c r="G39" s="308"/>
      <c r="H39" s="307"/>
      <c r="I39" s="308"/>
      <c r="J39" s="314"/>
      <c r="K39" s="315"/>
      <c r="L39" s="316"/>
      <c r="M39" s="324">
        <f t="shared" si="3"/>
        <v>0</v>
      </c>
      <c r="N39" s="316"/>
      <c r="O39" s="721"/>
      <c r="P39" s="722"/>
      <c r="R39" s="403"/>
      <c r="S39" s="405"/>
    </row>
    <row r="40" spans="1:20" s="300" customFormat="1" ht="60" customHeight="1">
      <c r="A40" s="683"/>
      <c r="B40" s="717"/>
      <c r="C40" s="281">
        <v>4</v>
      </c>
      <c r="D40" s="239"/>
      <c r="E40" s="240"/>
      <c r="F40" s="241"/>
      <c r="G40" s="308"/>
      <c r="H40" s="307"/>
      <c r="I40" s="308"/>
      <c r="J40" s="314"/>
      <c r="K40" s="315"/>
      <c r="L40" s="316"/>
      <c r="M40" s="324">
        <f t="shared" si="3"/>
        <v>0</v>
      </c>
      <c r="N40" s="316"/>
      <c r="O40" s="721"/>
      <c r="P40" s="722"/>
      <c r="R40" s="403"/>
      <c r="S40" s="404"/>
      <c r="T40" s="338"/>
    </row>
    <row r="41" spans="1:20" s="300" customFormat="1" ht="60" customHeight="1" thickBot="1">
      <c r="A41" s="683"/>
      <c r="B41" s="717"/>
      <c r="C41" s="281">
        <v>5</v>
      </c>
      <c r="D41" s="239"/>
      <c r="E41" s="247"/>
      <c r="F41" s="248"/>
      <c r="G41" s="308"/>
      <c r="H41" s="307"/>
      <c r="I41" s="308"/>
      <c r="J41" s="318"/>
      <c r="K41" s="250"/>
      <c r="L41" s="319"/>
      <c r="M41" s="324">
        <f t="shared" si="3"/>
        <v>0</v>
      </c>
      <c r="N41" s="316"/>
      <c r="O41" s="721"/>
      <c r="P41" s="722"/>
      <c r="R41" s="406"/>
      <c r="S41" s="405"/>
      <c r="T41" s="291"/>
    </row>
    <row r="42" spans="1:20" ht="15.75" customHeight="1" thickTop="1" thickBot="1">
      <c r="A42" s="684"/>
      <c r="B42" s="718"/>
      <c r="C42" s="725"/>
      <c r="D42" s="726"/>
      <c r="E42" s="726"/>
      <c r="F42" s="726"/>
      <c r="G42" s="726"/>
      <c r="H42" s="726"/>
      <c r="I42" s="727"/>
      <c r="J42" s="351" t="s">
        <v>58</v>
      </c>
      <c r="K42" s="349">
        <f>M42/'生產管理報表 7-1 (週)'!$B$21</f>
        <v>0</v>
      </c>
      <c r="L42" s="352" t="s">
        <v>59</v>
      </c>
      <c r="M42" s="353">
        <f>SUM(M37:M41)</f>
        <v>0</v>
      </c>
      <c r="N42" s="669"/>
      <c r="O42" s="670"/>
      <c r="P42" s="671"/>
      <c r="R42" s="342"/>
      <c r="S42" s="342"/>
    </row>
    <row r="43" spans="1:20" ht="15.75" customHeight="1" thickTop="1">
      <c r="M43" s="331"/>
      <c r="S43" s="343"/>
    </row>
    <row r="44" spans="1:20" ht="15.75" customHeight="1">
      <c r="A44" s="672" t="s">
        <v>191</v>
      </c>
      <c r="B44" s="673"/>
      <c r="C44" s="277" t="s">
        <v>47</v>
      </c>
      <c r="D44" s="702" t="s">
        <v>12</v>
      </c>
      <c r="E44" s="703"/>
      <c r="F44" s="704"/>
      <c r="G44" s="705" t="s">
        <v>53</v>
      </c>
      <c r="H44" s="706"/>
      <c r="I44" s="707"/>
      <c r="J44" s="387" t="s">
        <v>54</v>
      </c>
      <c r="K44" s="278" t="s">
        <v>55</v>
      </c>
      <c r="L44" s="278" t="s">
        <v>56</v>
      </c>
      <c r="M44" s="332" t="s">
        <v>11</v>
      </c>
      <c r="N44" s="279" t="s">
        <v>333</v>
      </c>
      <c r="O44" s="680" t="s">
        <v>51</v>
      </c>
      <c r="P44" s="681"/>
      <c r="S44" s="342"/>
      <c r="T44" s="338"/>
    </row>
    <row r="45" spans="1:20" s="300" customFormat="1" ht="60" customHeight="1">
      <c r="A45" s="682">
        <v>5</v>
      </c>
      <c r="B45" s="695" t="s">
        <v>215</v>
      </c>
      <c r="C45" s="281">
        <v>1</v>
      </c>
      <c r="D45" s="239"/>
      <c r="E45" s="240"/>
      <c r="F45" s="241"/>
      <c r="G45" s="308"/>
      <c r="H45" s="307"/>
      <c r="I45" s="308"/>
      <c r="J45" s="314"/>
      <c r="K45" s="315"/>
      <c r="L45" s="316"/>
      <c r="M45" s="324">
        <f>L45*J45</f>
        <v>0</v>
      </c>
      <c r="N45" s="316"/>
      <c r="O45" s="761"/>
      <c r="P45" s="762"/>
      <c r="S45" s="405"/>
      <c r="T45" s="338"/>
    </row>
    <row r="46" spans="1:20" s="300" customFormat="1" ht="60" customHeight="1">
      <c r="A46" s="683"/>
      <c r="B46" s="696"/>
      <c r="C46" s="281">
        <v>2</v>
      </c>
      <c r="D46" s="239"/>
      <c r="E46" s="240"/>
      <c r="F46" s="241"/>
      <c r="G46" s="308"/>
      <c r="H46" s="307"/>
      <c r="I46" s="308"/>
      <c r="J46" s="314"/>
      <c r="K46" s="315"/>
      <c r="L46" s="316"/>
      <c r="M46" s="324">
        <f t="shared" ref="M46:M49" si="4">L46*J46</f>
        <v>0</v>
      </c>
      <c r="N46" s="316"/>
      <c r="O46" s="700"/>
      <c r="P46" s="701"/>
      <c r="S46" s="342"/>
      <c r="T46" s="339"/>
    </row>
    <row r="47" spans="1:20" ht="25" customHeight="1">
      <c r="A47" s="683"/>
      <c r="B47" s="696"/>
      <c r="C47" s="281">
        <v>3</v>
      </c>
      <c r="D47" s="239"/>
      <c r="E47" s="240"/>
      <c r="F47" s="241"/>
      <c r="G47" s="356"/>
      <c r="H47" s="307"/>
      <c r="I47" s="308"/>
      <c r="J47" s="314"/>
      <c r="K47" s="315"/>
      <c r="L47" s="316"/>
      <c r="M47" s="324">
        <f t="shared" si="4"/>
        <v>0</v>
      </c>
      <c r="N47" s="290"/>
      <c r="O47" s="690"/>
      <c r="P47" s="691"/>
    </row>
    <row r="48" spans="1:20" ht="25" customHeight="1">
      <c r="A48" s="683"/>
      <c r="B48" s="696"/>
      <c r="C48" s="281">
        <v>4</v>
      </c>
      <c r="D48" s="282"/>
      <c r="E48" s="283"/>
      <c r="F48" s="284"/>
      <c r="G48" s="356"/>
      <c r="H48" s="307"/>
      <c r="I48" s="308"/>
      <c r="J48" s="288"/>
      <c r="K48" s="289"/>
      <c r="L48" s="290"/>
      <c r="M48" s="324">
        <f t="shared" si="4"/>
        <v>0</v>
      </c>
      <c r="N48" s="290"/>
      <c r="O48" s="301"/>
      <c r="P48" s="302"/>
    </row>
    <row r="49" spans="1:19" ht="25" customHeight="1" thickBot="1">
      <c r="A49" s="683"/>
      <c r="B49" s="696"/>
      <c r="C49" s="281">
        <v>5</v>
      </c>
      <c r="D49" s="292"/>
      <c r="E49" s="293"/>
      <c r="F49" s="294"/>
      <c r="G49" s="356"/>
      <c r="H49" s="307"/>
      <c r="I49" s="308"/>
      <c r="J49" s="295"/>
      <c r="K49" s="250"/>
      <c r="L49" s="296"/>
      <c r="M49" s="324">
        <f t="shared" si="4"/>
        <v>0</v>
      </c>
      <c r="N49" s="290"/>
      <c r="O49" s="303"/>
      <c r="P49" s="304"/>
      <c r="R49" s="346"/>
    </row>
    <row r="50" spans="1:19" ht="15.75" customHeight="1" thickTop="1" thickBot="1">
      <c r="A50" s="684"/>
      <c r="B50" s="697"/>
      <c r="C50" s="692"/>
      <c r="D50" s="693"/>
      <c r="E50" s="693"/>
      <c r="F50" s="693"/>
      <c r="G50" s="693"/>
      <c r="H50" s="693"/>
      <c r="I50" s="694"/>
      <c r="J50" s="351" t="s">
        <v>58</v>
      </c>
      <c r="K50" s="349">
        <f>M50/'生產管理報表 7-1 (週)'!$B$21</f>
        <v>0</v>
      </c>
      <c r="L50" s="352" t="s">
        <v>59</v>
      </c>
      <c r="M50" s="353">
        <f>SUM(M45:M49)</f>
        <v>0</v>
      </c>
      <c r="N50" s="669"/>
      <c r="O50" s="670"/>
      <c r="P50" s="671"/>
      <c r="R50" s="342"/>
    </row>
    <row r="51" spans="1:19" ht="15.75" customHeight="1" thickTop="1">
      <c r="K51" s="291" t="s">
        <v>458</v>
      </c>
      <c r="M51" s="331"/>
      <c r="R51" s="342"/>
    </row>
    <row r="52" spans="1:19" ht="25" customHeight="1">
      <c r="A52" s="672" t="s">
        <v>191</v>
      </c>
      <c r="B52" s="673"/>
      <c r="C52" s="305" t="s">
        <v>47</v>
      </c>
      <c r="D52" s="674" t="s">
        <v>12</v>
      </c>
      <c r="E52" s="675"/>
      <c r="F52" s="676"/>
      <c r="G52" s="677" t="s">
        <v>53</v>
      </c>
      <c r="H52" s="678"/>
      <c r="I52" s="679"/>
      <c r="J52" s="306" t="s">
        <v>54</v>
      </c>
      <c r="K52" s="278" t="s">
        <v>55</v>
      </c>
      <c r="L52" s="278" t="s">
        <v>56</v>
      </c>
      <c r="M52" s="332" t="s">
        <v>11</v>
      </c>
      <c r="N52" s="279" t="s">
        <v>333</v>
      </c>
      <c r="O52" s="680" t="s">
        <v>51</v>
      </c>
      <c r="P52" s="681"/>
      <c r="R52" s="342"/>
    </row>
    <row r="53" spans="1:19" ht="55" customHeight="1">
      <c r="A53" s="682">
        <v>6</v>
      </c>
      <c r="B53" s="695" t="s">
        <v>216</v>
      </c>
      <c r="C53" s="281">
        <v>1</v>
      </c>
      <c r="D53" s="347"/>
      <c r="E53" s="283"/>
      <c r="F53" s="284"/>
      <c r="G53" s="308"/>
      <c r="H53" s="307"/>
      <c r="I53" s="308"/>
      <c r="J53" s="314"/>
      <c r="K53" s="315"/>
      <c r="L53" s="316"/>
      <c r="M53" s="324">
        <f t="shared" ref="M53:M57" si="5">L53*J53</f>
        <v>0</v>
      </c>
      <c r="N53" s="290"/>
      <c r="O53" s="723"/>
      <c r="P53" s="724"/>
      <c r="R53" s="339"/>
      <c r="S53" s="339"/>
    </row>
    <row r="54" spans="1:19" ht="55" customHeight="1">
      <c r="A54" s="683"/>
      <c r="B54" s="696"/>
      <c r="C54" s="281">
        <v>2</v>
      </c>
      <c r="D54" s="239"/>
      <c r="E54" s="283"/>
      <c r="F54" s="284"/>
      <c r="G54" s="308"/>
      <c r="H54" s="307"/>
      <c r="I54" s="308"/>
      <c r="J54" s="314"/>
      <c r="K54" s="315"/>
      <c r="L54" s="316"/>
      <c r="M54" s="324">
        <f t="shared" si="5"/>
        <v>0</v>
      </c>
      <c r="N54" s="290"/>
      <c r="O54" s="723"/>
      <c r="P54" s="724"/>
      <c r="R54" s="339"/>
      <c r="S54" s="339"/>
    </row>
    <row r="55" spans="1:19" ht="55" customHeight="1">
      <c r="A55" s="683"/>
      <c r="B55" s="696"/>
      <c r="C55" s="281">
        <v>3</v>
      </c>
      <c r="D55" s="239"/>
      <c r="E55" s="283"/>
      <c r="F55" s="284"/>
      <c r="G55" s="308"/>
      <c r="H55" s="307"/>
      <c r="I55" s="308"/>
      <c r="J55" s="314"/>
      <c r="K55" s="315"/>
      <c r="L55" s="316"/>
      <c r="M55" s="324">
        <f t="shared" si="5"/>
        <v>0</v>
      </c>
      <c r="N55" s="290"/>
      <c r="O55" s="723"/>
      <c r="P55" s="724"/>
      <c r="R55" s="339"/>
    </row>
    <row r="56" spans="1:19" ht="55" customHeight="1">
      <c r="A56" s="683"/>
      <c r="B56" s="696"/>
      <c r="C56" s="281">
        <v>4</v>
      </c>
      <c r="D56" s="239"/>
      <c r="E56" s="283"/>
      <c r="F56" s="284"/>
      <c r="G56" s="356"/>
      <c r="H56" s="307"/>
      <c r="I56" s="308"/>
      <c r="J56" s="314"/>
      <c r="K56" s="315"/>
      <c r="L56" s="316"/>
      <c r="M56" s="324">
        <f t="shared" si="5"/>
        <v>0</v>
      </c>
      <c r="N56" s="290"/>
      <c r="O56" s="723"/>
      <c r="P56" s="724"/>
      <c r="R56" s="339"/>
      <c r="S56" s="339"/>
    </row>
    <row r="57" spans="1:19" ht="55" customHeight="1" thickBot="1">
      <c r="A57" s="683"/>
      <c r="B57" s="696"/>
      <c r="C57" s="281">
        <v>5</v>
      </c>
      <c r="D57" s="246"/>
      <c r="E57" s="293"/>
      <c r="F57" s="294"/>
      <c r="G57" s="356"/>
      <c r="H57" s="307"/>
      <c r="I57" s="308"/>
      <c r="J57" s="318"/>
      <c r="K57" s="250"/>
      <c r="L57" s="319"/>
      <c r="M57" s="324">
        <f t="shared" si="5"/>
        <v>0</v>
      </c>
      <c r="N57" s="290"/>
      <c r="O57" s="723"/>
      <c r="P57" s="724"/>
    </row>
    <row r="58" spans="1:19" ht="15.75" customHeight="1" thickTop="1" thickBot="1">
      <c r="A58" s="684"/>
      <c r="B58" s="697"/>
      <c r="C58" s="692"/>
      <c r="D58" s="693"/>
      <c r="E58" s="693"/>
      <c r="F58" s="693"/>
      <c r="G58" s="693"/>
      <c r="H58" s="693"/>
      <c r="I58" s="694"/>
      <c r="J58" s="351" t="s">
        <v>58</v>
      </c>
      <c r="K58" s="349">
        <f>M58/'生產管理報表 7-1 (週)'!$B$21</f>
        <v>0</v>
      </c>
      <c r="L58" s="352" t="s">
        <v>59</v>
      </c>
      <c r="M58" s="353">
        <f>SUM(M53:M57)</f>
        <v>0</v>
      </c>
      <c r="N58" s="669"/>
      <c r="O58" s="670"/>
      <c r="P58" s="671"/>
    </row>
    <row r="59" spans="1:19" s="136" customFormat="1" ht="15.75" customHeight="1" thickTop="1">
      <c r="A59" s="639" t="s">
        <v>681</v>
      </c>
      <c r="B59" s="639"/>
      <c r="C59" s="639"/>
      <c r="D59" s="639"/>
      <c r="E59" s="639"/>
      <c r="F59" s="639"/>
      <c r="G59" s="639"/>
      <c r="H59" s="639"/>
      <c r="I59" s="639"/>
      <c r="J59" s="639"/>
      <c r="K59" s="639"/>
      <c r="L59" s="639"/>
      <c r="M59" s="639"/>
    </row>
    <row r="60" spans="1:19" s="137" customFormat="1" ht="15.75" customHeight="1">
      <c r="A60" s="734"/>
      <c r="B60" s="734"/>
      <c r="C60" s="734"/>
      <c r="D60" s="734"/>
      <c r="E60" s="734"/>
      <c r="F60" s="734"/>
      <c r="G60" s="734"/>
      <c r="H60" s="734"/>
      <c r="I60" s="734"/>
      <c r="J60" s="734"/>
      <c r="K60" s="734"/>
      <c r="L60" s="734"/>
      <c r="M60" s="734"/>
    </row>
    <row r="61" spans="1:19" s="136" customFormat="1" ht="15.75" customHeight="1">
      <c r="A61" s="735" t="s">
        <v>191</v>
      </c>
      <c r="B61" s="737">
        <v>1</v>
      </c>
      <c r="C61" s="738"/>
      <c r="D61" s="737">
        <v>2</v>
      </c>
      <c r="E61" s="738"/>
      <c r="F61" s="737">
        <v>3</v>
      </c>
      <c r="G61" s="738"/>
      <c r="H61" s="728">
        <v>4</v>
      </c>
      <c r="I61" s="729"/>
      <c r="J61" s="728">
        <v>5</v>
      </c>
      <c r="K61" s="729"/>
      <c r="L61" s="728">
        <v>6</v>
      </c>
      <c r="M61" s="729"/>
      <c r="N61" s="728">
        <v>7</v>
      </c>
      <c r="O61" s="729"/>
      <c r="P61" s="329">
        <v>8</v>
      </c>
    </row>
    <row r="62" spans="1:19" s="136" customFormat="1" ht="15.75" customHeight="1">
      <c r="A62" s="736"/>
      <c r="B62" s="732" t="s">
        <v>454</v>
      </c>
      <c r="C62" s="733"/>
      <c r="D62" s="732" t="s">
        <v>212</v>
      </c>
      <c r="E62" s="733"/>
      <c r="F62" s="732" t="s">
        <v>166</v>
      </c>
      <c r="G62" s="733"/>
      <c r="H62" s="730" t="s">
        <v>430</v>
      </c>
      <c r="I62" s="731"/>
      <c r="J62" s="730" t="s">
        <v>189</v>
      </c>
      <c r="K62" s="731"/>
      <c r="L62" s="730" t="s">
        <v>167</v>
      </c>
      <c r="M62" s="731"/>
      <c r="N62" s="730" t="s">
        <v>190</v>
      </c>
      <c r="O62" s="731"/>
      <c r="P62" s="330" t="s">
        <v>217</v>
      </c>
    </row>
    <row r="63" spans="1:19" s="136" customFormat="1" ht="15.75" customHeight="1">
      <c r="B63" s="234"/>
      <c r="C63" s="235"/>
    </row>
    <row r="64" spans="1:19" s="280" customFormat="1" ht="15.75" customHeight="1">
      <c r="A64" s="672" t="s">
        <v>191</v>
      </c>
      <c r="B64" s="673"/>
      <c r="C64" s="277" t="s">
        <v>47</v>
      </c>
      <c r="D64" s="702" t="s">
        <v>12</v>
      </c>
      <c r="E64" s="703"/>
      <c r="F64" s="704"/>
      <c r="G64" s="705" t="s">
        <v>53</v>
      </c>
      <c r="H64" s="706"/>
      <c r="I64" s="707"/>
      <c r="J64" s="278" t="s">
        <v>54</v>
      </c>
      <c r="K64" s="278" t="s">
        <v>55</v>
      </c>
      <c r="L64" s="278" t="s">
        <v>56</v>
      </c>
      <c r="M64" s="279" t="s">
        <v>11</v>
      </c>
      <c r="N64" s="279" t="s">
        <v>333</v>
      </c>
      <c r="O64" s="680" t="s">
        <v>51</v>
      </c>
      <c r="P64" s="681"/>
      <c r="R64" s="342"/>
      <c r="S64" s="343"/>
    </row>
    <row r="65" spans="1:20" s="300" customFormat="1" ht="60" customHeight="1">
      <c r="A65" s="682">
        <v>4</v>
      </c>
      <c r="B65" s="716" t="s">
        <v>430</v>
      </c>
      <c r="C65" s="281">
        <v>1</v>
      </c>
      <c r="D65" s="239"/>
      <c r="E65" s="240"/>
      <c r="F65" s="241"/>
      <c r="G65" s="308"/>
      <c r="H65" s="307"/>
      <c r="I65" s="308"/>
      <c r="J65" s="314"/>
      <c r="K65" s="315"/>
      <c r="L65" s="316"/>
      <c r="M65" s="324">
        <f t="shared" ref="M65:M69" si="6">L65*J65</f>
        <v>0</v>
      </c>
      <c r="N65" s="316"/>
      <c r="O65" s="712"/>
      <c r="P65" s="713"/>
      <c r="R65" s="403"/>
      <c r="S65" s="343"/>
    </row>
    <row r="66" spans="1:20" s="300" customFormat="1" ht="60" customHeight="1">
      <c r="A66" s="683"/>
      <c r="B66" s="717"/>
      <c r="C66" s="281">
        <v>2</v>
      </c>
      <c r="D66" s="239"/>
      <c r="E66" s="240"/>
      <c r="F66" s="241"/>
      <c r="G66" s="308"/>
      <c r="H66" s="307"/>
      <c r="I66" s="308"/>
      <c r="J66" s="314"/>
      <c r="K66" s="315"/>
      <c r="L66" s="316"/>
      <c r="M66" s="324">
        <f t="shared" si="6"/>
        <v>0</v>
      </c>
      <c r="N66" s="316"/>
      <c r="O66" s="712"/>
      <c r="P66" s="713"/>
      <c r="R66" s="403"/>
      <c r="S66" s="404"/>
      <c r="T66" s="338"/>
    </row>
    <row r="67" spans="1:20" s="300" customFormat="1" ht="60" customHeight="1">
      <c r="A67" s="683"/>
      <c r="B67" s="717"/>
      <c r="C67" s="281">
        <v>3</v>
      </c>
      <c r="D67" s="239"/>
      <c r="E67" s="240"/>
      <c r="F67" s="241"/>
      <c r="G67" s="308"/>
      <c r="H67" s="307"/>
      <c r="I67" s="308"/>
      <c r="J67" s="314"/>
      <c r="K67" s="315"/>
      <c r="L67" s="316"/>
      <c r="M67" s="324">
        <f t="shared" si="6"/>
        <v>0</v>
      </c>
      <c r="N67" s="316"/>
      <c r="O67" s="721"/>
      <c r="P67" s="722"/>
      <c r="R67" s="403"/>
      <c r="S67" s="405"/>
    </row>
    <row r="68" spans="1:20" s="300" customFormat="1" ht="60" customHeight="1">
      <c r="A68" s="683"/>
      <c r="B68" s="717"/>
      <c r="C68" s="281">
        <v>4</v>
      </c>
      <c r="D68" s="239"/>
      <c r="E68" s="240"/>
      <c r="F68" s="241"/>
      <c r="G68" s="308"/>
      <c r="H68" s="307"/>
      <c r="I68" s="308"/>
      <c r="J68" s="314"/>
      <c r="K68" s="315"/>
      <c r="L68" s="316"/>
      <c r="M68" s="324">
        <f t="shared" si="6"/>
        <v>0</v>
      </c>
      <c r="N68" s="316"/>
      <c r="O68" s="721"/>
      <c r="P68" s="722"/>
      <c r="R68" s="403"/>
      <c r="S68" s="404"/>
      <c r="T68" s="338"/>
    </row>
    <row r="69" spans="1:20" s="300" customFormat="1" ht="60" customHeight="1" thickBot="1">
      <c r="A69" s="683"/>
      <c r="B69" s="717"/>
      <c r="C69" s="281">
        <v>5</v>
      </c>
      <c r="D69" s="239"/>
      <c r="E69" s="247"/>
      <c r="F69" s="248"/>
      <c r="G69" s="356"/>
      <c r="H69" s="307"/>
      <c r="I69" s="308"/>
      <c r="J69" s="318"/>
      <c r="K69" s="250"/>
      <c r="L69" s="319"/>
      <c r="M69" s="324">
        <f t="shared" si="6"/>
        <v>0</v>
      </c>
      <c r="N69" s="316"/>
      <c r="O69" s="721"/>
      <c r="P69" s="722"/>
      <c r="R69" s="406"/>
      <c r="S69" s="405"/>
      <c r="T69" s="291"/>
    </row>
    <row r="70" spans="1:20" ht="15.75" customHeight="1" thickTop="1" thickBot="1">
      <c r="A70" s="684"/>
      <c r="B70" s="718"/>
      <c r="C70" s="725"/>
      <c r="D70" s="726"/>
      <c r="E70" s="726"/>
      <c r="F70" s="726"/>
      <c r="G70" s="726"/>
      <c r="H70" s="726"/>
      <c r="I70" s="727"/>
      <c r="J70" s="351" t="s">
        <v>58</v>
      </c>
      <c r="K70" s="349" t="e">
        <f>M70/'生產管理報表 7-1 (週)'!$B$32</f>
        <v>#DIV/0!</v>
      </c>
      <c r="L70" s="352" t="s">
        <v>59</v>
      </c>
      <c r="M70" s="353">
        <f>SUM(M65:M69)</f>
        <v>0</v>
      </c>
      <c r="N70" s="669"/>
      <c r="O70" s="670"/>
      <c r="P70" s="671"/>
      <c r="R70" s="342"/>
      <c r="S70" s="342"/>
    </row>
    <row r="71" spans="1:20" ht="15.75" customHeight="1" thickTop="1">
      <c r="M71" s="331"/>
      <c r="S71" s="343"/>
    </row>
    <row r="72" spans="1:20" ht="15.75" customHeight="1">
      <c r="A72" s="672" t="s">
        <v>191</v>
      </c>
      <c r="B72" s="673"/>
      <c r="C72" s="277" t="s">
        <v>47</v>
      </c>
      <c r="D72" s="702" t="s">
        <v>12</v>
      </c>
      <c r="E72" s="703"/>
      <c r="F72" s="704"/>
      <c r="G72" s="705" t="s">
        <v>53</v>
      </c>
      <c r="H72" s="706"/>
      <c r="I72" s="707"/>
      <c r="J72" s="387" t="s">
        <v>54</v>
      </c>
      <c r="K72" s="278" t="s">
        <v>55</v>
      </c>
      <c r="L72" s="278" t="s">
        <v>56</v>
      </c>
      <c r="M72" s="332" t="s">
        <v>11</v>
      </c>
      <c r="N72" s="279" t="s">
        <v>333</v>
      </c>
      <c r="O72" s="680" t="s">
        <v>51</v>
      </c>
      <c r="P72" s="681"/>
      <c r="S72" s="342"/>
      <c r="T72" s="338"/>
    </row>
    <row r="73" spans="1:20" s="300" customFormat="1" ht="60" customHeight="1">
      <c r="A73" s="682">
        <v>5</v>
      </c>
      <c r="B73" s="695" t="s">
        <v>215</v>
      </c>
      <c r="C73" s="281">
        <v>1</v>
      </c>
      <c r="D73" s="239"/>
      <c r="E73" s="240"/>
      <c r="F73" s="241"/>
      <c r="G73" s="308"/>
      <c r="H73" s="307"/>
      <c r="I73" s="308"/>
      <c r="J73" s="314"/>
      <c r="K73" s="315"/>
      <c r="L73" s="316"/>
      <c r="M73" s="324">
        <f>L73*J73</f>
        <v>0</v>
      </c>
      <c r="N73" s="316"/>
      <c r="O73" s="761"/>
      <c r="P73" s="762"/>
      <c r="S73" s="405"/>
      <c r="T73" s="338"/>
    </row>
    <row r="74" spans="1:20" s="300" customFormat="1" ht="60" customHeight="1">
      <c r="A74" s="683"/>
      <c r="B74" s="696"/>
      <c r="C74" s="281">
        <v>2</v>
      </c>
      <c r="D74" s="239"/>
      <c r="E74" s="240"/>
      <c r="F74" s="241"/>
      <c r="G74" s="356"/>
      <c r="H74" s="307"/>
      <c r="I74" s="308"/>
      <c r="J74" s="314"/>
      <c r="K74" s="315"/>
      <c r="L74" s="316"/>
      <c r="M74" s="324">
        <f t="shared" ref="M74:M77" si="7">L74*J74</f>
        <v>0</v>
      </c>
      <c r="N74" s="316"/>
      <c r="O74" s="700"/>
      <c r="P74" s="701"/>
      <c r="S74" s="342"/>
      <c r="T74" s="339"/>
    </row>
    <row r="75" spans="1:20" ht="25" customHeight="1">
      <c r="A75" s="683"/>
      <c r="B75" s="696"/>
      <c r="C75" s="281">
        <v>3</v>
      </c>
      <c r="D75" s="239"/>
      <c r="E75" s="240"/>
      <c r="F75" s="241"/>
      <c r="G75" s="356"/>
      <c r="H75" s="307"/>
      <c r="I75" s="308"/>
      <c r="J75" s="314"/>
      <c r="K75" s="315"/>
      <c r="L75" s="316"/>
      <c r="M75" s="324">
        <f t="shared" si="7"/>
        <v>0</v>
      </c>
      <c r="N75" s="290"/>
      <c r="O75" s="690"/>
      <c r="P75" s="691"/>
    </row>
    <row r="76" spans="1:20" ht="25" customHeight="1">
      <c r="A76" s="683"/>
      <c r="B76" s="696"/>
      <c r="C76" s="281">
        <v>4</v>
      </c>
      <c r="D76" s="282"/>
      <c r="E76" s="283"/>
      <c r="F76" s="284"/>
      <c r="G76" s="356"/>
      <c r="H76" s="307"/>
      <c r="I76" s="308"/>
      <c r="J76" s="288"/>
      <c r="K76" s="289"/>
      <c r="L76" s="290"/>
      <c r="M76" s="324">
        <f t="shared" si="7"/>
        <v>0</v>
      </c>
      <c r="N76" s="290"/>
      <c r="O76" s="301"/>
      <c r="P76" s="302"/>
    </row>
    <row r="77" spans="1:20" ht="25" customHeight="1" thickBot="1">
      <c r="A77" s="683"/>
      <c r="B77" s="696"/>
      <c r="C77" s="281">
        <v>5</v>
      </c>
      <c r="D77" s="292"/>
      <c r="E77" s="293"/>
      <c r="F77" s="294"/>
      <c r="G77" s="356"/>
      <c r="H77" s="307"/>
      <c r="I77" s="308"/>
      <c r="J77" s="295"/>
      <c r="K77" s="250"/>
      <c r="L77" s="296"/>
      <c r="M77" s="324">
        <f t="shared" si="7"/>
        <v>0</v>
      </c>
      <c r="N77" s="290"/>
      <c r="O77" s="303"/>
      <c r="P77" s="304"/>
      <c r="R77" s="346"/>
    </row>
    <row r="78" spans="1:20" ht="15.75" customHeight="1" thickTop="1" thickBot="1">
      <c r="A78" s="684"/>
      <c r="B78" s="697"/>
      <c r="C78" s="692"/>
      <c r="D78" s="693"/>
      <c r="E78" s="693"/>
      <c r="F78" s="693"/>
      <c r="G78" s="693"/>
      <c r="H78" s="693"/>
      <c r="I78" s="694"/>
      <c r="J78" s="351" t="s">
        <v>58</v>
      </c>
      <c r="K78" s="349" t="e">
        <f>M78/'生產管理報表 7-1 (週)'!$B$32</f>
        <v>#DIV/0!</v>
      </c>
      <c r="L78" s="352" t="s">
        <v>59</v>
      </c>
      <c r="M78" s="353">
        <f>SUM(M73:M77)</f>
        <v>0</v>
      </c>
      <c r="N78" s="669"/>
      <c r="O78" s="670"/>
      <c r="P78" s="671"/>
      <c r="R78" s="342"/>
    </row>
    <row r="79" spans="1:20" ht="15.75" customHeight="1" thickTop="1">
      <c r="K79" s="291" t="s">
        <v>458</v>
      </c>
      <c r="M79" s="331"/>
      <c r="R79" s="342"/>
    </row>
    <row r="80" spans="1:20" ht="25" customHeight="1">
      <c r="A80" s="672" t="s">
        <v>191</v>
      </c>
      <c r="B80" s="673"/>
      <c r="C80" s="305" t="s">
        <v>47</v>
      </c>
      <c r="D80" s="674" t="s">
        <v>12</v>
      </c>
      <c r="E80" s="675"/>
      <c r="F80" s="676"/>
      <c r="G80" s="677" t="s">
        <v>53</v>
      </c>
      <c r="H80" s="678"/>
      <c r="I80" s="679"/>
      <c r="J80" s="306" t="s">
        <v>54</v>
      </c>
      <c r="K80" s="278" t="s">
        <v>55</v>
      </c>
      <c r="L80" s="278" t="s">
        <v>56</v>
      </c>
      <c r="M80" s="332" t="s">
        <v>11</v>
      </c>
      <c r="N80" s="279" t="s">
        <v>333</v>
      </c>
      <c r="O80" s="680" t="s">
        <v>51</v>
      </c>
      <c r="P80" s="681"/>
      <c r="R80" s="342"/>
    </row>
    <row r="81" spans="1:20" ht="55" customHeight="1">
      <c r="A81" s="682">
        <v>6</v>
      </c>
      <c r="B81" s="695" t="s">
        <v>216</v>
      </c>
      <c r="C81" s="281">
        <v>1</v>
      </c>
      <c r="D81" s="347"/>
      <c r="E81" s="283"/>
      <c r="F81" s="284"/>
      <c r="G81" s="308"/>
      <c r="H81" s="307"/>
      <c r="I81" s="308"/>
      <c r="J81" s="314"/>
      <c r="K81" s="315"/>
      <c r="L81" s="316"/>
      <c r="M81" s="324">
        <f t="shared" ref="M81:M85" si="8">L81*J81</f>
        <v>0</v>
      </c>
      <c r="N81" s="290"/>
      <c r="O81" s="723"/>
      <c r="P81" s="724"/>
      <c r="R81" s="339"/>
      <c r="S81" s="339"/>
    </row>
    <row r="82" spans="1:20" ht="55" customHeight="1">
      <c r="A82" s="683"/>
      <c r="B82" s="696"/>
      <c r="C82" s="281">
        <v>2</v>
      </c>
      <c r="D82" s="239"/>
      <c r="E82" s="283"/>
      <c r="F82" s="284"/>
      <c r="G82" s="308"/>
      <c r="H82" s="307"/>
      <c r="I82" s="308"/>
      <c r="J82" s="314"/>
      <c r="K82" s="315"/>
      <c r="L82" s="316"/>
      <c r="M82" s="324">
        <f t="shared" si="8"/>
        <v>0</v>
      </c>
      <c r="N82" s="290"/>
      <c r="O82" s="723"/>
      <c r="P82" s="724"/>
      <c r="R82" s="339"/>
      <c r="S82" s="339"/>
    </row>
    <row r="83" spans="1:20" ht="55" customHeight="1">
      <c r="A83" s="683"/>
      <c r="B83" s="696"/>
      <c r="C83" s="281">
        <v>3</v>
      </c>
      <c r="D83" s="239"/>
      <c r="E83" s="283"/>
      <c r="F83" s="284"/>
      <c r="G83" s="308"/>
      <c r="H83" s="307"/>
      <c r="I83" s="308"/>
      <c r="J83" s="314"/>
      <c r="K83" s="315"/>
      <c r="L83" s="316"/>
      <c r="M83" s="324">
        <f t="shared" si="8"/>
        <v>0</v>
      </c>
      <c r="N83" s="290"/>
      <c r="O83" s="723"/>
      <c r="P83" s="724"/>
      <c r="R83" s="339"/>
    </row>
    <row r="84" spans="1:20" ht="55" customHeight="1">
      <c r="A84" s="683"/>
      <c r="B84" s="696"/>
      <c r="C84" s="281">
        <v>4</v>
      </c>
      <c r="D84" s="239"/>
      <c r="E84" s="283"/>
      <c r="F84" s="284"/>
      <c r="G84" s="308"/>
      <c r="H84" s="307"/>
      <c r="I84" s="308"/>
      <c r="J84" s="314"/>
      <c r="K84" s="315"/>
      <c r="L84" s="316"/>
      <c r="M84" s="324">
        <f t="shared" si="8"/>
        <v>0</v>
      </c>
      <c r="N84" s="290"/>
      <c r="O84" s="723"/>
      <c r="P84" s="724"/>
      <c r="R84" s="339"/>
      <c r="S84" s="339"/>
    </row>
    <row r="85" spans="1:20" ht="55" customHeight="1" thickBot="1">
      <c r="A85" s="683"/>
      <c r="B85" s="696"/>
      <c r="C85" s="281">
        <v>5</v>
      </c>
      <c r="D85" s="246"/>
      <c r="E85" s="293"/>
      <c r="F85" s="294"/>
      <c r="G85" s="356"/>
      <c r="H85" s="307"/>
      <c r="I85" s="308"/>
      <c r="J85" s="318"/>
      <c r="K85" s="250"/>
      <c r="L85" s="319"/>
      <c r="M85" s="324">
        <f t="shared" si="8"/>
        <v>0</v>
      </c>
      <c r="N85" s="290"/>
      <c r="O85" s="723"/>
      <c r="P85" s="724"/>
    </row>
    <row r="86" spans="1:20" ht="15.75" customHeight="1" thickTop="1" thickBot="1">
      <c r="A86" s="684"/>
      <c r="B86" s="697"/>
      <c r="C86" s="692"/>
      <c r="D86" s="693"/>
      <c r="E86" s="693"/>
      <c r="F86" s="693"/>
      <c r="G86" s="693"/>
      <c r="H86" s="693"/>
      <c r="I86" s="694"/>
      <c r="J86" s="351" t="s">
        <v>58</v>
      </c>
      <c r="K86" s="349" t="e">
        <f>M86/'生產管理報表 7-1 (週)'!$B$32</f>
        <v>#DIV/0!</v>
      </c>
      <c r="L86" s="352" t="s">
        <v>59</v>
      </c>
      <c r="M86" s="353">
        <f>SUM(M81:M85)</f>
        <v>0</v>
      </c>
      <c r="N86" s="669"/>
      <c r="O86" s="670"/>
      <c r="P86" s="671"/>
    </row>
    <row r="87" spans="1:20" s="136" customFormat="1" ht="15.75" customHeight="1" thickTop="1">
      <c r="A87" s="639" t="s">
        <v>682</v>
      </c>
      <c r="B87" s="639"/>
      <c r="C87" s="639"/>
      <c r="D87" s="639"/>
      <c r="E87" s="639"/>
      <c r="F87" s="639"/>
      <c r="G87" s="639"/>
      <c r="H87" s="639"/>
      <c r="I87" s="639"/>
      <c r="J87" s="639"/>
      <c r="K87" s="639"/>
      <c r="L87" s="639"/>
      <c r="M87" s="639"/>
    </row>
    <row r="88" spans="1:20" s="137" customFormat="1" ht="15.75" customHeight="1">
      <c r="A88" s="734"/>
      <c r="B88" s="734"/>
      <c r="C88" s="734"/>
      <c r="D88" s="734"/>
      <c r="E88" s="734"/>
      <c r="F88" s="734"/>
      <c r="G88" s="734"/>
      <c r="H88" s="734"/>
      <c r="I88" s="734"/>
      <c r="J88" s="734"/>
      <c r="K88" s="734"/>
      <c r="L88" s="734"/>
      <c r="M88" s="734"/>
    </row>
    <row r="89" spans="1:20" s="136" customFormat="1" ht="15.75" customHeight="1">
      <c r="A89" s="735" t="s">
        <v>191</v>
      </c>
      <c r="B89" s="737">
        <v>1</v>
      </c>
      <c r="C89" s="738"/>
      <c r="D89" s="737">
        <v>2</v>
      </c>
      <c r="E89" s="738"/>
      <c r="F89" s="737">
        <v>3</v>
      </c>
      <c r="G89" s="738"/>
      <c r="H89" s="728">
        <v>4</v>
      </c>
      <c r="I89" s="729"/>
      <c r="J89" s="728">
        <v>5</v>
      </c>
      <c r="K89" s="729"/>
      <c r="L89" s="728">
        <v>6</v>
      </c>
      <c r="M89" s="729"/>
      <c r="N89" s="728">
        <v>7</v>
      </c>
      <c r="O89" s="729"/>
      <c r="P89" s="329">
        <v>8</v>
      </c>
    </row>
    <row r="90" spans="1:20" s="136" customFormat="1" ht="15.75" customHeight="1">
      <c r="A90" s="736"/>
      <c r="B90" s="732" t="s">
        <v>454</v>
      </c>
      <c r="C90" s="733"/>
      <c r="D90" s="732" t="s">
        <v>212</v>
      </c>
      <c r="E90" s="733"/>
      <c r="F90" s="732" t="s">
        <v>166</v>
      </c>
      <c r="G90" s="733"/>
      <c r="H90" s="730" t="s">
        <v>430</v>
      </c>
      <c r="I90" s="731"/>
      <c r="J90" s="730" t="s">
        <v>189</v>
      </c>
      <c r="K90" s="731"/>
      <c r="L90" s="730" t="s">
        <v>167</v>
      </c>
      <c r="M90" s="731"/>
      <c r="N90" s="730" t="s">
        <v>190</v>
      </c>
      <c r="O90" s="731"/>
      <c r="P90" s="330" t="s">
        <v>217</v>
      </c>
    </row>
    <row r="91" spans="1:20" s="136" customFormat="1" ht="15.75" customHeight="1">
      <c r="B91" s="234"/>
      <c r="C91" s="235"/>
    </row>
    <row r="92" spans="1:20" s="280" customFormat="1" ht="15.75" customHeight="1">
      <c r="A92" s="672" t="s">
        <v>191</v>
      </c>
      <c r="B92" s="673"/>
      <c r="C92" s="277" t="s">
        <v>47</v>
      </c>
      <c r="D92" s="702" t="s">
        <v>12</v>
      </c>
      <c r="E92" s="703"/>
      <c r="F92" s="704"/>
      <c r="G92" s="705" t="s">
        <v>53</v>
      </c>
      <c r="H92" s="706"/>
      <c r="I92" s="707"/>
      <c r="J92" s="278" t="s">
        <v>54</v>
      </c>
      <c r="K92" s="278" t="s">
        <v>55</v>
      </c>
      <c r="L92" s="278" t="s">
        <v>56</v>
      </c>
      <c r="M92" s="279" t="s">
        <v>11</v>
      </c>
      <c r="N92" s="279" t="s">
        <v>333</v>
      </c>
      <c r="O92" s="680" t="s">
        <v>51</v>
      </c>
      <c r="P92" s="681"/>
      <c r="R92" s="342"/>
      <c r="S92" s="343"/>
    </row>
    <row r="93" spans="1:20" s="300" customFormat="1" ht="60" customHeight="1">
      <c r="A93" s="682">
        <v>4</v>
      </c>
      <c r="B93" s="716" t="s">
        <v>430</v>
      </c>
      <c r="C93" s="281">
        <v>1</v>
      </c>
      <c r="D93" s="239"/>
      <c r="E93" s="240"/>
      <c r="F93" s="241"/>
      <c r="G93" s="308"/>
      <c r="H93" s="307"/>
      <c r="I93" s="308"/>
      <c r="J93" s="314"/>
      <c r="K93" s="315"/>
      <c r="L93" s="316"/>
      <c r="M93" s="324">
        <f t="shared" ref="M93:M97" si="9">L93*J93</f>
        <v>0</v>
      </c>
      <c r="N93" s="316"/>
      <c r="O93" s="712"/>
      <c r="P93" s="713"/>
      <c r="R93" s="403"/>
      <c r="S93" s="343"/>
    </row>
    <row r="94" spans="1:20" s="300" customFormat="1" ht="60" customHeight="1">
      <c r="A94" s="683"/>
      <c r="B94" s="717"/>
      <c r="C94" s="281">
        <v>2</v>
      </c>
      <c r="D94" s="239"/>
      <c r="E94" s="240"/>
      <c r="F94" s="241"/>
      <c r="G94" s="308"/>
      <c r="H94" s="307"/>
      <c r="I94" s="308"/>
      <c r="J94" s="314"/>
      <c r="K94" s="315"/>
      <c r="L94" s="316"/>
      <c r="M94" s="324">
        <f t="shared" si="9"/>
        <v>0</v>
      </c>
      <c r="N94" s="316"/>
      <c r="O94" s="712"/>
      <c r="P94" s="713"/>
      <c r="R94" s="403"/>
      <c r="S94" s="404"/>
      <c r="T94" s="338"/>
    </row>
    <row r="95" spans="1:20" s="300" customFormat="1" ht="60" customHeight="1">
      <c r="A95" s="683"/>
      <c r="B95" s="717"/>
      <c r="C95" s="281">
        <v>3</v>
      </c>
      <c r="D95" s="239"/>
      <c r="E95" s="240"/>
      <c r="F95" s="241"/>
      <c r="G95" s="356"/>
      <c r="H95" s="307"/>
      <c r="I95" s="308"/>
      <c r="J95" s="314"/>
      <c r="K95" s="315"/>
      <c r="L95" s="316"/>
      <c r="M95" s="324">
        <f t="shared" si="9"/>
        <v>0</v>
      </c>
      <c r="N95" s="316"/>
      <c r="O95" s="721"/>
      <c r="P95" s="722"/>
      <c r="R95" s="403"/>
      <c r="S95" s="405"/>
    </row>
    <row r="96" spans="1:20" s="300" customFormat="1" ht="60" customHeight="1">
      <c r="A96" s="683"/>
      <c r="B96" s="717"/>
      <c r="C96" s="281">
        <v>4</v>
      </c>
      <c r="D96" s="239"/>
      <c r="E96" s="240"/>
      <c r="F96" s="241"/>
      <c r="G96" s="308"/>
      <c r="H96" s="307"/>
      <c r="I96" s="308"/>
      <c r="J96" s="314"/>
      <c r="K96" s="315"/>
      <c r="L96" s="316"/>
      <c r="M96" s="324">
        <f t="shared" si="9"/>
        <v>0</v>
      </c>
      <c r="N96" s="316"/>
      <c r="O96" s="721"/>
      <c r="P96" s="722"/>
      <c r="R96" s="403"/>
      <c r="S96" s="404"/>
      <c r="T96" s="338"/>
    </row>
    <row r="97" spans="1:20" s="300" customFormat="1" ht="60" customHeight="1" thickBot="1">
      <c r="A97" s="683"/>
      <c r="B97" s="717"/>
      <c r="C97" s="281">
        <v>5</v>
      </c>
      <c r="D97" s="239"/>
      <c r="E97" s="247"/>
      <c r="F97" s="248"/>
      <c r="G97" s="308"/>
      <c r="H97" s="307"/>
      <c r="I97" s="308"/>
      <c r="J97" s="318"/>
      <c r="K97" s="250"/>
      <c r="L97" s="319"/>
      <c r="M97" s="324">
        <f t="shared" si="9"/>
        <v>0</v>
      </c>
      <c r="N97" s="316"/>
      <c r="O97" s="721"/>
      <c r="P97" s="722"/>
      <c r="R97" s="406"/>
      <c r="S97" s="405"/>
      <c r="T97" s="291"/>
    </row>
    <row r="98" spans="1:20" ht="15.75" customHeight="1" thickTop="1" thickBot="1">
      <c r="A98" s="684"/>
      <c r="B98" s="718"/>
      <c r="C98" s="725"/>
      <c r="D98" s="726"/>
      <c r="E98" s="726"/>
      <c r="F98" s="726"/>
      <c r="G98" s="726"/>
      <c r="H98" s="726"/>
      <c r="I98" s="727"/>
      <c r="J98" s="351" t="s">
        <v>58</v>
      </c>
      <c r="K98" s="349" t="e">
        <f>M98/'生產管理報表 7-1 (週)'!$B$43</f>
        <v>#DIV/0!</v>
      </c>
      <c r="L98" s="352" t="s">
        <v>59</v>
      </c>
      <c r="M98" s="353">
        <f>SUM(M93:M97)</f>
        <v>0</v>
      </c>
      <c r="N98" s="669"/>
      <c r="O98" s="670"/>
      <c r="P98" s="671"/>
      <c r="R98" s="342"/>
      <c r="S98" s="342"/>
    </row>
    <row r="99" spans="1:20" ht="15.75" customHeight="1" thickTop="1">
      <c r="M99" s="331"/>
      <c r="S99" s="343"/>
    </row>
    <row r="100" spans="1:20" ht="15.75" customHeight="1">
      <c r="A100" s="672" t="s">
        <v>191</v>
      </c>
      <c r="B100" s="673"/>
      <c r="C100" s="277" t="s">
        <v>47</v>
      </c>
      <c r="D100" s="702" t="s">
        <v>12</v>
      </c>
      <c r="E100" s="703"/>
      <c r="F100" s="704"/>
      <c r="G100" s="705" t="s">
        <v>53</v>
      </c>
      <c r="H100" s="706"/>
      <c r="I100" s="707"/>
      <c r="J100" s="387" t="s">
        <v>54</v>
      </c>
      <c r="K100" s="278" t="s">
        <v>55</v>
      </c>
      <c r="L100" s="278" t="s">
        <v>56</v>
      </c>
      <c r="M100" s="332" t="s">
        <v>11</v>
      </c>
      <c r="N100" s="279" t="s">
        <v>333</v>
      </c>
      <c r="O100" s="680" t="s">
        <v>51</v>
      </c>
      <c r="P100" s="681"/>
      <c r="S100" s="342"/>
      <c r="T100" s="338"/>
    </row>
    <row r="101" spans="1:20" s="300" customFormat="1" ht="60" customHeight="1">
      <c r="A101" s="682">
        <v>5</v>
      </c>
      <c r="B101" s="695" t="s">
        <v>215</v>
      </c>
      <c r="C101" s="281">
        <v>1</v>
      </c>
      <c r="D101" s="239"/>
      <c r="E101" s="240"/>
      <c r="F101" s="241"/>
      <c r="G101" s="308"/>
      <c r="H101" s="307"/>
      <c r="I101" s="308"/>
      <c r="J101" s="314"/>
      <c r="K101" s="315"/>
      <c r="L101" s="316"/>
      <c r="M101" s="324">
        <f>L101*J101</f>
        <v>0</v>
      </c>
      <c r="N101" s="316"/>
      <c r="O101" s="761"/>
      <c r="P101" s="762"/>
      <c r="S101" s="405"/>
      <c r="T101" s="338"/>
    </row>
    <row r="102" spans="1:20" s="300" customFormat="1" ht="60" customHeight="1">
      <c r="A102" s="683"/>
      <c r="B102" s="696"/>
      <c r="C102" s="281">
        <v>2</v>
      </c>
      <c r="D102" s="239"/>
      <c r="E102" s="240"/>
      <c r="F102" s="241"/>
      <c r="G102" s="356"/>
      <c r="H102" s="307"/>
      <c r="I102" s="308"/>
      <c r="J102" s="314"/>
      <c r="K102" s="315"/>
      <c r="L102" s="316"/>
      <c r="M102" s="324">
        <f t="shared" ref="M102:M105" si="10">L102*J102</f>
        <v>0</v>
      </c>
      <c r="N102" s="316"/>
      <c r="O102" s="700"/>
      <c r="P102" s="701"/>
      <c r="S102" s="342"/>
      <c r="T102" s="339"/>
    </row>
    <row r="103" spans="1:20" ht="25" customHeight="1">
      <c r="A103" s="683"/>
      <c r="B103" s="696"/>
      <c r="C103" s="281">
        <v>3</v>
      </c>
      <c r="D103" s="239"/>
      <c r="E103" s="240"/>
      <c r="F103" s="241"/>
      <c r="G103" s="356"/>
      <c r="H103" s="307"/>
      <c r="I103" s="308"/>
      <c r="J103" s="314"/>
      <c r="K103" s="315"/>
      <c r="L103" s="316"/>
      <c r="M103" s="324">
        <f t="shared" si="10"/>
        <v>0</v>
      </c>
      <c r="N103" s="290"/>
      <c r="O103" s="690"/>
      <c r="P103" s="691"/>
    </row>
    <row r="104" spans="1:20" ht="25" customHeight="1">
      <c r="A104" s="683"/>
      <c r="B104" s="696"/>
      <c r="C104" s="281">
        <v>4</v>
      </c>
      <c r="D104" s="282"/>
      <c r="E104" s="283"/>
      <c r="F104" s="284"/>
      <c r="G104" s="356"/>
      <c r="H104" s="307"/>
      <c r="I104" s="308"/>
      <c r="J104" s="288"/>
      <c r="K104" s="289"/>
      <c r="L104" s="290"/>
      <c r="M104" s="324">
        <f t="shared" si="10"/>
        <v>0</v>
      </c>
      <c r="N104" s="290"/>
      <c r="O104" s="301"/>
      <c r="P104" s="302"/>
    </row>
    <row r="105" spans="1:20" ht="25" customHeight="1" thickBot="1">
      <c r="A105" s="683"/>
      <c r="B105" s="696"/>
      <c r="C105" s="281">
        <v>5</v>
      </c>
      <c r="D105" s="292"/>
      <c r="E105" s="293"/>
      <c r="F105" s="294"/>
      <c r="G105" s="356"/>
      <c r="H105" s="307"/>
      <c r="I105" s="308"/>
      <c r="J105" s="295"/>
      <c r="K105" s="250"/>
      <c r="L105" s="296"/>
      <c r="M105" s="324">
        <f t="shared" si="10"/>
        <v>0</v>
      </c>
      <c r="N105" s="290"/>
      <c r="O105" s="303"/>
      <c r="P105" s="304"/>
      <c r="R105" s="346"/>
    </row>
    <row r="106" spans="1:20" ht="15.75" customHeight="1" thickTop="1" thickBot="1">
      <c r="A106" s="684"/>
      <c r="B106" s="697"/>
      <c r="C106" s="692"/>
      <c r="D106" s="693"/>
      <c r="E106" s="693"/>
      <c r="F106" s="693"/>
      <c r="G106" s="693"/>
      <c r="H106" s="693"/>
      <c r="I106" s="694"/>
      <c r="J106" s="351" t="s">
        <v>58</v>
      </c>
      <c r="K106" s="349" t="e">
        <f>M106/'生產管理報表 7-1 (週)'!$B$43</f>
        <v>#DIV/0!</v>
      </c>
      <c r="L106" s="352" t="s">
        <v>59</v>
      </c>
      <c r="M106" s="353">
        <f>SUM(M101:M105)</f>
        <v>0</v>
      </c>
      <c r="N106" s="669"/>
      <c r="O106" s="670"/>
      <c r="P106" s="671"/>
      <c r="R106" s="342"/>
    </row>
    <row r="107" spans="1:20" ht="15.75" customHeight="1" thickTop="1">
      <c r="K107" s="291" t="s">
        <v>458</v>
      </c>
      <c r="M107" s="331"/>
      <c r="R107" s="342"/>
    </row>
    <row r="108" spans="1:20" ht="25" customHeight="1">
      <c r="A108" s="672" t="s">
        <v>191</v>
      </c>
      <c r="B108" s="673"/>
      <c r="C108" s="305" t="s">
        <v>47</v>
      </c>
      <c r="D108" s="674" t="s">
        <v>12</v>
      </c>
      <c r="E108" s="675"/>
      <c r="F108" s="676"/>
      <c r="G108" s="677" t="s">
        <v>53</v>
      </c>
      <c r="H108" s="678"/>
      <c r="I108" s="679"/>
      <c r="J108" s="306" t="s">
        <v>54</v>
      </c>
      <c r="K108" s="278" t="s">
        <v>55</v>
      </c>
      <c r="L108" s="278" t="s">
        <v>56</v>
      </c>
      <c r="M108" s="332" t="s">
        <v>11</v>
      </c>
      <c r="N108" s="279" t="s">
        <v>333</v>
      </c>
      <c r="O108" s="680" t="s">
        <v>51</v>
      </c>
      <c r="P108" s="681"/>
      <c r="R108" s="342"/>
    </row>
    <row r="109" spans="1:20" ht="55" customHeight="1">
      <c r="A109" s="682">
        <v>6</v>
      </c>
      <c r="B109" s="695" t="s">
        <v>216</v>
      </c>
      <c r="C109" s="281">
        <v>1</v>
      </c>
      <c r="D109" s="347"/>
      <c r="E109" s="283"/>
      <c r="F109" s="284"/>
      <c r="G109" s="308"/>
      <c r="H109" s="307"/>
      <c r="I109" s="308"/>
      <c r="J109" s="314"/>
      <c r="K109" s="315"/>
      <c r="L109" s="316"/>
      <c r="M109" s="324">
        <f t="shared" ref="M109:M113" si="11">L109*J109</f>
        <v>0</v>
      </c>
      <c r="N109" s="290"/>
      <c r="O109" s="723"/>
      <c r="P109" s="724"/>
      <c r="R109" s="339"/>
      <c r="S109" s="339"/>
    </row>
    <row r="110" spans="1:20" ht="55" customHeight="1">
      <c r="A110" s="683"/>
      <c r="B110" s="696"/>
      <c r="C110" s="281">
        <v>2</v>
      </c>
      <c r="D110" s="239"/>
      <c r="E110" s="283"/>
      <c r="F110" s="284"/>
      <c r="G110" s="308"/>
      <c r="H110" s="307"/>
      <c r="I110" s="308"/>
      <c r="J110" s="314"/>
      <c r="K110" s="315"/>
      <c r="L110" s="316"/>
      <c r="M110" s="324">
        <f t="shared" si="11"/>
        <v>0</v>
      </c>
      <c r="N110" s="290"/>
      <c r="O110" s="723"/>
      <c r="P110" s="724"/>
      <c r="R110" s="339"/>
      <c r="S110" s="339"/>
    </row>
    <row r="111" spans="1:20" ht="55" customHeight="1">
      <c r="A111" s="683"/>
      <c r="B111" s="696"/>
      <c r="C111" s="281">
        <v>3</v>
      </c>
      <c r="D111" s="239"/>
      <c r="E111" s="283"/>
      <c r="F111" s="284"/>
      <c r="G111" s="308"/>
      <c r="H111" s="307"/>
      <c r="I111" s="308"/>
      <c r="J111" s="314"/>
      <c r="K111" s="315"/>
      <c r="L111" s="316"/>
      <c r="M111" s="324">
        <f t="shared" si="11"/>
        <v>0</v>
      </c>
      <c r="N111" s="290"/>
      <c r="O111" s="723"/>
      <c r="P111" s="724"/>
      <c r="R111" s="339"/>
    </row>
    <row r="112" spans="1:20" ht="55" customHeight="1">
      <c r="A112" s="683"/>
      <c r="B112" s="696"/>
      <c r="C112" s="281">
        <v>4</v>
      </c>
      <c r="D112" s="239"/>
      <c r="E112" s="283"/>
      <c r="F112" s="284"/>
      <c r="G112" s="356"/>
      <c r="H112" s="307"/>
      <c r="I112" s="308"/>
      <c r="J112" s="314"/>
      <c r="K112" s="315"/>
      <c r="L112" s="316"/>
      <c r="M112" s="324">
        <f t="shared" si="11"/>
        <v>0</v>
      </c>
      <c r="N112" s="290"/>
      <c r="O112" s="723"/>
      <c r="P112" s="724"/>
      <c r="R112" s="339"/>
      <c r="S112" s="339"/>
    </row>
    <row r="113" spans="1:21" ht="55" customHeight="1" thickBot="1">
      <c r="A113" s="683"/>
      <c r="B113" s="696"/>
      <c r="C113" s="281">
        <v>5</v>
      </c>
      <c r="D113" s="246"/>
      <c r="E113" s="293"/>
      <c r="F113" s="294"/>
      <c r="G113" s="356"/>
      <c r="H113" s="307"/>
      <c r="I113" s="308"/>
      <c r="J113" s="318"/>
      <c r="K113" s="250"/>
      <c r="L113" s="319"/>
      <c r="M113" s="324">
        <f t="shared" si="11"/>
        <v>0</v>
      </c>
      <c r="N113" s="290"/>
      <c r="O113" s="723"/>
      <c r="P113" s="724"/>
    </row>
    <row r="114" spans="1:21" ht="15.75" customHeight="1" thickTop="1" thickBot="1">
      <c r="A114" s="684"/>
      <c r="B114" s="697"/>
      <c r="C114" s="692"/>
      <c r="D114" s="693"/>
      <c r="E114" s="693"/>
      <c r="F114" s="693"/>
      <c r="G114" s="693"/>
      <c r="H114" s="693"/>
      <c r="I114" s="694"/>
      <c r="J114" s="351" t="s">
        <v>58</v>
      </c>
      <c r="K114" s="349" t="e">
        <f>M114/'生產管理報表 7-1 (週)'!$B$43</f>
        <v>#DIV/0!</v>
      </c>
      <c r="L114" s="352" t="s">
        <v>59</v>
      </c>
      <c r="M114" s="353">
        <f>SUM(M109:M113)</f>
        <v>0</v>
      </c>
      <c r="N114" s="669"/>
      <c r="O114" s="670"/>
      <c r="P114" s="671"/>
    </row>
    <row r="115" spans="1:21" s="136" customFormat="1" ht="15.75" customHeight="1" thickTop="1">
      <c r="A115" s="806" t="s">
        <v>678</v>
      </c>
      <c r="B115" s="806"/>
      <c r="C115" s="806"/>
      <c r="D115" s="806"/>
      <c r="E115" s="806"/>
      <c r="F115" s="806"/>
      <c r="G115" s="806"/>
      <c r="H115" s="806"/>
      <c r="I115" s="806"/>
      <c r="J115" s="806"/>
      <c r="K115" s="806"/>
      <c r="L115" s="806"/>
      <c r="M115" s="806"/>
      <c r="N115" s="136" t="s">
        <v>678</v>
      </c>
      <c r="R115" s="233"/>
      <c r="S115" s="233"/>
      <c r="T115" s="233"/>
      <c r="U115" s="233"/>
    </row>
    <row r="116" spans="1:21" s="137" customFormat="1" ht="15.75" customHeight="1">
      <c r="A116" s="734"/>
      <c r="B116" s="734"/>
      <c r="C116" s="734"/>
      <c r="D116" s="734"/>
      <c r="E116" s="734"/>
      <c r="F116" s="734"/>
      <c r="G116" s="734"/>
      <c r="H116" s="734"/>
      <c r="I116" s="734"/>
      <c r="J116" s="734"/>
      <c r="K116" s="734"/>
      <c r="L116" s="734"/>
      <c r="M116" s="734"/>
    </row>
    <row r="117" spans="1:21" s="136" customFormat="1" ht="15.75" customHeight="1">
      <c r="A117" s="735" t="s">
        <v>191</v>
      </c>
      <c r="B117" s="737">
        <v>1</v>
      </c>
      <c r="C117" s="738"/>
      <c r="D117" s="737">
        <v>2</v>
      </c>
      <c r="E117" s="738"/>
      <c r="F117" s="737">
        <v>3</v>
      </c>
      <c r="G117" s="738"/>
      <c r="H117" s="728">
        <v>4</v>
      </c>
      <c r="I117" s="729"/>
      <c r="J117" s="728">
        <v>5</v>
      </c>
      <c r="K117" s="729"/>
      <c r="L117" s="728">
        <v>6</v>
      </c>
      <c r="M117" s="729"/>
      <c r="N117" s="728">
        <v>7</v>
      </c>
      <c r="O117" s="729"/>
      <c r="P117" s="329">
        <v>8</v>
      </c>
    </row>
    <row r="118" spans="1:21" s="136" customFormat="1" ht="15.75" customHeight="1">
      <c r="A118" s="736"/>
      <c r="B118" s="732" t="s">
        <v>454</v>
      </c>
      <c r="C118" s="733"/>
      <c r="D118" s="732" t="s">
        <v>212</v>
      </c>
      <c r="E118" s="733"/>
      <c r="F118" s="732" t="s">
        <v>166</v>
      </c>
      <c r="G118" s="733"/>
      <c r="H118" s="730" t="s">
        <v>430</v>
      </c>
      <c r="I118" s="731"/>
      <c r="J118" s="730" t="s">
        <v>189</v>
      </c>
      <c r="K118" s="731"/>
      <c r="L118" s="730" t="s">
        <v>167</v>
      </c>
      <c r="M118" s="731"/>
      <c r="N118" s="730" t="s">
        <v>190</v>
      </c>
      <c r="O118" s="731"/>
      <c r="P118" s="330" t="s">
        <v>217</v>
      </c>
    </row>
    <row r="119" spans="1:21" s="136" customFormat="1" ht="15.75" customHeight="1">
      <c r="B119" s="234"/>
      <c r="C119" s="235"/>
    </row>
    <row r="120" spans="1:21" s="280" customFormat="1" ht="15.75" customHeight="1">
      <c r="A120" s="672" t="s">
        <v>191</v>
      </c>
      <c r="B120" s="673"/>
      <c r="C120" s="277" t="s">
        <v>47</v>
      </c>
      <c r="D120" s="702" t="s">
        <v>12</v>
      </c>
      <c r="E120" s="703"/>
      <c r="F120" s="704"/>
      <c r="G120" s="705" t="s">
        <v>53</v>
      </c>
      <c r="H120" s="706"/>
      <c r="I120" s="707"/>
      <c r="J120" s="278" t="s">
        <v>54</v>
      </c>
      <c r="K120" s="278" t="s">
        <v>55</v>
      </c>
      <c r="L120" s="278" t="s">
        <v>56</v>
      </c>
      <c r="M120" s="279" t="s">
        <v>11</v>
      </c>
      <c r="N120" s="279" t="s">
        <v>333</v>
      </c>
      <c r="O120" s="680" t="s">
        <v>51</v>
      </c>
      <c r="P120" s="681"/>
      <c r="R120" s="342"/>
      <c r="S120" s="343"/>
    </row>
    <row r="121" spans="1:21" s="300" customFormat="1" ht="60" customHeight="1">
      <c r="A121" s="682">
        <v>4</v>
      </c>
      <c r="B121" s="716" t="s">
        <v>430</v>
      </c>
      <c r="C121" s="281">
        <v>1</v>
      </c>
      <c r="D121" s="239"/>
      <c r="E121" s="240"/>
      <c r="F121" s="241"/>
      <c r="G121" s="356"/>
      <c r="H121" s="307"/>
      <c r="I121" s="308"/>
      <c r="J121" s="314"/>
      <c r="K121" s="315"/>
      <c r="L121" s="316"/>
      <c r="M121" s="324">
        <f t="shared" ref="M121:M125" si="12">L121*J121</f>
        <v>0</v>
      </c>
      <c r="N121" s="316"/>
      <c r="O121" s="712"/>
      <c r="P121" s="713"/>
      <c r="R121" s="403"/>
      <c r="S121" s="343"/>
    </row>
    <row r="122" spans="1:21" s="300" customFormat="1" ht="60" customHeight="1">
      <c r="A122" s="683"/>
      <c r="B122" s="717"/>
      <c r="C122" s="281">
        <v>2</v>
      </c>
      <c r="D122" s="239"/>
      <c r="E122" s="240"/>
      <c r="F122" s="241"/>
      <c r="G122" s="308"/>
      <c r="H122" s="307"/>
      <c r="I122" s="308"/>
      <c r="J122" s="314"/>
      <c r="K122" s="315"/>
      <c r="L122" s="316"/>
      <c r="M122" s="324">
        <f t="shared" si="12"/>
        <v>0</v>
      </c>
      <c r="N122" s="316"/>
      <c r="O122" s="712"/>
      <c r="P122" s="713"/>
      <c r="R122" s="403"/>
      <c r="S122" s="404"/>
      <c r="T122" s="338"/>
    </row>
    <row r="123" spans="1:21" s="300" customFormat="1" ht="60" customHeight="1">
      <c r="A123" s="683"/>
      <c r="B123" s="717"/>
      <c r="C123" s="281">
        <v>3</v>
      </c>
      <c r="D123" s="239"/>
      <c r="E123" s="240"/>
      <c r="F123" s="241"/>
      <c r="G123" s="308"/>
      <c r="H123" s="307"/>
      <c r="I123" s="308"/>
      <c r="J123" s="314"/>
      <c r="K123" s="315"/>
      <c r="L123" s="316"/>
      <c r="M123" s="324">
        <f t="shared" si="12"/>
        <v>0</v>
      </c>
      <c r="N123" s="316"/>
      <c r="O123" s="721"/>
      <c r="P123" s="722"/>
      <c r="R123" s="403"/>
      <c r="S123" s="405"/>
    </row>
    <row r="124" spans="1:21" s="300" customFormat="1" ht="60" customHeight="1">
      <c r="A124" s="683"/>
      <c r="B124" s="717"/>
      <c r="C124" s="281">
        <v>4</v>
      </c>
      <c r="D124" s="239"/>
      <c r="E124" s="240"/>
      <c r="F124" s="241"/>
      <c r="G124" s="308"/>
      <c r="H124" s="307"/>
      <c r="I124" s="308"/>
      <c r="J124" s="314"/>
      <c r="K124" s="315"/>
      <c r="L124" s="316"/>
      <c r="M124" s="324">
        <f t="shared" si="12"/>
        <v>0</v>
      </c>
      <c r="N124" s="316"/>
      <c r="O124" s="721"/>
      <c r="P124" s="722"/>
      <c r="R124" s="403"/>
      <c r="S124" s="404"/>
      <c r="T124" s="338"/>
    </row>
    <row r="125" spans="1:21" s="300" customFormat="1" ht="60" customHeight="1" thickBot="1">
      <c r="A125" s="683"/>
      <c r="B125" s="717"/>
      <c r="C125" s="281">
        <v>5</v>
      </c>
      <c r="D125" s="239"/>
      <c r="E125" s="247"/>
      <c r="F125" s="248"/>
      <c r="G125" s="308"/>
      <c r="H125" s="307"/>
      <c r="I125" s="308"/>
      <c r="J125" s="318"/>
      <c r="K125" s="250"/>
      <c r="L125" s="319"/>
      <c r="M125" s="324">
        <f t="shared" si="12"/>
        <v>0</v>
      </c>
      <c r="N125" s="316"/>
      <c r="O125" s="721"/>
      <c r="P125" s="722"/>
      <c r="R125" s="406"/>
      <c r="S125" s="405"/>
      <c r="T125" s="291"/>
    </row>
    <row r="126" spans="1:21" ht="15.75" customHeight="1" thickTop="1" thickBot="1">
      <c r="A126" s="684"/>
      <c r="B126" s="718"/>
      <c r="C126" s="725"/>
      <c r="D126" s="726"/>
      <c r="E126" s="726"/>
      <c r="F126" s="726"/>
      <c r="G126" s="726"/>
      <c r="H126" s="726"/>
      <c r="I126" s="727"/>
      <c r="J126" s="351" t="s">
        <v>58</v>
      </c>
      <c r="K126" s="349" t="e">
        <f>M126/'生產管理報表 7-1 (週)'!$B$54</f>
        <v>#DIV/0!</v>
      </c>
      <c r="L126" s="352" t="s">
        <v>59</v>
      </c>
      <c r="M126" s="353">
        <f>SUM(M121:M125)</f>
        <v>0</v>
      </c>
      <c r="N126" s="669"/>
      <c r="O126" s="670"/>
      <c r="P126" s="671"/>
      <c r="R126" s="342"/>
      <c r="S126" s="342"/>
    </row>
    <row r="127" spans="1:21" ht="15.75" customHeight="1" thickTop="1">
      <c r="M127" s="331"/>
      <c r="S127" s="343"/>
    </row>
    <row r="128" spans="1:21" ht="15.75" customHeight="1">
      <c r="A128" s="672" t="s">
        <v>191</v>
      </c>
      <c r="B128" s="673"/>
      <c r="C128" s="277" t="s">
        <v>47</v>
      </c>
      <c r="D128" s="702" t="s">
        <v>12</v>
      </c>
      <c r="E128" s="703"/>
      <c r="F128" s="704"/>
      <c r="G128" s="705" t="s">
        <v>53</v>
      </c>
      <c r="H128" s="706"/>
      <c r="I128" s="707"/>
      <c r="J128" s="387" t="s">
        <v>54</v>
      </c>
      <c r="K128" s="278" t="s">
        <v>55</v>
      </c>
      <c r="L128" s="278" t="s">
        <v>56</v>
      </c>
      <c r="M128" s="332" t="s">
        <v>11</v>
      </c>
      <c r="N128" s="279" t="s">
        <v>333</v>
      </c>
      <c r="O128" s="680" t="s">
        <v>51</v>
      </c>
      <c r="P128" s="681"/>
      <c r="S128" s="342"/>
      <c r="T128" s="338"/>
    </row>
    <row r="129" spans="1:20" s="300" customFormat="1" ht="60" customHeight="1">
      <c r="A129" s="682">
        <v>5</v>
      </c>
      <c r="B129" s="695" t="s">
        <v>215</v>
      </c>
      <c r="C129" s="281">
        <v>1</v>
      </c>
      <c r="D129" s="239"/>
      <c r="E129" s="240"/>
      <c r="F129" s="241"/>
      <c r="G129" s="308"/>
      <c r="H129" s="307"/>
      <c r="I129" s="308"/>
      <c r="J129" s="314"/>
      <c r="K129" s="315"/>
      <c r="L129" s="316"/>
      <c r="M129" s="324">
        <f>L129*J129</f>
        <v>0</v>
      </c>
      <c r="N129" s="316"/>
      <c r="O129" s="761"/>
      <c r="P129" s="762"/>
      <c r="S129" s="405"/>
      <c r="T129" s="338"/>
    </row>
    <row r="130" spans="1:20" s="300" customFormat="1" ht="25" customHeight="1">
      <c r="A130" s="683"/>
      <c r="B130" s="696"/>
      <c r="C130" s="281">
        <v>2</v>
      </c>
      <c r="D130" s="239"/>
      <c r="E130" s="240"/>
      <c r="F130" s="241"/>
      <c r="G130" s="308"/>
      <c r="H130" s="307"/>
      <c r="I130" s="308"/>
      <c r="J130" s="314"/>
      <c r="K130" s="315"/>
      <c r="L130" s="316"/>
      <c r="M130" s="324">
        <f t="shared" ref="M130:M133" si="13">L130*J130</f>
        <v>0</v>
      </c>
      <c r="N130" s="316"/>
      <c r="O130" s="700"/>
      <c r="P130" s="701"/>
      <c r="S130" s="342"/>
      <c r="T130" s="339"/>
    </row>
    <row r="131" spans="1:20" ht="25" customHeight="1">
      <c r="A131" s="683"/>
      <c r="B131" s="696"/>
      <c r="C131" s="281">
        <v>3</v>
      </c>
      <c r="D131" s="239"/>
      <c r="E131" s="240"/>
      <c r="F131" s="241"/>
      <c r="G131" s="356"/>
      <c r="H131" s="307"/>
      <c r="I131" s="308"/>
      <c r="J131" s="314"/>
      <c r="K131" s="315"/>
      <c r="L131" s="316"/>
      <c r="M131" s="324">
        <f t="shared" si="13"/>
        <v>0</v>
      </c>
      <c r="N131" s="290"/>
      <c r="O131" s="690"/>
      <c r="P131" s="691"/>
    </row>
    <row r="132" spans="1:20" ht="25" customHeight="1">
      <c r="A132" s="683"/>
      <c r="B132" s="696"/>
      <c r="C132" s="281">
        <v>4</v>
      </c>
      <c r="D132" s="282"/>
      <c r="E132" s="283"/>
      <c r="F132" s="284"/>
      <c r="G132" s="356"/>
      <c r="H132" s="307"/>
      <c r="I132" s="308"/>
      <c r="J132" s="288"/>
      <c r="K132" s="289"/>
      <c r="L132" s="290"/>
      <c r="M132" s="324">
        <f t="shared" si="13"/>
        <v>0</v>
      </c>
      <c r="N132" s="290"/>
      <c r="O132" s="301"/>
      <c r="P132" s="302"/>
    </row>
    <row r="133" spans="1:20" ht="25" customHeight="1" thickBot="1">
      <c r="A133" s="683"/>
      <c r="B133" s="696"/>
      <c r="C133" s="281">
        <v>5</v>
      </c>
      <c r="D133" s="292"/>
      <c r="E133" s="293"/>
      <c r="F133" s="294"/>
      <c r="G133" s="356"/>
      <c r="H133" s="307"/>
      <c r="I133" s="308"/>
      <c r="J133" s="295"/>
      <c r="K133" s="250"/>
      <c r="L133" s="296"/>
      <c r="M133" s="324">
        <f t="shared" si="13"/>
        <v>0</v>
      </c>
      <c r="N133" s="290"/>
      <c r="O133" s="303"/>
      <c r="P133" s="304"/>
      <c r="R133" s="346"/>
    </row>
    <row r="134" spans="1:20" ht="15.75" customHeight="1" thickTop="1" thickBot="1">
      <c r="A134" s="684"/>
      <c r="B134" s="697"/>
      <c r="C134" s="692"/>
      <c r="D134" s="693"/>
      <c r="E134" s="693"/>
      <c r="F134" s="693"/>
      <c r="G134" s="693"/>
      <c r="H134" s="693"/>
      <c r="I134" s="694"/>
      <c r="J134" s="351" t="s">
        <v>58</v>
      </c>
      <c r="K134" s="349" t="e">
        <f>M134/'生產管理報表 7-1 (週)'!$B$54</f>
        <v>#DIV/0!</v>
      </c>
      <c r="L134" s="352" t="s">
        <v>59</v>
      </c>
      <c r="M134" s="353">
        <f>SUM(M129:M133)</f>
        <v>0</v>
      </c>
      <c r="N134" s="669"/>
      <c r="O134" s="670"/>
      <c r="P134" s="671"/>
      <c r="R134" s="342"/>
    </row>
    <row r="135" spans="1:20" ht="15.75" customHeight="1" thickTop="1">
      <c r="K135" s="291" t="s">
        <v>458</v>
      </c>
      <c r="M135" s="331"/>
      <c r="R135" s="342"/>
    </row>
    <row r="136" spans="1:20" ht="25" customHeight="1">
      <c r="A136" s="672" t="s">
        <v>191</v>
      </c>
      <c r="B136" s="673"/>
      <c r="C136" s="305" t="s">
        <v>47</v>
      </c>
      <c r="D136" s="674" t="s">
        <v>12</v>
      </c>
      <c r="E136" s="675"/>
      <c r="F136" s="676"/>
      <c r="G136" s="677" t="s">
        <v>53</v>
      </c>
      <c r="H136" s="678"/>
      <c r="I136" s="679"/>
      <c r="J136" s="306" t="s">
        <v>54</v>
      </c>
      <c r="K136" s="278" t="s">
        <v>55</v>
      </c>
      <c r="L136" s="278" t="s">
        <v>56</v>
      </c>
      <c r="M136" s="332" t="s">
        <v>11</v>
      </c>
      <c r="N136" s="279" t="s">
        <v>333</v>
      </c>
      <c r="O136" s="680" t="s">
        <v>51</v>
      </c>
      <c r="P136" s="681"/>
      <c r="R136" s="342"/>
    </row>
    <row r="137" spans="1:20" ht="55" customHeight="1">
      <c r="A137" s="682">
        <v>6</v>
      </c>
      <c r="B137" s="695" t="s">
        <v>216</v>
      </c>
      <c r="C137" s="281">
        <v>1</v>
      </c>
      <c r="D137" s="347"/>
      <c r="E137" s="283"/>
      <c r="F137" s="284"/>
      <c r="G137" s="308"/>
      <c r="H137" s="307"/>
      <c r="I137" s="308"/>
      <c r="J137" s="314"/>
      <c r="K137" s="315"/>
      <c r="L137" s="316"/>
      <c r="M137" s="324">
        <f t="shared" ref="M137:M141" si="14">L137*J137</f>
        <v>0</v>
      </c>
      <c r="N137" s="290"/>
      <c r="O137" s="723"/>
      <c r="P137" s="724"/>
      <c r="R137" s="339"/>
      <c r="S137" s="339"/>
    </row>
    <row r="138" spans="1:20" ht="55" customHeight="1">
      <c r="A138" s="683"/>
      <c r="B138" s="696"/>
      <c r="C138" s="281">
        <v>2</v>
      </c>
      <c r="D138" s="239"/>
      <c r="E138" s="283"/>
      <c r="F138" s="284"/>
      <c r="G138" s="308"/>
      <c r="H138" s="307"/>
      <c r="I138" s="308"/>
      <c r="J138" s="314"/>
      <c r="K138" s="315"/>
      <c r="L138" s="316"/>
      <c r="M138" s="324">
        <f t="shared" si="14"/>
        <v>0</v>
      </c>
      <c r="N138" s="290"/>
      <c r="O138" s="723"/>
      <c r="P138" s="724"/>
      <c r="R138" s="339"/>
      <c r="S138" s="339"/>
    </row>
    <row r="139" spans="1:20" ht="55" customHeight="1">
      <c r="A139" s="683"/>
      <c r="B139" s="696"/>
      <c r="C139" s="281">
        <v>3</v>
      </c>
      <c r="D139" s="239"/>
      <c r="E139" s="283"/>
      <c r="F139" s="284"/>
      <c r="G139" s="308"/>
      <c r="H139" s="307"/>
      <c r="I139" s="308"/>
      <c r="J139" s="314"/>
      <c r="K139" s="315"/>
      <c r="L139" s="316"/>
      <c r="M139" s="324">
        <f t="shared" si="14"/>
        <v>0</v>
      </c>
      <c r="N139" s="290"/>
      <c r="O139" s="723"/>
      <c r="P139" s="724"/>
      <c r="R139" s="339"/>
    </row>
    <row r="140" spans="1:20" ht="55" customHeight="1">
      <c r="A140" s="683"/>
      <c r="B140" s="696"/>
      <c r="C140" s="281">
        <v>4</v>
      </c>
      <c r="D140" s="239"/>
      <c r="E140" s="283"/>
      <c r="F140" s="284"/>
      <c r="G140" s="308"/>
      <c r="H140" s="307"/>
      <c r="I140" s="308"/>
      <c r="J140" s="314"/>
      <c r="K140" s="315"/>
      <c r="L140" s="316"/>
      <c r="M140" s="324">
        <f t="shared" si="14"/>
        <v>0</v>
      </c>
      <c r="N140" s="290"/>
      <c r="O140" s="723"/>
      <c r="P140" s="724"/>
      <c r="R140" s="339"/>
      <c r="S140" s="339"/>
    </row>
    <row r="141" spans="1:20" ht="54.75" customHeight="1" thickBot="1">
      <c r="A141" s="683"/>
      <c r="B141" s="696"/>
      <c r="C141" s="281">
        <v>5</v>
      </c>
      <c r="D141" s="246"/>
      <c r="E141" s="293"/>
      <c r="F141" s="294"/>
      <c r="G141" s="308"/>
      <c r="H141" s="307"/>
      <c r="I141" s="308"/>
      <c r="J141" s="318"/>
      <c r="K141" s="250"/>
      <c r="L141" s="319"/>
      <c r="M141" s="324">
        <f t="shared" si="14"/>
        <v>0</v>
      </c>
      <c r="N141" s="290"/>
      <c r="O141" s="723"/>
      <c r="P141" s="724"/>
    </row>
    <row r="142" spans="1:20" ht="15.75" customHeight="1" thickTop="1" thickBot="1">
      <c r="A142" s="684"/>
      <c r="B142" s="697"/>
      <c r="C142" s="692"/>
      <c r="D142" s="693"/>
      <c r="E142" s="693"/>
      <c r="F142" s="693"/>
      <c r="G142" s="693"/>
      <c r="H142" s="693"/>
      <c r="I142" s="694"/>
      <c r="J142" s="351" t="s">
        <v>58</v>
      </c>
      <c r="K142" s="349" t="e">
        <f>M142/'生產管理報表 7-1 (週)'!$B$54</f>
        <v>#DIV/0!</v>
      </c>
      <c r="L142" s="352" t="s">
        <v>59</v>
      </c>
      <c r="M142" s="353">
        <f>SUM(M137:M141)</f>
        <v>0</v>
      </c>
      <c r="N142" s="669"/>
      <c r="O142" s="670"/>
      <c r="P142" s="671"/>
    </row>
    <row r="143" spans="1:20" ht="15.75" customHeight="1" thickTop="1"/>
  </sheetData>
  <mergeCells count="266"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N34:O34"/>
    <mergeCell ref="A36:B36"/>
    <mergeCell ref="D36:F36"/>
    <mergeCell ref="G36:I36"/>
    <mergeCell ref="O36:P36"/>
    <mergeCell ref="A1:P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B62:C62"/>
    <mergeCell ref="D62:E62"/>
    <mergeCell ref="F62:G62"/>
    <mergeCell ref="H62:I62"/>
    <mergeCell ref="J62:K62"/>
    <mergeCell ref="L62:M62"/>
    <mergeCell ref="N62:O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0" max="15" man="1"/>
    <brk id="58" max="15" man="1"/>
    <brk id="86" max="15" man="1"/>
    <brk id="114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7" sqref="S27"/>
    </sheetView>
  </sheetViews>
  <sheetFormatPr defaultColWidth="12.54296875" defaultRowHeight="15.75" customHeight="1"/>
  <cols>
    <col min="1" max="1" width="5.453125" style="99" customWidth="1"/>
    <col min="2" max="2" width="7.81640625" style="133" customWidth="1"/>
    <col min="3" max="3" width="4" style="130" customWidth="1"/>
    <col min="4" max="17" width="8.54296875" style="99" customWidth="1"/>
    <col min="18" max="16384" width="12.54296875" style="99"/>
  </cols>
  <sheetData>
    <row r="1" spans="1:17" ht="15.75" customHeight="1">
      <c r="A1" s="502" t="s">
        <v>362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</row>
    <row r="2" spans="1:17" s="100" customFormat="1" ht="15.75" customHeight="1">
      <c r="A2" s="502"/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</row>
    <row r="3" spans="1:17" ht="15.75" customHeight="1">
      <c r="A3" s="615" t="s">
        <v>383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5"/>
      <c r="N3" s="615"/>
      <c r="O3" s="615"/>
      <c r="P3" s="615"/>
      <c r="Q3" s="615"/>
    </row>
    <row r="4" spans="1:17" s="100" customFormat="1" ht="15.75" customHeight="1">
      <c r="A4" s="818"/>
      <c r="B4" s="818"/>
      <c r="C4" s="818"/>
      <c r="D4" s="818"/>
      <c r="E4" s="818"/>
      <c r="F4" s="818"/>
      <c r="G4" s="818"/>
      <c r="H4" s="818"/>
      <c r="I4" s="818"/>
      <c r="J4" s="818"/>
      <c r="K4" s="818"/>
      <c r="L4" s="818"/>
      <c r="M4" s="818"/>
      <c r="N4" s="818"/>
      <c r="O4" s="818"/>
      <c r="P4" s="818"/>
      <c r="Q4" s="818"/>
    </row>
    <row r="5" spans="1:17" ht="15.75" customHeight="1">
      <c r="A5" s="547" t="s">
        <v>191</v>
      </c>
      <c r="B5" s="817">
        <v>1</v>
      </c>
      <c r="C5" s="817"/>
      <c r="D5" s="817">
        <v>2</v>
      </c>
      <c r="E5" s="817"/>
      <c r="F5" s="817">
        <v>3</v>
      </c>
      <c r="G5" s="817"/>
      <c r="H5" s="817">
        <v>4</v>
      </c>
      <c r="I5" s="817"/>
      <c r="J5" s="817">
        <v>5</v>
      </c>
      <c r="K5" s="817"/>
      <c r="L5" s="817">
        <v>6</v>
      </c>
      <c r="M5" s="817"/>
      <c r="N5" s="817">
        <v>7</v>
      </c>
      <c r="O5" s="817"/>
      <c r="P5" s="819">
        <v>8</v>
      </c>
      <c r="Q5" s="819"/>
    </row>
    <row r="6" spans="1:17" ht="15.75" customHeight="1">
      <c r="A6" s="547"/>
      <c r="B6" s="547" t="s">
        <v>251</v>
      </c>
      <c r="C6" s="547"/>
      <c r="D6" s="547" t="s">
        <v>338</v>
      </c>
      <c r="E6" s="547"/>
      <c r="F6" s="547" t="s">
        <v>166</v>
      </c>
      <c r="G6" s="547"/>
      <c r="H6" s="547" t="s">
        <v>430</v>
      </c>
      <c r="I6" s="547"/>
      <c r="J6" s="547" t="s">
        <v>189</v>
      </c>
      <c r="K6" s="547"/>
      <c r="L6" s="547" t="s">
        <v>167</v>
      </c>
      <c r="M6" s="547"/>
      <c r="N6" s="547" t="s">
        <v>190</v>
      </c>
      <c r="O6" s="547"/>
      <c r="P6" s="822" t="s">
        <v>218</v>
      </c>
      <c r="Q6" s="822"/>
    </row>
    <row r="8" spans="1:17" s="106" customFormat="1" ht="15.75" customHeight="1">
      <c r="A8" s="131" t="s">
        <v>193</v>
      </c>
      <c r="B8" s="131" t="s">
        <v>18</v>
      </c>
      <c r="C8" s="816" t="s">
        <v>12</v>
      </c>
      <c r="D8" s="816"/>
      <c r="E8" s="816"/>
      <c r="F8" s="816" t="s">
        <v>53</v>
      </c>
      <c r="G8" s="816"/>
      <c r="H8" s="816"/>
      <c r="I8" s="131" t="s">
        <v>54</v>
      </c>
      <c r="J8" s="134" t="s">
        <v>19</v>
      </c>
      <c r="K8" s="131" t="s">
        <v>57</v>
      </c>
      <c r="L8" s="131" t="s">
        <v>2</v>
      </c>
      <c r="M8" s="816" t="s">
        <v>50</v>
      </c>
      <c r="N8" s="816"/>
      <c r="O8" s="816"/>
      <c r="P8" s="816"/>
      <c r="Q8" s="816"/>
    </row>
    <row r="9" spans="1:17" ht="15.75" customHeight="1">
      <c r="A9" s="816" t="s">
        <v>192</v>
      </c>
      <c r="B9" s="129">
        <v>1</v>
      </c>
      <c r="C9" s="820"/>
      <c r="D9" s="821"/>
      <c r="E9" s="821"/>
      <c r="F9" s="820"/>
      <c r="G9" s="821"/>
      <c r="H9" s="821"/>
      <c r="I9" s="108"/>
      <c r="J9" s="118"/>
      <c r="K9" s="118"/>
      <c r="L9" s="135">
        <f t="shared" ref="L9:L13" si="0">K9-J9</f>
        <v>0</v>
      </c>
      <c r="M9" s="820"/>
      <c r="N9" s="820"/>
      <c r="O9" s="820"/>
      <c r="P9" s="820"/>
      <c r="Q9" s="820"/>
    </row>
    <row r="10" spans="1:17" ht="15.75" customHeight="1">
      <c r="A10" s="816"/>
      <c r="B10" s="129">
        <v>2</v>
      </c>
      <c r="C10" s="820"/>
      <c r="D10" s="821"/>
      <c r="E10" s="821"/>
      <c r="F10" s="820"/>
      <c r="G10" s="821"/>
      <c r="H10" s="821"/>
      <c r="I10" s="108"/>
      <c r="J10" s="118"/>
      <c r="K10" s="118"/>
      <c r="L10" s="135">
        <f t="shared" si="0"/>
        <v>0</v>
      </c>
      <c r="M10" s="820"/>
      <c r="N10" s="820"/>
      <c r="O10" s="820"/>
      <c r="P10" s="820"/>
      <c r="Q10" s="820"/>
    </row>
    <row r="11" spans="1:17" ht="15.75" customHeight="1">
      <c r="A11" s="816"/>
      <c r="B11" s="129">
        <v>3</v>
      </c>
      <c r="C11" s="820"/>
      <c r="D11" s="821"/>
      <c r="E11" s="821"/>
      <c r="F11" s="820"/>
      <c r="G11" s="821"/>
      <c r="H11" s="821"/>
      <c r="I11" s="108"/>
      <c r="J11" s="118"/>
      <c r="K11" s="118"/>
      <c r="L11" s="135">
        <f t="shared" si="0"/>
        <v>0</v>
      </c>
      <c r="M11" s="820"/>
      <c r="N11" s="820"/>
      <c r="O11" s="820"/>
      <c r="P11" s="820"/>
      <c r="Q11" s="820"/>
    </row>
    <row r="12" spans="1:17" ht="15.75" customHeight="1">
      <c r="A12" s="816"/>
      <c r="B12" s="129">
        <v>4</v>
      </c>
      <c r="C12" s="820"/>
      <c r="D12" s="821"/>
      <c r="E12" s="821"/>
      <c r="F12" s="820"/>
      <c r="G12" s="821"/>
      <c r="H12" s="821"/>
      <c r="I12" s="108"/>
      <c r="J12" s="118"/>
      <c r="K12" s="118"/>
      <c r="L12" s="135">
        <f t="shared" si="0"/>
        <v>0</v>
      </c>
      <c r="M12" s="820"/>
      <c r="N12" s="820"/>
      <c r="O12" s="820"/>
      <c r="P12" s="820"/>
      <c r="Q12" s="820"/>
    </row>
    <row r="13" spans="1:17" ht="15.75" customHeight="1">
      <c r="A13" s="816"/>
      <c r="B13" s="129">
        <v>5</v>
      </c>
      <c r="C13" s="820"/>
      <c r="D13" s="821"/>
      <c r="E13" s="821"/>
      <c r="F13" s="820"/>
      <c r="G13" s="821"/>
      <c r="H13" s="821"/>
      <c r="I13" s="108"/>
      <c r="J13" s="118"/>
      <c r="K13" s="118"/>
      <c r="L13" s="135">
        <f t="shared" si="0"/>
        <v>0</v>
      </c>
      <c r="M13" s="820"/>
      <c r="N13" s="820"/>
      <c r="O13" s="820"/>
      <c r="P13" s="820"/>
      <c r="Q13" s="820"/>
    </row>
    <row r="14" spans="1:17" ht="15.75" customHeight="1">
      <c r="A14" s="823"/>
      <c r="B14" s="823"/>
      <c r="C14" s="823"/>
      <c r="D14" s="823"/>
      <c r="E14" s="823"/>
      <c r="F14" s="823"/>
      <c r="G14" s="823"/>
      <c r="H14" s="823"/>
      <c r="I14" s="823"/>
      <c r="J14" s="823"/>
      <c r="K14" s="823"/>
      <c r="L14" s="823"/>
      <c r="M14" s="823"/>
      <c r="N14" s="823"/>
      <c r="O14" s="824"/>
    </row>
    <row r="15" spans="1:17" s="106" customFormat="1" ht="15.75" customHeight="1">
      <c r="A15" s="131" t="s">
        <v>193</v>
      </c>
      <c r="B15" s="131" t="s">
        <v>18</v>
      </c>
      <c r="C15" s="816" t="s">
        <v>12</v>
      </c>
      <c r="D15" s="816"/>
      <c r="E15" s="816"/>
      <c r="F15" s="816" t="s">
        <v>53</v>
      </c>
      <c r="G15" s="816"/>
      <c r="H15" s="816"/>
      <c r="I15" s="131" t="s">
        <v>54</v>
      </c>
      <c r="J15" s="134" t="s">
        <v>19</v>
      </c>
      <c r="K15" s="131" t="s">
        <v>57</v>
      </c>
      <c r="L15" s="131" t="s">
        <v>2</v>
      </c>
      <c r="M15" s="816" t="s">
        <v>50</v>
      </c>
      <c r="N15" s="816"/>
      <c r="O15" s="816"/>
      <c r="P15" s="816"/>
      <c r="Q15" s="816"/>
    </row>
    <row r="16" spans="1:17" ht="15.75" customHeight="1">
      <c r="A16" s="816" t="s">
        <v>194</v>
      </c>
      <c r="B16" s="129">
        <v>1</v>
      </c>
      <c r="C16" s="820"/>
      <c r="D16" s="821"/>
      <c r="E16" s="821"/>
      <c r="F16" s="820"/>
      <c r="G16" s="821"/>
      <c r="H16" s="821"/>
      <c r="I16" s="108"/>
      <c r="J16" s="118"/>
      <c r="K16" s="118"/>
      <c r="L16" s="135">
        <f t="shared" ref="L16:L19" si="1">K16-J16</f>
        <v>0</v>
      </c>
      <c r="M16" s="820"/>
      <c r="N16" s="820"/>
      <c r="O16" s="820"/>
      <c r="P16" s="820"/>
      <c r="Q16" s="820"/>
    </row>
    <row r="17" spans="1:17" ht="15.75" customHeight="1">
      <c r="A17" s="816"/>
      <c r="B17" s="129">
        <v>2</v>
      </c>
      <c r="C17" s="820"/>
      <c r="D17" s="821"/>
      <c r="E17" s="821"/>
      <c r="F17" s="820"/>
      <c r="G17" s="821"/>
      <c r="H17" s="821"/>
      <c r="I17" s="108"/>
      <c r="J17" s="118"/>
      <c r="K17" s="118"/>
      <c r="L17" s="135">
        <f t="shared" si="1"/>
        <v>0</v>
      </c>
      <c r="M17" s="820"/>
      <c r="N17" s="820"/>
      <c r="O17" s="820"/>
      <c r="P17" s="820"/>
      <c r="Q17" s="820"/>
    </row>
    <row r="18" spans="1:17" ht="15.75" customHeight="1">
      <c r="A18" s="816"/>
      <c r="B18" s="129">
        <v>3</v>
      </c>
      <c r="C18" s="820"/>
      <c r="D18" s="821"/>
      <c r="E18" s="821"/>
      <c r="F18" s="820"/>
      <c r="G18" s="821"/>
      <c r="H18" s="821"/>
      <c r="I18" s="108"/>
      <c r="J18" s="118"/>
      <c r="K18" s="118"/>
      <c r="L18" s="135">
        <f t="shared" si="1"/>
        <v>0</v>
      </c>
      <c r="M18" s="820"/>
      <c r="N18" s="820"/>
      <c r="O18" s="820"/>
      <c r="P18" s="820"/>
      <c r="Q18" s="820"/>
    </row>
    <row r="19" spans="1:17" ht="15.75" customHeight="1">
      <c r="A19" s="816"/>
      <c r="B19" s="129">
        <v>4</v>
      </c>
      <c r="C19" s="820"/>
      <c r="D19" s="821"/>
      <c r="E19" s="821"/>
      <c r="F19" s="820"/>
      <c r="G19" s="821"/>
      <c r="H19" s="821"/>
      <c r="I19" s="108"/>
      <c r="J19" s="118"/>
      <c r="K19" s="118"/>
      <c r="L19" s="135">
        <f t="shared" si="1"/>
        <v>0</v>
      </c>
      <c r="M19" s="820"/>
      <c r="N19" s="820"/>
      <c r="O19" s="820"/>
      <c r="P19" s="820"/>
      <c r="Q19" s="820"/>
    </row>
    <row r="20" spans="1:17" ht="15.75" customHeight="1">
      <c r="A20" s="816"/>
      <c r="B20" s="129">
        <v>5</v>
      </c>
      <c r="C20" s="820"/>
      <c r="D20" s="821"/>
      <c r="E20" s="821"/>
      <c r="F20" s="820"/>
      <c r="G20" s="821"/>
      <c r="H20" s="821"/>
      <c r="I20" s="108"/>
      <c r="J20" s="118"/>
      <c r="K20" s="118"/>
      <c r="L20" s="135">
        <f>K20-J20</f>
        <v>0</v>
      </c>
      <c r="M20" s="820"/>
      <c r="N20" s="820"/>
      <c r="O20" s="820"/>
      <c r="P20" s="820"/>
      <c r="Q20" s="820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>
    <tabColor rgb="FFFFFFCC"/>
  </sheetPr>
  <dimension ref="A1:AE55"/>
  <sheetViews>
    <sheetView zoomScale="70" zoomScaleNormal="70" workbookViewId="0">
      <selection activeCell="G11" sqref="G11:G17"/>
    </sheetView>
  </sheetViews>
  <sheetFormatPr defaultColWidth="10.1796875" defaultRowHeight="15.5"/>
  <cols>
    <col min="1" max="8" width="25.7265625" style="230" customWidth="1"/>
    <col min="9" max="9" width="10.1796875" style="230"/>
    <col min="10" max="10" width="26.453125" style="230" bestFit="1" customWidth="1"/>
    <col min="11" max="12" width="26.453125" style="230" customWidth="1"/>
    <col min="13" max="13" width="26.1796875" style="230" bestFit="1" customWidth="1"/>
    <col min="14" max="14" width="10.1796875" style="230"/>
    <col min="15" max="16" width="13.7265625" style="230" bestFit="1" customWidth="1"/>
    <col min="17" max="18" width="10.1796875" style="230"/>
    <col min="19" max="19" width="15.1796875" style="230" bestFit="1" customWidth="1"/>
    <col min="20" max="21" width="10.1796875" style="230"/>
    <col min="22" max="22" width="13.7265625" style="230" bestFit="1" customWidth="1"/>
    <col min="23" max="24" width="10.1796875" style="230"/>
    <col min="25" max="25" width="15.1796875" style="230" bestFit="1" customWidth="1"/>
    <col min="26" max="27" width="10.1796875" style="230"/>
    <col min="28" max="28" width="13.7265625" style="230" bestFit="1" customWidth="1"/>
    <col min="29" max="30" width="10.1796875" style="230"/>
    <col min="31" max="31" width="15.1796875" style="230" bestFit="1" customWidth="1"/>
    <col min="32" max="16384" width="10.1796875" style="230"/>
  </cols>
  <sheetData>
    <row r="1" spans="1:31" ht="25.5">
      <c r="A1" s="827" t="s">
        <v>572</v>
      </c>
      <c r="B1" s="828"/>
      <c r="C1" s="828"/>
      <c r="D1" s="828"/>
      <c r="E1" s="828"/>
      <c r="F1" s="828"/>
      <c r="G1" s="828"/>
      <c r="H1" s="828"/>
      <c r="I1" s="460"/>
      <c r="J1" s="460"/>
      <c r="K1" s="460"/>
      <c r="L1" s="460"/>
      <c r="M1" s="460"/>
      <c r="N1" s="460"/>
      <c r="O1" s="460"/>
      <c r="P1" s="460"/>
      <c r="Q1" s="460"/>
      <c r="R1" s="460"/>
      <c r="S1" s="460"/>
      <c r="T1" s="460"/>
    </row>
    <row r="2" spans="1:31" ht="16.5" customHeight="1">
      <c r="A2" s="461" t="s">
        <v>661</v>
      </c>
      <c r="B2" s="462">
        <f>SUM(C10:C39)</f>
        <v>107356.13530000002</v>
      </c>
      <c r="C2" s="461" t="s">
        <v>662</v>
      </c>
      <c r="D2" s="463">
        <f>B2/B47</f>
        <v>2.0099388813696445E-3</v>
      </c>
      <c r="E2" s="461" t="s">
        <v>663</v>
      </c>
      <c r="F2" s="462">
        <f>SUM(E10:E39)</f>
        <v>328558.98929999996</v>
      </c>
      <c r="G2" s="493" t="s">
        <v>664</v>
      </c>
      <c r="H2" s="464">
        <f>F2/B47</f>
        <v>6.1513343934390197E-3</v>
      </c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</row>
    <row r="3" spans="1:31" ht="37.5" customHeight="1">
      <c r="A3" s="465" t="s">
        <v>573</v>
      </c>
      <c r="B3" s="465" t="s">
        <v>574</v>
      </c>
      <c r="C3" s="465" t="s">
        <v>575</v>
      </c>
      <c r="D3" s="465" t="s">
        <v>576</v>
      </c>
      <c r="E3" s="465" t="s">
        <v>577</v>
      </c>
      <c r="F3" s="465" t="s">
        <v>578</v>
      </c>
      <c r="G3" s="466" t="s">
        <v>579</v>
      </c>
      <c r="H3" s="466" t="s">
        <v>580</v>
      </c>
      <c r="I3" s="460"/>
      <c r="J3" s="467"/>
      <c r="K3" s="468"/>
      <c r="L3" s="467"/>
      <c r="M3" s="469"/>
      <c r="N3" s="467"/>
      <c r="O3" s="468"/>
      <c r="P3" s="470"/>
      <c r="Q3" s="460"/>
      <c r="R3" s="471"/>
      <c r="S3" s="470"/>
      <c r="T3" s="460"/>
      <c r="V3" s="354"/>
      <c r="Y3" s="354"/>
      <c r="AB3" s="354"/>
      <c r="AE3" s="354"/>
    </row>
    <row r="4" spans="1:31" ht="18">
      <c r="A4" s="472">
        <v>46168</v>
      </c>
      <c r="B4" s="473">
        <v>6878064.21</v>
      </c>
      <c r="C4" s="474">
        <v>13867.7808</v>
      </c>
      <c r="D4" s="475">
        <f t="shared" ref="D4:D45" si="0">C4/B4</f>
        <v>2.016233111031105E-3</v>
      </c>
      <c r="E4" s="474">
        <v>42716.183600000004</v>
      </c>
      <c r="F4" s="476">
        <f t="shared" ref="F4:F45" si="1">E4/B4</f>
        <v>6.2104950311302788E-3</v>
      </c>
      <c r="G4" s="826">
        <f>SUM(C4:C10)</f>
        <v>91900.310509999967</v>
      </c>
      <c r="H4" s="826">
        <f>SUM(E4:E10)</f>
        <v>282856.48109999992</v>
      </c>
      <c r="I4" s="460"/>
      <c r="J4" s="477"/>
      <c r="K4" s="477"/>
      <c r="L4" s="477"/>
      <c r="M4" s="478"/>
      <c r="N4" s="460"/>
      <c r="O4" s="460"/>
      <c r="P4" s="470"/>
      <c r="Q4" s="460"/>
      <c r="R4" s="471"/>
      <c r="S4" s="470"/>
      <c r="T4" s="460"/>
      <c r="V4" s="354"/>
      <c r="Y4" s="354"/>
      <c r="AB4" s="354"/>
      <c r="AE4" s="354"/>
    </row>
    <row r="5" spans="1:31" ht="18">
      <c r="A5" s="472">
        <f t="shared" ref="A5:A45" si="2">A4+1</f>
        <v>46169</v>
      </c>
      <c r="B5" s="473">
        <v>6712279.8799999999</v>
      </c>
      <c r="C5" s="474">
        <v>13494.778000000002</v>
      </c>
      <c r="D5" s="475">
        <f t="shared" si="0"/>
        <v>2.0104611609252508E-3</v>
      </c>
      <c r="E5" s="474">
        <v>41666.773699999983</v>
      </c>
      <c r="F5" s="476">
        <f t="shared" si="1"/>
        <v>6.2075441496637924E-3</v>
      </c>
      <c r="G5" s="826"/>
      <c r="H5" s="826"/>
      <c r="I5" s="460"/>
      <c r="J5" s="477"/>
      <c r="K5" s="477"/>
      <c r="L5" s="477"/>
      <c r="M5" s="478"/>
      <c r="N5" s="460"/>
      <c r="O5" s="460"/>
      <c r="P5" s="470"/>
      <c r="Q5" s="460"/>
      <c r="R5" s="471"/>
      <c r="S5" s="470"/>
      <c r="T5" s="460"/>
      <c r="V5" s="354"/>
      <c r="Y5" s="354"/>
      <c r="AB5" s="354"/>
      <c r="AE5" s="354"/>
    </row>
    <row r="6" spans="1:31" ht="18">
      <c r="A6" s="472">
        <f t="shared" si="2"/>
        <v>46170</v>
      </c>
      <c r="B6" s="473">
        <v>6322728.4299999997</v>
      </c>
      <c r="C6" s="474">
        <v>12671.324809999996</v>
      </c>
      <c r="D6" s="475">
        <f t="shared" si="0"/>
        <v>2.0040912638090319E-3</v>
      </c>
      <c r="E6" s="474">
        <v>38872.920699999988</v>
      </c>
      <c r="F6" s="476">
        <f t="shared" si="1"/>
        <v>6.148124362823533E-3</v>
      </c>
      <c r="G6" s="826"/>
      <c r="H6" s="826"/>
      <c r="I6" s="460"/>
      <c r="J6" s="477"/>
      <c r="K6" s="477"/>
      <c r="L6" s="477"/>
      <c r="M6" s="478"/>
      <c r="N6" s="460"/>
      <c r="O6" s="460"/>
      <c r="P6" s="470"/>
      <c r="Q6" s="460"/>
      <c r="R6" s="471"/>
      <c r="S6" s="470"/>
      <c r="T6" s="460"/>
      <c r="V6" s="354"/>
      <c r="Y6" s="354"/>
      <c r="AB6" s="354"/>
      <c r="AE6" s="354"/>
    </row>
    <row r="7" spans="1:31" ht="17.5">
      <c r="A7" s="472">
        <f t="shared" si="2"/>
        <v>46171</v>
      </c>
      <c r="B7" s="473">
        <v>5695002.6300000008</v>
      </c>
      <c r="C7" s="474">
        <v>11411.176799999996</v>
      </c>
      <c r="D7" s="475">
        <f t="shared" si="0"/>
        <v>2.0037175645694115E-3</v>
      </c>
      <c r="E7" s="474">
        <v>34889.342700000016</v>
      </c>
      <c r="F7" s="476">
        <f t="shared" si="1"/>
        <v>6.1263084438645836E-3</v>
      </c>
      <c r="G7" s="826"/>
      <c r="H7" s="826"/>
      <c r="I7" s="460"/>
      <c r="J7" s="460"/>
      <c r="K7" s="460"/>
      <c r="L7" s="460"/>
      <c r="M7" s="460"/>
      <c r="N7" s="460"/>
      <c r="O7" s="460"/>
      <c r="P7" s="460"/>
      <c r="Q7" s="460"/>
      <c r="R7" s="460"/>
      <c r="S7" s="460"/>
      <c r="T7" s="460"/>
    </row>
    <row r="8" spans="1:31" ht="17.5">
      <c r="A8" s="472">
        <f t="shared" si="2"/>
        <v>46172</v>
      </c>
      <c r="B8" s="473">
        <v>5706651.8799999999</v>
      </c>
      <c r="C8" s="474">
        <v>11451.750799999996</v>
      </c>
      <c r="D8" s="475">
        <f t="shared" si="0"/>
        <v>2.0067372324102579E-3</v>
      </c>
      <c r="E8" s="474">
        <v>35257.492199999986</v>
      </c>
      <c r="F8" s="476">
        <f t="shared" si="1"/>
        <v>6.1783148755869067E-3</v>
      </c>
      <c r="G8" s="826"/>
      <c r="H8" s="826"/>
      <c r="I8" s="460"/>
      <c r="J8" s="460"/>
      <c r="K8" s="460"/>
      <c r="L8" s="460"/>
      <c r="M8" s="460"/>
      <c r="N8" s="460"/>
      <c r="O8" s="460"/>
      <c r="P8" s="460"/>
      <c r="Q8" s="460"/>
      <c r="R8" s="460"/>
      <c r="S8" s="460"/>
      <c r="T8" s="460"/>
    </row>
    <row r="9" spans="1:31" s="337" customFormat="1" ht="17.5">
      <c r="A9" s="472">
        <f t="shared" si="2"/>
        <v>46173</v>
      </c>
      <c r="B9" s="473">
        <v>7473420.7200000016</v>
      </c>
      <c r="C9" s="474">
        <v>15037.22209999999</v>
      </c>
      <c r="D9" s="475">
        <f t="shared" si="0"/>
        <v>2.0120936132711109E-3</v>
      </c>
      <c r="E9" s="474">
        <v>46412.412499999984</v>
      </c>
      <c r="F9" s="476">
        <f t="shared" si="1"/>
        <v>6.2103304817020888E-3</v>
      </c>
      <c r="G9" s="826"/>
      <c r="H9" s="826"/>
      <c r="I9" s="460"/>
      <c r="J9" s="460"/>
      <c r="K9" s="460"/>
      <c r="L9" s="460"/>
      <c r="M9" s="479"/>
      <c r="N9" s="479"/>
      <c r="O9" s="479"/>
      <c r="P9" s="479"/>
      <c r="Q9" s="479"/>
      <c r="R9" s="479"/>
      <c r="S9" s="479"/>
      <c r="T9" s="479"/>
    </row>
    <row r="10" spans="1:31" s="337" customFormat="1" ht="17.5">
      <c r="A10" s="472">
        <f t="shared" si="2"/>
        <v>46174</v>
      </c>
      <c r="B10" s="473">
        <v>6955721.3200000003</v>
      </c>
      <c r="C10" s="474">
        <f>'[2]0601合計'!$P$2</f>
        <v>13966.2772</v>
      </c>
      <c r="D10" s="475">
        <f t="shared" si="0"/>
        <v>2.0078833750631054E-3</v>
      </c>
      <c r="E10" s="474">
        <f>'[2]0601合計'!$S$2</f>
        <v>43041.355699999978</v>
      </c>
      <c r="F10" s="476">
        <f>E10/B10</f>
        <v>6.1879068639857432E-3</v>
      </c>
      <c r="G10" s="826"/>
      <c r="H10" s="826"/>
      <c r="I10" s="460"/>
      <c r="J10" s="460"/>
      <c r="K10" s="460"/>
      <c r="L10" s="460"/>
      <c r="M10" s="479"/>
      <c r="N10" s="479"/>
      <c r="O10" s="479"/>
      <c r="P10" s="479"/>
      <c r="Q10" s="479"/>
      <c r="R10" s="479"/>
      <c r="S10" s="479"/>
      <c r="T10" s="479"/>
    </row>
    <row r="11" spans="1:31" s="337" customFormat="1" ht="17.5">
      <c r="A11" s="480">
        <f t="shared" si="2"/>
        <v>46175</v>
      </c>
      <c r="B11" s="473">
        <v>7317703.0300000003</v>
      </c>
      <c r="C11" s="474">
        <f>'[2]0602合計'!$P$2</f>
        <v>14749.336800000003</v>
      </c>
      <c r="D11" s="475">
        <f t="shared" si="0"/>
        <v>2.0155691942584887E-3</v>
      </c>
      <c r="E11" s="474">
        <f>'[2]0602合計'!$S$2</f>
        <v>45443.21379999999</v>
      </c>
      <c r="F11" s="476">
        <f t="shared" si="1"/>
        <v>6.210037987835643E-3</v>
      </c>
      <c r="G11" s="825">
        <f>SUM(C11:C17)</f>
        <v>93389.858100000012</v>
      </c>
      <c r="H11" s="825">
        <f>SUM(E11:E17)</f>
        <v>285517.6336</v>
      </c>
      <c r="I11" s="460"/>
      <c r="J11" s="460"/>
      <c r="K11" s="460"/>
      <c r="L11" s="460"/>
      <c r="M11" s="479"/>
      <c r="N11" s="479"/>
      <c r="O11" s="479"/>
      <c r="P11" s="479"/>
      <c r="Q11" s="479"/>
      <c r="R11" s="479"/>
      <c r="S11" s="479"/>
      <c r="T11" s="479"/>
    </row>
    <row r="12" spans="1:31" s="337" customFormat="1" ht="17.5">
      <c r="A12" s="480">
        <f t="shared" si="2"/>
        <v>46176</v>
      </c>
      <c r="B12" s="473">
        <v>6765416.7000000002</v>
      </c>
      <c r="C12" s="474">
        <f>'[2]0603合計'!$P$2</f>
        <v>13609.994799999997</v>
      </c>
      <c r="D12" s="475">
        <f t="shared" si="0"/>
        <v>2.0117008905009498E-3</v>
      </c>
      <c r="E12" s="474">
        <f>'[2]0603合計'!$S$2</f>
        <v>41687.428800000002</v>
      </c>
      <c r="F12" s="476">
        <f t="shared" si="1"/>
        <v>6.1618420044991466E-3</v>
      </c>
      <c r="G12" s="825"/>
      <c r="H12" s="825"/>
      <c r="I12" s="460"/>
      <c r="J12" s="460"/>
      <c r="K12" s="460"/>
      <c r="L12" s="460"/>
      <c r="M12" s="479"/>
      <c r="N12" s="479"/>
      <c r="O12" s="479"/>
      <c r="P12" s="479"/>
      <c r="Q12" s="479"/>
      <c r="R12" s="479"/>
      <c r="S12" s="479"/>
      <c r="T12" s="479"/>
    </row>
    <row r="13" spans="1:31" s="337" customFormat="1" ht="17.5">
      <c r="A13" s="480">
        <f t="shared" si="2"/>
        <v>46177</v>
      </c>
      <c r="B13" s="473">
        <v>6422003.3399999999</v>
      </c>
      <c r="C13" s="474">
        <f>'[2]0604合計'!$P$2</f>
        <v>12907.946200000002</v>
      </c>
      <c r="D13" s="475">
        <f t="shared" si="0"/>
        <v>2.0099563199542031E-3</v>
      </c>
      <c r="E13" s="474">
        <f>'[2]0604合計'!$S$2</f>
        <v>39393.344599999989</v>
      </c>
      <c r="F13" s="476">
        <f t="shared" si="1"/>
        <v>6.1341208520766652E-3</v>
      </c>
      <c r="G13" s="825"/>
      <c r="H13" s="825"/>
      <c r="I13" s="460"/>
      <c r="J13" s="460"/>
      <c r="K13" s="460"/>
      <c r="L13" s="460"/>
      <c r="M13" s="479"/>
      <c r="N13" s="479"/>
      <c r="O13" s="479"/>
      <c r="P13" s="479"/>
      <c r="Q13" s="479"/>
      <c r="R13" s="479"/>
      <c r="S13" s="479"/>
      <c r="T13" s="479"/>
    </row>
    <row r="14" spans="1:31" s="337" customFormat="1" ht="17.5">
      <c r="A14" s="480">
        <f t="shared" si="2"/>
        <v>46178</v>
      </c>
      <c r="B14" s="473">
        <v>5340875.9000000013</v>
      </c>
      <c r="C14" s="474">
        <f>'[2]0605合計'!$P$2</f>
        <v>10712.628200000005</v>
      </c>
      <c r="D14" s="475">
        <f t="shared" si="0"/>
        <v>2.0057811491182563E-3</v>
      </c>
      <c r="E14" s="474">
        <f>'[2]0605合計'!$S$2</f>
        <v>32702.783500000012</v>
      </c>
      <c r="F14" s="476">
        <f t="shared" si="1"/>
        <v>6.1231124093334586E-3</v>
      </c>
      <c r="G14" s="825"/>
      <c r="H14" s="825"/>
      <c r="I14" s="460"/>
      <c r="J14" s="460"/>
      <c r="K14" s="460"/>
      <c r="L14" s="460"/>
      <c r="M14" s="479"/>
      <c r="N14" s="479"/>
      <c r="O14" s="479"/>
      <c r="P14" s="479"/>
      <c r="Q14" s="479"/>
      <c r="R14" s="479"/>
      <c r="S14" s="479"/>
      <c r="T14" s="479"/>
    </row>
    <row r="15" spans="1:31" s="337" customFormat="1" ht="17.5">
      <c r="A15" s="480">
        <f t="shared" si="2"/>
        <v>46179</v>
      </c>
      <c r="B15" s="473">
        <v>5830113.3400000008</v>
      </c>
      <c r="C15" s="474">
        <f>'[2]0606合計'!$P$2</f>
        <v>11704.764399999996</v>
      </c>
      <c r="D15" s="475">
        <f t="shared" si="0"/>
        <v>2.0076392545740791E-3</v>
      </c>
      <c r="E15" s="474">
        <f>'[2]0606合計'!$S$2</f>
        <v>35738.407400000011</v>
      </c>
      <c r="F15" s="476">
        <f t="shared" si="1"/>
        <v>6.1299678609678639E-3</v>
      </c>
      <c r="G15" s="825"/>
      <c r="H15" s="825"/>
      <c r="I15" s="460"/>
      <c r="J15" s="460"/>
      <c r="K15" s="460"/>
      <c r="L15" s="460"/>
      <c r="M15" s="479"/>
      <c r="N15" s="479"/>
      <c r="O15" s="479"/>
      <c r="P15" s="479"/>
      <c r="Q15" s="479"/>
      <c r="R15" s="479"/>
      <c r="S15" s="479"/>
      <c r="T15" s="479"/>
    </row>
    <row r="16" spans="1:31" s="337" customFormat="1" ht="17.5">
      <c r="A16" s="480">
        <f t="shared" si="2"/>
        <v>46180</v>
      </c>
      <c r="B16" s="473">
        <v>7640961.5300000003</v>
      </c>
      <c r="C16" s="474">
        <f>'[2]0607合計'!$P$2</f>
        <v>15371.665400000002</v>
      </c>
      <c r="D16" s="475">
        <f t="shared" si="0"/>
        <v>2.0117449014299647E-3</v>
      </c>
      <c r="E16" s="474">
        <f>'[2]0607合計'!$S$2</f>
        <v>46945.681800000035</v>
      </c>
      <c r="F16" s="476">
        <f t="shared" si="1"/>
        <v>6.143949503695516E-3</v>
      </c>
      <c r="G16" s="825"/>
      <c r="H16" s="825"/>
      <c r="I16" s="460"/>
      <c r="J16" s="460"/>
      <c r="K16" s="460"/>
      <c r="L16" s="460"/>
      <c r="M16" s="479"/>
      <c r="N16" s="479"/>
      <c r="O16" s="479"/>
      <c r="P16" s="479"/>
      <c r="Q16" s="479"/>
      <c r="R16" s="479"/>
      <c r="S16" s="479"/>
      <c r="T16" s="479"/>
    </row>
    <row r="17" spans="1:20" s="337" customFormat="1" ht="17.5">
      <c r="A17" s="480">
        <f t="shared" si="2"/>
        <v>46181</v>
      </c>
      <c r="B17" s="473">
        <v>7139841.5599999996</v>
      </c>
      <c r="C17" s="474">
        <f>'[2]0608合計'!$P$2</f>
        <v>14333.522300000008</v>
      </c>
      <c r="D17" s="475">
        <f t="shared" si="0"/>
        <v>2.0075406687315913E-3</v>
      </c>
      <c r="E17" s="474">
        <f>'[2]0608合計'!$S$2</f>
        <v>43606.773699999983</v>
      </c>
      <c r="F17" s="476">
        <f t="shared" si="1"/>
        <v>6.1075268034379163E-3</v>
      </c>
      <c r="G17" s="825"/>
      <c r="H17" s="825"/>
      <c r="I17" s="460"/>
      <c r="J17" s="460"/>
      <c r="K17" s="460"/>
      <c r="L17" s="460"/>
      <c r="M17" s="479"/>
      <c r="N17" s="479"/>
      <c r="O17" s="479"/>
      <c r="P17" s="479"/>
      <c r="Q17" s="479"/>
      <c r="R17" s="479"/>
      <c r="S17" s="479"/>
      <c r="T17" s="479"/>
    </row>
    <row r="18" spans="1:20" s="337" customFormat="1" ht="17.5">
      <c r="A18" s="472">
        <f t="shared" si="2"/>
        <v>46182</v>
      </c>
      <c r="B18" s="473"/>
      <c r="C18" s="474"/>
      <c r="D18" s="475" t="e">
        <f t="shared" si="0"/>
        <v>#DIV/0!</v>
      </c>
      <c r="E18" s="474"/>
      <c r="F18" s="476" t="e">
        <f t="shared" si="1"/>
        <v>#DIV/0!</v>
      </c>
      <c r="G18" s="826">
        <f>SUM(C18:C24)</f>
        <v>0</v>
      </c>
      <c r="H18" s="826">
        <f>SUM(E18:E24)</f>
        <v>0</v>
      </c>
      <c r="I18" s="460"/>
      <c r="J18" s="460"/>
      <c r="K18" s="460"/>
      <c r="L18" s="460"/>
      <c r="M18" s="479"/>
      <c r="N18" s="479"/>
      <c r="O18" s="479"/>
      <c r="P18" s="479"/>
      <c r="Q18" s="479"/>
      <c r="R18" s="479"/>
      <c r="S18" s="479"/>
      <c r="T18" s="479"/>
    </row>
    <row r="19" spans="1:20" s="337" customFormat="1" ht="17.5">
      <c r="A19" s="472">
        <f t="shared" si="2"/>
        <v>46183</v>
      </c>
      <c r="B19" s="473"/>
      <c r="C19" s="474"/>
      <c r="D19" s="475" t="e">
        <f t="shared" si="0"/>
        <v>#DIV/0!</v>
      </c>
      <c r="E19" s="474"/>
      <c r="F19" s="476" t="e">
        <f t="shared" si="1"/>
        <v>#DIV/0!</v>
      </c>
      <c r="G19" s="826"/>
      <c r="H19" s="826"/>
      <c r="I19" s="460"/>
      <c r="J19" s="460"/>
      <c r="K19" s="460"/>
      <c r="L19" s="460"/>
      <c r="M19" s="479"/>
      <c r="N19" s="479"/>
      <c r="O19" s="479"/>
      <c r="P19" s="479"/>
      <c r="Q19" s="479"/>
      <c r="R19" s="479"/>
      <c r="S19" s="479"/>
      <c r="T19" s="479"/>
    </row>
    <row r="20" spans="1:20" s="337" customFormat="1" ht="17.5">
      <c r="A20" s="472">
        <f t="shared" si="2"/>
        <v>46184</v>
      </c>
      <c r="B20" s="473"/>
      <c r="C20" s="474"/>
      <c r="D20" s="475" t="e">
        <f t="shared" si="0"/>
        <v>#DIV/0!</v>
      </c>
      <c r="E20" s="474"/>
      <c r="F20" s="476" t="e">
        <f t="shared" si="1"/>
        <v>#DIV/0!</v>
      </c>
      <c r="G20" s="826"/>
      <c r="H20" s="826"/>
      <c r="I20" s="460"/>
      <c r="J20" s="460"/>
      <c r="K20" s="460"/>
      <c r="L20" s="460"/>
      <c r="M20" s="481"/>
      <c r="N20" s="479"/>
      <c r="O20" s="479"/>
      <c r="P20" s="479"/>
      <c r="Q20" s="479"/>
      <c r="R20" s="479"/>
      <c r="S20" s="479"/>
      <c r="T20" s="479"/>
    </row>
    <row r="21" spans="1:20" s="337" customFormat="1" ht="17.5">
      <c r="A21" s="472">
        <f t="shared" si="2"/>
        <v>46185</v>
      </c>
      <c r="B21" s="473"/>
      <c r="C21" s="474"/>
      <c r="D21" s="475" t="e">
        <f t="shared" si="0"/>
        <v>#DIV/0!</v>
      </c>
      <c r="E21" s="474"/>
      <c r="F21" s="476" t="e">
        <f t="shared" si="1"/>
        <v>#DIV/0!</v>
      </c>
      <c r="G21" s="826"/>
      <c r="H21" s="826"/>
      <c r="I21" s="460"/>
      <c r="J21" s="460"/>
      <c r="K21" s="460"/>
      <c r="L21" s="460"/>
      <c r="M21" s="479"/>
      <c r="N21" s="479"/>
      <c r="O21" s="479"/>
      <c r="P21" s="479"/>
      <c r="Q21" s="479"/>
      <c r="R21" s="479"/>
      <c r="S21" s="479"/>
      <c r="T21" s="479"/>
    </row>
    <row r="22" spans="1:20" s="337" customFormat="1" ht="17.5">
      <c r="A22" s="472">
        <f t="shared" si="2"/>
        <v>46186</v>
      </c>
      <c r="B22" s="473"/>
      <c r="C22" s="474"/>
      <c r="D22" s="475" t="e">
        <f t="shared" si="0"/>
        <v>#DIV/0!</v>
      </c>
      <c r="E22" s="474"/>
      <c r="F22" s="476" t="e">
        <f t="shared" si="1"/>
        <v>#DIV/0!</v>
      </c>
      <c r="G22" s="826"/>
      <c r="H22" s="826"/>
      <c r="I22" s="460"/>
      <c r="J22" s="460"/>
      <c r="K22" s="460"/>
      <c r="L22" s="460"/>
      <c r="M22" s="479"/>
      <c r="N22" s="479"/>
      <c r="O22" s="479"/>
      <c r="P22" s="479"/>
      <c r="Q22" s="479"/>
      <c r="R22" s="479"/>
      <c r="S22" s="479"/>
      <c r="T22" s="479"/>
    </row>
    <row r="23" spans="1:20" s="337" customFormat="1" ht="17.5">
      <c r="A23" s="472">
        <f t="shared" si="2"/>
        <v>46187</v>
      </c>
      <c r="B23" s="473"/>
      <c r="C23" s="474"/>
      <c r="D23" s="475" t="e">
        <f t="shared" si="0"/>
        <v>#DIV/0!</v>
      </c>
      <c r="E23" s="474"/>
      <c r="F23" s="476" t="e">
        <f t="shared" si="1"/>
        <v>#DIV/0!</v>
      </c>
      <c r="G23" s="826"/>
      <c r="H23" s="826"/>
      <c r="I23" s="460"/>
      <c r="J23" s="460"/>
      <c r="K23" s="460"/>
      <c r="L23" s="460"/>
      <c r="M23" s="479"/>
      <c r="N23" s="479"/>
      <c r="O23" s="479"/>
      <c r="P23" s="479"/>
      <c r="Q23" s="479"/>
      <c r="R23" s="479"/>
      <c r="S23" s="479"/>
      <c r="T23" s="479"/>
    </row>
    <row r="24" spans="1:20" s="337" customFormat="1" ht="17.5">
      <c r="A24" s="472">
        <f t="shared" si="2"/>
        <v>46188</v>
      </c>
      <c r="B24" s="473"/>
      <c r="C24" s="474"/>
      <c r="D24" s="475" t="e">
        <f t="shared" si="0"/>
        <v>#DIV/0!</v>
      </c>
      <c r="E24" s="474"/>
      <c r="F24" s="476" t="e">
        <f t="shared" si="1"/>
        <v>#DIV/0!</v>
      </c>
      <c r="G24" s="826"/>
      <c r="H24" s="826"/>
      <c r="I24" s="460"/>
      <c r="J24" s="460"/>
      <c r="K24" s="460"/>
      <c r="L24" s="460"/>
      <c r="M24" s="479"/>
      <c r="N24" s="479"/>
      <c r="O24" s="479"/>
      <c r="P24" s="479"/>
      <c r="Q24" s="479"/>
      <c r="R24" s="479"/>
      <c r="S24" s="479"/>
      <c r="T24" s="479"/>
    </row>
    <row r="25" spans="1:20" s="337" customFormat="1" ht="17.5">
      <c r="A25" s="480">
        <f t="shared" si="2"/>
        <v>46189</v>
      </c>
      <c r="B25" s="473"/>
      <c r="C25" s="474"/>
      <c r="D25" s="475" t="e">
        <f t="shared" si="0"/>
        <v>#DIV/0!</v>
      </c>
      <c r="E25" s="474"/>
      <c r="F25" s="476" t="e">
        <f t="shared" si="1"/>
        <v>#DIV/0!</v>
      </c>
      <c r="G25" s="825">
        <f>SUM(C25:C31)</f>
        <v>0</v>
      </c>
      <c r="H25" s="825">
        <f>SUM(E25:E31)</f>
        <v>0</v>
      </c>
      <c r="I25" s="460"/>
      <c r="J25" s="460"/>
      <c r="K25" s="460"/>
      <c r="L25" s="460"/>
      <c r="M25" s="479"/>
      <c r="N25" s="479"/>
      <c r="O25" s="479"/>
      <c r="P25" s="479"/>
      <c r="Q25" s="479"/>
      <c r="R25" s="479"/>
      <c r="S25" s="479"/>
      <c r="T25" s="479"/>
    </row>
    <row r="26" spans="1:20" s="337" customFormat="1" ht="17.5">
      <c r="A26" s="480">
        <f t="shared" si="2"/>
        <v>46190</v>
      </c>
      <c r="B26" s="473"/>
      <c r="C26" s="474"/>
      <c r="D26" s="475" t="e">
        <f t="shared" si="0"/>
        <v>#DIV/0!</v>
      </c>
      <c r="E26" s="474"/>
      <c r="F26" s="476" t="e">
        <f t="shared" si="1"/>
        <v>#DIV/0!</v>
      </c>
      <c r="G26" s="825"/>
      <c r="H26" s="825"/>
      <c r="I26" s="460"/>
      <c r="J26" s="460"/>
      <c r="K26" s="460"/>
      <c r="L26" s="460"/>
      <c r="M26" s="479"/>
      <c r="N26" s="479"/>
      <c r="O26" s="479"/>
      <c r="P26" s="479"/>
      <c r="Q26" s="479"/>
      <c r="R26" s="479"/>
      <c r="S26" s="479"/>
      <c r="T26" s="479"/>
    </row>
    <row r="27" spans="1:20" s="337" customFormat="1" ht="17.5">
      <c r="A27" s="480">
        <f t="shared" si="2"/>
        <v>46191</v>
      </c>
      <c r="B27" s="473"/>
      <c r="C27" s="474"/>
      <c r="D27" s="475" t="e">
        <f t="shared" si="0"/>
        <v>#DIV/0!</v>
      </c>
      <c r="E27" s="474"/>
      <c r="F27" s="476" t="e">
        <f t="shared" si="1"/>
        <v>#DIV/0!</v>
      </c>
      <c r="G27" s="825"/>
      <c r="H27" s="825"/>
      <c r="I27" s="460"/>
      <c r="J27" s="460"/>
      <c r="K27" s="460"/>
      <c r="L27" s="460"/>
      <c r="M27" s="479"/>
      <c r="N27" s="479"/>
      <c r="O27" s="479"/>
      <c r="P27" s="479"/>
      <c r="Q27" s="479"/>
      <c r="R27" s="479"/>
      <c r="S27" s="479"/>
      <c r="T27" s="479"/>
    </row>
    <row r="28" spans="1:20" s="337" customFormat="1" ht="17.5">
      <c r="A28" s="480">
        <f t="shared" si="2"/>
        <v>46192</v>
      </c>
      <c r="B28" s="473"/>
      <c r="C28" s="474"/>
      <c r="D28" s="475" t="e">
        <f t="shared" si="0"/>
        <v>#DIV/0!</v>
      </c>
      <c r="E28" s="474"/>
      <c r="F28" s="476" t="e">
        <f t="shared" si="1"/>
        <v>#DIV/0!</v>
      </c>
      <c r="G28" s="825"/>
      <c r="H28" s="825"/>
      <c r="I28" s="460"/>
      <c r="J28" s="460"/>
      <c r="K28" s="460"/>
      <c r="L28" s="460"/>
      <c r="M28" s="479"/>
      <c r="N28" s="479"/>
      <c r="O28" s="479"/>
      <c r="P28" s="479"/>
      <c r="Q28" s="479"/>
      <c r="R28" s="479"/>
      <c r="S28" s="479"/>
      <c r="T28" s="479"/>
    </row>
    <row r="29" spans="1:20" s="337" customFormat="1" ht="17.5">
      <c r="A29" s="480">
        <f t="shared" si="2"/>
        <v>46193</v>
      </c>
      <c r="B29" s="473"/>
      <c r="C29" s="474"/>
      <c r="D29" s="475" t="e">
        <f t="shared" si="0"/>
        <v>#DIV/0!</v>
      </c>
      <c r="E29" s="474"/>
      <c r="F29" s="476" t="e">
        <f t="shared" si="1"/>
        <v>#DIV/0!</v>
      </c>
      <c r="G29" s="825"/>
      <c r="H29" s="825"/>
      <c r="I29" s="460"/>
      <c r="J29" s="460"/>
      <c r="K29" s="460"/>
      <c r="L29" s="460"/>
      <c r="M29" s="479"/>
      <c r="N29" s="479"/>
      <c r="O29" s="479"/>
      <c r="P29" s="479"/>
      <c r="Q29" s="479"/>
      <c r="R29" s="479"/>
      <c r="S29" s="479"/>
      <c r="T29" s="479"/>
    </row>
    <row r="30" spans="1:20" s="337" customFormat="1" ht="17.5">
      <c r="A30" s="480">
        <f t="shared" si="2"/>
        <v>46194</v>
      </c>
      <c r="B30" s="473"/>
      <c r="C30" s="474"/>
      <c r="D30" s="475" t="e">
        <f t="shared" si="0"/>
        <v>#DIV/0!</v>
      </c>
      <c r="E30" s="474"/>
      <c r="F30" s="476" t="e">
        <f t="shared" si="1"/>
        <v>#DIV/0!</v>
      </c>
      <c r="G30" s="825"/>
      <c r="H30" s="825"/>
      <c r="I30" s="460"/>
      <c r="J30" s="460"/>
      <c r="K30" s="460"/>
      <c r="L30" s="460"/>
      <c r="M30" s="479"/>
      <c r="N30" s="479"/>
      <c r="O30" s="479"/>
      <c r="P30" s="479"/>
      <c r="Q30" s="479"/>
      <c r="R30" s="479"/>
      <c r="S30" s="479"/>
      <c r="T30" s="479"/>
    </row>
    <row r="31" spans="1:20" s="337" customFormat="1" ht="17.5">
      <c r="A31" s="480">
        <f t="shared" si="2"/>
        <v>46195</v>
      </c>
      <c r="B31" s="473"/>
      <c r="C31" s="474"/>
      <c r="D31" s="475" t="e">
        <f t="shared" si="0"/>
        <v>#DIV/0!</v>
      </c>
      <c r="E31" s="474"/>
      <c r="F31" s="476" t="e">
        <f t="shared" si="1"/>
        <v>#DIV/0!</v>
      </c>
      <c r="G31" s="825"/>
      <c r="H31" s="825"/>
      <c r="I31" s="460"/>
      <c r="J31" s="460"/>
      <c r="K31" s="460"/>
      <c r="L31" s="460"/>
      <c r="M31" s="479"/>
      <c r="N31" s="479"/>
      <c r="O31" s="479"/>
      <c r="P31" s="479"/>
      <c r="Q31" s="479"/>
      <c r="R31" s="479"/>
      <c r="S31" s="479"/>
      <c r="T31" s="479"/>
    </row>
    <row r="32" spans="1:20" s="337" customFormat="1" ht="19.5" customHeight="1">
      <c r="A32" s="472">
        <f t="shared" si="2"/>
        <v>46196</v>
      </c>
      <c r="B32" s="473"/>
      <c r="C32" s="474"/>
      <c r="D32" s="475" t="e">
        <f t="shared" si="0"/>
        <v>#DIV/0!</v>
      </c>
      <c r="E32" s="474"/>
      <c r="F32" s="476" t="e">
        <f t="shared" si="1"/>
        <v>#DIV/0!</v>
      </c>
      <c r="G32" s="826">
        <f>SUM(C32:C38)</f>
        <v>0</v>
      </c>
      <c r="H32" s="826">
        <f>SUM(E32:E38)</f>
        <v>0</v>
      </c>
      <c r="I32" s="460"/>
      <c r="J32" s="460"/>
      <c r="K32" s="460"/>
      <c r="L32" s="460"/>
      <c r="M32" s="479"/>
      <c r="N32" s="479"/>
      <c r="O32" s="479"/>
      <c r="P32" s="479"/>
      <c r="Q32" s="479"/>
      <c r="R32" s="479"/>
      <c r="S32" s="479"/>
      <c r="T32" s="479"/>
    </row>
    <row r="33" spans="1:20" s="337" customFormat="1" ht="19.5" customHeight="1">
      <c r="A33" s="472">
        <f t="shared" si="2"/>
        <v>46197</v>
      </c>
      <c r="B33" s="473"/>
      <c r="C33" s="474"/>
      <c r="D33" s="475" t="e">
        <f t="shared" si="0"/>
        <v>#DIV/0!</v>
      </c>
      <c r="E33" s="474"/>
      <c r="F33" s="476" t="e">
        <f t="shared" si="1"/>
        <v>#DIV/0!</v>
      </c>
      <c r="G33" s="826"/>
      <c r="H33" s="826"/>
      <c r="I33" s="460"/>
      <c r="J33" s="460"/>
      <c r="K33" s="460"/>
      <c r="L33" s="460"/>
      <c r="M33" s="479"/>
      <c r="N33" s="479"/>
      <c r="O33" s="479"/>
      <c r="P33" s="479"/>
      <c r="Q33" s="479"/>
      <c r="R33" s="479"/>
      <c r="S33" s="479"/>
      <c r="T33" s="479"/>
    </row>
    <row r="34" spans="1:20" s="337" customFormat="1" ht="19.5" customHeight="1">
      <c r="A34" s="472">
        <f t="shared" si="2"/>
        <v>46198</v>
      </c>
      <c r="B34" s="473"/>
      <c r="C34" s="474"/>
      <c r="D34" s="475" t="e">
        <f t="shared" si="0"/>
        <v>#DIV/0!</v>
      </c>
      <c r="E34" s="474"/>
      <c r="F34" s="476" t="e">
        <f t="shared" si="1"/>
        <v>#DIV/0!</v>
      </c>
      <c r="G34" s="826"/>
      <c r="H34" s="826"/>
      <c r="I34" s="460"/>
      <c r="J34" s="460"/>
      <c r="K34" s="460"/>
      <c r="L34" s="460"/>
      <c r="M34" s="479"/>
      <c r="N34" s="479"/>
      <c r="O34" s="479"/>
      <c r="P34" s="479"/>
      <c r="Q34" s="479"/>
      <c r="R34" s="479"/>
      <c r="S34" s="479"/>
      <c r="T34" s="479"/>
    </row>
    <row r="35" spans="1:20" s="337" customFormat="1" ht="19.5" customHeight="1">
      <c r="A35" s="472">
        <f t="shared" si="2"/>
        <v>46199</v>
      </c>
      <c r="B35" s="473"/>
      <c r="C35" s="474"/>
      <c r="D35" s="475" t="e">
        <f t="shared" si="0"/>
        <v>#DIV/0!</v>
      </c>
      <c r="E35" s="474"/>
      <c r="F35" s="476" t="e">
        <f t="shared" si="1"/>
        <v>#DIV/0!</v>
      </c>
      <c r="G35" s="826"/>
      <c r="H35" s="826"/>
      <c r="I35" s="460"/>
      <c r="J35" s="460"/>
      <c r="K35" s="460"/>
      <c r="L35" s="460"/>
      <c r="M35" s="479"/>
      <c r="N35" s="479"/>
      <c r="O35" s="479"/>
      <c r="P35" s="479"/>
      <c r="Q35" s="479"/>
      <c r="R35" s="479"/>
      <c r="S35" s="479"/>
      <c r="T35" s="479"/>
    </row>
    <row r="36" spans="1:20" s="337" customFormat="1" ht="19.5" customHeight="1">
      <c r="A36" s="472">
        <f t="shared" si="2"/>
        <v>46200</v>
      </c>
      <c r="B36" s="473"/>
      <c r="C36" s="474"/>
      <c r="D36" s="475" t="e">
        <f t="shared" si="0"/>
        <v>#DIV/0!</v>
      </c>
      <c r="E36" s="474"/>
      <c r="F36" s="476" t="e">
        <f t="shared" si="1"/>
        <v>#DIV/0!</v>
      </c>
      <c r="G36" s="826"/>
      <c r="H36" s="826"/>
      <c r="I36" s="460"/>
      <c r="J36" s="460"/>
      <c r="K36" s="460"/>
      <c r="L36" s="460"/>
      <c r="M36" s="479"/>
      <c r="N36" s="479"/>
      <c r="O36" s="479"/>
      <c r="P36" s="479"/>
      <c r="Q36" s="479"/>
      <c r="R36" s="479"/>
      <c r="S36" s="479"/>
      <c r="T36" s="479"/>
    </row>
    <row r="37" spans="1:20" s="337" customFormat="1" ht="19.5" customHeight="1">
      <c r="A37" s="472">
        <f t="shared" si="2"/>
        <v>46201</v>
      </c>
      <c r="B37" s="473"/>
      <c r="C37" s="474"/>
      <c r="D37" s="475" t="e">
        <f t="shared" si="0"/>
        <v>#DIV/0!</v>
      </c>
      <c r="E37" s="474"/>
      <c r="F37" s="476" t="e">
        <f t="shared" si="1"/>
        <v>#DIV/0!</v>
      </c>
      <c r="G37" s="826"/>
      <c r="H37" s="826"/>
      <c r="I37" s="460"/>
      <c r="J37" s="460"/>
      <c r="K37" s="460"/>
      <c r="L37" s="460"/>
      <c r="M37" s="479"/>
      <c r="N37" s="479"/>
      <c r="O37" s="479"/>
      <c r="P37" s="479"/>
      <c r="Q37" s="479"/>
      <c r="R37" s="479"/>
      <c r="S37" s="479"/>
      <c r="T37" s="479"/>
    </row>
    <row r="38" spans="1:20" s="337" customFormat="1" ht="17.5">
      <c r="A38" s="472">
        <f t="shared" si="2"/>
        <v>46202</v>
      </c>
      <c r="B38" s="473"/>
      <c r="C38" s="474"/>
      <c r="D38" s="475" t="e">
        <f t="shared" si="0"/>
        <v>#DIV/0!</v>
      </c>
      <c r="E38" s="474"/>
      <c r="F38" s="476" t="e">
        <f t="shared" si="1"/>
        <v>#DIV/0!</v>
      </c>
      <c r="G38" s="826"/>
      <c r="H38" s="826"/>
      <c r="I38" s="460"/>
      <c r="J38" s="460"/>
      <c r="K38" s="460"/>
      <c r="L38" s="460"/>
      <c r="M38" s="479"/>
      <c r="N38" s="479"/>
      <c r="O38" s="479"/>
      <c r="P38" s="479"/>
      <c r="Q38" s="479"/>
      <c r="R38" s="479"/>
      <c r="S38" s="479"/>
      <c r="T38" s="479"/>
    </row>
    <row r="39" spans="1:20" s="337" customFormat="1" ht="17.5">
      <c r="A39" s="480">
        <f t="shared" si="2"/>
        <v>46203</v>
      </c>
      <c r="B39" s="473"/>
      <c r="C39" s="474"/>
      <c r="D39" s="475" t="e">
        <f t="shared" si="0"/>
        <v>#DIV/0!</v>
      </c>
      <c r="E39" s="474"/>
      <c r="F39" s="476" t="e">
        <f t="shared" si="1"/>
        <v>#DIV/0!</v>
      </c>
      <c r="G39" s="825">
        <f>SUM(C39:C45)</f>
        <v>0</v>
      </c>
      <c r="H39" s="825">
        <f>SUM(E39:E45)</f>
        <v>0</v>
      </c>
      <c r="I39" s="460"/>
      <c r="J39" s="460"/>
      <c r="K39" s="460"/>
      <c r="L39" s="460"/>
      <c r="M39" s="479"/>
      <c r="N39" s="479"/>
      <c r="O39" s="479"/>
      <c r="P39" s="479"/>
      <c r="Q39" s="479"/>
      <c r="R39" s="479"/>
      <c r="S39" s="479"/>
      <c r="T39" s="479"/>
    </row>
    <row r="40" spans="1:20" s="337" customFormat="1" ht="17.5">
      <c r="A40" s="480">
        <f t="shared" si="2"/>
        <v>46204</v>
      </c>
      <c r="B40" s="473"/>
      <c r="C40" s="474"/>
      <c r="D40" s="475" t="e">
        <f t="shared" si="0"/>
        <v>#DIV/0!</v>
      </c>
      <c r="E40" s="474"/>
      <c r="F40" s="476" t="e">
        <f t="shared" si="1"/>
        <v>#DIV/0!</v>
      </c>
      <c r="G40" s="825"/>
      <c r="H40" s="825"/>
      <c r="I40" s="460"/>
      <c r="J40" s="460"/>
      <c r="K40" s="460"/>
      <c r="L40" s="460"/>
      <c r="M40" s="479"/>
      <c r="N40" s="479"/>
      <c r="O40" s="479"/>
      <c r="P40" s="479"/>
      <c r="Q40" s="479"/>
      <c r="R40" s="479"/>
      <c r="S40" s="479"/>
      <c r="T40" s="479"/>
    </row>
    <row r="41" spans="1:20" s="337" customFormat="1" ht="17.5">
      <c r="A41" s="480">
        <f t="shared" si="2"/>
        <v>46205</v>
      </c>
      <c r="B41" s="473"/>
      <c r="C41" s="474"/>
      <c r="D41" s="475" t="e">
        <f t="shared" si="0"/>
        <v>#DIV/0!</v>
      </c>
      <c r="E41" s="474"/>
      <c r="F41" s="476" t="e">
        <f t="shared" si="1"/>
        <v>#DIV/0!</v>
      </c>
      <c r="G41" s="825"/>
      <c r="H41" s="825"/>
      <c r="I41" s="460"/>
      <c r="J41" s="460"/>
      <c r="K41" s="460"/>
      <c r="L41" s="460"/>
      <c r="M41" s="479"/>
      <c r="N41" s="479"/>
      <c r="O41" s="479"/>
      <c r="P41" s="479"/>
      <c r="Q41" s="479"/>
      <c r="R41" s="479"/>
      <c r="S41" s="479"/>
      <c r="T41" s="479"/>
    </row>
    <row r="42" spans="1:20" s="337" customFormat="1" ht="17.5">
      <c r="A42" s="480">
        <f t="shared" si="2"/>
        <v>46206</v>
      </c>
      <c r="B42" s="473"/>
      <c r="C42" s="474"/>
      <c r="D42" s="475" t="e">
        <f t="shared" si="0"/>
        <v>#DIV/0!</v>
      </c>
      <c r="E42" s="474"/>
      <c r="F42" s="476" t="e">
        <f t="shared" si="1"/>
        <v>#DIV/0!</v>
      </c>
      <c r="G42" s="825"/>
      <c r="H42" s="825"/>
      <c r="I42" s="460"/>
      <c r="J42" s="460"/>
      <c r="K42" s="460"/>
      <c r="L42" s="460"/>
      <c r="M42" s="479"/>
      <c r="N42" s="479"/>
      <c r="O42" s="479"/>
      <c r="P42" s="479"/>
      <c r="Q42" s="479"/>
      <c r="R42" s="479"/>
      <c r="S42" s="479"/>
      <c r="T42" s="479"/>
    </row>
    <row r="43" spans="1:20" s="337" customFormat="1" ht="17.5">
      <c r="A43" s="480">
        <f t="shared" si="2"/>
        <v>46207</v>
      </c>
      <c r="B43" s="473"/>
      <c r="C43" s="474"/>
      <c r="D43" s="475" t="e">
        <f t="shared" si="0"/>
        <v>#DIV/0!</v>
      </c>
      <c r="E43" s="474"/>
      <c r="F43" s="476" t="e">
        <f t="shared" si="1"/>
        <v>#DIV/0!</v>
      </c>
      <c r="G43" s="825"/>
      <c r="H43" s="825"/>
      <c r="I43" s="460"/>
      <c r="J43" s="460"/>
      <c r="K43" s="460"/>
      <c r="L43" s="460"/>
      <c r="M43" s="479"/>
      <c r="N43" s="479"/>
      <c r="O43" s="479"/>
      <c r="P43" s="479"/>
      <c r="Q43" s="479"/>
      <c r="R43" s="479"/>
      <c r="S43" s="479"/>
      <c r="T43" s="479"/>
    </row>
    <row r="44" spans="1:20" s="337" customFormat="1" ht="17.5">
      <c r="A44" s="480">
        <f t="shared" si="2"/>
        <v>46208</v>
      </c>
      <c r="B44" s="473"/>
      <c r="C44" s="474"/>
      <c r="D44" s="475" t="e">
        <f t="shared" si="0"/>
        <v>#DIV/0!</v>
      </c>
      <c r="E44" s="474"/>
      <c r="F44" s="476" t="e">
        <f t="shared" si="1"/>
        <v>#DIV/0!</v>
      </c>
      <c r="G44" s="825"/>
      <c r="H44" s="825"/>
      <c r="I44" s="460"/>
      <c r="J44" s="460"/>
      <c r="K44" s="460"/>
      <c r="L44" s="460"/>
      <c r="M44" s="479"/>
      <c r="N44" s="479"/>
      <c r="O44" s="479"/>
      <c r="P44" s="479"/>
      <c r="Q44" s="479"/>
      <c r="R44" s="479"/>
      <c r="S44" s="479"/>
      <c r="T44" s="479"/>
    </row>
    <row r="45" spans="1:20" s="337" customFormat="1" ht="17.5">
      <c r="A45" s="480">
        <f t="shared" si="2"/>
        <v>46209</v>
      </c>
      <c r="B45" s="473"/>
      <c r="C45" s="474"/>
      <c r="D45" s="475" t="e">
        <f t="shared" si="0"/>
        <v>#DIV/0!</v>
      </c>
      <c r="E45" s="474"/>
      <c r="F45" s="476" t="e">
        <f t="shared" si="1"/>
        <v>#DIV/0!</v>
      </c>
      <c r="G45" s="825"/>
      <c r="H45" s="825"/>
      <c r="I45" s="460"/>
      <c r="J45" s="460"/>
      <c r="K45" s="460"/>
      <c r="L45" s="460"/>
      <c r="M45" s="479"/>
      <c r="N45" s="479"/>
      <c r="O45" s="479"/>
      <c r="P45" s="479"/>
      <c r="Q45" s="479"/>
      <c r="R45" s="479"/>
      <c r="S45" s="479"/>
      <c r="T45" s="479"/>
    </row>
    <row r="46" spans="1:20" s="337" customFormat="1" ht="17.5">
      <c r="A46" s="460"/>
      <c r="B46" s="460"/>
      <c r="C46" s="460"/>
      <c r="D46" s="460"/>
      <c r="E46" s="460"/>
      <c r="F46" s="460"/>
      <c r="G46" s="460"/>
      <c r="H46" s="460"/>
      <c r="I46" s="460"/>
      <c r="J46" s="460"/>
      <c r="K46" s="460"/>
      <c r="L46" s="460"/>
      <c r="M46" s="479"/>
      <c r="N46" s="479"/>
      <c r="O46" s="479"/>
      <c r="P46" s="479"/>
      <c r="Q46" s="479"/>
      <c r="R46" s="479"/>
      <c r="S46" s="479"/>
      <c r="T46" s="479"/>
    </row>
    <row r="47" spans="1:20" s="337" customFormat="1" ht="18">
      <c r="A47" s="482" t="s">
        <v>581</v>
      </c>
      <c r="B47" s="483">
        <f>SUM(B10:B39)</f>
        <v>53412636.720000006</v>
      </c>
      <c r="C47" s="460"/>
      <c r="D47" s="460"/>
      <c r="E47" s="460"/>
      <c r="F47" s="460"/>
      <c r="G47" s="460"/>
      <c r="H47" s="460"/>
      <c r="I47" s="460"/>
      <c r="J47" s="460"/>
      <c r="K47" s="460"/>
      <c r="L47" s="460"/>
      <c r="M47" s="479"/>
      <c r="N47" s="479"/>
      <c r="O47" s="479"/>
      <c r="P47" s="479"/>
      <c r="Q47" s="479"/>
      <c r="R47" s="479"/>
      <c r="S47" s="479"/>
      <c r="T47" s="479"/>
    </row>
    <row r="48" spans="1:20" s="337" customFormat="1" ht="17.5">
      <c r="A48" s="460"/>
      <c r="B48" s="460"/>
      <c r="C48" s="460"/>
      <c r="D48" s="460"/>
      <c r="E48" s="460"/>
      <c r="F48" s="460"/>
      <c r="G48" s="460"/>
      <c r="H48" s="460"/>
      <c r="I48" s="460"/>
      <c r="J48" s="460"/>
      <c r="K48" s="460"/>
      <c r="L48" s="460"/>
      <c r="M48" s="479"/>
      <c r="N48" s="479"/>
      <c r="O48" s="479"/>
      <c r="P48" s="479"/>
      <c r="Q48" s="479"/>
      <c r="R48" s="479"/>
      <c r="S48" s="479"/>
      <c r="T48" s="479"/>
    </row>
    <row r="49" spans="1:20" s="337" customFormat="1" ht="17.5">
      <c r="A49" s="230"/>
      <c r="B49" s="230"/>
      <c r="C49" s="230"/>
      <c r="D49" s="230"/>
      <c r="E49" s="230"/>
      <c r="F49" s="230"/>
      <c r="G49" s="230"/>
      <c r="H49" s="230"/>
      <c r="I49" s="460"/>
      <c r="J49" s="460"/>
      <c r="K49" s="460"/>
      <c r="L49" s="460"/>
      <c r="M49" s="479"/>
      <c r="N49" s="479"/>
      <c r="O49" s="479"/>
      <c r="P49" s="479"/>
      <c r="Q49" s="479"/>
      <c r="R49" s="479"/>
      <c r="S49" s="479"/>
      <c r="T49" s="479"/>
    </row>
    <row r="50" spans="1:20" s="337" customFormat="1" ht="17.5">
      <c r="A50" s="230"/>
      <c r="B50" s="230"/>
      <c r="C50" s="230"/>
      <c r="D50" s="230"/>
      <c r="E50" s="230"/>
      <c r="F50" s="230"/>
      <c r="G50" s="230"/>
      <c r="H50" s="230"/>
      <c r="I50" s="460"/>
      <c r="J50" s="460"/>
      <c r="K50" s="460"/>
      <c r="L50" s="460"/>
      <c r="M50" s="479"/>
      <c r="N50" s="479"/>
      <c r="O50" s="479"/>
      <c r="P50" s="479"/>
      <c r="Q50" s="479"/>
      <c r="R50" s="479"/>
      <c r="S50" s="479"/>
      <c r="T50" s="479"/>
    </row>
    <row r="51" spans="1:20" s="337" customFormat="1" ht="17.5">
      <c r="A51" s="230"/>
      <c r="B51" s="230"/>
      <c r="C51" s="230"/>
      <c r="D51" s="230"/>
      <c r="E51" s="230"/>
      <c r="F51" s="230"/>
      <c r="G51" s="230"/>
      <c r="H51" s="230"/>
      <c r="I51" s="460"/>
      <c r="J51" s="460"/>
      <c r="K51" s="460"/>
      <c r="L51" s="460"/>
      <c r="M51" s="479"/>
      <c r="N51" s="479"/>
      <c r="O51" s="479"/>
      <c r="P51" s="479"/>
      <c r="Q51" s="479"/>
      <c r="R51" s="479"/>
      <c r="S51" s="479"/>
      <c r="T51" s="479"/>
    </row>
    <row r="52" spans="1:20" s="337" customFormat="1" ht="17.5">
      <c r="A52" s="230"/>
      <c r="B52" s="230"/>
      <c r="C52" s="230"/>
      <c r="D52" s="230"/>
      <c r="E52" s="230"/>
      <c r="F52" s="230"/>
      <c r="G52" s="230"/>
      <c r="H52" s="230"/>
      <c r="I52" s="460"/>
      <c r="J52" s="460"/>
      <c r="K52" s="460"/>
      <c r="L52" s="460"/>
      <c r="M52" s="479"/>
      <c r="N52" s="479"/>
      <c r="O52" s="479"/>
      <c r="P52" s="479"/>
      <c r="Q52" s="479"/>
      <c r="R52" s="479"/>
      <c r="S52" s="479"/>
      <c r="T52" s="479"/>
    </row>
    <row r="53" spans="1:20" ht="17.5">
      <c r="I53" s="460"/>
      <c r="J53" s="460"/>
      <c r="K53" s="460"/>
      <c r="L53" s="460"/>
      <c r="M53" s="460"/>
      <c r="N53" s="460"/>
      <c r="O53" s="460"/>
      <c r="P53" s="460"/>
      <c r="Q53" s="460"/>
      <c r="R53" s="460"/>
      <c r="S53" s="460"/>
      <c r="T53" s="460"/>
    </row>
    <row r="54" spans="1:20" ht="17.5">
      <c r="I54" s="460"/>
      <c r="J54" s="460"/>
      <c r="K54" s="460"/>
      <c r="L54" s="460"/>
      <c r="M54" s="460"/>
      <c r="N54" s="460"/>
      <c r="O54" s="460"/>
      <c r="P54" s="460"/>
      <c r="Q54" s="460"/>
      <c r="R54" s="460"/>
      <c r="S54" s="460"/>
      <c r="T54" s="460"/>
    </row>
    <row r="55" spans="1:20" ht="17.5">
      <c r="I55" s="460"/>
      <c r="J55" s="460"/>
      <c r="K55" s="460"/>
      <c r="L55" s="460"/>
      <c r="M55" s="460"/>
      <c r="N55" s="460"/>
      <c r="O55" s="460"/>
      <c r="P55" s="460"/>
      <c r="Q55" s="460"/>
      <c r="R55" s="460"/>
      <c r="S55" s="460"/>
      <c r="T55" s="460"/>
    </row>
  </sheetData>
  <mergeCells count="13">
    <mergeCell ref="A1:H1"/>
    <mergeCell ref="G4:G10"/>
    <mergeCell ref="H4:H10"/>
    <mergeCell ref="G11:G17"/>
    <mergeCell ref="H11:H17"/>
    <mergeCell ref="G39:G45"/>
    <mergeCell ref="H39:H45"/>
    <mergeCell ref="G18:G24"/>
    <mergeCell ref="H18:H24"/>
    <mergeCell ref="G25:G31"/>
    <mergeCell ref="H25:H31"/>
    <mergeCell ref="G32:G38"/>
    <mergeCell ref="H32:H38"/>
  </mergeCells>
  <phoneticPr fontId="13" type="noConversion"/>
  <conditionalFormatting sqref="A4:A45">
    <cfRule type="timePeriod" dxfId="2" priority="2" timePeriod="yesterday">
      <formula>FLOOR(A4,1)=TODAY()-1</formula>
    </cfRule>
  </conditionalFormatting>
  <conditionalFormatting sqref="D4:D45">
    <cfRule type="cellIs" dxfId="1" priority="1" operator="greaterThan">
      <formula>0.0025</formula>
    </cfRule>
  </conditionalFormatting>
  <conditionalFormatting sqref="D47">
    <cfRule type="cellIs" dxfId="0" priority="3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>
    <tabColor rgb="FF92D050"/>
    <pageSetUpPr fitToPage="1"/>
  </sheetPr>
  <dimension ref="B2:AJ168"/>
  <sheetViews>
    <sheetView zoomScale="70" zoomScaleNormal="70" workbookViewId="0">
      <pane xSplit="3" ySplit="2" topLeftCell="D30" activePane="bottomRight" state="frozen"/>
      <selection pane="topRight" activeCell="D1" sqref="D1"/>
      <selection pane="bottomLeft" activeCell="A4" sqref="A4"/>
      <selection pane="bottomRight" activeCell="M49" sqref="M49:N49"/>
    </sheetView>
  </sheetViews>
  <sheetFormatPr defaultColWidth="8.81640625" defaultRowHeight="16"/>
  <cols>
    <col min="1" max="1" width="8.81640625" style="146"/>
    <col min="2" max="2" width="12.453125" style="146" customWidth="1"/>
    <col min="3" max="3" width="8.81640625" style="146"/>
    <col min="4" max="4" width="11.54296875" style="146" customWidth="1"/>
    <col min="5" max="5" width="39.26953125" style="146" bestFit="1" customWidth="1"/>
    <col min="6" max="6" width="11.453125" style="146" bestFit="1" customWidth="1"/>
    <col min="7" max="8" width="17.26953125" style="146" bestFit="1" customWidth="1"/>
    <col min="9" max="9" width="16.81640625" style="146" customWidth="1"/>
    <col min="10" max="10" width="14" style="146" customWidth="1"/>
    <col min="11" max="11" width="16.81640625" style="146" customWidth="1"/>
    <col min="12" max="12" width="14" style="146" customWidth="1"/>
    <col min="13" max="13" width="13.81640625" style="146" bestFit="1" customWidth="1"/>
    <col min="14" max="14" width="10.81640625" style="146" bestFit="1" customWidth="1"/>
    <col min="15" max="15" width="19.1796875" style="146" bestFit="1" customWidth="1"/>
    <col min="16" max="16" width="15.26953125" style="146" bestFit="1" customWidth="1"/>
    <col min="17" max="17" width="12.54296875" style="146" bestFit="1" customWidth="1"/>
    <col min="18" max="18" width="12.81640625" style="146" bestFit="1" customWidth="1"/>
    <col min="19" max="19" width="13.453125" style="146" bestFit="1" customWidth="1"/>
    <col min="20" max="20" width="12.81640625" style="146" bestFit="1" customWidth="1"/>
    <col min="21" max="21" width="10.81640625" style="146" bestFit="1" customWidth="1"/>
    <col min="22" max="22" width="12.453125" style="146" bestFit="1" customWidth="1"/>
    <col min="23" max="23" width="25.26953125" style="146" bestFit="1" customWidth="1"/>
    <col min="24" max="24" width="88.26953125" style="146" customWidth="1"/>
    <col min="25" max="25" width="117.7265625" style="146" bestFit="1" customWidth="1"/>
    <col min="26" max="26" width="11.54296875" style="146" bestFit="1" customWidth="1"/>
    <col min="27" max="27" width="69.54296875" style="146" bestFit="1" customWidth="1"/>
    <col min="28" max="28" width="11.453125" style="146" bestFit="1" customWidth="1"/>
    <col min="29" max="29" width="21.54296875" style="146" customWidth="1"/>
    <col min="30" max="30" width="19.453125" style="146" bestFit="1" customWidth="1"/>
    <col min="31" max="36" width="14.453125" style="146" customWidth="1"/>
    <col min="37" max="16384" width="8.81640625" style="146"/>
  </cols>
  <sheetData>
    <row r="2" spans="2:36" ht="41.15" customHeight="1">
      <c r="B2" s="874" t="s">
        <v>443</v>
      </c>
      <c r="C2" s="875"/>
      <c r="D2" s="875"/>
      <c r="E2" s="875"/>
      <c r="F2" s="875"/>
      <c r="G2" s="875"/>
      <c r="H2" s="875"/>
      <c r="I2" s="875"/>
      <c r="J2" s="875"/>
      <c r="K2" s="875"/>
      <c r="L2" s="875"/>
      <c r="M2" s="875"/>
      <c r="N2" s="875"/>
      <c r="O2" s="875"/>
      <c r="P2" s="875"/>
      <c r="Q2" s="875"/>
      <c r="R2" s="875"/>
      <c r="S2" s="875"/>
      <c r="T2" s="875"/>
      <c r="U2" s="875"/>
      <c r="V2" s="875"/>
      <c r="W2" s="875"/>
      <c r="X2" s="875"/>
      <c r="Y2" s="875"/>
      <c r="Z2" s="875"/>
      <c r="AA2" s="875"/>
      <c r="AC2" s="147"/>
      <c r="AD2" s="147"/>
    </row>
    <row r="3" spans="2:36" ht="17.149999999999999" customHeight="1">
      <c r="B3" s="844" t="s">
        <v>444</v>
      </c>
      <c r="C3" s="845"/>
      <c r="D3" s="850" t="s">
        <v>170</v>
      </c>
      <c r="E3" s="850"/>
      <c r="F3" s="850"/>
      <c r="G3" s="851" t="s">
        <v>184</v>
      </c>
      <c r="H3" s="852"/>
      <c r="I3" s="852"/>
      <c r="J3" s="852"/>
      <c r="K3" s="852"/>
      <c r="L3" s="852"/>
      <c r="M3" s="852"/>
      <c r="N3" s="852"/>
      <c r="O3" s="852"/>
      <c r="P3" s="852"/>
      <c r="Q3" s="852"/>
      <c r="R3" s="852"/>
      <c r="S3" s="852"/>
      <c r="T3" s="852"/>
      <c r="U3" s="853"/>
      <c r="V3" s="854" t="s">
        <v>171</v>
      </c>
      <c r="W3" s="854" t="s">
        <v>245</v>
      </c>
      <c r="X3" s="880" t="s">
        <v>445</v>
      </c>
      <c r="Y3" s="880" t="s">
        <v>446</v>
      </c>
      <c r="Z3" s="854" t="s">
        <v>246</v>
      </c>
      <c r="AA3" s="860" t="s">
        <v>172</v>
      </c>
      <c r="AC3" s="835" t="s">
        <v>247</v>
      </c>
      <c r="AD3" s="836"/>
      <c r="AE3" s="836"/>
      <c r="AF3" s="836"/>
      <c r="AG3" s="836"/>
      <c r="AH3" s="836"/>
      <c r="AI3" s="836"/>
      <c r="AJ3" s="837"/>
    </row>
    <row r="4" spans="2:36" ht="17.149999999999999" customHeight="1">
      <c r="B4" s="846"/>
      <c r="C4" s="847"/>
      <c r="D4" s="857" t="s">
        <v>169</v>
      </c>
      <c r="E4" s="850" t="s">
        <v>173</v>
      </c>
      <c r="F4" s="850"/>
      <c r="G4" s="851" t="s">
        <v>185</v>
      </c>
      <c r="H4" s="852"/>
      <c r="I4" s="852"/>
      <c r="J4" s="852"/>
      <c r="K4" s="852"/>
      <c r="L4" s="852"/>
      <c r="M4" s="852"/>
      <c r="N4" s="852"/>
      <c r="O4" s="852"/>
      <c r="P4" s="853"/>
      <c r="Q4" s="851" t="s">
        <v>174</v>
      </c>
      <c r="R4" s="852"/>
      <c r="S4" s="852"/>
      <c r="T4" s="852"/>
      <c r="U4" s="853"/>
      <c r="V4" s="855"/>
      <c r="W4" s="855"/>
      <c r="X4" s="881"/>
      <c r="Y4" s="881"/>
      <c r="Z4" s="855"/>
      <c r="AA4" s="883"/>
      <c r="AC4" s="838"/>
      <c r="AD4" s="839"/>
      <c r="AE4" s="839"/>
      <c r="AF4" s="839"/>
      <c r="AG4" s="839"/>
      <c r="AH4" s="839"/>
      <c r="AI4" s="839"/>
      <c r="AJ4" s="840"/>
    </row>
    <row r="5" spans="2:36" ht="17.149999999999999" customHeight="1">
      <c r="B5" s="846"/>
      <c r="C5" s="847"/>
      <c r="D5" s="857"/>
      <c r="E5" s="857" t="s">
        <v>175</v>
      </c>
      <c r="F5" s="876" t="s">
        <v>248</v>
      </c>
      <c r="G5" s="877" t="s">
        <v>186</v>
      </c>
      <c r="H5" s="878"/>
      <c r="I5" s="878"/>
      <c r="J5" s="878"/>
      <c r="K5" s="878"/>
      <c r="L5" s="878"/>
      <c r="M5" s="878"/>
      <c r="N5" s="878"/>
      <c r="O5" s="878"/>
      <c r="P5" s="879"/>
      <c r="Q5" s="877" t="s">
        <v>168</v>
      </c>
      <c r="R5" s="879"/>
      <c r="S5" s="877" t="s">
        <v>176</v>
      </c>
      <c r="T5" s="878"/>
      <c r="U5" s="879"/>
      <c r="V5" s="855"/>
      <c r="W5" s="855"/>
      <c r="X5" s="881"/>
      <c r="Y5" s="881"/>
      <c r="Z5" s="855"/>
      <c r="AA5" s="883"/>
      <c r="AC5" s="841"/>
      <c r="AD5" s="842"/>
      <c r="AE5" s="842"/>
      <c r="AF5" s="842"/>
      <c r="AG5" s="842"/>
      <c r="AH5" s="842"/>
      <c r="AI5" s="842"/>
      <c r="AJ5" s="843"/>
    </row>
    <row r="6" spans="2:36" ht="38.5" customHeight="1">
      <c r="B6" s="848"/>
      <c r="C6" s="849"/>
      <c r="D6" s="857"/>
      <c r="E6" s="857"/>
      <c r="F6" s="876"/>
      <c r="G6" s="369" t="s">
        <v>177</v>
      </c>
      <c r="H6" s="369" t="s">
        <v>252</v>
      </c>
      <c r="I6" s="450" t="s">
        <v>565</v>
      </c>
      <c r="J6" s="369" t="s">
        <v>566</v>
      </c>
      <c r="K6" s="369" t="s">
        <v>253</v>
      </c>
      <c r="L6" s="369" t="s">
        <v>178</v>
      </c>
      <c r="M6" s="369" t="s">
        <v>250</v>
      </c>
      <c r="N6" s="369" t="s">
        <v>179</v>
      </c>
      <c r="O6" s="369" t="s">
        <v>187</v>
      </c>
      <c r="P6" s="369" t="s">
        <v>180</v>
      </c>
      <c r="Q6" s="370" t="s">
        <v>181</v>
      </c>
      <c r="R6" s="370" t="s">
        <v>182</v>
      </c>
      <c r="S6" s="370" t="s">
        <v>181</v>
      </c>
      <c r="T6" s="370" t="s">
        <v>182</v>
      </c>
      <c r="U6" s="369" t="s">
        <v>183</v>
      </c>
      <c r="V6" s="856"/>
      <c r="W6" s="856"/>
      <c r="X6" s="882"/>
      <c r="Y6" s="882"/>
      <c r="Z6" s="856"/>
      <c r="AA6" s="861"/>
      <c r="AC6" s="161" t="s">
        <v>244</v>
      </c>
      <c r="AD6" s="161" t="s">
        <v>447</v>
      </c>
      <c r="AE6" s="156" t="s">
        <v>384</v>
      </c>
      <c r="AF6" s="156" t="s">
        <v>337</v>
      </c>
      <c r="AG6" s="156" t="s">
        <v>430</v>
      </c>
      <c r="AH6" s="156" t="s">
        <v>215</v>
      </c>
      <c r="AI6" s="156" t="s">
        <v>216</v>
      </c>
      <c r="AJ6" s="156" t="s">
        <v>385</v>
      </c>
    </row>
    <row r="7" spans="2:36" s="148" customFormat="1" ht="27" customHeight="1">
      <c r="B7" s="829" t="s">
        <v>571</v>
      </c>
      <c r="C7" s="830"/>
      <c r="D7" s="368">
        <v>1</v>
      </c>
      <c r="E7" s="451" t="s">
        <v>450</v>
      </c>
      <c r="F7" s="452">
        <f>IFERROR(Q7*G7,"-")</f>
        <v>3932.2499999999995</v>
      </c>
      <c r="G7" s="372">
        <v>2.4499999999999997</v>
      </c>
      <c r="H7" s="453">
        <v>158641</v>
      </c>
      <c r="I7" s="453">
        <v>158641</v>
      </c>
      <c r="J7" s="455">
        <f>IFERROR(I7/H7,"-")</f>
        <v>1</v>
      </c>
      <c r="K7" s="454">
        <v>160246</v>
      </c>
      <c r="L7" s="455">
        <f>IFERROR(K7/H7,"-")</f>
        <v>1.0101171828215909</v>
      </c>
      <c r="M7" s="454">
        <v>0</v>
      </c>
      <c r="N7" s="455">
        <f>IFERROR(M7/H7,"-")</f>
        <v>0</v>
      </c>
      <c r="O7" s="456">
        <f>IFERROR(K7+M7,"-")</f>
        <v>160246</v>
      </c>
      <c r="P7" s="455">
        <f>IFERROR(O7/H7,"-")</f>
        <v>1.0101171828215909</v>
      </c>
      <c r="Q7" s="453">
        <v>1605</v>
      </c>
      <c r="R7" s="455">
        <f>IFERROR(Q7/H7,"-")</f>
        <v>1.0117182821590888E-2</v>
      </c>
      <c r="S7" s="456">
        <f>IFERROR(O7-H7,"-")</f>
        <v>1605</v>
      </c>
      <c r="T7" s="455">
        <f>IFERROR(S7/H7,"-")</f>
        <v>1.0117182821590888E-2</v>
      </c>
      <c r="U7" s="371">
        <f>IFERROR(S7*G7,"-")</f>
        <v>3932.2499999999995</v>
      </c>
      <c r="V7" s="373" t="s">
        <v>418</v>
      </c>
      <c r="W7" s="373" t="s">
        <v>337</v>
      </c>
      <c r="X7" s="374" t="s">
        <v>469</v>
      </c>
      <c r="Y7" s="374" t="s">
        <v>470</v>
      </c>
      <c r="Z7" s="374">
        <v>1</v>
      </c>
      <c r="AA7" s="457" t="s">
        <v>340</v>
      </c>
      <c r="AB7" s="375" t="s">
        <v>448</v>
      </c>
      <c r="AC7" s="381">
        <f>SUM(Z7:Z26)</f>
        <v>20</v>
      </c>
      <c r="AD7" s="376">
        <f>SUMIF($W$7:$W$26,TRIM(AD6),$Z$7:$Z$26)</f>
        <v>10</v>
      </c>
      <c r="AE7" s="376">
        <f t="shared" ref="AE7:AJ7" si="0">SUMIF($W$7:$W$26,TRIM(AE6),$Z$7:$Z$26)</f>
        <v>0</v>
      </c>
      <c r="AF7" s="376">
        <f t="shared" si="0"/>
        <v>7</v>
      </c>
      <c r="AG7" s="376">
        <f t="shared" si="0"/>
        <v>0</v>
      </c>
      <c r="AH7" s="376">
        <f t="shared" si="0"/>
        <v>1</v>
      </c>
      <c r="AI7" s="376">
        <f t="shared" si="0"/>
        <v>2</v>
      </c>
      <c r="AJ7" s="376">
        <f t="shared" si="0"/>
        <v>0</v>
      </c>
    </row>
    <row r="8" spans="2:36" s="148" customFormat="1" ht="27" customHeight="1">
      <c r="B8" s="831"/>
      <c r="C8" s="832"/>
      <c r="D8" s="368">
        <v>2</v>
      </c>
      <c r="E8" s="451" t="s">
        <v>449</v>
      </c>
      <c r="F8" s="452">
        <f t="shared" ref="F8:F26" si="1">IFERROR(Q8*G8,"-")</f>
        <v>3452.6699999999996</v>
      </c>
      <c r="G8" s="372">
        <v>1.17</v>
      </c>
      <c r="H8" s="453">
        <v>299533</v>
      </c>
      <c r="I8" s="453">
        <v>299533</v>
      </c>
      <c r="J8" s="455">
        <f t="shared" ref="J8:J26" si="2">IFERROR(I8/H8,"-")</f>
        <v>1</v>
      </c>
      <c r="K8" s="454">
        <v>302484</v>
      </c>
      <c r="L8" s="455">
        <f t="shared" ref="L8:L26" si="3">IFERROR(K8/H8,"-")</f>
        <v>1.0098520029512608</v>
      </c>
      <c r="M8" s="454">
        <v>0</v>
      </c>
      <c r="N8" s="455">
        <f t="shared" ref="N8:N26" si="4">IFERROR(M8/H8,"-")</f>
        <v>0</v>
      </c>
      <c r="O8" s="456">
        <f t="shared" ref="O8:O26" si="5">IFERROR(K8+M8,"-")</f>
        <v>302484</v>
      </c>
      <c r="P8" s="455">
        <f t="shared" ref="P8:P26" si="6">IFERROR(O8/H8,"-")</f>
        <v>1.0098520029512608</v>
      </c>
      <c r="Q8" s="453">
        <v>2951</v>
      </c>
      <c r="R8" s="455">
        <f t="shared" ref="R8:R26" si="7">IFERROR(Q8/H8,"-")</f>
        <v>9.8520029512607962E-3</v>
      </c>
      <c r="S8" s="456">
        <f t="shared" ref="S8:S26" si="8">IFERROR(O8-H8,"-")</f>
        <v>2951</v>
      </c>
      <c r="T8" s="455">
        <f t="shared" ref="T8:T26" si="9">IFERROR(S8/H8,"-")</f>
        <v>9.8520029512607962E-3</v>
      </c>
      <c r="U8" s="371">
        <f t="shared" ref="U8:U26" si="10">IFERROR(S8*G8,"-")</f>
        <v>3452.6699999999996</v>
      </c>
      <c r="V8" s="373" t="s">
        <v>418</v>
      </c>
      <c r="W8" s="373" t="s">
        <v>337</v>
      </c>
      <c r="X8" s="374" t="s">
        <v>471</v>
      </c>
      <c r="Y8" s="374" t="s">
        <v>528</v>
      </c>
      <c r="Z8" s="374">
        <v>1</v>
      </c>
      <c r="AA8" s="457" t="s">
        <v>340</v>
      </c>
      <c r="AC8" s="382"/>
      <c r="AD8" s="379">
        <f>SUMIF($W7:$W$26,TRIM(AD6),$F$7:$F$26)</f>
        <v>13087.2803</v>
      </c>
      <c r="AE8" s="379">
        <f>SUMIF($W7:$W$26,TRIM(AE6),$F$7:$F$26)</f>
        <v>0</v>
      </c>
      <c r="AF8" s="379">
        <f>SUMIF($W7:$W$26,TRIM(AF6),$F$7:$F$26)</f>
        <v>16114.2778</v>
      </c>
      <c r="AG8" s="379">
        <f>SUMIF($W7:$W$26,TRIM(AG6),$F$7:$F$26)</f>
        <v>0</v>
      </c>
      <c r="AH8" s="379">
        <f>SUMIF($W7:$W$26,TRIM(AH6),$F$7:$F$26)</f>
        <v>1444.8140000000005</v>
      </c>
      <c r="AI8" s="379">
        <f>SUMIF($W7:$W$26,TRIM(AI6),$F$7:$F$26)</f>
        <v>4810.9979999999996</v>
      </c>
      <c r="AJ8" s="379">
        <f>SUMIF($W7:$W$26,TRIM(AJ6),$F$7:$F$26)</f>
        <v>0</v>
      </c>
    </row>
    <row r="9" spans="2:36" s="148" customFormat="1" ht="27" customHeight="1">
      <c r="B9" s="831"/>
      <c r="C9" s="832"/>
      <c r="D9" s="368">
        <v>3</v>
      </c>
      <c r="E9" s="451" t="s">
        <v>335</v>
      </c>
      <c r="F9" s="452">
        <f t="shared" si="1"/>
        <v>3306.3</v>
      </c>
      <c r="G9" s="372">
        <v>15.450000000000001</v>
      </c>
      <c r="H9" s="453">
        <v>67490</v>
      </c>
      <c r="I9" s="453">
        <v>67490</v>
      </c>
      <c r="J9" s="455">
        <f t="shared" si="2"/>
        <v>1</v>
      </c>
      <c r="K9" s="454">
        <v>67704</v>
      </c>
      <c r="L9" s="455">
        <f t="shared" si="3"/>
        <v>1.0031708401244628</v>
      </c>
      <c r="M9" s="454">
        <v>0</v>
      </c>
      <c r="N9" s="455">
        <f t="shared" si="4"/>
        <v>0</v>
      </c>
      <c r="O9" s="456">
        <f t="shared" si="5"/>
        <v>67704</v>
      </c>
      <c r="P9" s="455">
        <f t="shared" si="6"/>
        <v>1.0031708401244628</v>
      </c>
      <c r="Q9" s="453">
        <v>214</v>
      </c>
      <c r="R9" s="455">
        <f t="shared" si="7"/>
        <v>3.1708401244628834E-3</v>
      </c>
      <c r="S9" s="456">
        <f t="shared" si="8"/>
        <v>214</v>
      </c>
      <c r="T9" s="455">
        <f t="shared" si="9"/>
        <v>3.1708401244628834E-3</v>
      </c>
      <c r="U9" s="371">
        <f t="shared" si="10"/>
        <v>3306.3</v>
      </c>
      <c r="V9" s="373" t="s">
        <v>418</v>
      </c>
      <c r="W9" s="373" t="s">
        <v>216</v>
      </c>
      <c r="X9" s="374" t="s">
        <v>468</v>
      </c>
      <c r="Y9" s="374" t="s">
        <v>586</v>
      </c>
      <c r="Z9" s="374">
        <v>1</v>
      </c>
      <c r="AA9" s="457" t="s">
        <v>525</v>
      </c>
      <c r="AC9" s="368"/>
      <c r="AD9" s="380">
        <f t="shared" ref="AD9:AJ9" si="11">AD7/$AC7</f>
        <v>0.5</v>
      </c>
      <c r="AE9" s="380">
        <f t="shared" si="11"/>
        <v>0</v>
      </c>
      <c r="AF9" s="380">
        <f t="shared" si="11"/>
        <v>0.35</v>
      </c>
      <c r="AG9" s="380">
        <f t="shared" si="11"/>
        <v>0</v>
      </c>
      <c r="AH9" s="380">
        <f t="shared" si="11"/>
        <v>0.05</v>
      </c>
      <c r="AI9" s="380">
        <f t="shared" si="11"/>
        <v>0.1</v>
      </c>
      <c r="AJ9" s="380">
        <f t="shared" si="11"/>
        <v>0</v>
      </c>
    </row>
    <row r="10" spans="2:36" s="148" customFormat="1" ht="27" customHeight="1">
      <c r="B10" s="831"/>
      <c r="C10" s="832"/>
      <c r="D10" s="368">
        <v>4</v>
      </c>
      <c r="E10" s="451" t="s">
        <v>463</v>
      </c>
      <c r="F10" s="452">
        <f t="shared" si="1"/>
        <v>2711.4710000000005</v>
      </c>
      <c r="G10" s="372">
        <v>407.74000000000007</v>
      </c>
      <c r="H10" s="453">
        <v>1204.5999999999999</v>
      </c>
      <c r="I10" s="453">
        <v>1204.5999999999999</v>
      </c>
      <c r="J10" s="455">
        <f t="shared" si="2"/>
        <v>1</v>
      </c>
      <c r="K10" s="454">
        <v>1220.3599999999999</v>
      </c>
      <c r="L10" s="455">
        <f t="shared" si="3"/>
        <v>1.0130831811389673</v>
      </c>
      <c r="M10" s="454">
        <v>15.76</v>
      </c>
      <c r="N10" s="455">
        <f t="shared" si="4"/>
        <v>1.3083181138967294E-2</v>
      </c>
      <c r="O10" s="456">
        <f t="shared" si="5"/>
        <v>1236.1199999999999</v>
      </c>
      <c r="P10" s="455">
        <f t="shared" si="6"/>
        <v>1.0261663622779347</v>
      </c>
      <c r="Q10" s="453">
        <v>6.65</v>
      </c>
      <c r="R10" s="455">
        <f t="shared" si="7"/>
        <v>5.5205047318611991E-3</v>
      </c>
      <c r="S10" s="456">
        <f t="shared" si="8"/>
        <v>31.519999999999982</v>
      </c>
      <c r="T10" s="455">
        <f t="shared" si="9"/>
        <v>2.616636227793457E-2</v>
      </c>
      <c r="U10" s="371">
        <f t="shared" si="10"/>
        <v>12851.964799999994</v>
      </c>
      <c r="V10" s="373" t="s">
        <v>418</v>
      </c>
      <c r="W10" s="373" t="s">
        <v>337</v>
      </c>
      <c r="X10" s="374" t="s">
        <v>605</v>
      </c>
      <c r="Y10" s="390" t="s">
        <v>606</v>
      </c>
      <c r="Z10" s="374">
        <v>1</v>
      </c>
      <c r="AA10" s="457" t="s">
        <v>465</v>
      </c>
    </row>
    <row r="11" spans="2:36" s="148" customFormat="1" ht="27" customHeight="1">
      <c r="B11" s="831"/>
      <c r="C11" s="832"/>
      <c r="D11" s="368">
        <v>5</v>
      </c>
      <c r="E11" s="451" t="s">
        <v>387</v>
      </c>
      <c r="F11" s="452">
        <f t="shared" si="1"/>
        <v>2536.3456000000006</v>
      </c>
      <c r="G11" s="372">
        <v>127.84000000000002</v>
      </c>
      <c r="H11" s="453">
        <v>4439.49</v>
      </c>
      <c r="I11" s="453">
        <v>4439.49</v>
      </c>
      <c r="J11" s="455">
        <f t="shared" si="2"/>
        <v>1</v>
      </c>
      <c r="K11" s="454">
        <v>4531.1400000000003</v>
      </c>
      <c r="L11" s="455">
        <f t="shared" si="3"/>
        <v>1.0206442631923938</v>
      </c>
      <c r="M11" s="454">
        <v>91.65</v>
      </c>
      <c r="N11" s="455">
        <f t="shared" si="4"/>
        <v>2.0644263192393722E-2</v>
      </c>
      <c r="O11" s="456">
        <f t="shared" si="5"/>
        <v>4622.79</v>
      </c>
      <c r="P11" s="455">
        <f t="shared" si="6"/>
        <v>1.0412885263847875</v>
      </c>
      <c r="Q11" s="453">
        <v>19.840000000000003</v>
      </c>
      <c r="R11" s="455">
        <f t="shared" si="7"/>
        <v>4.4689817974587183E-3</v>
      </c>
      <c r="S11" s="456">
        <f t="shared" si="8"/>
        <v>183.30000000000018</v>
      </c>
      <c r="T11" s="455">
        <f t="shared" si="9"/>
        <v>4.1288526384787486E-2</v>
      </c>
      <c r="U11" s="371">
        <f t="shared" si="10"/>
        <v>23433.072000000026</v>
      </c>
      <c r="V11" s="373" t="s">
        <v>418</v>
      </c>
      <c r="W11" s="373" t="s">
        <v>447</v>
      </c>
      <c r="X11" s="374" t="s">
        <v>587</v>
      </c>
      <c r="Y11" s="374" t="s">
        <v>588</v>
      </c>
      <c r="Z11" s="374">
        <v>1</v>
      </c>
      <c r="AA11" s="457" t="s">
        <v>340</v>
      </c>
    </row>
    <row r="12" spans="2:36" s="148" customFormat="1" ht="27" customHeight="1">
      <c r="B12" s="831"/>
      <c r="C12" s="832"/>
      <c r="D12" s="368">
        <v>6</v>
      </c>
      <c r="E12" s="451" t="s">
        <v>599</v>
      </c>
      <c r="F12" s="452">
        <f t="shared" si="1"/>
        <v>2040.97</v>
      </c>
      <c r="G12" s="372">
        <v>24.59</v>
      </c>
      <c r="H12" s="453">
        <v>16803</v>
      </c>
      <c r="I12" s="453">
        <v>16803</v>
      </c>
      <c r="J12" s="455">
        <f t="shared" si="2"/>
        <v>1</v>
      </c>
      <c r="K12" s="454">
        <v>16886</v>
      </c>
      <c r="L12" s="455">
        <f t="shared" si="3"/>
        <v>1.0049395941200976</v>
      </c>
      <c r="M12" s="454">
        <v>0</v>
      </c>
      <c r="N12" s="455">
        <f t="shared" si="4"/>
        <v>0</v>
      </c>
      <c r="O12" s="456">
        <f t="shared" si="5"/>
        <v>16886</v>
      </c>
      <c r="P12" s="455">
        <f t="shared" si="6"/>
        <v>1.0049395941200976</v>
      </c>
      <c r="Q12" s="453">
        <v>83</v>
      </c>
      <c r="R12" s="455">
        <f t="shared" si="7"/>
        <v>4.9395941200976014E-3</v>
      </c>
      <c r="S12" s="456">
        <f t="shared" si="8"/>
        <v>83</v>
      </c>
      <c r="T12" s="455">
        <f t="shared" si="9"/>
        <v>4.9395941200976014E-3</v>
      </c>
      <c r="U12" s="371">
        <f t="shared" si="10"/>
        <v>2040.97</v>
      </c>
      <c r="V12" s="373" t="s">
        <v>418</v>
      </c>
      <c r="W12" s="373" t="s">
        <v>337</v>
      </c>
      <c r="X12" s="374" t="s">
        <v>604</v>
      </c>
      <c r="Y12" s="374" t="s">
        <v>626</v>
      </c>
      <c r="Z12" s="374">
        <v>1</v>
      </c>
      <c r="AA12" s="457" t="s">
        <v>582</v>
      </c>
    </row>
    <row r="13" spans="2:36" s="148" customFormat="1" ht="27" customHeight="1">
      <c r="B13" s="831"/>
      <c r="C13" s="832"/>
      <c r="D13" s="368">
        <v>7</v>
      </c>
      <c r="E13" s="451" t="s">
        <v>464</v>
      </c>
      <c r="F13" s="452">
        <f t="shared" si="1"/>
        <v>1786.2537000000002</v>
      </c>
      <c r="G13" s="372">
        <v>160.49</v>
      </c>
      <c r="H13" s="453">
        <v>699.3</v>
      </c>
      <c r="I13" s="453">
        <v>699.3</v>
      </c>
      <c r="J13" s="455">
        <f t="shared" si="2"/>
        <v>1</v>
      </c>
      <c r="K13" s="454">
        <v>721.76</v>
      </c>
      <c r="L13" s="455">
        <f t="shared" si="3"/>
        <v>1.0321178321178321</v>
      </c>
      <c r="M13" s="454">
        <v>19.940000000000001</v>
      </c>
      <c r="N13" s="455">
        <f t="shared" si="4"/>
        <v>2.8514228514228517E-2</v>
      </c>
      <c r="O13" s="456">
        <f t="shared" si="5"/>
        <v>741.7</v>
      </c>
      <c r="P13" s="455">
        <f t="shared" si="6"/>
        <v>1.0606320606320607</v>
      </c>
      <c r="Q13" s="453">
        <v>11.13</v>
      </c>
      <c r="R13" s="455">
        <f t="shared" si="7"/>
        <v>1.5915915915915919E-2</v>
      </c>
      <c r="S13" s="456">
        <f t="shared" si="8"/>
        <v>42.400000000000091</v>
      </c>
      <c r="T13" s="455">
        <f t="shared" si="9"/>
        <v>6.0632060632060766E-2</v>
      </c>
      <c r="U13" s="371">
        <f t="shared" si="10"/>
        <v>6804.7760000000153</v>
      </c>
      <c r="V13" s="373" t="s">
        <v>418</v>
      </c>
      <c r="W13" s="373" t="s">
        <v>447</v>
      </c>
      <c r="X13" s="374" t="s">
        <v>529</v>
      </c>
      <c r="Y13" s="374" t="s">
        <v>457</v>
      </c>
      <c r="Z13" s="374">
        <v>1</v>
      </c>
      <c r="AA13" s="457" t="s">
        <v>435</v>
      </c>
      <c r="AE13" s="377"/>
    </row>
    <row r="14" spans="2:36" s="148" customFormat="1" ht="27" customHeight="1">
      <c r="B14" s="831"/>
      <c r="C14" s="832"/>
      <c r="D14" s="368">
        <v>8</v>
      </c>
      <c r="E14" s="451" t="s">
        <v>461</v>
      </c>
      <c r="F14" s="452">
        <f t="shared" si="1"/>
        <v>1550.7967999999996</v>
      </c>
      <c r="G14" s="372">
        <v>605.77999999999986</v>
      </c>
      <c r="H14" s="453">
        <v>1046.28</v>
      </c>
      <c r="I14" s="453">
        <v>1046.28</v>
      </c>
      <c r="J14" s="455">
        <f t="shared" si="2"/>
        <v>1</v>
      </c>
      <c r="K14" s="454">
        <v>1062.83</v>
      </c>
      <c r="L14" s="455">
        <f t="shared" si="3"/>
        <v>1.0158179454830447</v>
      </c>
      <c r="M14" s="454">
        <v>16.549999999999997</v>
      </c>
      <c r="N14" s="455">
        <f t="shared" si="4"/>
        <v>1.5817945483044691E-2</v>
      </c>
      <c r="O14" s="456">
        <f t="shared" si="5"/>
        <v>1079.3799999999999</v>
      </c>
      <c r="P14" s="455">
        <f t="shared" si="6"/>
        <v>1.0316358909660892</v>
      </c>
      <c r="Q14" s="453">
        <v>2.56</v>
      </c>
      <c r="R14" s="455">
        <f t="shared" si="7"/>
        <v>2.4467637726038921E-3</v>
      </c>
      <c r="S14" s="456">
        <f t="shared" si="8"/>
        <v>33.099999999999909</v>
      </c>
      <c r="T14" s="455">
        <f t="shared" si="9"/>
        <v>3.1635890966089299E-2</v>
      </c>
      <c r="U14" s="371">
        <f t="shared" si="10"/>
        <v>20051.317999999941</v>
      </c>
      <c r="V14" s="373" t="s">
        <v>418</v>
      </c>
      <c r="W14" s="373" t="s">
        <v>337</v>
      </c>
      <c r="X14" s="374" t="s">
        <v>605</v>
      </c>
      <c r="Y14" s="390" t="s">
        <v>606</v>
      </c>
      <c r="Z14" s="374">
        <v>1</v>
      </c>
      <c r="AA14" s="457" t="s">
        <v>342</v>
      </c>
      <c r="AE14" s="377"/>
    </row>
    <row r="15" spans="2:36" s="148" customFormat="1" ht="27" customHeight="1">
      <c r="B15" s="831"/>
      <c r="C15" s="832"/>
      <c r="D15" s="368">
        <v>9</v>
      </c>
      <c r="E15" s="451" t="s">
        <v>538</v>
      </c>
      <c r="F15" s="452">
        <f t="shared" si="1"/>
        <v>1504.6979999999999</v>
      </c>
      <c r="G15" s="372">
        <v>39.389999999999993</v>
      </c>
      <c r="H15" s="453">
        <v>38623.35</v>
      </c>
      <c r="I15" s="453">
        <v>38623.35</v>
      </c>
      <c r="J15" s="455">
        <f t="shared" si="2"/>
        <v>1</v>
      </c>
      <c r="K15" s="454">
        <v>38954.090000000004</v>
      </c>
      <c r="L15" s="455">
        <f t="shared" si="3"/>
        <v>1.0085632137036276</v>
      </c>
      <c r="M15" s="454">
        <v>330.74</v>
      </c>
      <c r="N15" s="455">
        <f t="shared" si="4"/>
        <v>8.5632137036274689E-3</v>
      </c>
      <c r="O15" s="456">
        <f t="shared" si="5"/>
        <v>39284.83</v>
      </c>
      <c r="P15" s="455">
        <f t="shared" si="6"/>
        <v>1.0171264274072551</v>
      </c>
      <c r="Q15" s="453">
        <v>38.200000000000003</v>
      </c>
      <c r="R15" s="455">
        <f t="shared" si="7"/>
        <v>9.8903901396435066E-4</v>
      </c>
      <c r="S15" s="456">
        <f t="shared" si="8"/>
        <v>661.4800000000032</v>
      </c>
      <c r="T15" s="455">
        <f t="shared" si="9"/>
        <v>1.7126427407255021E-2</v>
      </c>
      <c r="U15" s="371">
        <f t="shared" si="10"/>
        <v>26055.697200000122</v>
      </c>
      <c r="V15" s="373" t="s">
        <v>418</v>
      </c>
      <c r="W15" s="373" t="s">
        <v>216</v>
      </c>
      <c r="X15" s="390" t="s">
        <v>589</v>
      </c>
      <c r="Y15" s="374" t="s">
        <v>586</v>
      </c>
      <c r="Z15" s="374">
        <v>1</v>
      </c>
      <c r="AA15" s="457" t="s">
        <v>340</v>
      </c>
      <c r="AE15" s="377"/>
    </row>
    <row r="16" spans="2:36" s="148" customFormat="1" ht="27" customHeight="1">
      <c r="B16" s="831"/>
      <c r="C16" s="832"/>
      <c r="D16" s="368">
        <v>10</v>
      </c>
      <c r="E16" s="451" t="s">
        <v>336</v>
      </c>
      <c r="F16" s="452">
        <f t="shared" si="1"/>
        <v>1444.8140000000005</v>
      </c>
      <c r="G16" s="372">
        <v>147.43000000000004</v>
      </c>
      <c r="H16" s="453">
        <v>5035.0899999999992</v>
      </c>
      <c r="I16" s="453">
        <v>5035.0899999999992</v>
      </c>
      <c r="J16" s="455">
        <f t="shared" si="2"/>
        <v>1</v>
      </c>
      <c r="K16" s="454">
        <v>5146.2</v>
      </c>
      <c r="L16" s="455">
        <f t="shared" si="3"/>
        <v>1.0220671328615776</v>
      </c>
      <c r="M16" s="454">
        <v>111.11000000000001</v>
      </c>
      <c r="N16" s="455">
        <f t="shared" si="4"/>
        <v>2.2067132861577455E-2</v>
      </c>
      <c r="O16" s="456">
        <f t="shared" si="5"/>
        <v>5257.3099999999995</v>
      </c>
      <c r="P16" s="455">
        <f t="shared" si="6"/>
        <v>1.0441342657231549</v>
      </c>
      <c r="Q16" s="453">
        <v>9.8000000000000007</v>
      </c>
      <c r="R16" s="455">
        <f t="shared" si="7"/>
        <v>1.9463405817969496E-3</v>
      </c>
      <c r="S16" s="456">
        <f t="shared" si="8"/>
        <v>222.22000000000025</v>
      </c>
      <c r="T16" s="455">
        <f t="shared" si="9"/>
        <v>4.4134265723154958E-2</v>
      </c>
      <c r="U16" s="371">
        <f t="shared" si="10"/>
        <v>32761.894600000047</v>
      </c>
      <c r="V16" s="373" t="s">
        <v>418</v>
      </c>
      <c r="W16" s="373" t="s">
        <v>215</v>
      </c>
      <c r="X16" s="374" t="s">
        <v>625</v>
      </c>
      <c r="Y16" s="374" t="s">
        <v>586</v>
      </c>
      <c r="Z16" s="374">
        <v>1</v>
      </c>
      <c r="AA16" s="457" t="s">
        <v>340</v>
      </c>
      <c r="AE16" s="377"/>
    </row>
    <row r="17" spans="2:36" s="148" customFormat="1" ht="27" customHeight="1">
      <c r="B17" s="831"/>
      <c r="C17" s="832"/>
      <c r="D17" s="368">
        <v>11</v>
      </c>
      <c r="E17" s="451" t="s">
        <v>477</v>
      </c>
      <c r="F17" s="452">
        <f t="shared" si="1"/>
        <v>1278.9310999999998</v>
      </c>
      <c r="G17" s="372">
        <v>118.30999999999997</v>
      </c>
      <c r="H17" s="453">
        <v>825.54</v>
      </c>
      <c r="I17" s="453">
        <v>825.54</v>
      </c>
      <c r="J17" s="455">
        <f t="shared" si="2"/>
        <v>1</v>
      </c>
      <c r="K17" s="454">
        <v>847.87</v>
      </c>
      <c r="L17" s="455">
        <f t="shared" si="3"/>
        <v>1.0270489618916103</v>
      </c>
      <c r="M17" s="454">
        <v>17.03</v>
      </c>
      <c r="N17" s="455">
        <f t="shared" si="4"/>
        <v>2.0628921675509365E-2</v>
      </c>
      <c r="O17" s="456">
        <f t="shared" si="5"/>
        <v>864.9</v>
      </c>
      <c r="P17" s="455">
        <f t="shared" si="6"/>
        <v>1.0476778835671197</v>
      </c>
      <c r="Q17" s="453">
        <v>10.81</v>
      </c>
      <c r="R17" s="455">
        <f t="shared" si="7"/>
        <v>1.3094459384160671E-2</v>
      </c>
      <c r="S17" s="456">
        <f t="shared" si="8"/>
        <v>39.360000000000014</v>
      </c>
      <c r="T17" s="455">
        <f t="shared" si="9"/>
        <v>4.7677883567119723E-2</v>
      </c>
      <c r="U17" s="371">
        <f t="shared" si="10"/>
        <v>4656.6816000000008</v>
      </c>
      <c r="V17" s="373" t="s">
        <v>418</v>
      </c>
      <c r="W17" s="373" t="s">
        <v>447</v>
      </c>
      <c r="X17" s="374" t="s">
        <v>552</v>
      </c>
      <c r="Y17" s="374" t="s">
        <v>456</v>
      </c>
      <c r="Z17" s="374">
        <v>1</v>
      </c>
      <c r="AA17" s="457" t="s">
        <v>474</v>
      </c>
      <c r="AE17" s="377"/>
    </row>
    <row r="18" spans="2:36" s="148" customFormat="1" ht="27" customHeight="1">
      <c r="B18" s="831"/>
      <c r="C18" s="832"/>
      <c r="D18" s="368">
        <v>12</v>
      </c>
      <c r="E18" s="451" t="s">
        <v>600</v>
      </c>
      <c r="F18" s="452">
        <f t="shared" si="1"/>
        <v>1236.24</v>
      </c>
      <c r="G18" s="372">
        <v>24.240000000000002</v>
      </c>
      <c r="H18" s="453">
        <v>20191</v>
      </c>
      <c r="I18" s="453">
        <v>20191</v>
      </c>
      <c r="J18" s="455">
        <f t="shared" si="2"/>
        <v>1</v>
      </c>
      <c r="K18" s="454">
        <v>20242</v>
      </c>
      <c r="L18" s="455">
        <f t="shared" si="3"/>
        <v>1.0025258778663761</v>
      </c>
      <c r="M18" s="454">
        <v>0</v>
      </c>
      <c r="N18" s="455">
        <f t="shared" si="4"/>
        <v>0</v>
      </c>
      <c r="O18" s="456">
        <f t="shared" si="5"/>
        <v>20242</v>
      </c>
      <c r="P18" s="455">
        <f t="shared" si="6"/>
        <v>1.0025258778663761</v>
      </c>
      <c r="Q18" s="453">
        <v>51</v>
      </c>
      <c r="R18" s="455">
        <f t="shared" si="7"/>
        <v>2.5258778663761082E-3</v>
      </c>
      <c r="S18" s="456">
        <f t="shared" si="8"/>
        <v>51</v>
      </c>
      <c r="T18" s="455">
        <f t="shared" si="9"/>
        <v>2.5258778663761082E-3</v>
      </c>
      <c r="U18" s="371">
        <f t="shared" si="10"/>
        <v>1236.24</v>
      </c>
      <c r="V18" s="373" t="s">
        <v>418</v>
      </c>
      <c r="W18" s="373" t="s">
        <v>337</v>
      </c>
      <c r="X18" s="374" t="s">
        <v>607</v>
      </c>
      <c r="Y18" s="374" t="s">
        <v>608</v>
      </c>
      <c r="Z18" s="374">
        <v>1</v>
      </c>
      <c r="AA18" s="457" t="s">
        <v>598</v>
      </c>
    </row>
    <row r="19" spans="2:36" s="148" customFormat="1" ht="27" customHeight="1">
      <c r="B19" s="831"/>
      <c r="C19" s="832"/>
      <c r="D19" s="368">
        <v>13</v>
      </c>
      <c r="E19" s="451" t="s">
        <v>476</v>
      </c>
      <c r="F19" s="452">
        <f t="shared" si="1"/>
        <v>1224.0359999999998</v>
      </c>
      <c r="G19" s="372">
        <v>84.3</v>
      </c>
      <c r="H19" s="453">
        <v>1341.0100000000002</v>
      </c>
      <c r="I19" s="453">
        <v>1341.0100000000002</v>
      </c>
      <c r="J19" s="455">
        <f t="shared" si="2"/>
        <v>1</v>
      </c>
      <c r="K19" s="454">
        <v>1392</v>
      </c>
      <c r="L19" s="455">
        <f t="shared" si="3"/>
        <v>1.038023579242511</v>
      </c>
      <c r="M19" s="454">
        <v>46.290000000000006</v>
      </c>
      <c r="N19" s="455">
        <f t="shared" si="4"/>
        <v>3.4518758249379201E-2</v>
      </c>
      <c r="O19" s="456">
        <f t="shared" si="5"/>
        <v>1438.29</v>
      </c>
      <c r="P19" s="455">
        <f t="shared" si="6"/>
        <v>1.0725423374918903</v>
      </c>
      <c r="Q19" s="453">
        <v>14.52</v>
      </c>
      <c r="R19" s="455">
        <f t="shared" si="7"/>
        <v>1.0827659748995157E-2</v>
      </c>
      <c r="S19" s="456">
        <f t="shared" si="8"/>
        <v>97.279999999999745</v>
      </c>
      <c r="T19" s="455">
        <f t="shared" si="9"/>
        <v>7.2542337491890235E-2</v>
      </c>
      <c r="U19" s="371">
        <f t="shared" si="10"/>
        <v>8200.7039999999779</v>
      </c>
      <c r="V19" s="373" t="s">
        <v>418</v>
      </c>
      <c r="W19" s="373" t="s">
        <v>447</v>
      </c>
      <c r="X19" s="374" t="s">
        <v>481</v>
      </c>
      <c r="Y19" s="374" t="s">
        <v>609</v>
      </c>
      <c r="Z19" s="374">
        <v>1</v>
      </c>
      <c r="AA19" s="457" t="s">
        <v>475</v>
      </c>
    </row>
    <row r="20" spans="2:36" s="148" customFormat="1" ht="27" customHeight="1">
      <c r="B20" s="831"/>
      <c r="C20" s="832"/>
      <c r="D20" s="368">
        <v>14</v>
      </c>
      <c r="E20" s="451" t="s">
        <v>618</v>
      </c>
      <c r="F20" s="452">
        <f t="shared" si="1"/>
        <v>1189.8800000000001</v>
      </c>
      <c r="G20" s="372">
        <v>6.04</v>
      </c>
      <c r="H20" s="453">
        <v>9310</v>
      </c>
      <c r="I20" s="453">
        <v>9310</v>
      </c>
      <c r="J20" s="455">
        <f t="shared" si="2"/>
        <v>1</v>
      </c>
      <c r="K20" s="454">
        <v>9507</v>
      </c>
      <c r="L20" s="455">
        <f t="shared" si="3"/>
        <v>1.0211600429645542</v>
      </c>
      <c r="M20" s="454">
        <v>0</v>
      </c>
      <c r="N20" s="455">
        <f t="shared" si="4"/>
        <v>0</v>
      </c>
      <c r="O20" s="456">
        <f t="shared" si="5"/>
        <v>9507</v>
      </c>
      <c r="P20" s="455">
        <f t="shared" si="6"/>
        <v>1.0211600429645542</v>
      </c>
      <c r="Q20" s="453">
        <v>197</v>
      </c>
      <c r="R20" s="455">
        <f t="shared" si="7"/>
        <v>2.1160042964554242E-2</v>
      </c>
      <c r="S20" s="456">
        <f t="shared" si="8"/>
        <v>197</v>
      </c>
      <c r="T20" s="455">
        <f t="shared" si="9"/>
        <v>2.1160042964554242E-2</v>
      </c>
      <c r="U20" s="371">
        <f t="shared" si="10"/>
        <v>1189.8800000000001</v>
      </c>
      <c r="V20" s="373" t="s">
        <v>418</v>
      </c>
      <c r="W20" s="373" t="s">
        <v>337</v>
      </c>
      <c r="X20" s="373" t="s">
        <v>627</v>
      </c>
      <c r="Y20" s="374" t="s">
        <v>628</v>
      </c>
      <c r="Z20" s="374">
        <v>1</v>
      </c>
      <c r="AA20" s="457" t="s">
        <v>510</v>
      </c>
    </row>
    <row r="21" spans="2:36" s="148" customFormat="1" ht="27" customHeight="1">
      <c r="B21" s="831"/>
      <c r="C21" s="832"/>
      <c r="D21" s="368">
        <v>15</v>
      </c>
      <c r="E21" s="451" t="s">
        <v>478</v>
      </c>
      <c r="F21" s="452">
        <f t="shared" si="1"/>
        <v>1061.9531999999999</v>
      </c>
      <c r="G21" s="372">
        <v>421.40999999999997</v>
      </c>
      <c r="H21" s="453">
        <v>214.66</v>
      </c>
      <c r="I21" s="453">
        <v>214.66</v>
      </c>
      <c r="J21" s="455">
        <f t="shared" si="2"/>
        <v>1</v>
      </c>
      <c r="K21" s="454">
        <v>221.85999999999996</v>
      </c>
      <c r="L21" s="455">
        <f t="shared" si="3"/>
        <v>1.0335414143296373</v>
      </c>
      <c r="M21" s="454">
        <v>6.12</v>
      </c>
      <c r="N21" s="455">
        <f t="shared" si="4"/>
        <v>2.8510202180191933E-2</v>
      </c>
      <c r="O21" s="456">
        <f t="shared" si="5"/>
        <v>227.97999999999996</v>
      </c>
      <c r="P21" s="455">
        <f t="shared" si="6"/>
        <v>1.0620516165098293</v>
      </c>
      <c r="Q21" s="453">
        <v>2.52</v>
      </c>
      <c r="R21" s="455">
        <f t="shared" si="7"/>
        <v>1.1739495015373148E-2</v>
      </c>
      <c r="S21" s="456">
        <f t="shared" si="8"/>
        <v>13.319999999999965</v>
      </c>
      <c r="T21" s="455">
        <f t="shared" si="9"/>
        <v>6.2051616509829335E-2</v>
      </c>
      <c r="U21" s="371">
        <f t="shared" si="10"/>
        <v>5613.1811999999845</v>
      </c>
      <c r="V21" s="373" t="s">
        <v>418</v>
      </c>
      <c r="W21" s="373" t="s">
        <v>447</v>
      </c>
      <c r="X21" s="374" t="s">
        <v>650</v>
      </c>
      <c r="Y21" s="374" t="s">
        <v>586</v>
      </c>
      <c r="Z21" s="374">
        <v>1</v>
      </c>
      <c r="AA21" s="457" t="s">
        <v>442</v>
      </c>
    </row>
    <row r="22" spans="2:36" s="148" customFormat="1" ht="27" customHeight="1">
      <c r="B22" s="831"/>
      <c r="C22" s="832"/>
      <c r="D22" s="368">
        <v>16</v>
      </c>
      <c r="E22" s="451" t="s">
        <v>485</v>
      </c>
      <c r="F22" s="452">
        <f t="shared" si="1"/>
        <v>1055.9534999999996</v>
      </c>
      <c r="G22" s="372">
        <v>370.50999999999993</v>
      </c>
      <c r="H22" s="453">
        <v>397.08000000000004</v>
      </c>
      <c r="I22" s="453">
        <v>397.08000000000004</v>
      </c>
      <c r="J22" s="455">
        <f t="shared" si="2"/>
        <v>1</v>
      </c>
      <c r="K22" s="454">
        <v>408.84000000000003</v>
      </c>
      <c r="L22" s="455">
        <f t="shared" si="3"/>
        <v>1.0296161982472045</v>
      </c>
      <c r="M22" s="454">
        <v>11.759999999999998</v>
      </c>
      <c r="N22" s="455">
        <f t="shared" si="4"/>
        <v>2.9616198247204586E-2</v>
      </c>
      <c r="O22" s="456">
        <f t="shared" si="5"/>
        <v>420.6</v>
      </c>
      <c r="P22" s="455">
        <f t="shared" si="6"/>
        <v>1.059232396494409</v>
      </c>
      <c r="Q22" s="453">
        <v>2.8499999999999996</v>
      </c>
      <c r="R22" s="455">
        <f t="shared" si="7"/>
        <v>7.1773949833786625E-3</v>
      </c>
      <c r="S22" s="456">
        <f t="shared" si="8"/>
        <v>23.519999999999982</v>
      </c>
      <c r="T22" s="455">
        <f t="shared" si="9"/>
        <v>5.9232396494409138E-2</v>
      </c>
      <c r="U22" s="371">
        <f t="shared" si="10"/>
        <v>8714.3951999999917</v>
      </c>
      <c r="V22" s="373" t="s">
        <v>418</v>
      </c>
      <c r="W22" s="373" t="s">
        <v>447</v>
      </c>
      <c r="X22" s="374" t="s">
        <v>651</v>
      </c>
      <c r="Y22" s="374" t="s">
        <v>586</v>
      </c>
      <c r="Z22" s="374">
        <v>1</v>
      </c>
      <c r="AA22" s="457" t="s">
        <v>354</v>
      </c>
    </row>
    <row r="23" spans="2:36" s="148" customFormat="1" ht="27" customHeight="1">
      <c r="B23" s="831"/>
      <c r="C23" s="832"/>
      <c r="D23" s="368">
        <v>17</v>
      </c>
      <c r="E23" s="451" t="s">
        <v>619</v>
      </c>
      <c r="F23" s="452">
        <f t="shared" si="1"/>
        <v>1044.9264000000001</v>
      </c>
      <c r="G23" s="372">
        <v>153.44000000000003</v>
      </c>
      <c r="H23" s="453">
        <v>2546.5</v>
      </c>
      <c r="I23" s="453">
        <v>2546.5</v>
      </c>
      <c r="J23" s="455">
        <f t="shared" si="2"/>
        <v>1</v>
      </c>
      <c r="K23" s="454">
        <v>2580.71</v>
      </c>
      <c r="L23" s="455">
        <f t="shared" si="3"/>
        <v>1.0134341252699783</v>
      </c>
      <c r="M23" s="454">
        <v>34.21</v>
      </c>
      <c r="N23" s="455">
        <f t="shared" si="4"/>
        <v>1.3434125269978402E-2</v>
      </c>
      <c r="O23" s="456">
        <f t="shared" si="5"/>
        <v>2614.92</v>
      </c>
      <c r="P23" s="455">
        <f t="shared" si="6"/>
        <v>1.0268682505399569</v>
      </c>
      <c r="Q23" s="453">
        <v>6.81</v>
      </c>
      <c r="R23" s="455">
        <f t="shared" si="7"/>
        <v>2.6742587865698016E-3</v>
      </c>
      <c r="S23" s="456">
        <f t="shared" si="8"/>
        <v>68.420000000000073</v>
      </c>
      <c r="T23" s="455">
        <f t="shared" si="9"/>
        <v>2.6868250539956832E-2</v>
      </c>
      <c r="U23" s="371">
        <f t="shared" si="10"/>
        <v>10498.364800000012</v>
      </c>
      <c r="V23" s="373" t="s">
        <v>418</v>
      </c>
      <c r="W23" s="373" t="s">
        <v>447</v>
      </c>
      <c r="X23" s="374" t="s">
        <v>529</v>
      </c>
      <c r="Y23" s="374" t="s">
        <v>457</v>
      </c>
      <c r="Z23" s="374">
        <v>1</v>
      </c>
      <c r="AA23" s="457" t="s">
        <v>467</v>
      </c>
    </row>
    <row r="24" spans="2:36" s="148" customFormat="1" ht="27" customHeight="1">
      <c r="B24" s="831"/>
      <c r="C24" s="832"/>
      <c r="D24" s="368">
        <v>18</v>
      </c>
      <c r="E24" s="451" t="s">
        <v>440</v>
      </c>
      <c r="F24" s="452">
        <f t="shared" si="1"/>
        <v>1040.6252999999999</v>
      </c>
      <c r="G24" s="372">
        <v>181.60999999999999</v>
      </c>
      <c r="H24" s="453">
        <v>464.32</v>
      </c>
      <c r="I24" s="453">
        <v>464.32</v>
      </c>
      <c r="J24" s="455">
        <f t="shared" si="2"/>
        <v>1</v>
      </c>
      <c r="K24" s="454">
        <v>484.01</v>
      </c>
      <c r="L24" s="455">
        <f t="shared" si="3"/>
        <v>1.0424060992419022</v>
      </c>
      <c r="M24" s="454">
        <v>19.690000000000001</v>
      </c>
      <c r="N24" s="455">
        <f t="shared" si="4"/>
        <v>4.240609924190214E-2</v>
      </c>
      <c r="O24" s="456">
        <f t="shared" si="5"/>
        <v>503.7</v>
      </c>
      <c r="P24" s="455">
        <f t="shared" si="6"/>
        <v>1.0848121984838042</v>
      </c>
      <c r="Q24" s="453">
        <v>5.73</v>
      </c>
      <c r="R24" s="455">
        <f t="shared" si="7"/>
        <v>1.2340627153687113E-2</v>
      </c>
      <c r="S24" s="456">
        <f t="shared" si="8"/>
        <v>39.379999999999995</v>
      </c>
      <c r="T24" s="455">
        <f t="shared" si="9"/>
        <v>8.4812198483804266E-2</v>
      </c>
      <c r="U24" s="371">
        <f t="shared" si="10"/>
        <v>7151.8017999999984</v>
      </c>
      <c r="V24" s="373" t="s">
        <v>418</v>
      </c>
      <c r="W24" s="373" t="s">
        <v>447</v>
      </c>
      <c r="X24" s="374" t="s">
        <v>552</v>
      </c>
      <c r="Y24" s="374" t="s">
        <v>456</v>
      </c>
      <c r="Z24" s="374">
        <v>1</v>
      </c>
      <c r="AA24" s="457" t="s">
        <v>439</v>
      </c>
    </row>
    <row r="25" spans="2:36" s="148" customFormat="1" ht="27" customHeight="1">
      <c r="B25" s="831"/>
      <c r="C25" s="832"/>
      <c r="D25" s="368">
        <v>19</v>
      </c>
      <c r="E25" s="451" t="s">
        <v>620</v>
      </c>
      <c r="F25" s="452">
        <f t="shared" si="1"/>
        <v>1030.7355</v>
      </c>
      <c r="G25" s="372">
        <v>413.94999999999993</v>
      </c>
      <c r="H25" s="453">
        <v>545.73</v>
      </c>
      <c r="I25" s="453">
        <v>545.73</v>
      </c>
      <c r="J25" s="455">
        <f t="shared" si="2"/>
        <v>1</v>
      </c>
      <c r="K25" s="454">
        <v>558.84</v>
      </c>
      <c r="L25" s="455">
        <f t="shared" si="3"/>
        <v>1.0240228684514321</v>
      </c>
      <c r="M25" s="454">
        <v>12.41</v>
      </c>
      <c r="N25" s="455">
        <f t="shared" si="4"/>
        <v>2.2740182874315135E-2</v>
      </c>
      <c r="O25" s="456">
        <f t="shared" si="5"/>
        <v>571.25</v>
      </c>
      <c r="P25" s="455">
        <f t="shared" si="6"/>
        <v>1.0467630513257471</v>
      </c>
      <c r="Q25" s="453">
        <v>2.4900000000000002</v>
      </c>
      <c r="R25" s="455">
        <f t="shared" si="7"/>
        <v>4.5626958386015062E-3</v>
      </c>
      <c r="S25" s="456">
        <f t="shared" si="8"/>
        <v>25.519999999999982</v>
      </c>
      <c r="T25" s="455">
        <f t="shared" si="9"/>
        <v>4.6763051325747131E-2</v>
      </c>
      <c r="U25" s="371">
        <f t="shared" si="10"/>
        <v>10564.00399999999</v>
      </c>
      <c r="V25" s="373" t="s">
        <v>418</v>
      </c>
      <c r="W25" s="373" t="s">
        <v>447</v>
      </c>
      <c r="X25" s="374" t="s">
        <v>529</v>
      </c>
      <c r="Y25" s="374" t="s">
        <v>457</v>
      </c>
      <c r="Z25" s="374">
        <v>1</v>
      </c>
      <c r="AA25" s="457" t="s">
        <v>617</v>
      </c>
      <c r="AD25" s="378"/>
      <c r="AE25" s="377"/>
    </row>
    <row r="26" spans="2:36" s="148" customFormat="1" ht="27" customHeight="1">
      <c r="B26" s="833"/>
      <c r="C26" s="834"/>
      <c r="D26" s="368">
        <v>20</v>
      </c>
      <c r="E26" s="451" t="s">
        <v>646</v>
      </c>
      <c r="F26" s="452">
        <f t="shared" si="1"/>
        <v>1027.52</v>
      </c>
      <c r="G26" s="372">
        <v>2.08</v>
      </c>
      <c r="H26" s="453">
        <v>47604</v>
      </c>
      <c r="I26" s="453">
        <v>47604</v>
      </c>
      <c r="J26" s="455">
        <f t="shared" si="2"/>
        <v>1</v>
      </c>
      <c r="K26" s="454">
        <v>48098</v>
      </c>
      <c r="L26" s="455">
        <f t="shared" si="3"/>
        <v>1.0103772792202337</v>
      </c>
      <c r="M26" s="454">
        <v>0</v>
      </c>
      <c r="N26" s="455">
        <f t="shared" si="4"/>
        <v>0</v>
      </c>
      <c r="O26" s="456">
        <f t="shared" si="5"/>
        <v>48098</v>
      </c>
      <c r="P26" s="455">
        <f t="shared" si="6"/>
        <v>1.0103772792202337</v>
      </c>
      <c r="Q26" s="453">
        <v>494</v>
      </c>
      <c r="R26" s="455">
        <f t="shared" si="7"/>
        <v>1.0377279220233593E-2</v>
      </c>
      <c r="S26" s="456">
        <f t="shared" si="8"/>
        <v>494</v>
      </c>
      <c r="T26" s="455">
        <f t="shared" si="9"/>
        <v>1.0377279220233593E-2</v>
      </c>
      <c r="U26" s="371">
        <f t="shared" si="10"/>
        <v>1027.52</v>
      </c>
      <c r="V26" s="373" t="s">
        <v>418</v>
      </c>
      <c r="W26" s="373" t="s">
        <v>447</v>
      </c>
      <c r="X26" s="374" t="s">
        <v>652</v>
      </c>
      <c r="Y26" s="374" t="s">
        <v>628</v>
      </c>
      <c r="Z26" s="374">
        <v>1</v>
      </c>
      <c r="AA26" s="457" t="s">
        <v>533</v>
      </c>
      <c r="AD26" s="378"/>
      <c r="AE26" s="377"/>
    </row>
    <row r="27" spans="2:36" ht="17.149999999999999" customHeight="1">
      <c r="B27" s="846" t="s">
        <v>444</v>
      </c>
      <c r="C27" s="847"/>
      <c r="D27" s="857" t="s">
        <v>555</v>
      </c>
      <c r="E27" s="884" t="s">
        <v>556</v>
      </c>
      <c r="F27" s="876" t="s">
        <v>557</v>
      </c>
      <c r="G27" s="860" t="s">
        <v>558</v>
      </c>
      <c r="H27" s="885" t="s">
        <v>559</v>
      </c>
      <c r="I27" s="858" t="s">
        <v>560</v>
      </c>
      <c r="J27" s="859"/>
      <c r="K27" s="858" t="s">
        <v>561</v>
      </c>
      <c r="L27" s="859"/>
      <c r="M27" s="858" t="s">
        <v>562</v>
      </c>
      <c r="N27" s="859"/>
      <c r="O27" s="858" t="s">
        <v>563</v>
      </c>
      <c r="P27" s="859"/>
      <c r="Q27" s="858" t="s">
        <v>419</v>
      </c>
      <c r="R27" s="859"/>
      <c r="S27" s="862" t="s">
        <v>420</v>
      </c>
      <c r="T27" s="863"/>
      <c r="U27" s="864"/>
      <c r="V27" s="854" t="s">
        <v>171</v>
      </c>
      <c r="W27" s="854" t="s">
        <v>245</v>
      </c>
      <c r="X27" s="854" t="s">
        <v>564</v>
      </c>
      <c r="Y27" s="854" t="s">
        <v>446</v>
      </c>
      <c r="Z27" s="854" t="s">
        <v>246</v>
      </c>
      <c r="AA27" s="860" t="s">
        <v>172</v>
      </c>
      <c r="AC27" s="865" t="s">
        <v>247</v>
      </c>
      <c r="AD27" s="866"/>
      <c r="AE27" s="866"/>
      <c r="AF27" s="866"/>
      <c r="AG27" s="866"/>
      <c r="AH27" s="866"/>
      <c r="AI27" s="866"/>
      <c r="AJ27" s="867"/>
    </row>
    <row r="28" spans="2:36">
      <c r="B28" s="848"/>
      <c r="C28" s="849"/>
      <c r="D28" s="857"/>
      <c r="E28" s="857"/>
      <c r="F28" s="876"/>
      <c r="G28" s="861"/>
      <c r="H28" s="861"/>
      <c r="I28" s="450" t="s">
        <v>565</v>
      </c>
      <c r="J28" s="369" t="s">
        <v>566</v>
      </c>
      <c r="K28" s="450" t="s">
        <v>565</v>
      </c>
      <c r="L28" s="369" t="s">
        <v>566</v>
      </c>
      <c r="M28" s="450" t="s">
        <v>565</v>
      </c>
      <c r="N28" s="369" t="s">
        <v>566</v>
      </c>
      <c r="O28" s="450" t="s">
        <v>565</v>
      </c>
      <c r="P28" s="369" t="s">
        <v>566</v>
      </c>
      <c r="Q28" s="450" t="s">
        <v>565</v>
      </c>
      <c r="R28" s="369" t="s">
        <v>566</v>
      </c>
      <c r="S28" s="450" t="s">
        <v>565</v>
      </c>
      <c r="T28" s="369" t="s">
        <v>566</v>
      </c>
      <c r="U28" s="369" t="s">
        <v>567</v>
      </c>
      <c r="V28" s="856"/>
      <c r="W28" s="856"/>
      <c r="X28" s="856"/>
      <c r="Y28" s="856"/>
      <c r="Z28" s="856"/>
      <c r="AA28" s="861"/>
      <c r="AC28" s="868"/>
      <c r="AD28" s="869"/>
      <c r="AE28" s="869"/>
      <c r="AF28" s="869"/>
      <c r="AG28" s="869"/>
      <c r="AH28" s="869"/>
      <c r="AI28" s="869"/>
      <c r="AJ28" s="870"/>
    </row>
    <row r="29" spans="2:36" s="148" customFormat="1" ht="27" customHeight="1">
      <c r="B29" s="829" t="s">
        <v>665</v>
      </c>
      <c r="C29" s="830"/>
      <c r="D29" s="368">
        <v>1</v>
      </c>
      <c r="E29" s="451" t="s">
        <v>335</v>
      </c>
      <c r="F29" s="452">
        <f>IFERROR(Q29*G29,"-")</f>
        <v>3275.4</v>
      </c>
      <c r="G29" s="372">
        <v>15.450000000000001</v>
      </c>
      <c r="H29" s="453">
        <v>78076</v>
      </c>
      <c r="I29" s="453">
        <v>78076</v>
      </c>
      <c r="J29" s="455">
        <f>IFERROR(I29/H29,"-")</f>
        <v>1</v>
      </c>
      <c r="K29" s="454">
        <v>78289</v>
      </c>
      <c r="L29" s="455">
        <f>IFERROR(K29/H29,"-")</f>
        <v>1.0027281110712638</v>
      </c>
      <c r="M29" s="454">
        <v>0</v>
      </c>
      <c r="N29" s="455">
        <f>IFERROR(M29/H29,"-")</f>
        <v>0</v>
      </c>
      <c r="O29" s="456">
        <f>IFERROR(K29+M29,"-")</f>
        <v>78289</v>
      </c>
      <c r="P29" s="455">
        <f>IFERROR(O29/H29,"-")</f>
        <v>1.0027281110712638</v>
      </c>
      <c r="Q29" s="453">
        <v>212</v>
      </c>
      <c r="R29" s="455">
        <f>IFERROR(Q29/H29,"-")</f>
        <v>2.7153030380654745E-3</v>
      </c>
      <c r="S29" s="456">
        <f>IFERROR(O29-H29,"-")</f>
        <v>213</v>
      </c>
      <c r="T29" s="455">
        <f>IFERROR(S29/H29,"-")</f>
        <v>2.7281110712638968E-3</v>
      </c>
      <c r="U29" s="371">
        <f>IFERROR(S29*G29,"-")</f>
        <v>3290.8500000000004</v>
      </c>
      <c r="V29" s="373" t="s">
        <v>418</v>
      </c>
      <c r="W29" s="373" t="s">
        <v>216</v>
      </c>
      <c r="X29" s="374"/>
      <c r="Y29" s="374"/>
      <c r="Z29" s="374">
        <v>1</v>
      </c>
      <c r="AA29" s="457" t="s">
        <v>525</v>
      </c>
      <c r="AC29" s="871"/>
      <c r="AD29" s="872"/>
      <c r="AE29" s="872"/>
      <c r="AF29" s="872"/>
      <c r="AG29" s="872"/>
      <c r="AH29" s="872"/>
      <c r="AI29" s="872"/>
      <c r="AJ29" s="873"/>
    </row>
    <row r="30" spans="2:36" s="148" customFormat="1" ht="27" customHeight="1">
      <c r="B30" s="831"/>
      <c r="C30" s="832"/>
      <c r="D30" s="368">
        <v>2</v>
      </c>
      <c r="E30" s="451" t="s">
        <v>450</v>
      </c>
      <c r="F30" s="452">
        <f t="shared" ref="F30:F48" si="12">IFERROR(Q30*G30,"-")</f>
        <v>3268.2999999999997</v>
      </c>
      <c r="G30" s="372">
        <v>2.4499999999999997</v>
      </c>
      <c r="H30" s="453">
        <v>150466</v>
      </c>
      <c r="I30" s="453">
        <v>150466</v>
      </c>
      <c r="J30" s="455">
        <f t="shared" ref="J30:J48" si="13">IFERROR(I30/H30,"-")</f>
        <v>1</v>
      </c>
      <c r="K30" s="454">
        <v>151800</v>
      </c>
      <c r="L30" s="455">
        <f t="shared" ref="L30:L48" si="14">IFERROR(K30/H30,"-")</f>
        <v>1.0088657902782023</v>
      </c>
      <c r="M30" s="454">
        <v>0</v>
      </c>
      <c r="N30" s="455">
        <f t="shared" ref="N30:N48" si="15">IFERROR(M30/H30,"-")</f>
        <v>0</v>
      </c>
      <c r="O30" s="456">
        <f t="shared" ref="O30:O48" si="16">IFERROR(K30+M30,"-")</f>
        <v>151800</v>
      </c>
      <c r="P30" s="455">
        <f t="shared" ref="P30:P48" si="17">IFERROR(O30/H30,"-")</f>
        <v>1.0088657902782023</v>
      </c>
      <c r="Q30" s="453">
        <v>1334</v>
      </c>
      <c r="R30" s="455">
        <f t="shared" ref="R30:R48" si="18">IFERROR(Q30/H30,"-")</f>
        <v>8.8657902782023849E-3</v>
      </c>
      <c r="S30" s="456">
        <f t="shared" ref="S30:S48" si="19">IFERROR(O30-H30,"-")</f>
        <v>1334</v>
      </c>
      <c r="T30" s="455">
        <f t="shared" ref="T30:T48" si="20">IFERROR(S30/H30,"-")</f>
        <v>8.8657902782023849E-3</v>
      </c>
      <c r="U30" s="371">
        <f t="shared" ref="U30:U48" si="21">IFERROR(S30*G30,"-")</f>
        <v>3268.2999999999997</v>
      </c>
      <c r="V30" s="373" t="s">
        <v>418</v>
      </c>
      <c r="W30" s="373" t="s">
        <v>337</v>
      </c>
      <c r="X30" s="374"/>
      <c r="Y30" s="374"/>
      <c r="Z30" s="374">
        <v>1</v>
      </c>
      <c r="AA30" s="457" t="s">
        <v>340</v>
      </c>
      <c r="AC30" s="161" t="s">
        <v>244</v>
      </c>
      <c r="AD30" s="161" t="s">
        <v>447</v>
      </c>
      <c r="AE30" s="156" t="s">
        <v>568</v>
      </c>
      <c r="AF30" s="156" t="s">
        <v>337</v>
      </c>
      <c r="AG30" s="156" t="s">
        <v>430</v>
      </c>
      <c r="AH30" s="156" t="s">
        <v>215</v>
      </c>
      <c r="AI30" s="156" t="s">
        <v>216</v>
      </c>
      <c r="AJ30" s="156" t="s">
        <v>385</v>
      </c>
    </row>
    <row r="31" spans="2:36" s="148" customFormat="1" ht="27" customHeight="1">
      <c r="B31" s="831"/>
      <c r="C31" s="832"/>
      <c r="D31" s="368">
        <v>3</v>
      </c>
      <c r="E31" s="451" t="s">
        <v>449</v>
      </c>
      <c r="F31" s="452">
        <f t="shared" si="12"/>
        <v>2833.74</v>
      </c>
      <c r="G31" s="372">
        <v>1.17</v>
      </c>
      <c r="H31" s="453">
        <v>285494</v>
      </c>
      <c r="I31" s="453">
        <v>285494</v>
      </c>
      <c r="J31" s="455">
        <f t="shared" si="13"/>
        <v>1</v>
      </c>
      <c r="K31" s="454">
        <v>287916</v>
      </c>
      <c r="L31" s="455">
        <f t="shared" si="14"/>
        <v>1.0084835408099644</v>
      </c>
      <c r="M31" s="454">
        <v>0</v>
      </c>
      <c r="N31" s="455">
        <f t="shared" si="15"/>
        <v>0</v>
      </c>
      <c r="O31" s="456">
        <f t="shared" si="16"/>
        <v>287916</v>
      </c>
      <c r="P31" s="455">
        <f t="shared" si="17"/>
        <v>1.0084835408099644</v>
      </c>
      <c r="Q31" s="453">
        <v>2422</v>
      </c>
      <c r="R31" s="455">
        <f t="shared" si="18"/>
        <v>8.4835408099644821E-3</v>
      </c>
      <c r="S31" s="456">
        <f t="shared" si="19"/>
        <v>2422</v>
      </c>
      <c r="T31" s="455">
        <f t="shared" si="20"/>
        <v>8.4835408099644821E-3</v>
      </c>
      <c r="U31" s="371">
        <f t="shared" si="21"/>
        <v>2833.74</v>
      </c>
      <c r="V31" s="373" t="s">
        <v>418</v>
      </c>
      <c r="W31" s="373" t="s">
        <v>337</v>
      </c>
      <c r="X31" s="374"/>
      <c r="Y31" s="374"/>
      <c r="Z31" s="374">
        <v>1</v>
      </c>
      <c r="AA31" s="457" t="s">
        <v>340</v>
      </c>
      <c r="AC31" s="381">
        <f>SUM(Z29:Z48)</f>
        <v>20</v>
      </c>
      <c r="AD31" s="376">
        <f>SUMIF($W$29:$W$48,TRIM(AD30),$Z$29:$Z$48)</f>
        <v>5</v>
      </c>
      <c r="AE31" s="376">
        <f t="shared" ref="AE31:AJ31" si="22">SUMIF($W$29:$W$48,TRIM(AE30),$Z$29:$Z$48)</f>
        <v>0</v>
      </c>
      <c r="AF31" s="376">
        <f t="shared" si="22"/>
        <v>9</v>
      </c>
      <c r="AG31" s="376">
        <f t="shared" si="22"/>
        <v>0</v>
      </c>
      <c r="AH31" s="376">
        <f t="shared" si="22"/>
        <v>1</v>
      </c>
      <c r="AI31" s="376">
        <f t="shared" si="22"/>
        <v>5</v>
      </c>
      <c r="AJ31" s="376">
        <f t="shared" si="22"/>
        <v>0</v>
      </c>
    </row>
    <row r="32" spans="2:36" s="148" customFormat="1" ht="27" customHeight="1">
      <c r="B32" s="831"/>
      <c r="C32" s="832"/>
      <c r="D32" s="368">
        <v>4</v>
      </c>
      <c r="E32" s="451" t="s">
        <v>387</v>
      </c>
      <c r="F32" s="452">
        <f t="shared" si="12"/>
        <v>1752.6864000000003</v>
      </c>
      <c r="G32" s="372">
        <v>127.84000000000002</v>
      </c>
      <c r="H32" s="453">
        <v>4280.3500000000004</v>
      </c>
      <c r="I32" s="453">
        <v>4280.3500000000004</v>
      </c>
      <c r="J32" s="455">
        <f t="shared" si="13"/>
        <v>1</v>
      </c>
      <c r="K32" s="454">
        <v>4319.95</v>
      </c>
      <c r="L32" s="455">
        <f t="shared" si="14"/>
        <v>1.0092515798941675</v>
      </c>
      <c r="M32" s="454">
        <v>39.599999999999994</v>
      </c>
      <c r="N32" s="455">
        <f t="shared" si="15"/>
        <v>9.251579894167531E-3</v>
      </c>
      <c r="O32" s="456">
        <f t="shared" si="16"/>
        <v>4359.55</v>
      </c>
      <c r="P32" s="455">
        <f t="shared" si="17"/>
        <v>1.0185031597883349</v>
      </c>
      <c r="Q32" s="453">
        <v>13.71</v>
      </c>
      <c r="R32" s="455">
        <f t="shared" si="18"/>
        <v>3.2030090997231535E-3</v>
      </c>
      <c r="S32" s="456">
        <f t="shared" si="19"/>
        <v>79.199999999999818</v>
      </c>
      <c r="T32" s="455">
        <f t="shared" si="20"/>
        <v>1.850315978833502E-2</v>
      </c>
      <c r="U32" s="371">
        <f t="shared" si="21"/>
        <v>10124.927999999978</v>
      </c>
      <c r="V32" s="373" t="s">
        <v>418</v>
      </c>
      <c r="W32" s="373" t="s">
        <v>447</v>
      </c>
      <c r="X32" s="374"/>
      <c r="Y32" s="374"/>
      <c r="Z32" s="374">
        <v>1</v>
      </c>
      <c r="AA32" s="457" t="s">
        <v>340</v>
      </c>
      <c r="AC32" s="382" t="s">
        <v>11</v>
      </c>
      <c r="AD32" s="379">
        <f>SUMIF($W$29:$W48,TRIM(AD30),$F$29:$F$48)</f>
        <v>7264.2619999999997</v>
      </c>
      <c r="AE32" s="379">
        <f>SUMIF($W$29:$W48,TRIM(AE30),$F$29:$F$48)</f>
        <v>0</v>
      </c>
      <c r="AF32" s="379">
        <f>SUMIF($W$29:$W48,TRIM(AF30),$F$29:$F$48)</f>
        <v>15182.581999999999</v>
      </c>
      <c r="AG32" s="379">
        <f>SUMIF($W$29:$W48,TRIM(AG30),$F$29:$F$48)</f>
        <v>0</v>
      </c>
      <c r="AH32" s="379">
        <f>SUMIF($W$29:$W48,TRIM(AH30),$F$29:$F$48)</f>
        <v>1506.7346000000005</v>
      </c>
      <c r="AI32" s="379">
        <f>SUMIF($W$29:$W48,TRIM(AI30),$F$29:$F$48)</f>
        <v>8656.4228999999996</v>
      </c>
      <c r="AJ32" s="379">
        <f>SUMIF($W$29:$W48,TRIM(AJ30),$F$29:$F$48)</f>
        <v>0</v>
      </c>
    </row>
    <row r="33" spans="2:36" s="148" customFormat="1" ht="27" customHeight="1">
      <c r="B33" s="831"/>
      <c r="C33" s="832"/>
      <c r="D33" s="368">
        <v>5</v>
      </c>
      <c r="E33" s="451" t="s">
        <v>461</v>
      </c>
      <c r="F33" s="452">
        <f t="shared" si="12"/>
        <v>1647.7215999999994</v>
      </c>
      <c r="G33" s="372">
        <v>605.77999999999986</v>
      </c>
      <c r="H33" s="453">
        <v>1043.78</v>
      </c>
      <c r="I33" s="453">
        <v>1043.78</v>
      </c>
      <c r="J33" s="455">
        <f t="shared" si="13"/>
        <v>1</v>
      </c>
      <c r="K33" s="454">
        <v>1051.8799999999999</v>
      </c>
      <c r="L33" s="455">
        <f t="shared" si="14"/>
        <v>1.007760255992642</v>
      </c>
      <c r="M33" s="454">
        <v>7.0000000000000009</v>
      </c>
      <c r="N33" s="455">
        <f t="shared" si="15"/>
        <v>6.7063940677154201E-3</v>
      </c>
      <c r="O33" s="456">
        <f t="shared" si="16"/>
        <v>1058.8799999999999</v>
      </c>
      <c r="P33" s="455">
        <f t="shared" si="17"/>
        <v>1.0144666500603574</v>
      </c>
      <c r="Q33" s="453">
        <v>2.7199999999999998</v>
      </c>
      <c r="R33" s="455">
        <f t="shared" si="18"/>
        <v>2.6059131234551342E-3</v>
      </c>
      <c r="S33" s="456">
        <f t="shared" si="19"/>
        <v>15.099999999999909</v>
      </c>
      <c r="T33" s="455">
        <f t="shared" si="20"/>
        <v>1.446665006035746E-2</v>
      </c>
      <c r="U33" s="371">
        <f t="shared" si="21"/>
        <v>9147.277999999942</v>
      </c>
      <c r="V33" s="373" t="s">
        <v>418</v>
      </c>
      <c r="W33" s="373" t="s">
        <v>337</v>
      </c>
      <c r="X33" s="374"/>
      <c r="Y33" s="390"/>
      <c r="Z33" s="374">
        <v>1</v>
      </c>
      <c r="AA33" s="457" t="s">
        <v>342</v>
      </c>
      <c r="AC33" s="368" t="s">
        <v>569</v>
      </c>
      <c r="AD33" s="458">
        <f t="shared" ref="AD33:AJ33" si="23">AD31/$AC31</f>
        <v>0.25</v>
      </c>
      <c r="AE33" s="458">
        <f t="shared" si="23"/>
        <v>0</v>
      </c>
      <c r="AF33" s="458">
        <f t="shared" si="23"/>
        <v>0.45</v>
      </c>
      <c r="AG33" s="458">
        <f t="shared" si="23"/>
        <v>0</v>
      </c>
      <c r="AH33" s="458">
        <f t="shared" si="23"/>
        <v>0.05</v>
      </c>
      <c r="AI33" s="458">
        <f t="shared" si="23"/>
        <v>0.25</v>
      </c>
      <c r="AJ33" s="458">
        <f t="shared" si="23"/>
        <v>0</v>
      </c>
    </row>
    <row r="34" spans="2:36" s="148" customFormat="1" ht="27" customHeight="1">
      <c r="B34" s="831"/>
      <c r="C34" s="832"/>
      <c r="D34" s="368">
        <v>6</v>
      </c>
      <c r="E34" s="451" t="s">
        <v>688</v>
      </c>
      <c r="F34" s="452">
        <f t="shared" si="12"/>
        <v>1585.211</v>
      </c>
      <c r="G34" s="372">
        <v>212.78</v>
      </c>
      <c r="H34" s="453">
        <v>908.13</v>
      </c>
      <c r="I34" s="453">
        <v>908.13</v>
      </c>
      <c r="J34" s="455">
        <f t="shared" si="13"/>
        <v>1</v>
      </c>
      <c r="K34" s="454">
        <v>933.74</v>
      </c>
      <c r="L34" s="455">
        <f t="shared" si="14"/>
        <v>1.0282008082543248</v>
      </c>
      <c r="M34" s="454">
        <v>25.61</v>
      </c>
      <c r="N34" s="455">
        <f t="shared" si="15"/>
        <v>2.8200808254324822E-2</v>
      </c>
      <c r="O34" s="456">
        <f t="shared" si="16"/>
        <v>959.35</v>
      </c>
      <c r="P34" s="455">
        <f t="shared" si="17"/>
        <v>1.0564016165086496</v>
      </c>
      <c r="Q34" s="453">
        <v>7.45</v>
      </c>
      <c r="R34" s="455">
        <f t="shared" si="18"/>
        <v>8.2036712805435355E-3</v>
      </c>
      <c r="S34" s="456">
        <f t="shared" si="19"/>
        <v>51.220000000000027</v>
      </c>
      <c r="T34" s="455">
        <f t="shared" si="20"/>
        <v>5.6401616508649673E-2</v>
      </c>
      <c r="U34" s="371">
        <f t="shared" si="21"/>
        <v>10898.591600000005</v>
      </c>
      <c r="V34" s="373" t="s">
        <v>418</v>
      </c>
      <c r="W34" s="373" t="s">
        <v>447</v>
      </c>
      <c r="X34" s="374"/>
      <c r="Y34" s="374"/>
      <c r="Z34" s="374">
        <v>1</v>
      </c>
      <c r="AA34" s="457" t="s">
        <v>674</v>
      </c>
    </row>
    <row r="35" spans="2:36" s="148" customFormat="1" ht="27" customHeight="1">
      <c r="B35" s="831"/>
      <c r="C35" s="832"/>
      <c r="D35" s="368">
        <v>7</v>
      </c>
      <c r="E35" s="451" t="s">
        <v>620</v>
      </c>
      <c r="F35" s="452">
        <f t="shared" si="12"/>
        <v>1519.1965</v>
      </c>
      <c r="G35" s="372">
        <v>413.94999999999993</v>
      </c>
      <c r="H35" s="453">
        <v>827.88999999999987</v>
      </c>
      <c r="I35" s="453">
        <v>827.88999999999987</v>
      </c>
      <c r="J35" s="455">
        <f t="shared" si="13"/>
        <v>1</v>
      </c>
      <c r="K35" s="454">
        <v>842.67</v>
      </c>
      <c r="L35" s="455">
        <f t="shared" si="14"/>
        <v>1.0178526132698789</v>
      </c>
      <c r="M35" s="454">
        <v>14.780000000000001</v>
      </c>
      <c r="N35" s="455">
        <f t="shared" si="15"/>
        <v>1.7852613269878852E-2</v>
      </c>
      <c r="O35" s="456">
        <f t="shared" si="16"/>
        <v>857.44999999999993</v>
      </c>
      <c r="P35" s="455">
        <f t="shared" si="17"/>
        <v>1.0357052265397577</v>
      </c>
      <c r="Q35" s="453">
        <v>3.6700000000000004</v>
      </c>
      <c r="R35" s="455">
        <f t="shared" si="18"/>
        <v>4.4329560690429901E-3</v>
      </c>
      <c r="S35" s="456">
        <f t="shared" si="19"/>
        <v>29.560000000000059</v>
      </c>
      <c r="T35" s="455">
        <f t="shared" si="20"/>
        <v>3.5705226539757773E-2</v>
      </c>
      <c r="U35" s="371">
        <f t="shared" si="21"/>
        <v>12236.362000000023</v>
      </c>
      <c r="V35" s="373" t="s">
        <v>418</v>
      </c>
      <c r="W35" s="373" t="s">
        <v>447</v>
      </c>
      <c r="X35" s="374"/>
      <c r="Y35" s="374"/>
      <c r="Z35" s="374">
        <v>1</v>
      </c>
      <c r="AA35" s="457" t="s">
        <v>340</v>
      </c>
    </row>
    <row r="36" spans="2:36" s="148" customFormat="1" ht="27" customHeight="1">
      <c r="B36" s="831"/>
      <c r="C36" s="832"/>
      <c r="D36" s="368">
        <v>8</v>
      </c>
      <c r="E36" s="451" t="s">
        <v>336</v>
      </c>
      <c r="F36" s="452">
        <f t="shared" si="12"/>
        <v>1506.7346000000005</v>
      </c>
      <c r="G36" s="372">
        <v>147.43000000000004</v>
      </c>
      <c r="H36" s="453">
        <v>4841.42</v>
      </c>
      <c r="I36" s="453">
        <v>4841.42</v>
      </c>
      <c r="J36" s="455">
        <f t="shared" si="13"/>
        <v>1</v>
      </c>
      <c r="K36" s="454">
        <v>4924.6100000000006</v>
      </c>
      <c r="L36" s="455">
        <f t="shared" si="14"/>
        <v>1.0171829752428008</v>
      </c>
      <c r="M36" s="454">
        <v>83.190000000000012</v>
      </c>
      <c r="N36" s="455">
        <f t="shared" si="15"/>
        <v>1.7182975242800668E-2</v>
      </c>
      <c r="O36" s="456">
        <f t="shared" si="16"/>
        <v>5007.8</v>
      </c>
      <c r="P36" s="455">
        <f t="shared" si="17"/>
        <v>1.0343659504856013</v>
      </c>
      <c r="Q36" s="453">
        <v>10.220000000000001</v>
      </c>
      <c r="R36" s="455">
        <f t="shared" si="18"/>
        <v>2.1109509193583701E-3</v>
      </c>
      <c r="S36" s="456">
        <f t="shared" si="19"/>
        <v>166.38000000000011</v>
      </c>
      <c r="T36" s="455">
        <f t="shared" si="20"/>
        <v>3.4365950485601357E-2</v>
      </c>
      <c r="U36" s="371">
        <f t="shared" si="21"/>
        <v>24529.403400000021</v>
      </c>
      <c r="V36" s="373" t="s">
        <v>418</v>
      </c>
      <c r="W36" s="373" t="s">
        <v>215</v>
      </c>
      <c r="X36" s="374"/>
      <c r="Y36" s="374"/>
      <c r="Z36" s="374">
        <v>1</v>
      </c>
      <c r="AA36" s="457" t="s">
        <v>340</v>
      </c>
    </row>
    <row r="37" spans="2:36" s="148" customFormat="1" ht="27" customHeight="1">
      <c r="B37" s="831"/>
      <c r="C37" s="832"/>
      <c r="D37" s="368">
        <v>9</v>
      </c>
      <c r="E37" s="451" t="s">
        <v>599</v>
      </c>
      <c r="F37" s="452">
        <f t="shared" si="12"/>
        <v>1475.4</v>
      </c>
      <c r="G37" s="372">
        <v>24.59</v>
      </c>
      <c r="H37" s="453">
        <v>16625</v>
      </c>
      <c r="I37" s="453">
        <v>16625</v>
      </c>
      <c r="J37" s="455">
        <f t="shared" si="13"/>
        <v>1</v>
      </c>
      <c r="K37" s="454">
        <v>16685</v>
      </c>
      <c r="L37" s="455">
        <f t="shared" si="14"/>
        <v>1.003609022556391</v>
      </c>
      <c r="M37" s="454">
        <v>0</v>
      </c>
      <c r="N37" s="455">
        <f t="shared" si="15"/>
        <v>0</v>
      </c>
      <c r="O37" s="456">
        <f t="shared" si="16"/>
        <v>16685</v>
      </c>
      <c r="P37" s="455">
        <f t="shared" si="17"/>
        <v>1.003609022556391</v>
      </c>
      <c r="Q37" s="453">
        <v>60</v>
      </c>
      <c r="R37" s="455">
        <f t="shared" si="18"/>
        <v>3.6090225563909775E-3</v>
      </c>
      <c r="S37" s="456">
        <f t="shared" si="19"/>
        <v>60</v>
      </c>
      <c r="T37" s="455">
        <f t="shared" si="20"/>
        <v>3.6090225563909775E-3</v>
      </c>
      <c r="U37" s="371">
        <f t="shared" si="21"/>
        <v>1475.4</v>
      </c>
      <c r="V37" s="373" t="s">
        <v>418</v>
      </c>
      <c r="W37" s="373" t="s">
        <v>337</v>
      </c>
      <c r="X37" s="374"/>
      <c r="Y37" s="374"/>
      <c r="Z37" s="374">
        <v>1</v>
      </c>
      <c r="AA37" s="457" t="s">
        <v>582</v>
      </c>
    </row>
    <row r="38" spans="2:36" s="148" customFormat="1" ht="27" customHeight="1">
      <c r="B38" s="831"/>
      <c r="C38" s="832"/>
      <c r="D38" s="368">
        <v>10</v>
      </c>
      <c r="E38" s="451" t="s">
        <v>538</v>
      </c>
      <c r="F38" s="452">
        <f t="shared" si="12"/>
        <v>1466.0957999999996</v>
      </c>
      <c r="G38" s="372">
        <v>39.389999999999993</v>
      </c>
      <c r="H38" s="453">
        <v>35576.85</v>
      </c>
      <c r="I38" s="453">
        <v>35576.85</v>
      </c>
      <c r="J38" s="455">
        <f t="shared" si="13"/>
        <v>1</v>
      </c>
      <c r="K38" s="454">
        <v>35815.5</v>
      </c>
      <c r="L38" s="455">
        <f t="shared" si="14"/>
        <v>1.0067080137786228</v>
      </c>
      <c r="M38" s="454">
        <v>238.64999999999998</v>
      </c>
      <c r="N38" s="455">
        <f t="shared" si="15"/>
        <v>6.7080137786228958E-3</v>
      </c>
      <c r="O38" s="456">
        <f t="shared" si="16"/>
        <v>36054.15</v>
      </c>
      <c r="P38" s="455">
        <f t="shared" si="17"/>
        <v>1.0134160275572459</v>
      </c>
      <c r="Q38" s="453">
        <v>37.22</v>
      </c>
      <c r="R38" s="455">
        <f t="shared" si="18"/>
        <v>1.0461859327062402E-3</v>
      </c>
      <c r="S38" s="456">
        <f t="shared" si="19"/>
        <v>477.30000000000291</v>
      </c>
      <c r="T38" s="455">
        <f t="shared" si="20"/>
        <v>1.3416027557245875E-2</v>
      </c>
      <c r="U38" s="371">
        <f t="shared" si="21"/>
        <v>18800.847000000111</v>
      </c>
      <c r="V38" s="373" t="s">
        <v>418</v>
      </c>
      <c r="W38" s="373" t="s">
        <v>216</v>
      </c>
      <c r="X38" s="374"/>
      <c r="Y38" s="374"/>
      <c r="Z38" s="374">
        <v>1</v>
      </c>
      <c r="AA38" s="457" t="s">
        <v>340</v>
      </c>
    </row>
    <row r="39" spans="2:36" s="148" customFormat="1" ht="27" customHeight="1">
      <c r="B39" s="831"/>
      <c r="C39" s="832"/>
      <c r="D39" s="368">
        <v>11</v>
      </c>
      <c r="E39" s="451" t="s">
        <v>685</v>
      </c>
      <c r="F39" s="452">
        <f t="shared" si="12"/>
        <v>1443.5420999999999</v>
      </c>
      <c r="G39" s="372">
        <v>43.889999999999993</v>
      </c>
      <c r="H39" s="453">
        <v>6266.0999999999985</v>
      </c>
      <c r="I39" s="453">
        <v>6266.0999999999985</v>
      </c>
      <c r="J39" s="455">
        <f t="shared" si="13"/>
        <v>1</v>
      </c>
      <c r="K39" s="454">
        <v>6448.079999999999</v>
      </c>
      <c r="L39" s="455">
        <f t="shared" si="14"/>
        <v>1.029041987839326</v>
      </c>
      <c r="M39" s="454">
        <v>181.98</v>
      </c>
      <c r="N39" s="455">
        <f t="shared" si="15"/>
        <v>2.9041987839325902E-2</v>
      </c>
      <c r="O39" s="456">
        <f t="shared" si="16"/>
        <v>6630.0599999999986</v>
      </c>
      <c r="P39" s="455">
        <f t="shared" si="17"/>
        <v>1.0580839756786518</v>
      </c>
      <c r="Q39" s="453">
        <v>32.89</v>
      </c>
      <c r="R39" s="455">
        <f t="shared" si="18"/>
        <v>5.2488788879845533E-3</v>
      </c>
      <c r="S39" s="456">
        <f t="shared" si="19"/>
        <v>363.96000000000004</v>
      </c>
      <c r="T39" s="455">
        <f t="shared" si="20"/>
        <v>5.8083975678651811E-2</v>
      </c>
      <c r="U39" s="371">
        <f t="shared" si="21"/>
        <v>15974.204399999999</v>
      </c>
      <c r="V39" s="373" t="s">
        <v>418</v>
      </c>
      <c r="W39" s="373" t="s">
        <v>216</v>
      </c>
      <c r="X39" s="374"/>
      <c r="Y39" s="374"/>
      <c r="Z39" s="374">
        <v>1</v>
      </c>
      <c r="AA39" s="457" t="s">
        <v>674</v>
      </c>
      <c r="AE39" s="377"/>
    </row>
    <row r="40" spans="2:36" s="148" customFormat="1" ht="27" customHeight="1">
      <c r="B40" s="831"/>
      <c r="C40" s="832"/>
      <c r="D40" s="368">
        <v>12</v>
      </c>
      <c r="E40" s="451" t="s">
        <v>550</v>
      </c>
      <c r="F40" s="452">
        <f t="shared" si="12"/>
        <v>1302.2898</v>
      </c>
      <c r="G40" s="372">
        <v>62.43</v>
      </c>
      <c r="H40" s="453">
        <v>3029.93</v>
      </c>
      <c r="I40" s="453">
        <v>3029.93</v>
      </c>
      <c r="J40" s="455">
        <f t="shared" si="13"/>
        <v>1</v>
      </c>
      <c r="K40" s="454">
        <v>3086.7400000000007</v>
      </c>
      <c r="L40" s="455">
        <f t="shared" si="14"/>
        <v>1.0187496080767546</v>
      </c>
      <c r="M40" s="454">
        <v>56.81</v>
      </c>
      <c r="N40" s="455">
        <f t="shared" si="15"/>
        <v>1.874960807675425E-2</v>
      </c>
      <c r="O40" s="456">
        <f t="shared" si="16"/>
        <v>3143.5500000000006</v>
      </c>
      <c r="P40" s="455">
        <f t="shared" si="17"/>
        <v>1.0374992161535088</v>
      </c>
      <c r="Q40" s="453">
        <v>20.86</v>
      </c>
      <c r="R40" s="455">
        <f t="shared" si="18"/>
        <v>6.8846475001072636E-3</v>
      </c>
      <c r="S40" s="456">
        <f t="shared" si="19"/>
        <v>113.6200000000008</v>
      </c>
      <c r="T40" s="455">
        <f t="shared" si="20"/>
        <v>3.7499216153508763E-2</v>
      </c>
      <c r="U40" s="371">
        <f t="shared" si="21"/>
        <v>7093.2966000000497</v>
      </c>
      <c r="V40" s="373" t="s">
        <v>418</v>
      </c>
      <c r="W40" s="373" t="s">
        <v>216</v>
      </c>
      <c r="X40" s="374"/>
      <c r="Y40" s="374"/>
      <c r="Z40" s="374">
        <v>1</v>
      </c>
      <c r="AA40" s="457" t="s">
        <v>549</v>
      </c>
    </row>
    <row r="41" spans="2:36" s="148" customFormat="1" ht="27" customHeight="1">
      <c r="B41" s="831"/>
      <c r="C41" s="832"/>
      <c r="D41" s="368">
        <v>13</v>
      </c>
      <c r="E41" s="451" t="s">
        <v>618</v>
      </c>
      <c r="F41" s="452">
        <f t="shared" si="12"/>
        <v>1274.44</v>
      </c>
      <c r="G41" s="372">
        <v>6.04</v>
      </c>
      <c r="H41" s="453">
        <v>8955</v>
      </c>
      <c r="I41" s="453">
        <v>8955</v>
      </c>
      <c r="J41" s="455">
        <f t="shared" si="13"/>
        <v>1</v>
      </c>
      <c r="K41" s="454">
        <v>9166</v>
      </c>
      <c r="L41" s="455">
        <f t="shared" si="14"/>
        <v>1.0235622557230597</v>
      </c>
      <c r="M41" s="454">
        <v>0</v>
      </c>
      <c r="N41" s="455">
        <f t="shared" si="15"/>
        <v>0</v>
      </c>
      <c r="O41" s="456">
        <f t="shared" si="16"/>
        <v>9166</v>
      </c>
      <c r="P41" s="455">
        <f t="shared" si="17"/>
        <v>1.0235622557230597</v>
      </c>
      <c r="Q41" s="453">
        <v>211</v>
      </c>
      <c r="R41" s="455">
        <f t="shared" si="18"/>
        <v>2.3562255723059745E-2</v>
      </c>
      <c r="S41" s="456">
        <f t="shared" si="19"/>
        <v>211</v>
      </c>
      <c r="T41" s="455">
        <f t="shared" si="20"/>
        <v>2.3562255723059745E-2</v>
      </c>
      <c r="U41" s="371">
        <f t="shared" si="21"/>
        <v>1274.44</v>
      </c>
      <c r="V41" s="373" t="s">
        <v>418</v>
      </c>
      <c r="W41" s="373" t="s">
        <v>337</v>
      </c>
      <c r="X41" s="374"/>
      <c r="Y41" s="374"/>
      <c r="Z41" s="374">
        <v>1</v>
      </c>
      <c r="AA41" s="457" t="s">
        <v>510</v>
      </c>
    </row>
    <row r="42" spans="2:36" s="148" customFormat="1" ht="27" customHeight="1">
      <c r="B42" s="831"/>
      <c r="C42" s="832"/>
      <c r="D42" s="368">
        <v>14</v>
      </c>
      <c r="E42" s="451" t="s">
        <v>464</v>
      </c>
      <c r="F42" s="452">
        <f t="shared" si="12"/>
        <v>1234.1680999999999</v>
      </c>
      <c r="G42" s="372">
        <v>160.49</v>
      </c>
      <c r="H42" s="453">
        <v>690.03</v>
      </c>
      <c r="I42" s="453">
        <v>690.03</v>
      </c>
      <c r="J42" s="455">
        <f t="shared" si="13"/>
        <v>1</v>
      </c>
      <c r="K42" s="454">
        <v>707.63000000000011</v>
      </c>
      <c r="L42" s="455">
        <f t="shared" si="14"/>
        <v>1.0255061374143155</v>
      </c>
      <c r="M42" s="454">
        <v>17.600000000000001</v>
      </c>
      <c r="N42" s="455">
        <f t="shared" si="15"/>
        <v>2.5506137414315323E-2</v>
      </c>
      <c r="O42" s="456">
        <f t="shared" si="16"/>
        <v>725.23000000000013</v>
      </c>
      <c r="P42" s="455">
        <f t="shared" si="17"/>
        <v>1.0510122748286308</v>
      </c>
      <c r="Q42" s="453">
        <v>7.6899999999999986</v>
      </c>
      <c r="R42" s="455">
        <f t="shared" si="18"/>
        <v>1.114444299523209E-2</v>
      </c>
      <c r="S42" s="456">
        <f t="shared" si="19"/>
        <v>35.200000000000159</v>
      </c>
      <c r="T42" s="455">
        <f t="shared" si="20"/>
        <v>5.1012274828630869E-2</v>
      </c>
      <c r="U42" s="371">
        <f t="shared" si="21"/>
        <v>5649.248000000026</v>
      </c>
      <c r="V42" s="373" t="s">
        <v>418</v>
      </c>
      <c r="W42" s="373" t="s">
        <v>447</v>
      </c>
      <c r="X42" s="373"/>
      <c r="Y42" s="374"/>
      <c r="Z42" s="374">
        <v>1</v>
      </c>
      <c r="AA42" s="457" t="s">
        <v>435</v>
      </c>
    </row>
    <row r="43" spans="2:36" s="148" customFormat="1" ht="27" customHeight="1">
      <c r="B43" s="831"/>
      <c r="C43" s="832"/>
      <c r="D43" s="368">
        <v>15</v>
      </c>
      <c r="E43" s="451" t="s">
        <v>691</v>
      </c>
      <c r="F43" s="452">
        <f t="shared" si="12"/>
        <v>1220.1000000000001</v>
      </c>
      <c r="G43" s="372">
        <v>5.8100000000000005</v>
      </c>
      <c r="H43" s="453">
        <v>6162</v>
      </c>
      <c r="I43" s="453">
        <v>6162</v>
      </c>
      <c r="J43" s="455">
        <f t="shared" si="13"/>
        <v>1</v>
      </c>
      <c r="K43" s="454">
        <v>6372</v>
      </c>
      <c r="L43" s="455">
        <f t="shared" si="14"/>
        <v>1.0340798442064265</v>
      </c>
      <c r="M43" s="454">
        <v>0</v>
      </c>
      <c r="N43" s="455">
        <f t="shared" si="15"/>
        <v>0</v>
      </c>
      <c r="O43" s="456">
        <f t="shared" si="16"/>
        <v>6372</v>
      </c>
      <c r="P43" s="455">
        <f t="shared" si="17"/>
        <v>1.0340798442064265</v>
      </c>
      <c r="Q43" s="453">
        <v>210</v>
      </c>
      <c r="R43" s="455">
        <f t="shared" si="18"/>
        <v>3.4079844206426485E-2</v>
      </c>
      <c r="S43" s="456">
        <f t="shared" si="19"/>
        <v>210</v>
      </c>
      <c r="T43" s="455">
        <f t="shared" si="20"/>
        <v>3.4079844206426485E-2</v>
      </c>
      <c r="U43" s="371">
        <f t="shared" si="21"/>
        <v>1220.1000000000001</v>
      </c>
      <c r="V43" s="373" t="s">
        <v>418</v>
      </c>
      <c r="W43" s="373" t="s">
        <v>337</v>
      </c>
      <c r="X43" s="374"/>
      <c r="Y43" s="374"/>
      <c r="Z43" s="374">
        <v>1</v>
      </c>
      <c r="AA43" s="457" t="s">
        <v>486</v>
      </c>
    </row>
    <row r="44" spans="2:36" s="148" customFormat="1" ht="27" customHeight="1">
      <c r="B44" s="831"/>
      <c r="C44" s="832"/>
      <c r="D44" s="368">
        <v>16</v>
      </c>
      <c r="E44" s="451" t="s">
        <v>692</v>
      </c>
      <c r="F44" s="452">
        <f t="shared" si="12"/>
        <v>1173.0000000000002</v>
      </c>
      <c r="G44" s="372">
        <v>1.1500000000000001</v>
      </c>
      <c r="H44" s="453">
        <v>45627</v>
      </c>
      <c r="I44" s="453">
        <v>45627</v>
      </c>
      <c r="J44" s="455">
        <f t="shared" si="13"/>
        <v>1</v>
      </c>
      <c r="K44" s="454">
        <v>46647</v>
      </c>
      <c r="L44" s="455">
        <f t="shared" si="14"/>
        <v>1.0223551844302716</v>
      </c>
      <c r="M44" s="454">
        <v>0</v>
      </c>
      <c r="N44" s="455">
        <f t="shared" si="15"/>
        <v>0</v>
      </c>
      <c r="O44" s="456">
        <f t="shared" si="16"/>
        <v>46647</v>
      </c>
      <c r="P44" s="455">
        <f t="shared" si="17"/>
        <v>1.0223551844302716</v>
      </c>
      <c r="Q44" s="453">
        <v>1020</v>
      </c>
      <c r="R44" s="455">
        <f t="shared" si="18"/>
        <v>2.2355184430271551E-2</v>
      </c>
      <c r="S44" s="456">
        <f t="shared" si="19"/>
        <v>1020</v>
      </c>
      <c r="T44" s="455">
        <f t="shared" si="20"/>
        <v>2.2355184430271551E-2</v>
      </c>
      <c r="U44" s="371">
        <f t="shared" si="21"/>
        <v>1173.0000000000002</v>
      </c>
      <c r="V44" s="373" t="s">
        <v>418</v>
      </c>
      <c r="W44" s="373" t="s">
        <v>447</v>
      </c>
      <c r="X44" s="374"/>
      <c r="Y44" s="374"/>
      <c r="Z44" s="374">
        <v>1</v>
      </c>
      <c r="AA44" s="457" t="s">
        <v>437</v>
      </c>
    </row>
    <row r="45" spans="2:36" s="148" customFormat="1" ht="27" customHeight="1">
      <c r="B45" s="831"/>
      <c r="C45" s="832"/>
      <c r="D45" s="368">
        <v>17</v>
      </c>
      <c r="E45" s="451" t="s">
        <v>647</v>
      </c>
      <c r="F45" s="452">
        <f t="shared" si="12"/>
        <v>1169.0951999999997</v>
      </c>
      <c r="G45" s="372">
        <v>39.389999999999993</v>
      </c>
      <c r="H45" s="453">
        <v>5051.83</v>
      </c>
      <c r="I45" s="453">
        <v>5051.83</v>
      </c>
      <c r="J45" s="455">
        <f t="shared" si="13"/>
        <v>1</v>
      </c>
      <c r="K45" s="454">
        <v>5184.1600000000008</v>
      </c>
      <c r="L45" s="455">
        <f t="shared" si="14"/>
        <v>1.0261944681432276</v>
      </c>
      <c r="M45" s="454">
        <v>132.33000000000001</v>
      </c>
      <c r="N45" s="455">
        <f t="shared" si="15"/>
        <v>2.6194468143227307E-2</v>
      </c>
      <c r="O45" s="456">
        <f t="shared" si="16"/>
        <v>5316.4900000000007</v>
      </c>
      <c r="P45" s="455">
        <f t="shared" si="17"/>
        <v>1.0523889362864547</v>
      </c>
      <c r="Q45" s="453">
        <v>29.68</v>
      </c>
      <c r="R45" s="455">
        <f t="shared" si="18"/>
        <v>5.8750987266000636E-3</v>
      </c>
      <c r="S45" s="456">
        <f t="shared" si="19"/>
        <v>264.66000000000076</v>
      </c>
      <c r="T45" s="455">
        <f t="shared" si="20"/>
        <v>5.2388936286454767E-2</v>
      </c>
      <c r="U45" s="371">
        <f t="shared" si="21"/>
        <v>10424.957400000028</v>
      </c>
      <c r="V45" s="373" t="s">
        <v>418</v>
      </c>
      <c r="W45" s="373" t="s">
        <v>216</v>
      </c>
      <c r="X45" s="390"/>
      <c r="Y45" s="373"/>
      <c r="Z45" s="374">
        <v>1</v>
      </c>
      <c r="AA45" s="457" t="s">
        <v>641</v>
      </c>
    </row>
    <row r="46" spans="2:36" s="148" customFormat="1" ht="27" customHeight="1">
      <c r="B46" s="831"/>
      <c r="C46" s="832"/>
      <c r="D46" s="368">
        <v>18</v>
      </c>
      <c r="E46" s="451" t="s">
        <v>693</v>
      </c>
      <c r="F46" s="452">
        <f t="shared" si="12"/>
        <v>1156.7000000000003</v>
      </c>
      <c r="G46" s="372">
        <v>2.6900000000000004</v>
      </c>
      <c r="H46" s="453">
        <v>82312</v>
      </c>
      <c r="I46" s="453">
        <v>82312</v>
      </c>
      <c r="J46" s="455">
        <f t="shared" si="13"/>
        <v>1</v>
      </c>
      <c r="K46" s="454">
        <v>82742</v>
      </c>
      <c r="L46" s="455">
        <f t="shared" si="14"/>
        <v>1.0052240256584701</v>
      </c>
      <c r="M46" s="454">
        <v>0</v>
      </c>
      <c r="N46" s="455">
        <f t="shared" si="15"/>
        <v>0</v>
      </c>
      <c r="O46" s="456">
        <f t="shared" si="16"/>
        <v>82742</v>
      </c>
      <c r="P46" s="455">
        <f t="shared" si="17"/>
        <v>1.0052240256584701</v>
      </c>
      <c r="Q46" s="453">
        <v>430</v>
      </c>
      <c r="R46" s="455">
        <f t="shared" si="18"/>
        <v>5.2240256584702108E-3</v>
      </c>
      <c r="S46" s="456">
        <f t="shared" si="19"/>
        <v>430</v>
      </c>
      <c r="T46" s="455">
        <f t="shared" si="20"/>
        <v>5.2240256584702108E-3</v>
      </c>
      <c r="U46" s="371">
        <f t="shared" si="21"/>
        <v>1156.7000000000003</v>
      </c>
      <c r="V46" s="373" t="s">
        <v>418</v>
      </c>
      <c r="W46" s="373" t="s">
        <v>337</v>
      </c>
      <c r="X46" s="374"/>
      <c r="Y46" s="374"/>
      <c r="Z46" s="374">
        <v>1</v>
      </c>
      <c r="AA46" s="457" t="s">
        <v>439</v>
      </c>
    </row>
    <row r="47" spans="2:36" s="148" customFormat="1" ht="27" customHeight="1">
      <c r="B47" s="831"/>
      <c r="C47" s="832"/>
      <c r="D47" s="368">
        <v>19</v>
      </c>
      <c r="E47" s="451" t="s">
        <v>694</v>
      </c>
      <c r="F47" s="452">
        <f t="shared" si="12"/>
        <v>1155.98</v>
      </c>
      <c r="G47" s="372">
        <v>3.2199999999999998</v>
      </c>
      <c r="H47" s="453">
        <v>218158</v>
      </c>
      <c r="I47" s="453">
        <v>218158</v>
      </c>
      <c r="J47" s="455">
        <f t="shared" si="13"/>
        <v>1</v>
      </c>
      <c r="K47" s="454">
        <v>218517</v>
      </c>
      <c r="L47" s="455">
        <f t="shared" si="14"/>
        <v>1.0016455963109305</v>
      </c>
      <c r="M47" s="454">
        <v>0</v>
      </c>
      <c r="N47" s="455">
        <f t="shared" si="15"/>
        <v>0</v>
      </c>
      <c r="O47" s="456">
        <f t="shared" si="16"/>
        <v>218517</v>
      </c>
      <c r="P47" s="455">
        <f t="shared" si="17"/>
        <v>1.0016455963109305</v>
      </c>
      <c r="Q47" s="453">
        <v>359</v>
      </c>
      <c r="R47" s="455">
        <f t="shared" si="18"/>
        <v>1.6455963109306099E-3</v>
      </c>
      <c r="S47" s="456">
        <f t="shared" si="19"/>
        <v>359</v>
      </c>
      <c r="T47" s="455">
        <f t="shared" si="20"/>
        <v>1.6455963109306099E-3</v>
      </c>
      <c r="U47" s="371">
        <f t="shared" si="21"/>
        <v>1155.98</v>
      </c>
      <c r="V47" s="373" t="s">
        <v>418</v>
      </c>
      <c r="W47" s="373" t="s">
        <v>337</v>
      </c>
      <c r="X47" s="390"/>
      <c r="Y47" s="374"/>
      <c r="Z47" s="374">
        <v>1</v>
      </c>
      <c r="AA47" s="457" t="s">
        <v>340</v>
      </c>
    </row>
    <row r="48" spans="2:36" s="148" customFormat="1" ht="27" customHeight="1">
      <c r="B48" s="833"/>
      <c r="C48" s="834"/>
      <c r="D48" s="368">
        <v>20</v>
      </c>
      <c r="E48" s="451" t="s">
        <v>695</v>
      </c>
      <c r="F48" s="452">
        <f t="shared" si="12"/>
        <v>1150.2004000000004</v>
      </c>
      <c r="G48" s="372">
        <v>3.5599999999999996</v>
      </c>
      <c r="H48" s="453">
        <v>51170</v>
      </c>
      <c r="I48" s="453">
        <v>51170</v>
      </c>
      <c r="J48" s="455">
        <f t="shared" si="13"/>
        <v>1</v>
      </c>
      <c r="K48" s="454">
        <v>51493.09</v>
      </c>
      <c r="L48" s="455">
        <f t="shared" si="14"/>
        <v>1.006314051201876</v>
      </c>
      <c r="M48" s="454">
        <v>0</v>
      </c>
      <c r="N48" s="455">
        <f t="shared" si="15"/>
        <v>0</v>
      </c>
      <c r="O48" s="456">
        <f t="shared" si="16"/>
        <v>51493.09</v>
      </c>
      <c r="P48" s="455">
        <f t="shared" si="17"/>
        <v>1.006314051201876</v>
      </c>
      <c r="Q48" s="453">
        <v>323.09000000000015</v>
      </c>
      <c r="R48" s="455">
        <f t="shared" si="18"/>
        <v>6.314051201876102E-3</v>
      </c>
      <c r="S48" s="456">
        <f t="shared" si="19"/>
        <v>323.08999999999651</v>
      </c>
      <c r="T48" s="455">
        <f t="shared" si="20"/>
        <v>6.3140512018760309E-3</v>
      </c>
      <c r="U48" s="371">
        <f t="shared" si="21"/>
        <v>1150.2003999999874</v>
      </c>
      <c r="V48" s="373" t="s">
        <v>418</v>
      </c>
      <c r="W48" s="373" t="s">
        <v>337</v>
      </c>
      <c r="X48" s="374"/>
      <c r="Y48" s="374"/>
      <c r="Z48" s="374">
        <v>1</v>
      </c>
      <c r="AA48" s="457" t="s">
        <v>349</v>
      </c>
    </row>
    <row r="49" spans="2:36" ht="17.149999999999999" customHeight="1">
      <c r="B49" s="846" t="s">
        <v>444</v>
      </c>
      <c r="C49" s="847"/>
      <c r="D49" s="857" t="s">
        <v>555</v>
      </c>
      <c r="E49" s="884" t="s">
        <v>556</v>
      </c>
      <c r="F49" s="876" t="s">
        <v>557</v>
      </c>
      <c r="G49" s="860" t="s">
        <v>558</v>
      </c>
      <c r="H49" s="885" t="s">
        <v>559</v>
      </c>
      <c r="I49" s="858" t="s">
        <v>560</v>
      </c>
      <c r="J49" s="859"/>
      <c r="K49" s="858" t="s">
        <v>561</v>
      </c>
      <c r="L49" s="859"/>
      <c r="M49" s="858" t="s">
        <v>562</v>
      </c>
      <c r="N49" s="859"/>
      <c r="O49" s="858" t="s">
        <v>563</v>
      </c>
      <c r="P49" s="859"/>
      <c r="Q49" s="858" t="s">
        <v>419</v>
      </c>
      <c r="R49" s="859"/>
      <c r="S49" s="862" t="s">
        <v>420</v>
      </c>
      <c r="T49" s="863"/>
      <c r="U49" s="864"/>
      <c r="V49" s="854" t="s">
        <v>171</v>
      </c>
      <c r="W49" s="854" t="s">
        <v>245</v>
      </c>
      <c r="X49" s="854" t="s">
        <v>564</v>
      </c>
      <c r="Y49" s="854" t="s">
        <v>446</v>
      </c>
      <c r="Z49" s="854" t="s">
        <v>246</v>
      </c>
      <c r="AA49" s="860" t="s">
        <v>172</v>
      </c>
      <c r="AC49" s="865" t="s">
        <v>247</v>
      </c>
      <c r="AD49" s="866"/>
      <c r="AE49" s="866"/>
      <c r="AF49" s="866"/>
      <c r="AG49" s="866"/>
      <c r="AH49" s="866"/>
      <c r="AI49" s="866"/>
      <c r="AJ49" s="867"/>
    </row>
    <row r="50" spans="2:36">
      <c r="B50" s="848"/>
      <c r="C50" s="849"/>
      <c r="D50" s="857"/>
      <c r="E50" s="857"/>
      <c r="F50" s="876"/>
      <c r="G50" s="861"/>
      <c r="H50" s="861"/>
      <c r="I50" s="450" t="s">
        <v>565</v>
      </c>
      <c r="J50" s="369" t="s">
        <v>566</v>
      </c>
      <c r="K50" s="450" t="s">
        <v>565</v>
      </c>
      <c r="L50" s="369" t="s">
        <v>566</v>
      </c>
      <c r="M50" s="450" t="s">
        <v>565</v>
      </c>
      <c r="N50" s="369" t="s">
        <v>566</v>
      </c>
      <c r="O50" s="450" t="s">
        <v>565</v>
      </c>
      <c r="P50" s="369" t="s">
        <v>566</v>
      </c>
      <c r="Q50" s="450" t="s">
        <v>565</v>
      </c>
      <c r="R50" s="369" t="s">
        <v>566</v>
      </c>
      <c r="S50" s="450" t="s">
        <v>565</v>
      </c>
      <c r="T50" s="369" t="s">
        <v>566</v>
      </c>
      <c r="U50" s="369" t="s">
        <v>567</v>
      </c>
      <c r="V50" s="856"/>
      <c r="W50" s="856"/>
      <c r="X50" s="856"/>
      <c r="Y50" s="856"/>
      <c r="Z50" s="856"/>
      <c r="AA50" s="861"/>
      <c r="AC50" s="868"/>
      <c r="AD50" s="869"/>
      <c r="AE50" s="869"/>
      <c r="AF50" s="869"/>
      <c r="AG50" s="869"/>
      <c r="AH50" s="869"/>
      <c r="AI50" s="869"/>
      <c r="AJ50" s="870"/>
    </row>
    <row r="51" spans="2:36" s="148" customFormat="1" ht="27" customHeight="1">
      <c r="B51" s="829" t="s">
        <v>666</v>
      </c>
      <c r="C51" s="830"/>
      <c r="D51" s="368">
        <v>1</v>
      </c>
      <c r="E51" s="451"/>
      <c r="F51" s="452">
        <f>IFERROR(Q51*G51,"-")</f>
        <v>0</v>
      </c>
      <c r="G51" s="372"/>
      <c r="H51" s="453"/>
      <c r="I51" s="453"/>
      <c r="J51" s="455" t="str">
        <f>IFERROR(I51/H51,"-")</f>
        <v>-</v>
      </c>
      <c r="K51" s="454"/>
      <c r="L51" s="455" t="str">
        <f>IFERROR(K51/H51,"-")</f>
        <v>-</v>
      </c>
      <c r="M51" s="454"/>
      <c r="N51" s="455" t="str">
        <f>IFERROR(M51/H51,"-")</f>
        <v>-</v>
      </c>
      <c r="O51" s="456">
        <f>IFERROR(K51+M51,"-")</f>
        <v>0</v>
      </c>
      <c r="P51" s="455" t="str">
        <f>IFERROR(O51/H51,"-")</f>
        <v>-</v>
      </c>
      <c r="Q51" s="453"/>
      <c r="R51" s="455" t="str">
        <f>IFERROR(Q51/H51,"-")</f>
        <v>-</v>
      </c>
      <c r="S51" s="456">
        <f>IFERROR(O51-H51,"-")</f>
        <v>0</v>
      </c>
      <c r="T51" s="455" t="str">
        <f>IFERROR(S51/H51,"-")</f>
        <v>-</v>
      </c>
      <c r="U51" s="371">
        <f>IFERROR(S51*G51,"-")</f>
        <v>0</v>
      </c>
      <c r="V51" s="373" t="s">
        <v>418</v>
      </c>
      <c r="W51" s="373"/>
      <c r="X51" s="374"/>
      <c r="Y51" s="374"/>
      <c r="Z51" s="374">
        <v>1</v>
      </c>
      <c r="AA51" s="457"/>
      <c r="AC51" s="871"/>
      <c r="AD51" s="872"/>
      <c r="AE51" s="872"/>
      <c r="AF51" s="872"/>
      <c r="AG51" s="872"/>
      <c r="AH51" s="872"/>
      <c r="AI51" s="872"/>
      <c r="AJ51" s="873"/>
    </row>
    <row r="52" spans="2:36" s="148" customFormat="1" ht="27" customHeight="1">
      <c r="B52" s="831"/>
      <c r="C52" s="832"/>
      <c r="D52" s="368">
        <v>2</v>
      </c>
      <c r="E52" s="451"/>
      <c r="F52" s="452">
        <f t="shared" ref="F52:F70" si="24">IFERROR(Q52*G52,"-")</f>
        <v>0</v>
      </c>
      <c r="G52" s="372"/>
      <c r="H52" s="453"/>
      <c r="I52" s="453"/>
      <c r="J52" s="455" t="str">
        <f t="shared" ref="J52:J70" si="25">IFERROR(I52/H52,"-")</f>
        <v>-</v>
      </c>
      <c r="K52" s="454"/>
      <c r="L52" s="455" t="str">
        <f t="shared" ref="L52:L70" si="26">IFERROR(K52/H52,"-")</f>
        <v>-</v>
      </c>
      <c r="M52" s="454"/>
      <c r="N52" s="455" t="str">
        <f t="shared" ref="N52:N70" si="27">IFERROR(M52/H52,"-")</f>
        <v>-</v>
      </c>
      <c r="O52" s="456">
        <f t="shared" ref="O52:O70" si="28">IFERROR(K52+M52,"-")</f>
        <v>0</v>
      </c>
      <c r="P52" s="455" t="str">
        <f t="shared" ref="P52:P70" si="29">IFERROR(O52/H52,"-")</f>
        <v>-</v>
      </c>
      <c r="Q52" s="453"/>
      <c r="R52" s="455" t="str">
        <f t="shared" ref="R52:R70" si="30">IFERROR(Q52/H52,"-")</f>
        <v>-</v>
      </c>
      <c r="S52" s="456">
        <f t="shared" ref="S52:S70" si="31">IFERROR(O52-H52,"-")</f>
        <v>0</v>
      </c>
      <c r="T52" s="455" t="str">
        <f t="shared" ref="T52:T70" si="32">IFERROR(S52/H52,"-")</f>
        <v>-</v>
      </c>
      <c r="U52" s="371">
        <f t="shared" ref="U52:U70" si="33">IFERROR(S52*G52,"-")</f>
        <v>0</v>
      </c>
      <c r="V52" s="373" t="s">
        <v>418</v>
      </c>
      <c r="W52" s="373"/>
      <c r="X52" s="374"/>
      <c r="Y52" s="374"/>
      <c r="Z52" s="374">
        <v>1</v>
      </c>
      <c r="AA52" s="457"/>
      <c r="AC52" s="161" t="s">
        <v>244</v>
      </c>
      <c r="AD52" s="161" t="s">
        <v>447</v>
      </c>
      <c r="AE52" s="156" t="s">
        <v>568</v>
      </c>
      <c r="AF52" s="156" t="s">
        <v>337</v>
      </c>
      <c r="AG52" s="156" t="s">
        <v>430</v>
      </c>
      <c r="AH52" s="156" t="s">
        <v>215</v>
      </c>
      <c r="AI52" s="156" t="s">
        <v>216</v>
      </c>
      <c r="AJ52" s="156" t="s">
        <v>385</v>
      </c>
    </row>
    <row r="53" spans="2:36" s="148" customFormat="1" ht="27" customHeight="1">
      <c r="B53" s="831"/>
      <c r="C53" s="832"/>
      <c r="D53" s="368">
        <v>3</v>
      </c>
      <c r="E53" s="451"/>
      <c r="F53" s="452">
        <f t="shared" si="24"/>
        <v>0</v>
      </c>
      <c r="G53" s="372"/>
      <c r="H53" s="453"/>
      <c r="I53" s="453"/>
      <c r="J53" s="455" t="str">
        <f t="shared" si="25"/>
        <v>-</v>
      </c>
      <c r="K53" s="454"/>
      <c r="L53" s="455" t="str">
        <f t="shared" si="26"/>
        <v>-</v>
      </c>
      <c r="M53" s="454"/>
      <c r="N53" s="455" t="str">
        <f t="shared" si="27"/>
        <v>-</v>
      </c>
      <c r="O53" s="456">
        <f t="shared" si="28"/>
        <v>0</v>
      </c>
      <c r="P53" s="455" t="str">
        <f t="shared" si="29"/>
        <v>-</v>
      </c>
      <c r="Q53" s="453"/>
      <c r="R53" s="455" t="str">
        <f t="shared" si="30"/>
        <v>-</v>
      </c>
      <c r="S53" s="456">
        <f t="shared" si="31"/>
        <v>0</v>
      </c>
      <c r="T53" s="455" t="str">
        <f t="shared" si="32"/>
        <v>-</v>
      </c>
      <c r="U53" s="371">
        <f t="shared" si="33"/>
        <v>0</v>
      </c>
      <c r="V53" s="373" t="s">
        <v>418</v>
      </c>
      <c r="W53" s="373"/>
      <c r="X53" s="374"/>
      <c r="Y53" s="374"/>
      <c r="Z53" s="374">
        <v>1</v>
      </c>
      <c r="AA53" s="457"/>
      <c r="AC53" s="381">
        <f>SUM(Z51:Z70)</f>
        <v>20</v>
      </c>
      <c r="AD53" s="376">
        <f>SUMIF($W$51:$W$70,TRIM(AD52),$Z$51:$Z$70)</f>
        <v>0</v>
      </c>
      <c r="AE53" s="376">
        <f t="shared" ref="AE53:AJ53" si="34">SUMIF($W$51:$W$70,TRIM(AE52),$Z$51:$Z$70)</f>
        <v>0</v>
      </c>
      <c r="AF53" s="376">
        <f t="shared" si="34"/>
        <v>0</v>
      </c>
      <c r="AG53" s="376">
        <f t="shared" si="34"/>
        <v>0</v>
      </c>
      <c r="AH53" s="376">
        <f t="shared" si="34"/>
        <v>0</v>
      </c>
      <c r="AI53" s="376">
        <f t="shared" si="34"/>
        <v>0</v>
      </c>
      <c r="AJ53" s="376">
        <f t="shared" si="34"/>
        <v>0</v>
      </c>
    </row>
    <row r="54" spans="2:36" s="148" customFormat="1" ht="27" customHeight="1">
      <c r="B54" s="831"/>
      <c r="C54" s="832"/>
      <c r="D54" s="368">
        <v>4</v>
      </c>
      <c r="E54" s="451"/>
      <c r="F54" s="452">
        <f t="shared" si="24"/>
        <v>0</v>
      </c>
      <c r="G54" s="372"/>
      <c r="H54" s="453"/>
      <c r="I54" s="453"/>
      <c r="J54" s="455" t="str">
        <f t="shared" si="25"/>
        <v>-</v>
      </c>
      <c r="K54" s="454"/>
      <c r="L54" s="455" t="str">
        <f t="shared" si="26"/>
        <v>-</v>
      </c>
      <c r="M54" s="454"/>
      <c r="N54" s="455" t="str">
        <f t="shared" si="27"/>
        <v>-</v>
      </c>
      <c r="O54" s="456">
        <f t="shared" si="28"/>
        <v>0</v>
      </c>
      <c r="P54" s="455" t="str">
        <f t="shared" si="29"/>
        <v>-</v>
      </c>
      <c r="Q54" s="453"/>
      <c r="R54" s="455" t="str">
        <f t="shared" si="30"/>
        <v>-</v>
      </c>
      <c r="S54" s="456">
        <f t="shared" si="31"/>
        <v>0</v>
      </c>
      <c r="T54" s="455" t="str">
        <f t="shared" si="32"/>
        <v>-</v>
      </c>
      <c r="U54" s="371">
        <f t="shared" si="33"/>
        <v>0</v>
      </c>
      <c r="V54" s="373" t="s">
        <v>418</v>
      </c>
      <c r="W54" s="373"/>
      <c r="X54" s="374"/>
      <c r="Y54" s="374"/>
      <c r="Z54" s="374">
        <v>1</v>
      </c>
      <c r="AA54" s="457"/>
      <c r="AC54" s="382" t="s">
        <v>11</v>
      </c>
      <c r="AD54" s="379">
        <f>SUMIF($W$51:$W70,TRIM(AD52),$F$51:$F$70)</f>
        <v>0</v>
      </c>
      <c r="AE54" s="379">
        <f>SUMIF($W$51:$W70,TRIM(AE52),$F$51:$F$70)</f>
        <v>0</v>
      </c>
      <c r="AF54" s="379">
        <f>SUMIF($W$51:$W70,TRIM(AF52),$F$51:$F$70)</f>
        <v>0</v>
      </c>
      <c r="AG54" s="379">
        <f>SUMIF($W$51:$W70,TRIM(AG52),$F$51:$F$70)</f>
        <v>0</v>
      </c>
      <c r="AH54" s="379">
        <f>SUMIF($W$51:$W70,TRIM(AH52),$F$51:$F$70)</f>
        <v>0</v>
      </c>
      <c r="AI54" s="379">
        <f>SUMIF($W$51:$W70,TRIM(AI52),$F$51:$F$70)</f>
        <v>0</v>
      </c>
      <c r="AJ54" s="379">
        <f>SUMIF($W$51:$W70,TRIM(AJ52),$F$51:$F$70)</f>
        <v>0</v>
      </c>
    </row>
    <row r="55" spans="2:36" s="148" customFormat="1" ht="27" customHeight="1">
      <c r="B55" s="831"/>
      <c r="C55" s="832"/>
      <c r="D55" s="368">
        <v>5</v>
      </c>
      <c r="E55" s="451"/>
      <c r="F55" s="452">
        <f t="shared" si="24"/>
        <v>0</v>
      </c>
      <c r="G55" s="372"/>
      <c r="H55" s="453"/>
      <c r="I55" s="453"/>
      <c r="J55" s="455" t="str">
        <f t="shared" si="25"/>
        <v>-</v>
      </c>
      <c r="K55" s="454"/>
      <c r="L55" s="455" t="str">
        <f t="shared" si="26"/>
        <v>-</v>
      </c>
      <c r="M55" s="454"/>
      <c r="N55" s="455" t="str">
        <f t="shared" si="27"/>
        <v>-</v>
      </c>
      <c r="O55" s="456">
        <f t="shared" si="28"/>
        <v>0</v>
      </c>
      <c r="P55" s="455" t="str">
        <f t="shared" si="29"/>
        <v>-</v>
      </c>
      <c r="Q55" s="453"/>
      <c r="R55" s="455" t="str">
        <f t="shared" si="30"/>
        <v>-</v>
      </c>
      <c r="S55" s="456">
        <f t="shared" si="31"/>
        <v>0</v>
      </c>
      <c r="T55" s="455" t="str">
        <f t="shared" si="32"/>
        <v>-</v>
      </c>
      <c r="U55" s="371">
        <f t="shared" si="33"/>
        <v>0</v>
      </c>
      <c r="V55" s="373" t="s">
        <v>418</v>
      </c>
      <c r="W55" s="373"/>
      <c r="X55" s="374"/>
      <c r="Y55" s="390"/>
      <c r="Z55" s="374">
        <v>1</v>
      </c>
      <c r="AA55" s="457"/>
      <c r="AC55" s="368" t="s">
        <v>569</v>
      </c>
      <c r="AD55" s="458">
        <f t="shared" ref="AD55:AJ55" si="35">AD53/$AC53</f>
        <v>0</v>
      </c>
      <c r="AE55" s="458">
        <f t="shared" si="35"/>
        <v>0</v>
      </c>
      <c r="AF55" s="458">
        <f t="shared" si="35"/>
        <v>0</v>
      </c>
      <c r="AG55" s="458">
        <f t="shared" si="35"/>
        <v>0</v>
      </c>
      <c r="AH55" s="458">
        <f t="shared" si="35"/>
        <v>0</v>
      </c>
      <c r="AI55" s="458">
        <f t="shared" si="35"/>
        <v>0</v>
      </c>
      <c r="AJ55" s="458">
        <f t="shared" si="35"/>
        <v>0</v>
      </c>
    </row>
    <row r="56" spans="2:36" s="148" customFormat="1" ht="27" customHeight="1">
      <c r="B56" s="831"/>
      <c r="C56" s="832"/>
      <c r="D56" s="368">
        <v>6</v>
      </c>
      <c r="E56" s="451"/>
      <c r="F56" s="452">
        <f t="shared" si="24"/>
        <v>0</v>
      </c>
      <c r="G56" s="372"/>
      <c r="H56" s="453"/>
      <c r="I56" s="453"/>
      <c r="J56" s="455" t="str">
        <f t="shared" si="25"/>
        <v>-</v>
      </c>
      <c r="K56" s="454"/>
      <c r="L56" s="455" t="str">
        <f t="shared" si="26"/>
        <v>-</v>
      </c>
      <c r="M56" s="454"/>
      <c r="N56" s="455" t="str">
        <f t="shared" si="27"/>
        <v>-</v>
      </c>
      <c r="O56" s="456">
        <f t="shared" si="28"/>
        <v>0</v>
      </c>
      <c r="P56" s="455" t="str">
        <f t="shared" si="29"/>
        <v>-</v>
      </c>
      <c r="Q56" s="453"/>
      <c r="R56" s="455" t="str">
        <f t="shared" si="30"/>
        <v>-</v>
      </c>
      <c r="S56" s="456">
        <f t="shared" si="31"/>
        <v>0</v>
      </c>
      <c r="T56" s="455" t="str">
        <f t="shared" si="32"/>
        <v>-</v>
      </c>
      <c r="U56" s="371">
        <f t="shared" si="33"/>
        <v>0</v>
      </c>
      <c r="V56" s="373" t="s">
        <v>418</v>
      </c>
      <c r="W56" s="373"/>
      <c r="X56" s="374"/>
      <c r="Y56" s="374"/>
      <c r="Z56" s="374">
        <v>1</v>
      </c>
      <c r="AA56" s="457"/>
    </row>
    <row r="57" spans="2:36" s="148" customFormat="1" ht="27" customHeight="1">
      <c r="B57" s="831"/>
      <c r="C57" s="832"/>
      <c r="D57" s="368">
        <v>7</v>
      </c>
      <c r="E57" s="451"/>
      <c r="F57" s="452">
        <f t="shared" si="24"/>
        <v>0</v>
      </c>
      <c r="G57" s="372"/>
      <c r="H57" s="453"/>
      <c r="I57" s="453"/>
      <c r="J57" s="455" t="str">
        <f t="shared" si="25"/>
        <v>-</v>
      </c>
      <c r="K57" s="454"/>
      <c r="L57" s="455" t="str">
        <f t="shared" si="26"/>
        <v>-</v>
      </c>
      <c r="M57" s="454"/>
      <c r="N57" s="455" t="str">
        <f t="shared" si="27"/>
        <v>-</v>
      </c>
      <c r="O57" s="456">
        <f t="shared" si="28"/>
        <v>0</v>
      </c>
      <c r="P57" s="455" t="str">
        <f t="shared" si="29"/>
        <v>-</v>
      </c>
      <c r="Q57" s="453"/>
      <c r="R57" s="455" t="str">
        <f t="shared" si="30"/>
        <v>-</v>
      </c>
      <c r="S57" s="456">
        <f t="shared" si="31"/>
        <v>0</v>
      </c>
      <c r="T57" s="455" t="str">
        <f t="shared" si="32"/>
        <v>-</v>
      </c>
      <c r="U57" s="371">
        <f t="shared" si="33"/>
        <v>0</v>
      </c>
      <c r="V57" s="373" t="s">
        <v>418</v>
      </c>
      <c r="W57" s="373"/>
      <c r="X57" s="374"/>
      <c r="Y57" s="374"/>
      <c r="Z57" s="374">
        <v>1</v>
      </c>
      <c r="AA57" s="457"/>
    </row>
    <row r="58" spans="2:36" s="148" customFormat="1" ht="27" customHeight="1">
      <c r="B58" s="831"/>
      <c r="C58" s="832"/>
      <c r="D58" s="368">
        <v>8</v>
      </c>
      <c r="E58" s="451"/>
      <c r="F58" s="452">
        <f t="shared" si="24"/>
        <v>0</v>
      </c>
      <c r="G58" s="372"/>
      <c r="H58" s="453"/>
      <c r="I58" s="453"/>
      <c r="J58" s="455" t="str">
        <f t="shared" si="25"/>
        <v>-</v>
      </c>
      <c r="K58" s="454"/>
      <c r="L58" s="455" t="str">
        <f t="shared" si="26"/>
        <v>-</v>
      </c>
      <c r="M58" s="454"/>
      <c r="N58" s="455" t="str">
        <f t="shared" si="27"/>
        <v>-</v>
      </c>
      <c r="O58" s="456">
        <f t="shared" si="28"/>
        <v>0</v>
      </c>
      <c r="P58" s="455" t="str">
        <f t="shared" si="29"/>
        <v>-</v>
      </c>
      <c r="Q58" s="453"/>
      <c r="R58" s="455" t="str">
        <f t="shared" si="30"/>
        <v>-</v>
      </c>
      <c r="S58" s="456">
        <f t="shared" si="31"/>
        <v>0</v>
      </c>
      <c r="T58" s="455" t="str">
        <f t="shared" si="32"/>
        <v>-</v>
      </c>
      <c r="U58" s="371">
        <f t="shared" si="33"/>
        <v>0</v>
      </c>
      <c r="V58" s="373" t="s">
        <v>418</v>
      </c>
      <c r="W58" s="373"/>
      <c r="X58" s="374"/>
      <c r="Y58" s="374"/>
      <c r="Z58" s="374">
        <v>1</v>
      </c>
      <c r="AA58" s="457"/>
    </row>
    <row r="59" spans="2:36" s="148" customFormat="1" ht="27" customHeight="1">
      <c r="B59" s="831"/>
      <c r="C59" s="832"/>
      <c r="D59" s="368">
        <v>9</v>
      </c>
      <c r="E59" s="451"/>
      <c r="F59" s="452">
        <f t="shared" si="24"/>
        <v>0</v>
      </c>
      <c r="G59" s="372"/>
      <c r="H59" s="453"/>
      <c r="I59" s="453"/>
      <c r="J59" s="455" t="str">
        <f t="shared" si="25"/>
        <v>-</v>
      </c>
      <c r="K59" s="454"/>
      <c r="L59" s="455" t="str">
        <f t="shared" si="26"/>
        <v>-</v>
      </c>
      <c r="M59" s="454"/>
      <c r="N59" s="455" t="str">
        <f t="shared" si="27"/>
        <v>-</v>
      </c>
      <c r="O59" s="456">
        <f t="shared" si="28"/>
        <v>0</v>
      </c>
      <c r="P59" s="455" t="str">
        <f t="shared" si="29"/>
        <v>-</v>
      </c>
      <c r="Q59" s="453"/>
      <c r="R59" s="455" t="str">
        <f t="shared" si="30"/>
        <v>-</v>
      </c>
      <c r="S59" s="456">
        <f t="shared" si="31"/>
        <v>0</v>
      </c>
      <c r="T59" s="455" t="str">
        <f t="shared" si="32"/>
        <v>-</v>
      </c>
      <c r="U59" s="371">
        <f t="shared" si="33"/>
        <v>0</v>
      </c>
      <c r="V59" s="373" t="s">
        <v>418</v>
      </c>
      <c r="W59" s="373"/>
      <c r="X59" s="374"/>
      <c r="Y59" s="374"/>
      <c r="Z59" s="374">
        <v>1</v>
      </c>
      <c r="AA59" s="457"/>
    </row>
    <row r="60" spans="2:36" s="148" customFormat="1" ht="27" customHeight="1">
      <c r="B60" s="831"/>
      <c r="C60" s="832"/>
      <c r="D60" s="368">
        <v>10</v>
      </c>
      <c r="E60" s="451"/>
      <c r="F60" s="452">
        <f t="shared" si="24"/>
        <v>0</v>
      </c>
      <c r="G60" s="372"/>
      <c r="H60" s="453"/>
      <c r="I60" s="453"/>
      <c r="J60" s="455" t="str">
        <f t="shared" si="25"/>
        <v>-</v>
      </c>
      <c r="K60" s="454"/>
      <c r="L60" s="455" t="str">
        <f t="shared" si="26"/>
        <v>-</v>
      </c>
      <c r="M60" s="454"/>
      <c r="N60" s="455" t="str">
        <f t="shared" si="27"/>
        <v>-</v>
      </c>
      <c r="O60" s="456">
        <f t="shared" si="28"/>
        <v>0</v>
      </c>
      <c r="P60" s="455" t="str">
        <f t="shared" si="29"/>
        <v>-</v>
      </c>
      <c r="Q60" s="453"/>
      <c r="R60" s="455" t="str">
        <f t="shared" si="30"/>
        <v>-</v>
      </c>
      <c r="S60" s="456">
        <f t="shared" si="31"/>
        <v>0</v>
      </c>
      <c r="T60" s="455" t="str">
        <f t="shared" si="32"/>
        <v>-</v>
      </c>
      <c r="U60" s="371">
        <f t="shared" si="33"/>
        <v>0</v>
      </c>
      <c r="V60" s="373" t="s">
        <v>418</v>
      </c>
      <c r="W60" s="373"/>
      <c r="X60" s="374"/>
      <c r="Y60" s="374"/>
      <c r="Z60" s="374">
        <v>1</v>
      </c>
      <c r="AA60" s="457"/>
    </row>
    <row r="61" spans="2:36" s="148" customFormat="1" ht="27" customHeight="1">
      <c r="B61" s="831"/>
      <c r="C61" s="832"/>
      <c r="D61" s="368">
        <v>11</v>
      </c>
      <c r="E61" s="451"/>
      <c r="F61" s="452">
        <f t="shared" si="24"/>
        <v>0</v>
      </c>
      <c r="G61" s="372"/>
      <c r="H61" s="453"/>
      <c r="I61" s="453"/>
      <c r="J61" s="455" t="str">
        <f t="shared" si="25"/>
        <v>-</v>
      </c>
      <c r="K61" s="454"/>
      <c r="L61" s="455" t="str">
        <f t="shared" si="26"/>
        <v>-</v>
      </c>
      <c r="M61" s="454"/>
      <c r="N61" s="455" t="str">
        <f t="shared" si="27"/>
        <v>-</v>
      </c>
      <c r="O61" s="456">
        <f t="shared" si="28"/>
        <v>0</v>
      </c>
      <c r="P61" s="455" t="str">
        <f t="shared" si="29"/>
        <v>-</v>
      </c>
      <c r="Q61" s="453"/>
      <c r="R61" s="455" t="str">
        <f t="shared" si="30"/>
        <v>-</v>
      </c>
      <c r="S61" s="456">
        <f t="shared" si="31"/>
        <v>0</v>
      </c>
      <c r="T61" s="455" t="str">
        <f t="shared" si="32"/>
        <v>-</v>
      </c>
      <c r="U61" s="371">
        <f t="shared" si="33"/>
        <v>0</v>
      </c>
      <c r="V61" s="373" t="s">
        <v>418</v>
      </c>
      <c r="W61" s="373"/>
      <c r="X61" s="374"/>
      <c r="Y61" s="374"/>
      <c r="Z61" s="374">
        <v>1</v>
      </c>
      <c r="AA61" s="457"/>
      <c r="AE61" s="377"/>
    </row>
    <row r="62" spans="2:36" s="148" customFormat="1" ht="27" customHeight="1">
      <c r="B62" s="831"/>
      <c r="C62" s="832"/>
      <c r="D62" s="368">
        <v>12</v>
      </c>
      <c r="E62" s="451"/>
      <c r="F62" s="452">
        <f t="shared" si="24"/>
        <v>0</v>
      </c>
      <c r="G62" s="372"/>
      <c r="H62" s="453"/>
      <c r="I62" s="453"/>
      <c r="J62" s="455" t="str">
        <f t="shared" si="25"/>
        <v>-</v>
      </c>
      <c r="K62" s="454"/>
      <c r="L62" s="455" t="str">
        <f t="shared" si="26"/>
        <v>-</v>
      </c>
      <c r="M62" s="454"/>
      <c r="N62" s="455" t="str">
        <f t="shared" si="27"/>
        <v>-</v>
      </c>
      <c r="O62" s="456">
        <f t="shared" si="28"/>
        <v>0</v>
      </c>
      <c r="P62" s="455" t="str">
        <f t="shared" si="29"/>
        <v>-</v>
      </c>
      <c r="Q62" s="453"/>
      <c r="R62" s="455" t="str">
        <f t="shared" si="30"/>
        <v>-</v>
      </c>
      <c r="S62" s="456">
        <f t="shared" si="31"/>
        <v>0</v>
      </c>
      <c r="T62" s="455" t="str">
        <f t="shared" si="32"/>
        <v>-</v>
      </c>
      <c r="U62" s="371">
        <f t="shared" si="33"/>
        <v>0</v>
      </c>
      <c r="V62" s="373" t="s">
        <v>418</v>
      </c>
      <c r="W62" s="373"/>
      <c r="X62" s="374"/>
      <c r="Y62" s="374"/>
      <c r="Z62" s="374">
        <v>1</v>
      </c>
      <c r="AA62" s="457"/>
    </row>
    <row r="63" spans="2:36" s="148" customFormat="1" ht="27" customHeight="1">
      <c r="B63" s="831"/>
      <c r="C63" s="832"/>
      <c r="D63" s="368">
        <v>13</v>
      </c>
      <c r="E63" s="451"/>
      <c r="F63" s="452">
        <f t="shared" si="24"/>
        <v>0</v>
      </c>
      <c r="G63" s="372"/>
      <c r="H63" s="453"/>
      <c r="I63" s="453"/>
      <c r="J63" s="455" t="str">
        <f t="shared" si="25"/>
        <v>-</v>
      </c>
      <c r="K63" s="454"/>
      <c r="L63" s="455" t="str">
        <f t="shared" si="26"/>
        <v>-</v>
      </c>
      <c r="M63" s="454"/>
      <c r="N63" s="455" t="str">
        <f t="shared" si="27"/>
        <v>-</v>
      </c>
      <c r="O63" s="456">
        <f t="shared" si="28"/>
        <v>0</v>
      </c>
      <c r="P63" s="455" t="str">
        <f t="shared" si="29"/>
        <v>-</v>
      </c>
      <c r="Q63" s="453"/>
      <c r="R63" s="455" t="str">
        <f t="shared" si="30"/>
        <v>-</v>
      </c>
      <c r="S63" s="456">
        <f t="shared" si="31"/>
        <v>0</v>
      </c>
      <c r="T63" s="455" t="str">
        <f t="shared" si="32"/>
        <v>-</v>
      </c>
      <c r="U63" s="371">
        <f t="shared" si="33"/>
        <v>0</v>
      </c>
      <c r="V63" s="373" t="s">
        <v>418</v>
      </c>
      <c r="W63" s="373"/>
      <c r="X63" s="374"/>
      <c r="Y63" s="374"/>
      <c r="Z63" s="374">
        <v>1</v>
      </c>
      <c r="AA63" s="457"/>
    </row>
    <row r="64" spans="2:36" s="148" customFormat="1" ht="27" customHeight="1">
      <c r="B64" s="831"/>
      <c r="C64" s="832"/>
      <c r="D64" s="368">
        <v>14</v>
      </c>
      <c r="E64" s="451"/>
      <c r="F64" s="452">
        <f t="shared" si="24"/>
        <v>0</v>
      </c>
      <c r="G64" s="372"/>
      <c r="H64" s="453"/>
      <c r="I64" s="453"/>
      <c r="J64" s="455" t="str">
        <f t="shared" si="25"/>
        <v>-</v>
      </c>
      <c r="K64" s="454"/>
      <c r="L64" s="455" t="str">
        <f t="shared" si="26"/>
        <v>-</v>
      </c>
      <c r="M64" s="454"/>
      <c r="N64" s="455" t="str">
        <f t="shared" si="27"/>
        <v>-</v>
      </c>
      <c r="O64" s="456">
        <f t="shared" si="28"/>
        <v>0</v>
      </c>
      <c r="P64" s="455" t="str">
        <f t="shared" si="29"/>
        <v>-</v>
      </c>
      <c r="Q64" s="453"/>
      <c r="R64" s="455" t="str">
        <f t="shared" si="30"/>
        <v>-</v>
      </c>
      <c r="S64" s="456">
        <f t="shared" si="31"/>
        <v>0</v>
      </c>
      <c r="T64" s="455" t="str">
        <f t="shared" si="32"/>
        <v>-</v>
      </c>
      <c r="U64" s="371">
        <f t="shared" si="33"/>
        <v>0</v>
      </c>
      <c r="V64" s="373" t="s">
        <v>418</v>
      </c>
      <c r="W64" s="373"/>
      <c r="X64" s="373"/>
      <c r="Y64" s="374"/>
      <c r="Z64" s="374">
        <v>1</v>
      </c>
      <c r="AA64" s="457"/>
    </row>
    <row r="65" spans="2:36" s="148" customFormat="1" ht="27" customHeight="1">
      <c r="B65" s="831"/>
      <c r="C65" s="832"/>
      <c r="D65" s="368">
        <v>15</v>
      </c>
      <c r="E65" s="451"/>
      <c r="F65" s="452">
        <f t="shared" si="24"/>
        <v>0</v>
      </c>
      <c r="G65" s="372"/>
      <c r="H65" s="453"/>
      <c r="I65" s="453"/>
      <c r="J65" s="455" t="str">
        <f t="shared" si="25"/>
        <v>-</v>
      </c>
      <c r="K65" s="454"/>
      <c r="L65" s="455" t="str">
        <f t="shared" si="26"/>
        <v>-</v>
      </c>
      <c r="M65" s="454"/>
      <c r="N65" s="455" t="str">
        <f t="shared" si="27"/>
        <v>-</v>
      </c>
      <c r="O65" s="456">
        <f t="shared" si="28"/>
        <v>0</v>
      </c>
      <c r="P65" s="455" t="str">
        <f t="shared" si="29"/>
        <v>-</v>
      </c>
      <c r="Q65" s="453"/>
      <c r="R65" s="455" t="str">
        <f t="shared" si="30"/>
        <v>-</v>
      </c>
      <c r="S65" s="456">
        <f t="shared" si="31"/>
        <v>0</v>
      </c>
      <c r="T65" s="455" t="str">
        <f t="shared" si="32"/>
        <v>-</v>
      </c>
      <c r="U65" s="371">
        <f t="shared" si="33"/>
        <v>0</v>
      </c>
      <c r="V65" s="373" t="s">
        <v>418</v>
      </c>
      <c r="W65" s="373"/>
      <c r="X65" s="374"/>
      <c r="Y65" s="374"/>
      <c r="Z65" s="374">
        <v>1</v>
      </c>
      <c r="AA65" s="457"/>
    </row>
    <row r="66" spans="2:36" s="148" customFormat="1" ht="27" customHeight="1">
      <c r="B66" s="831"/>
      <c r="C66" s="832"/>
      <c r="D66" s="368">
        <v>16</v>
      </c>
      <c r="E66" s="451"/>
      <c r="F66" s="452">
        <f t="shared" si="24"/>
        <v>0</v>
      </c>
      <c r="G66" s="372"/>
      <c r="H66" s="453"/>
      <c r="I66" s="453"/>
      <c r="J66" s="455" t="str">
        <f t="shared" si="25"/>
        <v>-</v>
      </c>
      <c r="K66" s="454"/>
      <c r="L66" s="455" t="str">
        <f t="shared" si="26"/>
        <v>-</v>
      </c>
      <c r="M66" s="454"/>
      <c r="N66" s="455" t="str">
        <f t="shared" si="27"/>
        <v>-</v>
      </c>
      <c r="O66" s="456">
        <f t="shared" si="28"/>
        <v>0</v>
      </c>
      <c r="P66" s="455" t="str">
        <f t="shared" si="29"/>
        <v>-</v>
      </c>
      <c r="Q66" s="453"/>
      <c r="R66" s="455" t="str">
        <f t="shared" si="30"/>
        <v>-</v>
      </c>
      <c r="S66" s="456">
        <f t="shared" si="31"/>
        <v>0</v>
      </c>
      <c r="T66" s="455" t="str">
        <f t="shared" si="32"/>
        <v>-</v>
      </c>
      <c r="U66" s="371">
        <f t="shared" si="33"/>
        <v>0</v>
      </c>
      <c r="V66" s="373" t="s">
        <v>418</v>
      </c>
      <c r="W66" s="373"/>
      <c r="X66" s="374"/>
      <c r="Y66" s="374"/>
      <c r="Z66" s="374">
        <v>1</v>
      </c>
      <c r="AA66" s="457"/>
    </row>
    <row r="67" spans="2:36" s="148" customFormat="1" ht="27" customHeight="1">
      <c r="B67" s="831"/>
      <c r="C67" s="832"/>
      <c r="D67" s="368">
        <v>17</v>
      </c>
      <c r="E67" s="451"/>
      <c r="F67" s="452">
        <f t="shared" si="24"/>
        <v>0</v>
      </c>
      <c r="G67" s="372"/>
      <c r="H67" s="453"/>
      <c r="I67" s="453"/>
      <c r="J67" s="455" t="str">
        <f t="shared" si="25"/>
        <v>-</v>
      </c>
      <c r="K67" s="454"/>
      <c r="L67" s="455" t="str">
        <f t="shared" si="26"/>
        <v>-</v>
      </c>
      <c r="M67" s="454"/>
      <c r="N67" s="455" t="str">
        <f t="shared" si="27"/>
        <v>-</v>
      </c>
      <c r="O67" s="456">
        <f t="shared" si="28"/>
        <v>0</v>
      </c>
      <c r="P67" s="455" t="str">
        <f t="shared" si="29"/>
        <v>-</v>
      </c>
      <c r="Q67" s="453"/>
      <c r="R67" s="455" t="str">
        <f t="shared" si="30"/>
        <v>-</v>
      </c>
      <c r="S67" s="456">
        <f t="shared" si="31"/>
        <v>0</v>
      </c>
      <c r="T67" s="455" t="str">
        <f t="shared" si="32"/>
        <v>-</v>
      </c>
      <c r="U67" s="371">
        <f t="shared" si="33"/>
        <v>0</v>
      </c>
      <c r="V67" s="373" t="s">
        <v>418</v>
      </c>
      <c r="W67" s="373"/>
      <c r="X67" s="390"/>
      <c r="Y67" s="373"/>
      <c r="Z67" s="374">
        <v>1</v>
      </c>
      <c r="AA67" s="457"/>
    </row>
    <row r="68" spans="2:36" s="148" customFormat="1" ht="27" customHeight="1">
      <c r="B68" s="831"/>
      <c r="C68" s="832"/>
      <c r="D68" s="368">
        <v>18</v>
      </c>
      <c r="E68" s="451"/>
      <c r="F68" s="452">
        <f t="shared" si="24"/>
        <v>0</v>
      </c>
      <c r="G68" s="372"/>
      <c r="H68" s="453"/>
      <c r="I68" s="453"/>
      <c r="J68" s="455" t="str">
        <f t="shared" si="25"/>
        <v>-</v>
      </c>
      <c r="K68" s="454"/>
      <c r="L68" s="455" t="str">
        <f t="shared" si="26"/>
        <v>-</v>
      </c>
      <c r="M68" s="454"/>
      <c r="N68" s="455" t="str">
        <f t="shared" si="27"/>
        <v>-</v>
      </c>
      <c r="O68" s="456">
        <f t="shared" si="28"/>
        <v>0</v>
      </c>
      <c r="P68" s="455" t="str">
        <f t="shared" si="29"/>
        <v>-</v>
      </c>
      <c r="Q68" s="453"/>
      <c r="R68" s="455" t="str">
        <f t="shared" si="30"/>
        <v>-</v>
      </c>
      <c r="S68" s="456">
        <f t="shared" si="31"/>
        <v>0</v>
      </c>
      <c r="T68" s="455" t="str">
        <f t="shared" si="32"/>
        <v>-</v>
      </c>
      <c r="U68" s="371">
        <f t="shared" si="33"/>
        <v>0</v>
      </c>
      <c r="V68" s="373" t="s">
        <v>418</v>
      </c>
      <c r="W68" s="373"/>
      <c r="X68" s="374"/>
      <c r="Y68" s="374"/>
      <c r="Z68" s="374">
        <v>1</v>
      </c>
      <c r="AA68" s="457"/>
    </row>
    <row r="69" spans="2:36" s="148" customFormat="1" ht="27" customHeight="1">
      <c r="B69" s="831"/>
      <c r="C69" s="832"/>
      <c r="D69" s="368">
        <v>19</v>
      </c>
      <c r="E69" s="451"/>
      <c r="F69" s="452">
        <f t="shared" si="24"/>
        <v>0</v>
      </c>
      <c r="G69" s="372"/>
      <c r="H69" s="453"/>
      <c r="I69" s="453"/>
      <c r="J69" s="455" t="str">
        <f t="shared" si="25"/>
        <v>-</v>
      </c>
      <c r="K69" s="454"/>
      <c r="L69" s="455" t="str">
        <f t="shared" si="26"/>
        <v>-</v>
      </c>
      <c r="M69" s="454"/>
      <c r="N69" s="455" t="str">
        <f t="shared" si="27"/>
        <v>-</v>
      </c>
      <c r="O69" s="456">
        <f t="shared" si="28"/>
        <v>0</v>
      </c>
      <c r="P69" s="455" t="str">
        <f t="shared" si="29"/>
        <v>-</v>
      </c>
      <c r="Q69" s="453"/>
      <c r="R69" s="455" t="str">
        <f t="shared" si="30"/>
        <v>-</v>
      </c>
      <c r="S69" s="456">
        <f t="shared" si="31"/>
        <v>0</v>
      </c>
      <c r="T69" s="455" t="str">
        <f t="shared" si="32"/>
        <v>-</v>
      </c>
      <c r="U69" s="371">
        <f t="shared" si="33"/>
        <v>0</v>
      </c>
      <c r="V69" s="373" t="s">
        <v>418</v>
      </c>
      <c r="W69" s="373"/>
      <c r="X69" s="390"/>
      <c r="Y69" s="374"/>
      <c r="Z69" s="374">
        <v>1</v>
      </c>
      <c r="AA69" s="457"/>
    </row>
    <row r="70" spans="2:36" s="148" customFormat="1" ht="27" customHeight="1">
      <c r="B70" s="833"/>
      <c r="C70" s="834"/>
      <c r="D70" s="368">
        <v>20</v>
      </c>
      <c r="E70" s="451"/>
      <c r="F70" s="452">
        <f t="shared" si="24"/>
        <v>0</v>
      </c>
      <c r="G70" s="372"/>
      <c r="H70" s="453"/>
      <c r="I70" s="453"/>
      <c r="J70" s="455" t="str">
        <f t="shared" si="25"/>
        <v>-</v>
      </c>
      <c r="K70" s="454"/>
      <c r="L70" s="455" t="str">
        <f t="shared" si="26"/>
        <v>-</v>
      </c>
      <c r="M70" s="454"/>
      <c r="N70" s="455" t="str">
        <f t="shared" si="27"/>
        <v>-</v>
      </c>
      <c r="O70" s="456">
        <f t="shared" si="28"/>
        <v>0</v>
      </c>
      <c r="P70" s="455" t="str">
        <f t="shared" si="29"/>
        <v>-</v>
      </c>
      <c r="Q70" s="453"/>
      <c r="R70" s="455" t="str">
        <f t="shared" si="30"/>
        <v>-</v>
      </c>
      <c r="S70" s="456">
        <f t="shared" si="31"/>
        <v>0</v>
      </c>
      <c r="T70" s="455" t="str">
        <f t="shared" si="32"/>
        <v>-</v>
      </c>
      <c r="U70" s="371">
        <f t="shared" si="33"/>
        <v>0</v>
      </c>
      <c r="V70" s="373" t="s">
        <v>418</v>
      </c>
      <c r="W70" s="373"/>
      <c r="X70" s="374"/>
      <c r="Y70" s="374"/>
      <c r="Z70" s="374">
        <v>1</v>
      </c>
      <c r="AA70" s="457"/>
    </row>
    <row r="71" spans="2:36" ht="17.149999999999999" customHeight="1">
      <c r="B71" s="846" t="s">
        <v>444</v>
      </c>
      <c r="C71" s="847"/>
      <c r="D71" s="857" t="s">
        <v>555</v>
      </c>
      <c r="E71" s="884" t="s">
        <v>556</v>
      </c>
      <c r="F71" s="876" t="s">
        <v>557</v>
      </c>
      <c r="G71" s="860" t="s">
        <v>558</v>
      </c>
      <c r="H71" s="885" t="s">
        <v>559</v>
      </c>
      <c r="I71" s="858" t="s">
        <v>560</v>
      </c>
      <c r="J71" s="859"/>
      <c r="K71" s="858" t="s">
        <v>561</v>
      </c>
      <c r="L71" s="859"/>
      <c r="M71" s="858" t="s">
        <v>562</v>
      </c>
      <c r="N71" s="859"/>
      <c r="O71" s="858" t="s">
        <v>563</v>
      </c>
      <c r="P71" s="859"/>
      <c r="Q71" s="858" t="s">
        <v>419</v>
      </c>
      <c r="R71" s="859"/>
      <c r="S71" s="862" t="s">
        <v>420</v>
      </c>
      <c r="T71" s="863"/>
      <c r="U71" s="864"/>
      <c r="V71" s="854" t="s">
        <v>171</v>
      </c>
      <c r="W71" s="854" t="s">
        <v>245</v>
      </c>
      <c r="X71" s="854" t="s">
        <v>564</v>
      </c>
      <c r="Y71" s="854" t="s">
        <v>446</v>
      </c>
      <c r="Z71" s="854" t="s">
        <v>246</v>
      </c>
      <c r="AA71" s="860" t="s">
        <v>172</v>
      </c>
      <c r="AC71" s="865" t="s">
        <v>247</v>
      </c>
      <c r="AD71" s="866"/>
      <c r="AE71" s="866"/>
      <c r="AF71" s="866"/>
      <c r="AG71" s="866"/>
      <c r="AH71" s="866"/>
      <c r="AI71" s="866"/>
      <c r="AJ71" s="867"/>
    </row>
    <row r="72" spans="2:36">
      <c r="B72" s="848"/>
      <c r="C72" s="849"/>
      <c r="D72" s="857"/>
      <c r="E72" s="857"/>
      <c r="F72" s="876"/>
      <c r="G72" s="861"/>
      <c r="H72" s="861"/>
      <c r="I72" s="450" t="s">
        <v>565</v>
      </c>
      <c r="J72" s="369" t="s">
        <v>566</v>
      </c>
      <c r="K72" s="450" t="s">
        <v>565</v>
      </c>
      <c r="L72" s="369" t="s">
        <v>566</v>
      </c>
      <c r="M72" s="450" t="s">
        <v>565</v>
      </c>
      <c r="N72" s="369" t="s">
        <v>566</v>
      </c>
      <c r="O72" s="450" t="s">
        <v>565</v>
      </c>
      <c r="P72" s="369" t="s">
        <v>566</v>
      </c>
      <c r="Q72" s="450" t="s">
        <v>565</v>
      </c>
      <c r="R72" s="369" t="s">
        <v>566</v>
      </c>
      <c r="S72" s="450" t="s">
        <v>565</v>
      </c>
      <c r="T72" s="369" t="s">
        <v>566</v>
      </c>
      <c r="U72" s="369" t="s">
        <v>567</v>
      </c>
      <c r="V72" s="856"/>
      <c r="W72" s="856"/>
      <c r="X72" s="856"/>
      <c r="Y72" s="856"/>
      <c r="Z72" s="856"/>
      <c r="AA72" s="861"/>
      <c r="AC72" s="868"/>
      <c r="AD72" s="869"/>
      <c r="AE72" s="869"/>
      <c r="AF72" s="869"/>
      <c r="AG72" s="869"/>
      <c r="AH72" s="869"/>
      <c r="AI72" s="869"/>
      <c r="AJ72" s="870"/>
    </row>
    <row r="73" spans="2:36" s="148" customFormat="1" ht="27" customHeight="1">
      <c r="B73" s="829" t="s">
        <v>667</v>
      </c>
      <c r="C73" s="830"/>
      <c r="D73" s="368">
        <v>1</v>
      </c>
      <c r="E73" s="451"/>
      <c r="F73" s="452">
        <f>IFERROR(Q73*G73,"-")</f>
        <v>0</v>
      </c>
      <c r="G73" s="372"/>
      <c r="H73" s="453"/>
      <c r="I73" s="453"/>
      <c r="J73" s="455" t="str">
        <f>IFERROR(I73/H73,"-")</f>
        <v>-</v>
      </c>
      <c r="K73" s="454"/>
      <c r="L73" s="455" t="str">
        <f>IFERROR(K73/H73,"-")</f>
        <v>-</v>
      </c>
      <c r="M73" s="454"/>
      <c r="N73" s="455" t="str">
        <f>IFERROR(M73/H73,"-")</f>
        <v>-</v>
      </c>
      <c r="O73" s="456">
        <f>IFERROR(K73+M73,"-")</f>
        <v>0</v>
      </c>
      <c r="P73" s="455" t="str">
        <f>IFERROR(O73/H73,"-")</f>
        <v>-</v>
      </c>
      <c r="Q73" s="453"/>
      <c r="R73" s="455" t="str">
        <f>IFERROR(Q73/H73,"-")</f>
        <v>-</v>
      </c>
      <c r="S73" s="456">
        <f>IFERROR(O73-H73,"-")</f>
        <v>0</v>
      </c>
      <c r="T73" s="455" t="str">
        <f>IFERROR(S73/H73,"-")</f>
        <v>-</v>
      </c>
      <c r="U73" s="371">
        <f>IFERROR(S73*G73,"-")</f>
        <v>0</v>
      </c>
      <c r="V73" s="373" t="s">
        <v>418</v>
      </c>
      <c r="W73" s="373"/>
      <c r="X73" s="374"/>
      <c r="Y73" s="374"/>
      <c r="Z73" s="374">
        <v>1</v>
      </c>
      <c r="AA73" s="457"/>
      <c r="AC73" s="871"/>
      <c r="AD73" s="872"/>
      <c r="AE73" s="872"/>
      <c r="AF73" s="872"/>
      <c r="AG73" s="872"/>
      <c r="AH73" s="872"/>
      <c r="AI73" s="872"/>
      <c r="AJ73" s="873"/>
    </row>
    <row r="74" spans="2:36" s="148" customFormat="1" ht="27" customHeight="1">
      <c r="B74" s="831"/>
      <c r="C74" s="832"/>
      <c r="D74" s="368">
        <v>2</v>
      </c>
      <c r="E74" s="451"/>
      <c r="F74" s="452">
        <f t="shared" ref="F74:F92" si="36">IFERROR(Q74*G74,"-")</f>
        <v>0</v>
      </c>
      <c r="G74" s="372"/>
      <c r="H74" s="453"/>
      <c r="I74" s="453"/>
      <c r="J74" s="455" t="str">
        <f t="shared" ref="J74:J92" si="37">IFERROR(I74/H74,"-")</f>
        <v>-</v>
      </c>
      <c r="K74" s="454"/>
      <c r="L74" s="455" t="str">
        <f t="shared" ref="L74:L92" si="38">IFERROR(K74/H74,"-")</f>
        <v>-</v>
      </c>
      <c r="M74" s="454"/>
      <c r="N74" s="455" t="str">
        <f t="shared" ref="N74:N92" si="39">IFERROR(M74/H74,"-")</f>
        <v>-</v>
      </c>
      <c r="O74" s="456">
        <f t="shared" ref="O74:O92" si="40">IFERROR(K74+M74,"-")</f>
        <v>0</v>
      </c>
      <c r="P74" s="455" t="str">
        <f t="shared" ref="P74:P92" si="41">IFERROR(O74/H74,"-")</f>
        <v>-</v>
      </c>
      <c r="Q74" s="453"/>
      <c r="R74" s="455" t="str">
        <f t="shared" ref="R74:R92" si="42">IFERROR(Q74/H74,"-")</f>
        <v>-</v>
      </c>
      <c r="S74" s="456">
        <f t="shared" ref="S74:S92" si="43">IFERROR(O74-H74,"-")</f>
        <v>0</v>
      </c>
      <c r="T74" s="455" t="str">
        <f t="shared" ref="T74:T92" si="44">IFERROR(S74/H74,"-")</f>
        <v>-</v>
      </c>
      <c r="U74" s="371">
        <f t="shared" ref="U74:U92" si="45">IFERROR(S74*G74,"-")</f>
        <v>0</v>
      </c>
      <c r="V74" s="373" t="s">
        <v>418</v>
      </c>
      <c r="W74" s="373"/>
      <c r="X74" s="374"/>
      <c r="Y74" s="374"/>
      <c r="Z74" s="374">
        <v>1</v>
      </c>
      <c r="AA74" s="457"/>
      <c r="AC74" s="161" t="s">
        <v>244</v>
      </c>
      <c r="AD74" s="161" t="s">
        <v>447</v>
      </c>
      <c r="AE74" s="156" t="s">
        <v>568</v>
      </c>
      <c r="AF74" s="156" t="s">
        <v>337</v>
      </c>
      <c r="AG74" s="156" t="s">
        <v>430</v>
      </c>
      <c r="AH74" s="156" t="s">
        <v>215</v>
      </c>
      <c r="AI74" s="156" t="s">
        <v>216</v>
      </c>
      <c r="AJ74" s="156" t="s">
        <v>385</v>
      </c>
    </row>
    <row r="75" spans="2:36" s="148" customFormat="1" ht="27" customHeight="1">
      <c r="B75" s="831"/>
      <c r="C75" s="832"/>
      <c r="D75" s="368">
        <v>3</v>
      </c>
      <c r="E75" s="451"/>
      <c r="F75" s="452">
        <f t="shared" si="36"/>
        <v>0</v>
      </c>
      <c r="G75" s="372"/>
      <c r="H75" s="453"/>
      <c r="I75" s="453"/>
      <c r="J75" s="455" t="str">
        <f t="shared" si="37"/>
        <v>-</v>
      </c>
      <c r="K75" s="454"/>
      <c r="L75" s="455" t="str">
        <f t="shared" si="38"/>
        <v>-</v>
      </c>
      <c r="M75" s="454"/>
      <c r="N75" s="455" t="str">
        <f t="shared" si="39"/>
        <v>-</v>
      </c>
      <c r="O75" s="456">
        <f t="shared" si="40"/>
        <v>0</v>
      </c>
      <c r="P75" s="455" t="str">
        <f t="shared" si="41"/>
        <v>-</v>
      </c>
      <c r="Q75" s="453"/>
      <c r="R75" s="455" t="str">
        <f t="shared" si="42"/>
        <v>-</v>
      </c>
      <c r="S75" s="456">
        <f t="shared" si="43"/>
        <v>0</v>
      </c>
      <c r="T75" s="455" t="str">
        <f t="shared" si="44"/>
        <v>-</v>
      </c>
      <c r="U75" s="371">
        <f t="shared" si="45"/>
        <v>0</v>
      </c>
      <c r="V75" s="373" t="s">
        <v>418</v>
      </c>
      <c r="W75" s="373"/>
      <c r="X75" s="374"/>
      <c r="Y75" s="374"/>
      <c r="Z75" s="374">
        <v>1</v>
      </c>
      <c r="AA75" s="457"/>
      <c r="AC75" s="381">
        <f>SUM(Z73:Z92)</f>
        <v>20</v>
      </c>
      <c r="AD75" s="376">
        <f>SUMIF($W$73:$W$92,TRIM(AD74),$Z$73:$Z$92)</f>
        <v>0</v>
      </c>
      <c r="AE75" s="376">
        <f t="shared" ref="AE75:AJ75" si="46">SUMIF($W$73:$W$92,TRIM(AE74),$Z$73:$Z$92)</f>
        <v>0</v>
      </c>
      <c r="AF75" s="376">
        <f t="shared" si="46"/>
        <v>0</v>
      </c>
      <c r="AG75" s="376">
        <f t="shared" si="46"/>
        <v>0</v>
      </c>
      <c r="AH75" s="376">
        <f t="shared" si="46"/>
        <v>0</v>
      </c>
      <c r="AI75" s="376">
        <f t="shared" si="46"/>
        <v>0</v>
      </c>
      <c r="AJ75" s="376">
        <f t="shared" si="46"/>
        <v>0</v>
      </c>
    </row>
    <row r="76" spans="2:36" s="148" customFormat="1" ht="27" customHeight="1">
      <c r="B76" s="831"/>
      <c r="C76" s="832"/>
      <c r="D76" s="368">
        <v>4</v>
      </c>
      <c r="E76" s="451"/>
      <c r="F76" s="452">
        <f t="shared" si="36"/>
        <v>0</v>
      </c>
      <c r="G76" s="372"/>
      <c r="H76" s="453"/>
      <c r="I76" s="453"/>
      <c r="J76" s="455" t="str">
        <f t="shared" si="37"/>
        <v>-</v>
      </c>
      <c r="K76" s="454"/>
      <c r="L76" s="455" t="str">
        <f t="shared" si="38"/>
        <v>-</v>
      </c>
      <c r="M76" s="454"/>
      <c r="N76" s="455" t="str">
        <f t="shared" si="39"/>
        <v>-</v>
      </c>
      <c r="O76" s="456">
        <f t="shared" si="40"/>
        <v>0</v>
      </c>
      <c r="P76" s="455" t="str">
        <f t="shared" si="41"/>
        <v>-</v>
      </c>
      <c r="Q76" s="453"/>
      <c r="R76" s="455" t="str">
        <f t="shared" si="42"/>
        <v>-</v>
      </c>
      <c r="S76" s="456">
        <f t="shared" si="43"/>
        <v>0</v>
      </c>
      <c r="T76" s="455" t="str">
        <f t="shared" si="44"/>
        <v>-</v>
      </c>
      <c r="U76" s="371">
        <f t="shared" si="45"/>
        <v>0</v>
      </c>
      <c r="V76" s="373" t="s">
        <v>418</v>
      </c>
      <c r="W76" s="373"/>
      <c r="X76" s="374"/>
      <c r="Y76" s="374"/>
      <c r="Z76" s="374">
        <v>1</v>
      </c>
      <c r="AA76" s="457"/>
      <c r="AC76" s="382" t="s">
        <v>11</v>
      </c>
      <c r="AD76" s="379">
        <f>SUMIF($W$73:$W92,TRIM(AD74),$F$73:$F$92)</f>
        <v>0</v>
      </c>
      <c r="AE76" s="379">
        <f>SUMIF($W$73:$W92,TRIM(AE74),$F$73:$F$92)</f>
        <v>0</v>
      </c>
      <c r="AF76" s="379">
        <f>SUMIF($W$73:$W92,TRIM(AF74),$F$73:$F$92)</f>
        <v>0</v>
      </c>
      <c r="AG76" s="379">
        <f>SUMIF($W$73:$W92,TRIM(AG74),$F$73:$F$92)</f>
        <v>0</v>
      </c>
      <c r="AH76" s="379">
        <f>SUMIF($W$73:$W92,TRIM(AH74),$F$73:$F$92)</f>
        <v>0</v>
      </c>
      <c r="AI76" s="379">
        <f>SUMIF($W$73:$W92,TRIM(AI74),$F$73:$F$92)</f>
        <v>0</v>
      </c>
      <c r="AJ76" s="379">
        <f>SUMIF($W$73:$W92,TRIM(AJ74),$F$73:$F$92)</f>
        <v>0</v>
      </c>
    </row>
    <row r="77" spans="2:36" s="148" customFormat="1" ht="27" customHeight="1">
      <c r="B77" s="831"/>
      <c r="C77" s="832"/>
      <c r="D77" s="368">
        <v>5</v>
      </c>
      <c r="E77" s="451"/>
      <c r="F77" s="452">
        <f t="shared" si="36"/>
        <v>0</v>
      </c>
      <c r="G77" s="372"/>
      <c r="H77" s="453"/>
      <c r="I77" s="453"/>
      <c r="J77" s="455" t="str">
        <f t="shared" si="37"/>
        <v>-</v>
      </c>
      <c r="K77" s="454"/>
      <c r="L77" s="455" t="str">
        <f t="shared" si="38"/>
        <v>-</v>
      </c>
      <c r="M77" s="454"/>
      <c r="N77" s="455" t="str">
        <f t="shared" si="39"/>
        <v>-</v>
      </c>
      <c r="O77" s="456">
        <f t="shared" si="40"/>
        <v>0</v>
      </c>
      <c r="P77" s="455" t="str">
        <f t="shared" si="41"/>
        <v>-</v>
      </c>
      <c r="Q77" s="453"/>
      <c r="R77" s="455" t="str">
        <f t="shared" si="42"/>
        <v>-</v>
      </c>
      <c r="S77" s="456">
        <f t="shared" si="43"/>
        <v>0</v>
      </c>
      <c r="T77" s="455" t="str">
        <f t="shared" si="44"/>
        <v>-</v>
      </c>
      <c r="U77" s="371">
        <f t="shared" si="45"/>
        <v>0</v>
      </c>
      <c r="V77" s="373" t="s">
        <v>418</v>
      </c>
      <c r="W77" s="373"/>
      <c r="X77" s="374"/>
      <c r="Y77" s="390"/>
      <c r="Z77" s="374">
        <v>1</v>
      </c>
      <c r="AA77" s="457"/>
      <c r="AC77" s="368" t="s">
        <v>569</v>
      </c>
      <c r="AD77" s="458">
        <f t="shared" ref="AD77:AJ77" si="47">AD75/$AC75</f>
        <v>0</v>
      </c>
      <c r="AE77" s="458">
        <f t="shared" si="47"/>
        <v>0</v>
      </c>
      <c r="AF77" s="458">
        <f t="shared" si="47"/>
        <v>0</v>
      </c>
      <c r="AG77" s="458">
        <f t="shared" si="47"/>
        <v>0</v>
      </c>
      <c r="AH77" s="458">
        <f t="shared" si="47"/>
        <v>0</v>
      </c>
      <c r="AI77" s="458">
        <f t="shared" si="47"/>
        <v>0</v>
      </c>
      <c r="AJ77" s="458">
        <f t="shared" si="47"/>
        <v>0</v>
      </c>
    </row>
    <row r="78" spans="2:36" s="148" customFormat="1" ht="27" customHeight="1">
      <c r="B78" s="831"/>
      <c r="C78" s="832"/>
      <c r="D78" s="368">
        <v>6</v>
      </c>
      <c r="E78" s="451"/>
      <c r="F78" s="452">
        <f t="shared" si="36"/>
        <v>0</v>
      </c>
      <c r="G78" s="372"/>
      <c r="H78" s="453"/>
      <c r="I78" s="453"/>
      <c r="J78" s="455" t="str">
        <f t="shared" si="37"/>
        <v>-</v>
      </c>
      <c r="K78" s="454"/>
      <c r="L78" s="455" t="str">
        <f t="shared" si="38"/>
        <v>-</v>
      </c>
      <c r="M78" s="454"/>
      <c r="N78" s="455" t="str">
        <f t="shared" si="39"/>
        <v>-</v>
      </c>
      <c r="O78" s="456">
        <f t="shared" si="40"/>
        <v>0</v>
      </c>
      <c r="P78" s="455" t="str">
        <f t="shared" si="41"/>
        <v>-</v>
      </c>
      <c r="Q78" s="453"/>
      <c r="R78" s="455" t="str">
        <f t="shared" si="42"/>
        <v>-</v>
      </c>
      <c r="S78" s="456">
        <f t="shared" si="43"/>
        <v>0</v>
      </c>
      <c r="T78" s="455" t="str">
        <f t="shared" si="44"/>
        <v>-</v>
      </c>
      <c r="U78" s="371">
        <f t="shared" si="45"/>
        <v>0</v>
      </c>
      <c r="V78" s="373" t="s">
        <v>418</v>
      </c>
      <c r="W78" s="373"/>
      <c r="X78" s="374"/>
      <c r="Y78" s="374"/>
      <c r="Z78" s="374">
        <v>1</v>
      </c>
      <c r="AA78" s="457"/>
    </row>
    <row r="79" spans="2:36" s="148" customFormat="1" ht="27" customHeight="1">
      <c r="B79" s="831"/>
      <c r="C79" s="832"/>
      <c r="D79" s="368">
        <v>7</v>
      </c>
      <c r="E79" s="451"/>
      <c r="F79" s="452">
        <f t="shared" si="36"/>
        <v>0</v>
      </c>
      <c r="G79" s="372"/>
      <c r="H79" s="453"/>
      <c r="I79" s="453"/>
      <c r="J79" s="455" t="str">
        <f t="shared" si="37"/>
        <v>-</v>
      </c>
      <c r="K79" s="454"/>
      <c r="L79" s="455" t="str">
        <f t="shared" si="38"/>
        <v>-</v>
      </c>
      <c r="M79" s="454"/>
      <c r="N79" s="455" t="str">
        <f t="shared" si="39"/>
        <v>-</v>
      </c>
      <c r="O79" s="456">
        <f t="shared" si="40"/>
        <v>0</v>
      </c>
      <c r="P79" s="455" t="str">
        <f t="shared" si="41"/>
        <v>-</v>
      </c>
      <c r="Q79" s="453"/>
      <c r="R79" s="455" t="str">
        <f t="shared" si="42"/>
        <v>-</v>
      </c>
      <c r="S79" s="456">
        <f t="shared" si="43"/>
        <v>0</v>
      </c>
      <c r="T79" s="455" t="str">
        <f t="shared" si="44"/>
        <v>-</v>
      </c>
      <c r="U79" s="371">
        <f t="shared" si="45"/>
        <v>0</v>
      </c>
      <c r="V79" s="373" t="s">
        <v>418</v>
      </c>
      <c r="W79" s="373"/>
      <c r="X79" s="374"/>
      <c r="Y79" s="374"/>
      <c r="Z79" s="374">
        <v>1</v>
      </c>
      <c r="AA79" s="457"/>
    </row>
    <row r="80" spans="2:36" s="148" customFormat="1" ht="27" customHeight="1">
      <c r="B80" s="831"/>
      <c r="C80" s="832"/>
      <c r="D80" s="368">
        <v>8</v>
      </c>
      <c r="E80" s="451"/>
      <c r="F80" s="452">
        <f t="shared" si="36"/>
        <v>0</v>
      </c>
      <c r="G80" s="372"/>
      <c r="H80" s="453"/>
      <c r="I80" s="453"/>
      <c r="J80" s="455" t="str">
        <f t="shared" si="37"/>
        <v>-</v>
      </c>
      <c r="K80" s="454"/>
      <c r="L80" s="455" t="str">
        <f t="shared" si="38"/>
        <v>-</v>
      </c>
      <c r="M80" s="454"/>
      <c r="N80" s="455" t="str">
        <f t="shared" si="39"/>
        <v>-</v>
      </c>
      <c r="O80" s="456">
        <f t="shared" si="40"/>
        <v>0</v>
      </c>
      <c r="P80" s="455" t="str">
        <f t="shared" si="41"/>
        <v>-</v>
      </c>
      <c r="Q80" s="453"/>
      <c r="R80" s="455" t="str">
        <f t="shared" si="42"/>
        <v>-</v>
      </c>
      <c r="S80" s="456">
        <f t="shared" si="43"/>
        <v>0</v>
      </c>
      <c r="T80" s="455" t="str">
        <f t="shared" si="44"/>
        <v>-</v>
      </c>
      <c r="U80" s="371">
        <f t="shared" si="45"/>
        <v>0</v>
      </c>
      <c r="V80" s="373" t="s">
        <v>418</v>
      </c>
      <c r="W80" s="373"/>
      <c r="X80" s="374"/>
      <c r="Y80" s="374"/>
      <c r="Z80" s="374">
        <v>1</v>
      </c>
      <c r="AA80" s="457"/>
    </row>
    <row r="81" spans="2:36" s="148" customFormat="1" ht="27" customHeight="1">
      <c r="B81" s="831"/>
      <c r="C81" s="832"/>
      <c r="D81" s="368">
        <v>9</v>
      </c>
      <c r="E81" s="451"/>
      <c r="F81" s="452">
        <f t="shared" si="36"/>
        <v>0</v>
      </c>
      <c r="G81" s="372"/>
      <c r="H81" s="453"/>
      <c r="I81" s="453"/>
      <c r="J81" s="455" t="str">
        <f t="shared" si="37"/>
        <v>-</v>
      </c>
      <c r="K81" s="454"/>
      <c r="L81" s="455" t="str">
        <f t="shared" si="38"/>
        <v>-</v>
      </c>
      <c r="M81" s="454"/>
      <c r="N81" s="455" t="str">
        <f t="shared" si="39"/>
        <v>-</v>
      </c>
      <c r="O81" s="456">
        <f t="shared" si="40"/>
        <v>0</v>
      </c>
      <c r="P81" s="455" t="str">
        <f t="shared" si="41"/>
        <v>-</v>
      </c>
      <c r="Q81" s="453"/>
      <c r="R81" s="455" t="str">
        <f t="shared" si="42"/>
        <v>-</v>
      </c>
      <c r="S81" s="456">
        <f t="shared" si="43"/>
        <v>0</v>
      </c>
      <c r="T81" s="455" t="str">
        <f t="shared" si="44"/>
        <v>-</v>
      </c>
      <c r="U81" s="371">
        <f t="shared" si="45"/>
        <v>0</v>
      </c>
      <c r="V81" s="373" t="s">
        <v>418</v>
      </c>
      <c r="W81" s="373"/>
      <c r="X81" s="374"/>
      <c r="Y81" s="374"/>
      <c r="Z81" s="374">
        <v>1</v>
      </c>
      <c r="AA81" s="457"/>
    </row>
    <row r="82" spans="2:36" s="148" customFormat="1" ht="27" customHeight="1">
      <c r="B82" s="831"/>
      <c r="C82" s="832"/>
      <c r="D82" s="368">
        <v>10</v>
      </c>
      <c r="E82" s="451"/>
      <c r="F82" s="452">
        <f t="shared" si="36"/>
        <v>0</v>
      </c>
      <c r="G82" s="372"/>
      <c r="H82" s="453"/>
      <c r="I82" s="453"/>
      <c r="J82" s="455" t="str">
        <f t="shared" si="37"/>
        <v>-</v>
      </c>
      <c r="K82" s="454"/>
      <c r="L82" s="455" t="str">
        <f t="shared" si="38"/>
        <v>-</v>
      </c>
      <c r="M82" s="454"/>
      <c r="N82" s="455" t="str">
        <f t="shared" si="39"/>
        <v>-</v>
      </c>
      <c r="O82" s="456">
        <f t="shared" si="40"/>
        <v>0</v>
      </c>
      <c r="P82" s="455" t="str">
        <f t="shared" si="41"/>
        <v>-</v>
      </c>
      <c r="Q82" s="453"/>
      <c r="R82" s="455" t="str">
        <f t="shared" si="42"/>
        <v>-</v>
      </c>
      <c r="S82" s="456">
        <f t="shared" si="43"/>
        <v>0</v>
      </c>
      <c r="T82" s="455" t="str">
        <f t="shared" si="44"/>
        <v>-</v>
      </c>
      <c r="U82" s="371">
        <f t="shared" si="45"/>
        <v>0</v>
      </c>
      <c r="V82" s="373" t="s">
        <v>418</v>
      </c>
      <c r="W82" s="373"/>
      <c r="X82" s="374"/>
      <c r="Y82" s="374"/>
      <c r="Z82" s="374">
        <v>1</v>
      </c>
      <c r="AA82" s="457"/>
    </row>
    <row r="83" spans="2:36" s="148" customFormat="1" ht="27" customHeight="1">
      <c r="B83" s="831"/>
      <c r="C83" s="832"/>
      <c r="D83" s="368">
        <v>11</v>
      </c>
      <c r="E83" s="451"/>
      <c r="F83" s="452">
        <f t="shared" si="36"/>
        <v>0</v>
      </c>
      <c r="G83" s="372"/>
      <c r="H83" s="453"/>
      <c r="I83" s="453"/>
      <c r="J83" s="455" t="str">
        <f t="shared" si="37"/>
        <v>-</v>
      </c>
      <c r="K83" s="454"/>
      <c r="L83" s="455" t="str">
        <f t="shared" si="38"/>
        <v>-</v>
      </c>
      <c r="M83" s="454"/>
      <c r="N83" s="455" t="str">
        <f t="shared" si="39"/>
        <v>-</v>
      </c>
      <c r="O83" s="456">
        <f t="shared" si="40"/>
        <v>0</v>
      </c>
      <c r="P83" s="455" t="str">
        <f t="shared" si="41"/>
        <v>-</v>
      </c>
      <c r="Q83" s="453"/>
      <c r="R83" s="455" t="str">
        <f t="shared" si="42"/>
        <v>-</v>
      </c>
      <c r="S83" s="456">
        <f t="shared" si="43"/>
        <v>0</v>
      </c>
      <c r="T83" s="455" t="str">
        <f t="shared" si="44"/>
        <v>-</v>
      </c>
      <c r="U83" s="371">
        <f t="shared" si="45"/>
        <v>0</v>
      </c>
      <c r="V83" s="373" t="s">
        <v>418</v>
      </c>
      <c r="W83" s="373"/>
      <c r="X83" s="374"/>
      <c r="Y83" s="374"/>
      <c r="Z83" s="374">
        <v>1</v>
      </c>
      <c r="AA83" s="457"/>
      <c r="AE83" s="377"/>
    </row>
    <row r="84" spans="2:36" s="148" customFormat="1" ht="27" customHeight="1">
      <c r="B84" s="831"/>
      <c r="C84" s="832"/>
      <c r="D84" s="368">
        <v>12</v>
      </c>
      <c r="E84" s="451"/>
      <c r="F84" s="452">
        <f t="shared" si="36"/>
        <v>0</v>
      </c>
      <c r="G84" s="372"/>
      <c r="H84" s="453"/>
      <c r="I84" s="453"/>
      <c r="J84" s="455" t="str">
        <f t="shared" si="37"/>
        <v>-</v>
      </c>
      <c r="K84" s="454"/>
      <c r="L84" s="455" t="str">
        <f t="shared" si="38"/>
        <v>-</v>
      </c>
      <c r="M84" s="454"/>
      <c r="N84" s="455" t="str">
        <f t="shared" si="39"/>
        <v>-</v>
      </c>
      <c r="O84" s="456">
        <f t="shared" si="40"/>
        <v>0</v>
      </c>
      <c r="P84" s="455" t="str">
        <f t="shared" si="41"/>
        <v>-</v>
      </c>
      <c r="Q84" s="453"/>
      <c r="R84" s="455" t="str">
        <f t="shared" si="42"/>
        <v>-</v>
      </c>
      <c r="S84" s="456">
        <f t="shared" si="43"/>
        <v>0</v>
      </c>
      <c r="T84" s="455" t="str">
        <f t="shared" si="44"/>
        <v>-</v>
      </c>
      <c r="U84" s="371">
        <f t="shared" si="45"/>
        <v>0</v>
      </c>
      <c r="V84" s="373" t="s">
        <v>418</v>
      </c>
      <c r="W84" s="373"/>
      <c r="X84" s="374"/>
      <c r="Y84" s="374"/>
      <c r="Z84" s="374">
        <v>1</v>
      </c>
      <c r="AA84" s="457"/>
    </row>
    <row r="85" spans="2:36" s="148" customFormat="1" ht="27" customHeight="1">
      <c r="B85" s="831"/>
      <c r="C85" s="832"/>
      <c r="D85" s="368">
        <v>13</v>
      </c>
      <c r="E85" s="451"/>
      <c r="F85" s="452">
        <f t="shared" si="36"/>
        <v>0</v>
      </c>
      <c r="G85" s="372"/>
      <c r="H85" s="453"/>
      <c r="I85" s="453"/>
      <c r="J85" s="455" t="str">
        <f t="shared" si="37"/>
        <v>-</v>
      </c>
      <c r="K85" s="454"/>
      <c r="L85" s="455" t="str">
        <f t="shared" si="38"/>
        <v>-</v>
      </c>
      <c r="M85" s="454"/>
      <c r="N85" s="455" t="str">
        <f t="shared" si="39"/>
        <v>-</v>
      </c>
      <c r="O85" s="456">
        <f t="shared" si="40"/>
        <v>0</v>
      </c>
      <c r="P85" s="455" t="str">
        <f t="shared" si="41"/>
        <v>-</v>
      </c>
      <c r="Q85" s="453"/>
      <c r="R85" s="455" t="str">
        <f t="shared" si="42"/>
        <v>-</v>
      </c>
      <c r="S85" s="456">
        <f t="shared" si="43"/>
        <v>0</v>
      </c>
      <c r="T85" s="455" t="str">
        <f t="shared" si="44"/>
        <v>-</v>
      </c>
      <c r="U85" s="371">
        <f t="shared" si="45"/>
        <v>0</v>
      </c>
      <c r="V85" s="373" t="s">
        <v>418</v>
      </c>
      <c r="W85" s="373"/>
      <c r="X85" s="374"/>
      <c r="Y85" s="374"/>
      <c r="Z85" s="374">
        <v>1</v>
      </c>
      <c r="AA85" s="457"/>
    </row>
    <row r="86" spans="2:36" s="148" customFormat="1" ht="27" customHeight="1">
      <c r="B86" s="831"/>
      <c r="C86" s="832"/>
      <c r="D86" s="368">
        <v>14</v>
      </c>
      <c r="E86" s="451"/>
      <c r="F86" s="452">
        <f t="shared" si="36"/>
        <v>0</v>
      </c>
      <c r="G86" s="372"/>
      <c r="H86" s="453"/>
      <c r="I86" s="453"/>
      <c r="J86" s="455" t="str">
        <f t="shared" si="37"/>
        <v>-</v>
      </c>
      <c r="K86" s="454"/>
      <c r="L86" s="455" t="str">
        <f t="shared" si="38"/>
        <v>-</v>
      </c>
      <c r="M86" s="454"/>
      <c r="N86" s="455" t="str">
        <f t="shared" si="39"/>
        <v>-</v>
      </c>
      <c r="O86" s="456">
        <f t="shared" si="40"/>
        <v>0</v>
      </c>
      <c r="P86" s="455" t="str">
        <f t="shared" si="41"/>
        <v>-</v>
      </c>
      <c r="Q86" s="453"/>
      <c r="R86" s="455" t="str">
        <f t="shared" si="42"/>
        <v>-</v>
      </c>
      <c r="S86" s="456">
        <f t="shared" si="43"/>
        <v>0</v>
      </c>
      <c r="T86" s="455" t="str">
        <f t="shared" si="44"/>
        <v>-</v>
      </c>
      <c r="U86" s="371">
        <f t="shared" si="45"/>
        <v>0</v>
      </c>
      <c r="V86" s="373" t="s">
        <v>418</v>
      </c>
      <c r="W86" s="373"/>
      <c r="X86" s="373"/>
      <c r="Y86" s="374"/>
      <c r="Z86" s="374">
        <v>1</v>
      </c>
      <c r="AA86" s="457"/>
    </row>
    <row r="87" spans="2:36" s="148" customFormat="1" ht="27" customHeight="1">
      <c r="B87" s="831"/>
      <c r="C87" s="832"/>
      <c r="D87" s="368">
        <v>15</v>
      </c>
      <c r="E87" s="451"/>
      <c r="F87" s="452">
        <f t="shared" si="36"/>
        <v>0</v>
      </c>
      <c r="G87" s="372"/>
      <c r="H87" s="453"/>
      <c r="I87" s="453"/>
      <c r="J87" s="455" t="str">
        <f t="shared" si="37"/>
        <v>-</v>
      </c>
      <c r="K87" s="454"/>
      <c r="L87" s="455" t="str">
        <f t="shared" si="38"/>
        <v>-</v>
      </c>
      <c r="M87" s="454"/>
      <c r="N87" s="455" t="str">
        <f t="shared" si="39"/>
        <v>-</v>
      </c>
      <c r="O87" s="456">
        <f t="shared" si="40"/>
        <v>0</v>
      </c>
      <c r="P87" s="455" t="str">
        <f t="shared" si="41"/>
        <v>-</v>
      </c>
      <c r="Q87" s="453"/>
      <c r="R87" s="455" t="str">
        <f t="shared" si="42"/>
        <v>-</v>
      </c>
      <c r="S87" s="456">
        <f t="shared" si="43"/>
        <v>0</v>
      </c>
      <c r="T87" s="455" t="str">
        <f t="shared" si="44"/>
        <v>-</v>
      </c>
      <c r="U87" s="371">
        <f t="shared" si="45"/>
        <v>0</v>
      </c>
      <c r="V87" s="373" t="s">
        <v>418</v>
      </c>
      <c r="W87" s="373"/>
      <c r="X87" s="374"/>
      <c r="Y87" s="374"/>
      <c r="Z87" s="374">
        <v>1</v>
      </c>
      <c r="AA87" s="457"/>
    </row>
    <row r="88" spans="2:36" s="148" customFormat="1" ht="27" customHeight="1">
      <c r="B88" s="831"/>
      <c r="C88" s="832"/>
      <c r="D88" s="368">
        <v>16</v>
      </c>
      <c r="E88" s="451"/>
      <c r="F88" s="452">
        <f t="shared" si="36"/>
        <v>0</v>
      </c>
      <c r="G88" s="372"/>
      <c r="H88" s="453"/>
      <c r="I88" s="453"/>
      <c r="J88" s="455" t="str">
        <f t="shared" si="37"/>
        <v>-</v>
      </c>
      <c r="K88" s="454"/>
      <c r="L88" s="455" t="str">
        <f t="shared" si="38"/>
        <v>-</v>
      </c>
      <c r="M88" s="454"/>
      <c r="N88" s="455" t="str">
        <f t="shared" si="39"/>
        <v>-</v>
      </c>
      <c r="O88" s="456">
        <f t="shared" si="40"/>
        <v>0</v>
      </c>
      <c r="P88" s="455" t="str">
        <f t="shared" si="41"/>
        <v>-</v>
      </c>
      <c r="Q88" s="453"/>
      <c r="R88" s="455" t="str">
        <f t="shared" si="42"/>
        <v>-</v>
      </c>
      <c r="S88" s="456">
        <f t="shared" si="43"/>
        <v>0</v>
      </c>
      <c r="T88" s="455" t="str">
        <f t="shared" si="44"/>
        <v>-</v>
      </c>
      <c r="U88" s="371">
        <f t="shared" si="45"/>
        <v>0</v>
      </c>
      <c r="V88" s="373" t="s">
        <v>418</v>
      </c>
      <c r="W88" s="373"/>
      <c r="X88" s="374"/>
      <c r="Y88" s="374"/>
      <c r="Z88" s="374">
        <v>1</v>
      </c>
      <c r="AA88" s="457"/>
    </row>
    <row r="89" spans="2:36" s="148" customFormat="1" ht="27" customHeight="1">
      <c r="B89" s="831"/>
      <c r="C89" s="832"/>
      <c r="D89" s="368">
        <v>17</v>
      </c>
      <c r="E89" s="451"/>
      <c r="F89" s="452">
        <f t="shared" si="36"/>
        <v>0</v>
      </c>
      <c r="G89" s="372"/>
      <c r="H89" s="453"/>
      <c r="I89" s="453"/>
      <c r="J89" s="455" t="str">
        <f t="shared" si="37"/>
        <v>-</v>
      </c>
      <c r="K89" s="454"/>
      <c r="L89" s="455" t="str">
        <f t="shared" si="38"/>
        <v>-</v>
      </c>
      <c r="M89" s="454"/>
      <c r="N89" s="455" t="str">
        <f t="shared" si="39"/>
        <v>-</v>
      </c>
      <c r="O89" s="456">
        <f t="shared" si="40"/>
        <v>0</v>
      </c>
      <c r="P89" s="455" t="str">
        <f t="shared" si="41"/>
        <v>-</v>
      </c>
      <c r="Q89" s="453"/>
      <c r="R89" s="455" t="str">
        <f t="shared" si="42"/>
        <v>-</v>
      </c>
      <c r="S89" s="456">
        <f t="shared" si="43"/>
        <v>0</v>
      </c>
      <c r="T89" s="455" t="str">
        <f t="shared" si="44"/>
        <v>-</v>
      </c>
      <c r="U89" s="371">
        <f t="shared" si="45"/>
        <v>0</v>
      </c>
      <c r="V89" s="373" t="s">
        <v>418</v>
      </c>
      <c r="W89" s="373"/>
      <c r="X89" s="390"/>
      <c r="Y89" s="373"/>
      <c r="Z89" s="374">
        <v>1</v>
      </c>
      <c r="AA89" s="457"/>
    </row>
    <row r="90" spans="2:36" s="148" customFormat="1" ht="27" customHeight="1">
      <c r="B90" s="831"/>
      <c r="C90" s="832"/>
      <c r="D90" s="368">
        <v>18</v>
      </c>
      <c r="E90" s="451"/>
      <c r="F90" s="452">
        <f t="shared" si="36"/>
        <v>0</v>
      </c>
      <c r="G90" s="372"/>
      <c r="H90" s="453"/>
      <c r="I90" s="453"/>
      <c r="J90" s="455" t="str">
        <f t="shared" si="37"/>
        <v>-</v>
      </c>
      <c r="K90" s="454"/>
      <c r="L90" s="455" t="str">
        <f t="shared" si="38"/>
        <v>-</v>
      </c>
      <c r="M90" s="454"/>
      <c r="N90" s="455" t="str">
        <f t="shared" si="39"/>
        <v>-</v>
      </c>
      <c r="O90" s="456">
        <f t="shared" si="40"/>
        <v>0</v>
      </c>
      <c r="P90" s="455" t="str">
        <f t="shared" si="41"/>
        <v>-</v>
      </c>
      <c r="Q90" s="453"/>
      <c r="R90" s="455" t="str">
        <f t="shared" si="42"/>
        <v>-</v>
      </c>
      <c r="S90" s="456">
        <f t="shared" si="43"/>
        <v>0</v>
      </c>
      <c r="T90" s="455" t="str">
        <f t="shared" si="44"/>
        <v>-</v>
      </c>
      <c r="U90" s="371">
        <f t="shared" si="45"/>
        <v>0</v>
      </c>
      <c r="V90" s="373" t="s">
        <v>418</v>
      </c>
      <c r="W90" s="373"/>
      <c r="X90" s="374"/>
      <c r="Y90" s="374"/>
      <c r="Z90" s="374">
        <v>1</v>
      </c>
      <c r="AA90" s="457"/>
    </row>
    <row r="91" spans="2:36" s="148" customFormat="1" ht="27" customHeight="1">
      <c r="B91" s="831"/>
      <c r="C91" s="832"/>
      <c r="D91" s="368">
        <v>19</v>
      </c>
      <c r="E91" s="451"/>
      <c r="F91" s="452">
        <f t="shared" si="36"/>
        <v>0</v>
      </c>
      <c r="G91" s="372"/>
      <c r="H91" s="453"/>
      <c r="I91" s="453"/>
      <c r="J91" s="455" t="str">
        <f t="shared" si="37"/>
        <v>-</v>
      </c>
      <c r="K91" s="454"/>
      <c r="L91" s="455" t="str">
        <f t="shared" si="38"/>
        <v>-</v>
      </c>
      <c r="M91" s="454"/>
      <c r="N91" s="455" t="str">
        <f t="shared" si="39"/>
        <v>-</v>
      </c>
      <c r="O91" s="456">
        <f t="shared" si="40"/>
        <v>0</v>
      </c>
      <c r="P91" s="455" t="str">
        <f t="shared" si="41"/>
        <v>-</v>
      </c>
      <c r="Q91" s="453"/>
      <c r="R91" s="455" t="str">
        <f t="shared" si="42"/>
        <v>-</v>
      </c>
      <c r="S91" s="456">
        <f t="shared" si="43"/>
        <v>0</v>
      </c>
      <c r="T91" s="455" t="str">
        <f t="shared" si="44"/>
        <v>-</v>
      </c>
      <c r="U91" s="371">
        <f t="shared" si="45"/>
        <v>0</v>
      </c>
      <c r="V91" s="373" t="s">
        <v>418</v>
      </c>
      <c r="W91" s="373"/>
      <c r="X91" s="390"/>
      <c r="Y91" s="374"/>
      <c r="Z91" s="374">
        <v>1</v>
      </c>
      <c r="AA91" s="457"/>
    </row>
    <row r="92" spans="2:36" s="148" customFormat="1" ht="27" customHeight="1">
      <c r="B92" s="833"/>
      <c r="C92" s="834"/>
      <c r="D92" s="368">
        <v>20</v>
      </c>
      <c r="E92" s="451"/>
      <c r="F92" s="452">
        <f t="shared" si="36"/>
        <v>0</v>
      </c>
      <c r="G92" s="372"/>
      <c r="H92" s="453"/>
      <c r="I92" s="453"/>
      <c r="J92" s="455" t="str">
        <f t="shared" si="37"/>
        <v>-</v>
      </c>
      <c r="K92" s="454"/>
      <c r="L92" s="455" t="str">
        <f t="shared" si="38"/>
        <v>-</v>
      </c>
      <c r="M92" s="454"/>
      <c r="N92" s="455" t="str">
        <f t="shared" si="39"/>
        <v>-</v>
      </c>
      <c r="O92" s="456">
        <f t="shared" si="40"/>
        <v>0</v>
      </c>
      <c r="P92" s="455" t="str">
        <f t="shared" si="41"/>
        <v>-</v>
      </c>
      <c r="Q92" s="453"/>
      <c r="R92" s="455" t="str">
        <f t="shared" si="42"/>
        <v>-</v>
      </c>
      <c r="S92" s="456">
        <f t="shared" si="43"/>
        <v>0</v>
      </c>
      <c r="T92" s="455" t="str">
        <f t="shared" si="44"/>
        <v>-</v>
      </c>
      <c r="U92" s="371">
        <f t="shared" si="45"/>
        <v>0</v>
      </c>
      <c r="V92" s="373" t="s">
        <v>418</v>
      </c>
      <c r="W92" s="373"/>
      <c r="X92" s="374"/>
      <c r="Y92" s="374"/>
      <c r="Z92" s="374">
        <v>1</v>
      </c>
      <c r="AA92" s="457"/>
    </row>
    <row r="93" spans="2:36" ht="17.149999999999999" customHeight="1">
      <c r="B93" s="846" t="s">
        <v>444</v>
      </c>
      <c r="C93" s="847"/>
      <c r="D93" s="857" t="s">
        <v>555</v>
      </c>
      <c r="E93" s="884" t="s">
        <v>556</v>
      </c>
      <c r="F93" s="876" t="s">
        <v>557</v>
      </c>
      <c r="G93" s="860" t="s">
        <v>558</v>
      </c>
      <c r="H93" s="885" t="s">
        <v>559</v>
      </c>
      <c r="I93" s="858" t="s">
        <v>560</v>
      </c>
      <c r="J93" s="859"/>
      <c r="K93" s="858" t="s">
        <v>561</v>
      </c>
      <c r="L93" s="859"/>
      <c r="M93" s="858" t="s">
        <v>562</v>
      </c>
      <c r="N93" s="859"/>
      <c r="O93" s="858" t="s">
        <v>563</v>
      </c>
      <c r="P93" s="859"/>
      <c r="Q93" s="858" t="s">
        <v>419</v>
      </c>
      <c r="R93" s="859"/>
      <c r="S93" s="862" t="s">
        <v>420</v>
      </c>
      <c r="T93" s="863"/>
      <c r="U93" s="864"/>
      <c r="V93" s="854" t="s">
        <v>171</v>
      </c>
      <c r="W93" s="854" t="s">
        <v>245</v>
      </c>
      <c r="X93" s="854" t="s">
        <v>564</v>
      </c>
      <c r="Y93" s="854" t="s">
        <v>446</v>
      </c>
      <c r="Z93" s="854" t="s">
        <v>246</v>
      </c>
      <c r="AA93" s="860" t="s">
        <v>172</v>
      </c>
      <c r="AC93" s="865" t="s">
        <v>247</v>
      </c>
      <c r="AD93" s="866"/>
      <c r="AE93" s="866"/>
      <c r="AF93" s="866"/>
      <c r="AG93" s="866"/>
      <c r="AH93" s="866"/>
      <c r="AI93" s="866"/>
      <c r="AJ93" s="867"/>
    </row>
    <row r="94" spans="2:36">
      <c r="B94" s="848"/>
      <c r="C94" s="849"/>
      <c r="D94" s="857"/>
      <c r="E94" s="857"/>
      <c r="F94" s="876"/>
      <c r="G94" s="861"/>
      <c r="H94" s="861"/>
      <c r="I94" s="450" t="s">
        <v>565</v>
      </c>
      <c r="J94" s="369" t="s">
        <v>566</v>
      </c>
      <c r="K94" s="450" t="s">
        <v>565</v>
      </c>
      <c r="L94" s="369" t="s">
        <v>566</v>
      </c>
      <c r="M94" s="450" t="s">
        <v>565</v>
      </c>
      <c r="N94" s="369" t="s">
        <v>566</v>
      </c>
      <c r="O94" s="450" t="s">
        <v>565</v>
      </c>
      <c r="P94" s="369" t="s">
        <v>566</v>
      </c>
      <c r="Q94" s="450" t="s">
        <v>565</v>
      </c>
      <c r="R94" s="369" t="s">
        <v>566</v>
      </c>
      <c r="S94" s="450" t="s">
        <v>565</v>
      </c>
      <c r="T94" s="369" t="s">
        <v>566</v>
      </c>
      <c r="U94" s="369" t="s">
        <v>567</v>
      </c>
      <c r="V94" s="856"/>
      <c r="W94" s="856"/>
      <c r="X94" s="856"/>
      <c r="Y94" s="856"/>
      <c r="Z94" s="856"/>
      <c r="AA94" s="861"/>
      <c r="AC94" s="868"/>
      <c r="AD94" s="869"/>
      <c r="AE94" s="869"/>
      <c r="AF94" s="869"/>
      <c r="AG94" s="869"/>
      <c r="AH94" s="869"/>
      <c r="AI94" s="869"/>
      <c r="AJ94" s="870"/>
    </row>
    <row r="95" spans="2:36" s="148" customFormat="1" ht="27" customHeight="1">
      <c r="B95" s="829" t="s">
        <v>668</v>
      </c>
      <c r="C95" s="830"/>
      <c r="D95" s="368">
        <v>1</v>
      </c>
      <c r="E95" s="451"/>
      <c r="F95" s="452">
        <f>IFERROR(Q95*G95,"-")</f>
        <v>0</v>
      </c>
      <c r="G95" s="372"/>
      <c r="H95" s="453"/>
      <c r="I95" s="453"/>
      <c r="J95" s="455" t="str">
        <f>IFERROR(I95/H95,"-")</f>
        <v>-</v>
      </c>
      <c r="K95" s="454"/>
      <c r="L95" s="455" t="str">
        <f>IFERROR(K95/H95,"-")</f>
        <v>-</v>
      </c>
      <c r="M95" s="454"/>
      <c r="N95" s="455" t="str">
        <f>IFERROR(M95/H95,"-")</f>
        <v>-</v>
      </c>
      <c r="O95" s="456">
        <f>IFERROR(K95+M95,"-")</f>
        <v>0</v>
      </c>
      <c r="P95" s="455" t="str">
        <f>IFERROR(O95/H95,"-")</f>
        <v>-</v>
      </c>
      <c r="Q95" s="453"/>
      <c r="R95" s="455" t="str">
        <f>IFERROR(Q95/H95,"-")</f>
        <v>-</v>
      </c>
      <c r="S95" s="456">
        <f>IFERROR(O95-H95,"-")</f>
        <v>0</v>
      </c>
      <c r="T95" s="455" t="str">
        <f>IFERROR(S95/H95,"-")</f>
        <v>-</v>
      </c>
      <c r="U95" s="371">
        <f>IFERROR(S95*G95,"-")</f>
        <v>0</v>
      </c>
      <c r="V95" s="373" t="s">
        <v>418</v>
      </c>
      <c r="W95" s="373"/>
      <c r="X95" s="374"/>
      <c r="Y95" s="374"/>
      <c r="Z95" s="374">
        <v>1</v>
      </c>
      <c r="AA95" s="457"/>
      <c r="AC95" s="871"/>
      <c r="AD95" s="872"/>
      <c r="AE95" s="872"/>
      <c r="AF95" s="872"/>
      <c r="AG95" s="872"/>
      <c r="AH95" s="872"/>
      <c r="AI95" s="872"/>
      <c r="AJ95" s="873"/>
    </row>
    <row r="96" spans="2:36" s="148" customFormat="1" ht="27" customHeight="1">
      <c r="B96" s="831"/>
      <c r="C96" s="832"/>
      <c r="D96" s="368">
        <v>2</v>
      </c>
      <c r="E96" s="451"/>
      <c r="F96" s="452">
        <f t="shared" ref="F96:F114" si="48">IFERROR(Q96*G96,"-")</f>
        <v>0</v>
      </c>
      <c r="G96" s="372"/>
      <c r="H96" s="453"/>
      <c r="I96" s="453"/>
      <c r="J96" s="455" t="str">
        <f t="shared" ref="J96:J114" si="49">IFERROR(I96/H96,"-")</f>
        <v>-</v>
      </c>
      <c r="K96" s="454"/>
      <c r="L96" s="455" t="str">
        <f t="shared" ref="L96:L114" si="50">IFERROR(K96/H96,"-")</f>
        <v>-</v>
      </c>
      <c r="M96" s="454"/>
      <c r="N96" s="455" t="str">
        <f t="shared" ref="N96:N114" si="51">IFERROR(M96/H96,"-")</f>
        <v>-</v>
      </c>
      <c r="O96" s="456">
        <f t="shared" ref="O96:O114" si="52">IFERROR(K96+M96,"-")</f>
        <v>0</v>
      </c>
      <c r="P96" s="455" t="str">
        <f t="shared" ref="P96:P114" si="53">IFERROR(O96/H96,"-")</f>
        <v>-</v>
      </c>
      <c r="Q96" s="453"/>
      <c r="R96" s="455" t="str">
        <f t="shared" ref="R96:R114" si="54">IFERROR(Q96/H96,"-")</f>
        <v>-</v>
      </c>
      <c r="S96" s="456">
        <f t="shared" ref="S96:S114" si="55">IFERROR(O96-H96,"-")</f>
        <v>0</v>
      </c>
      <c r="T96" s="455" t="str">
        <f t="shared" ref="T96:T114" si="56">IFERROR(S96/H96,"-")</f>
        <v>-</v>
      </c>
      <c r="U96" s="371">
        <f t="shared" ref="U96:U114" si="57">IFERROR(S96*G96,"-")</f>
        <v>0</v>
      </c>
      <c r="V96" s="373" t="s">
        <v>418</v>
      </c>
      <c r="W96" s="373"/>
      <c r="X96" s="374"/>
      <c r="Y96" s="374"/>
      <c r="Z96" s="374">
        <v>1</v>
      </c>
      <c r="AA96" s="457"/>
      <c r="AC96" s="161" t="s">
        <v>244</v>
      </c>
      <c r="AD96" s="161" t="s">
        <v>447</v>
      </c>
      <c r="AE96" s="156" t="s">
        <v>568</v>
      </c>
      <c r="AF96" s="156" t="s">
        <v>337</v>
      </c>
      <c r="AG96" s="156" t="s">
        <v>430</v>
      </c>
      <c r="AH96" s="156" t="s">
        <v>215</v>
      </c>
      <c r="AI96" s="156" t="s">
        <v>216</v>
      </c>
      <c r="AJ96" s="156" t="s">
        <v>385</v>
      </c>
    </row>
    <row r="97" spans="2:36" s="148" customFormat="1" ht="27" customHeight="1">
      <c r="B97" s="831"/>
      <c r="C97" s="832"/>
      <c r="D97" s="368">
        <v>3</v>
      </c>
      <c r="E97" s="451"/>
      <c r="F97" s="452">
        <f t="shared" si="48"/>
        <v>0</v>
      </c>
      <c r="G97" s="372"/>
      <c r="H97" s="453"/>
      <c r="I97" s="453"/>
      <c r="J97" s="455" t="str">
        <f t="shared" si="49"/>
        <v>-</v>
      </c>
      <c r="K97" s="454"/>
      <c r="L97" s="455" t="str">
        <f t="shared" si="50"/>
        <v>-</v>
      </c>
      <c r="M97" s="454"/>
      <c r="N97" s="455" t="str">
        <f t="shared" si="51"/>
        <v>-</v>
      </c>
      <c r="O97" s="456">
        <f t="shared" si="52"/>
        <v>0</v>
      </c>
      <c r="P97" s="455" t="str">
        <f t="shared" si="53"/>
        <v>-</v>
      </c>
      <c r="Q97" s="453"/>
      <c r="R97" s="455" t="str">
        <f t="shared" si="54"/>
        <v>-</v>
      </c>
      <c r="S97" s="456">
        <f t="shared" si="55"/>
        <v>0</v>
      </c>
      <c r="T97" s="455" t="str">
        <f t="shared" si="56"/>
        <v>-</v>
      </c>
      <c r="U97" s="371">
        <f t="shared" si="57"/>
        <v>0</v>
      </c>
      <c r="V97" s="373" t="s">
        <v>418</v>
      </c>
      <c r="W97" s="373"/>
      <c r="X97" s="374"/>
      <c r="Y97" s="374"/>
      <c r="Z97" s="374">
        <v>1</v>
      </c>
      <c r="AA97" s="457"/>
      <c r="AC97" s="381">
        <f>SUM(Z95:Z114)</f>
        <v>20</v>
      </c>
      <c r="AD97" s="376">
        <f>SUMIF($W$95:$W$114,TRIM(AD96),$Z$95:$Z$114)</f>
        <v>0</v>
      </c>
      <c r="AE97" s="376">
        <f t="shared" ref="AE97:AJ97" si="58">SUMIF($W$95:$W$114,TRIM(AE96),$Z$95:$Z$114)</f>
        <v>0</v>
      </c>
      <c r="AF97" s="376">
        <f t="shared" si="58"/>
        <v>0</v>
      </c>
      <c r="AG97" s="376">
        <f t="shared" si="58"/>
        <v>0</v>
      </c>
      <c r="AH97" s="376">
        <f t="shared" si="58"/>
        <v>0</v>
      </c>
      <c r="AI97" s="376">
        <f t="shared" si="58"/>
        <v>0</v>
      </c>
      <c r="AJ97" s="376">
        <f t="shared" si="58"/>
        <v>0</v>
      </c>
    </row>
    <row r="98" spans="2:36" s="148" customFormat="1" ht="27" customHeight="1">
      <c r="B98" s="831"/>
      <c r="C98" s="832"/>
      <c r="D98" s="368">
        <v>4</v>
      </c>
      <c r="E98" s="451"/>
      <c r="F98" s="452">
        <f t="shared" si="48"/>
        <v>0</v>
      </c>
      <c r="G98" s="372"/>
      <c r="H98" s="453"/>
      <c r="I98" s="453"/>
      <c r="J98" s="455" t="str">
        <f t="shared" si="49"/>
        <v>-</v>
      </c>
      <c r="K98" s="454"/>
      <c r="L98" s="455" t="str">
        <f t="shared" si="50"/>
        <v>-</v>
      </c>
      <c r="M98" s="454"/>
      <c r="N98" s="455" t="str">
        <f t="shared" si="51"/>
        <v>-</v>
      </c>
      <c r="O98" s="456">
        <f t="shared" si="52"/>
        <v>0</v>
      </c>
      <c r="P98" s="455" t="str">
        <f t="shared" si="53"/>
        <v>-</v>
      </c>
      <c r="Q98" s="453"/>
      <c r="R98" s="455" t="str">
        <f t="shared" si="54"/>
        <v>-</v>
      </c>
      <c r="S98" s="456">
        <f t="shared" si="55"/>
        <v>0</v>
      </c>
      <c r="T98" s="455" t="str">
        <f t="shared" si="56"/>
        <v>-</v>
      </c>
      <c r="U98" s="371">
        <f t="shared" si="57"/>
        <v>0</v>
      </c>
      <c r="V98" s="373" t="s">
        <v>418</v>
      </c>
      <c r="W98" s="373"/>
      <c r="X98" s="374"/>
      <c r="Y98" s="374"/>
      <c r="Z98" s="374">
        <v>1</v>
      </c>
      <c r="AA98" s="457"/>
      <c r="AC98" s="382" t="s">
        <v>11</v>
      </c>
      <c r="AD98" s="379">
        <f>SUMIF($W$95:$W114,TRIM(AD96),$F$95:$F$114)</f>
        <v>0</v>
      </c>
      <c r="AE98" s="379">
        <f>SUMIF($W$95:$W114,TRIM(AE96),$F$95:$F$114)</f>
        <v>0</v>
      </c>
      <c r="AF98" s="379">
        <f>SUMIF($W$95:$W114,TRIM(AF96),$F$95:$F$114)</f>
        <v>0</v>
      </c>
      <c r="AG98" s="379">
        <f>SUMIF($W$95:$W114,TRIM(AG96),$F$95:$F$114)</f>
        <v>0</v>
      </c>
      <c r="AH98" s="379">
        <f>SUMIF($W$95:$W114,TRIM(AH96),$F$95:$F$114)</f>
        <v>0</v>
      </c>
      <c r="AI98" s="379">
        <f>SUMIF($W$95:$W114,TRIM(AI96),$F$95:$F$114)</f>
        <v>0</v>
      </c>
      <c r="AJ98" s="379">
        <f>SUMIF($W$95:$W114,TRIM(AJ96),$F$95:$F$114)</f>
        <v>0</v>
      </c>
    </row>
    <row r="99" spans="2:36" s="148" customFormat="1" ht="27" customHeight="1">
      <c r="B99" s="831"/>
      <c r="C99" s="832"/>
      <c r="D99" s="368">
        <v>5</v>
      </c>
      <c r="E99" s="451"/>
      <c r="F99" s="452">
        <f t="shared" si="48"/>
        <v>0</v>
      </c>
      <c r="G99" s="372"/>
      <c r="H99" s="453"/>
      <c r="I99" s="453"/>
      <c r="J99" s="455" t="str">
        <f t="shared" si="49"/>
        <v>-</v>
      </c>
      <c r="K99" s="454"/>
      <c r="L99" s="455" t="str">
        <f t="shared" si="50"/>
        <v>-</v>
      </c>
      <c r="M99" s="454"/>
      <c r="N99" s="455" t="str">
        <f t="shared" si="51"/>
        <v>-</v>
      </c>
      <c r="O99" s="456">
        <f t="shared" si="52"/>
        <v>0</v>
      </c>
      <c r="P99" s="455" t="str">
        <f t="shared" si="53"/>
        <v>-</v>
      </c>
      <c r="Q99" s="453"/>
      <c r="R99" s="455" t="str">
        <f t="shared" si="54"/>
        <v>-</v>
      </c>
      <c r="S99" s="456">
        <f t="shared" si="55"/>
        <v>0</v>
      </c>
      <c r="T99" s="455" t="str">
        <f t="shared" si="56"/>
        <v>-</v>
      </c>
      <c r="U99" s="371">
        <f t="shared" si="57"/>
        <v>0</v>
      </c>
      <c r="V99" s="373" t="s">
        <v>418</v>
      </c>
      <c r="W99" s="373"/>
      <c r="X99" s="374"/>
      <c r="Y99" s="390"/>
      <c r="Z99" s="374">
        <v>1</v>
      </c>
      <c r="AA99" s="457"/>
      <c r="AC99" s="368" t="s">
        <v>569</v>
      </c>
      <c r="AD99" s="458">
        <f t="shared" ref="AD99:AJ99" si="59">AD97/$AC97</f>
        <v>0</v>
      </c>
      <c r="AE99" s="458">
        <f t="shared" si="59"/>
        <v>0</v>
      </c>
      <c r="AF99" s="458">
        <f t="shared" si="59"/>
        <v>0</v>
      </c>
      <c r="AG99" s="458">
        <f t="shared" si="59"/>
        <v>0</v>
      </c>
      <c r="AH99" s="458">
        <f t="shared" si="59"/>
        <v>0</v>
      </c>
      <c r="AI99" s="458">
        <f t="shared" si="59"/>
        <v>0</v>
      </c>
      <c r="AJ99" s="458">
        <f t="shared" si="59"/>
        <v>0</v>
      </c>
    </row>
    <row r="100" spans="2:36" s="148" customFormat="1" ht="27" customHeight="1">
      <c r="B100" s="831"/>
      <c r="C100" s="832"/>
      <c r="D100" s="368">
        <v>6</v>
      </c>
      <c r="E100" s="451"/>
      <c r="F100" s="452">
        <f t="shared" si="48"/>
        <v>0</v>
      </c>
      <c r="G100" s="372"/>
      <c r="H100" s="453"/>
      <c r="I100" s="453"/>
      <c r="J100" s="455" t="str">
        <f t="shared" si="49"/>
        <v>-</v>
      </c>
      <c r="K100" s="454"/>
      <c r="L100" s="455" t="str">
        <f t="shared" si="50"/>
        <v>-</v>
      </c>
      <c r="M100" s="454"/>
      <c r="N100" s="455" t="str">
        <f t="shared" si="51"/>
        <v>-</v>
      </c>
      <c r="O100" s="456">
        <f t="shared" si="52"/>
        <v>0</v>
      </c>
      <c r="P100" s="455" t="str">
        <f t="shared" si="53"/>
        <v>-</v>
      </c>
      <c r="Q100" s="453"/>
      <c r="R100" s="455" t="str">
        <f t="shared" si="54"/>
        <v>-</v>
      </c>
      <c r="S100" s="456">
        <f t="shared" si="55"/>
        <v>0</v>
      </c>
      <c r="T100" s="455" t="str">
        <f t="shared" si="56"/>
        <v>-</v>
      </c>
      <c r="U100" s="371">
        <f t="shared" si="57"/>
        <v>0</v>
      </c>
      <c r="V100" s="373" t="s">
        <v>418</v>
      </c>
      <c r="W100" s="373"/>
      <c r="X100" s="374"/>
      <c r="Y100" s="374"/>
      <c r="Z100" s="374">
        <v>1</v>
      </c>
      <c r="AA100" s="457"/>
    </row>
    <row r="101" spans="2:36" s="148" customFormat="1" ht="27" customHeight="1">
      <c r="B101" s="831"/>
      <c r="C101" s="832"/>
      <c r="D101" s="368">
        <v>7</v>
      </c>
      <c r="E101" s="451"/>
      <c r="F101" s="452">
        <f t="shared" si="48"/>
        <v>0</v>
      </c>
      <c r="G101" s="372"/>
      <c r="H101" s="453"/>
      <c r="I101" s="453"/>
      <c r="J101" s="455" t="str">
        <f t="shared" si="49"/>
        <v>-</v>
      </c>
      <c r="K101" s="454"/>
      <c r="L101" s="455" t="str">
        <f t="shared" si="50"/>
        <v>-</v>
      </c>
      <c r="M101" s="454"/>
      <c r="N101" s="455" t="str">
        <f t="shared" si="51"/>
        <v>-</v>
      </c>
      <c r="O101" s="456">
        <f t="shared" si="52"/>
        <v>0</v>
      </c>
      <c r="P101" s="455" t="str">
        <f t="shared" si="53"/>
        <v>-</v>
      </c>
      <c r="Q101" s="453"/>
      <c r="R101" s="455" t="str">
        <f t="shared" si="54"/>
        <v>-</v>
      </c>
      <c r="S101" s="456">
        <f t="shared" si="55"/>
        <v>0</v>
      </c>
      <c r="T101" s="455" t="str">
        <f t="shared" si="56"/>
        <v>-</v>
      </c>
      <c r="U101" s="371">
        <f t="shared" si="57"/>
        <v>0</v>
      </c>
      <c r="V101" s="373" t="s">
        <v>418</v>
      </c>
      <c r="W101" s="373"/>
      <c r="X101" s="374"/>
      <c r="Y101" s="374"/>
      <c r="Z101" s="374">
        <v>1</v>
      </c>
      <c r="AA101" s="457"/>
    </row>
    <row r="102" spans="2:36" s="148" customFormat="1" ht="27" customHeight="1">
      <c r="B102" s="831"/>
      <c r="C102" s="832"/>
      <c r="D102" s="368">
        <v>8</v>
      </c>
      <c r="E102" s="451"/>
      <c r="F102" s="452">
        <f t="shared" si="48"/>
        <v>0</v>
      </c>
      <c r="G102" s="372"/>
      <c r="H102" s="453"/>
      <c r="I102" s="453"/>
      <c r="J102" s="455" t="str">
        <f t="shared" si="49"/>
        <v>-</v>
      </c>
      <c r="K102" s="454"/>
      <c r="L102" s="455" t="str">
        <f t="shared" si="50"/>
        <v>-</v>
      </c>
      <c r="M102" s="454"/>
      <c r="N102" s="455" t="str">
        <f t="shared" si="51"/>
        <v>-</v>
      </c>
      <c r="O102" s="456">
        <f t="shared" si="52"/>
        <v>0</v>
      </c>
      <c r="P102" s="455" t="str">
        <f t="shared" si="53"/>
        <v>-</v>
      </c>
      <c r="Q102" s="453"/>
      <c r="R102" s="455" t="str">
        <f t="shared" si="54"/>
        <v>-</v>
      </c>
      <c r="S102" s="456">
        <f t="shared" si="55"/>
        <v>0</v>
      </c>
      <c r="T102" s="455" t="str">
        <f t="shared" si="56"/>
        <v>-</v>
      </c>
      <c r="U102" s="371">
        <f t="shared" si="57"/>
        <v>0</v>
      </c>
      <c r="V102" s="373" t="s">
        <v>418</v>
      </c>
      <c r="W102" s="373"/>
      <c r="X102" s="374"/>
      <c r="Y102" s="374"/>
      <c r="Z102" s="374">
        <v>1</v>
      </c>
      <c r="AA102" s="457"/>
    </row>
    <row r="103" spans="2:36" s="148" customFormat="1" ht="27" customHeight="1">
      <c r="B103" s="831"/>
      <c r="C103" s="832"/>
      <c r="D103" s="368">
        <v>9</v>
      </c>
      <c r="E103" s="451"/>
      <c r="F103" s="452">
        <f t="shared" si="48"/>
        <v>0</v>
      </c>
      <c r="G103" s="372"/>
      <c r="H103" s="453"/>
      <c r="I103" s="453"/>
      <c r="J103" s="455" t="str">
        <f t="shared" si="49"/>
        <v>-</v>
      </c>
      <c r="K103" s="454"/>
      <c r="L103" s="455" t="str">
        <f t="shared" si="50"/>
        <v>-</v>
      </c>
      <c r="M103" s="454"/>
      <c r="N103" s="455" t="str">
        <f t="shared" si="51"/>
        <v>-</v>
      </c>
      <c r="O103" s="456">
        <f t="shared" si="52"/>
        <v>0</v>
      </c>
      <c r="P103" s="455" t="str">
        <f t="shared" si="53"/>
        <v>-</v>
      </c>
      <c r="Q103" s="453"/>
      <c r="R103" s="455" t="str">
        <f t="shared" si="54"/>
        <v>-</v>
      </c>
      <c r="S103" s="456">
        <f t="shared" si="55"/>
        <v>0</v>
      </c>
      <c r="T103" s="455" t="str">
        <f t="shared" si="56"/>
        <v>-</v>
      </c>
      <c r="U103" s="371">
        <f t="shared" si="57"/>
        <v>0</v>
      </c>
      <c r="V103" s="373" t="s">
        <v>418</v>
      </c>
      <c r="W103" s="373"/>
      <c r="X103" s="374"/>
      <c r="Y103" s="374"/>
      <c r="Z103" s="374">
        <v>1</v>
      </c>
      <c r="AA103" s="457"/>
      <c r="AE103" s="377"/>
    </row>
    <row r="104" spans="2:36" s="148" customFormat="1" ht="27" customHeight="1">
      <c r="B104" s="831"/>
      <c r="C104" s="832"/>
      <c r="D104" s="368">
        <v>10</v>
      </c>
      <c r="E104" s="451"/>
      <c r="F104" s="452">
        <f t="shared" si="48"/>
        <v>0</v>
      </c>
      <c r="G104" s="372"/>
      <c r="H104" s="453"/>
      <c r="I104" s="453"/>
      <c r="J104" s="455" t="str">
        <f t="shared" si="49"/>
        <v>-</v>
      </c>
      <c r="K104" s="454"/>
      <c r="L104" s="455" t="str">
        <f t="shared" si="50"/>
        <v>-</v>
      </c>
      <c r="M104" s="454"/>
      <c r="N104" s="455" t="str">
        <f t="shared" si="51"/>
        <v>-</v>
      </c>
      <c r="O104" s="456">
        <f t="shared" si="52"/>
        <v>0</v>
      </c>
      <c r="P104" s="455" t="str">
        <f t="shared" si="53"/>
        <v>-</v>
      </c>
      <c r="Q104" s="453"/>
      <c r="R104" s="455" t="str">
        <f t="shared" si="54"/>
        <v>-</v>
      </c>
      <c r="S104" s="456">
        <f t="shared" si="55"/>
        <v>0</v>
      </c>
      <c r="T104" s="455" t="str">
        <f t="shared" si="56"/>
        <v>-</v>
      </c>
      <c r="U104" s="371">
        <f t="shared" si="57"/>
        <v>0</v>
      </c>
      <c r="V104" s="373" t="s">
        <v>418</v>
      </c>
      <c r="W104" s="373"/>
      <c r="X104" s="374"/>
      <c r="Y104" s="374"/>
      <c r="Z104" s="374">
        <v>1</v>
      </c>
      <c r="AA104" s="457"/>
      <c r="AE104" s="377"/>
    </row>
    <row r="105" spans="2:36" s="148" customFormat="1" ht="27" customHeight="1">
      <c r="B105" s="831"/>
      <c r="C105" s="832"/>
      <c r="D105" s="368">
        <v>11</v>
      </c>
      <c r="E105" s="451"/>
      <c r="F105" s="452">
        <f t="shared" si="48"/>
        <v>0</v>
      </c>
      <c r="G105" s="372"/>
      <c r="H105" s="453"/>
      <c r="I105" s="453"/>
      <c r="J105" s="455" t="str">
        <f t="shared" si="49"/>
        <v>-</v>
      </c>
      <c r="K105" s="454"/>
      <c r="L105" s="455" t="str">
        <f t="shared" si="50"/>
        <v>-</v>
      </c>
      <c r="M105" s="454"/>
      <c r="N105" s="455" t="str">
        <f t="shared" si="51"/>
        <v>-</v>
      </c>
      <c r="O105" s="456">
        <f t="shared" si="52"/>
        <v>0</v>
      </c>
      <c r="P105" s="455" t="str">
        <f t="shared" si="53"/>
        <v>-</v>
      </c>
      <c r="Q105" s="453"/>
      <c r="R105" s="455" t="str">
        <f t="shared" si="54"/>
        <v>-</v>
      </c>
      <c r="S105" s="456">
        <f t="shared" si="55"/>
        <v>0</v>
      </c>
      <c r="T105" s="455" t="str">
        <f t="shared" si="56"/>
        <v>-</v>
      </c>
      <c r="U105" s="371">
        <f t="shared" si="57"/>
        <v>0</v>
      </c>
      <c r="V105" s="373" t="s">
        <v>418</v>
      </c>
      <c r="W105" s="373"/>
      <c r="X105" s="374"/>
      <c r="Y105" s="374"/>
      <c r="Z105" s="374">
        <v>1</v>
      </c>
      <c r="AA105" s="457"/>
      <c r="AE105" s="377"/>
    </row>
    <row r="106" spans="2:36" s="148" customFormat="1" ht="27" customHeight="1">
      <c r="B106" s="831"/>
      <c r="C106" s="832"/>
      <c r="D106" s="368">
        <v>12</v>
      </c>
      <c r="E106" s="451"/>
      <c r="F106" s="452">
        <f t="shared" si="48"/>
        <v>0</v>
      </c>
      <c r="G106" s="372"/>
      <c r="H106" s="453"/>
      <c r="I106" s="453"/>
      <c r="J106" s="455" t="str">
        <f t="shared" si="49"/>
        <v>-</v>
      </c>
      <c r="K106" s="454"/>
      <c r="L106" s="455" t="str">
        <f t="shared" si="50"/>
        <v>-</v>
      </c>
      <c r="M106" s="454"/>
      <c r="N106" s="455" t="str">
        <f t="shared" si="51"/>
        <v>-</v>
      </c>
      <c r="O106" s="456">
        <f t="shared" si="52"/>
        <v>0</v>
      </c>
      <c r="P106" s="455" t="str">
        <f t="shared" si="53"/>
        <v>-</v>
      </c>
      <c r="Q106" s="453"/>
      <c r="R106" s="455" t="str">
        <f t="shared" si="54"/>
        <v>-</v>
      </c>
      <c r="S106" s="456">
        <f t="shared" si="55"/>
        <v>0</v>
      </c>
      <c r="T106" s="455" t="str">
        <f t="shared" si="56"/>
        <v>-</v>
      </c>
      <c r="U106" s="371">
        <f t="shared" si="57"/>
        <v>0</v>
      </c>
      <c r="V106" s="373" t="s">
        <v>418</v>
      </c>
      <c r="W106" s="373"/>
      <c r="X106" s="374"/>
      <c r="Y106" s="374"/>
      <c r="Z106" s="374">
        <v>1</v>
      </c>
      <c r="AA106" s="457"/>
      <c r="AE106" s="377"/>
    </row>
    <row r="107" spans="2:36" s="148" customFormat="1" ht="27" customHeight="1">
      <c r="B107" s="831"/>
      <c r="C107" s="832"/>
      <c r="D107" s="368">
        <v>13</v>
      </c>
      <c r="E107" s="451"/>
      <c r="F107" s="452">
        <f t="shared" si="48"/>
        <v>0</v>
      </c>
      <c r="G107" s="372"/>
      <c r="H107" s="453"/>
      <c r="I107" s="453"/>
      <c r="J107" s="455" t="str">
        <f t="shared" si="49"/>
        <v>-</v>
      </c>
      <c r="K107" s="454"/>
      <c r="L107" s="455" t="str">
        <f t="shared" si="50"/>
        <v>-</v>
      </c>
      <c r="M107" s="454"/>
      <c r="N107" s="455" t="str">
        <f t="shared" si="51"/>
        <v>-</v>
      </c>
      <c r="O107" s="456">
        <f t="shared" si="52"/>
        <v>0</v>
      </c>
      <c r="P107" s="455" t="str">
        <f t="shared" si="53"/>
        <v>-</v>
      </c>
      <c r="Q107" s="453"/>
      <c r="R107" s="455" t="str">
        <f t="shared" si="54"/>
        <v>-</v>
      </c>
      <c r="S107" s="456">
        <f t="shared" si="55"/>
        <v>0</v>
      </c>
      <c r="T107" s="455" t="str">
        <f t="shared" si="56"/>
        <v>-</v>
      </c>
      <c r="U107" s="371">
        <f t="shared" si="57"/>
        <v>0</v>
      </c>
      <c r="V107" s="373" t="s">
        <v>418</v>
      </c>
      <c r="W107" s="373"/>
      <c r="X107" s="374"/>
      <c r="Y107" s="374"/>
      <c r="Z107" s="374">
        <v>1</v>
      </c>
      <c r="AA107" s="457"/>
      <c r="AE107" s="377"/>
    </row>
    <row r="108" spans="2:36" s="148" customFormat="1" ht="27" customHeight="1">
      <c r="B108" s="831"/>
      <c r="C108" s="832"/>
      <c r="D108" s="368">
        <v>14</v>
      </c>
      <c r="E108" s="451"/>
      <c r="F108" s="452">
        <f t="shared" si="48"/>
        <v>0</v>
      </c>
      <c r="G108" s="372"/>
      <c r="H108" s="453"/>
      <c r="I108" s="453"/>
      <c r="J108" s="455" t="str">
        <f t="shared" si="49"/>
        <v>-</v>
      </c>
      <c r="K108" s="454"/>
      <c r="L108" s="455" t="str">
        <f t="shared" si="50"/>
        <v>-</v>
      </c>
      <c r="M108" s="454"/>
      <c r="N108" s="455" t="str">
        <f t="shared" si="51"/>
        <v>-</v>
      </c>
      <c r="O108" s="456">
        <f t="shared" si="52"/>
        <v>0</v>
      </c>
      <c r="P108" s="455" t="str">
        <f t="shared" si="53"/>
        <v>-</v>
      </c>
      <c r="Q108" s="453"/>
      <c r="R108" s="455" t="str">
        <f t="shared" si="54"/>
        <v>-</v>
      </c>
      <c r="S108" s="456">
        <f t="shared" si="55"/>
        <v>0</v>
      </c>
      <c r="T108" s="455" t="str">
        <f t="shared" si="56"/>
        <v>-</v>
      </c>
      <c r="U108" s="371">
        <f t="shared" si="57"/>
        <v>0</v>
      </c>
      <c r="V108" s="373" t="s">
        <v>418</v>
      </c>
      <c r="W108" s="373"/>
      <c r="X108" s="373"/>
      <c r="Y108" s="374"/>
      <c r="Z108" s="374">
        <v>1</v>
      </c>
      <c r="AA108" s="457"/>
      <c r="AC108" s="835" t="s">
        <v>247</v>
      </c>
      <c r="AD108" s="836"/>
      <c r="AE108" s="836"/>
      <c r="AF108" s="836"/>
      <c r="AG108" s="836"/>
      <c r="AH108" s="836"/>
      <c r="AI108" s="836"/>
      <c r="AJ108" s="837"/>
    </row>
    <row r="109" spans="2:36" s="148" customFormat="1" ht="27" customHeight="1">
      <c r="B109" s="831"/>
      <c r="C109" s="832"/>
      <c r="D109" s="368">
        <v>15</v>
      </c>
      <c r="E109" s="451"/>
      <c r="F109" s="452">
        <f t="shared" si="48"/>
        <v>0</v>
      </c>
      <c r="G109" s="372"/>
      <c r="H109" s="453"/>
      <c r="I109" s="453"/>
      <c r="J109" s="455" t="str">
        <f t="shared" si="49"/>
        <v>-</v>
      </c>
      <c r="K109" s="454"/>
      <c r="L109" s="455" t="str">
        <f t="shared" si="50"/>
        <v>-</v>
      </c>
      <c r="M109" s="454"/>
      <c r="N109" s="455" t="str">
        <f t="shared" si="51"/>
        <v>-</v>
      </c>
      <c r="O109" s="456">
        <f t="shared" si="52"/>
        <v>0</v>
      </c>
      <c r="P109" s="455" t="str">
        <f t="shared" si="53"/>
        <v>-</v>
      </c>
      <c r="Q109" s="453"/>
      <c r="R109" s="455" t="str">
        <f t="shared" si="54"/>
        <v>-</v>
      </c>
      <c r="S109" s="456">
        <f t="shared" si="55"/>
        <v>0</v>
      </c>
      <c r="T109" s="455" t="str">
        <f t="shared" si="56"/>
        <v>-</v>
      </c>
      <c r="U109" s="371">
        <f t="shared" si="57"/>
        <v>0</v>
      </c>
      <c r="V109" s="373" t="s">
        <v>418</v>
      </c>
      <c r="W109" s="373"/>
      <c r="X109" s="374"/>
      <c r="Y109" s="374"/>
      <c r="Z109" s="374">
        <v>1</v>
      </c>
      <c r="AA109" s="457"/>
      <c r="AC109" s="838"/>
      <c r="AD109" s="839"/>
      <c r="AE109" s="839"/>
      <c r="AF109" s="839"/>
      <c r="AG109" s="839"/>
      <c r="AH109" s="839"/>
      <c r="AI109" s="839"/>
      <c r="AJ109" s="840"/>
    </row>
    <row r="110" spans="2:36" s="148" customFormat="1" ht="27" customHeight="1">
      <c r="B110" s="831"/>
      <c r="C110" s="832"/>
      <c r="D110" s="368">
        <v>16</v>
      </c>
      <c r="E110" s="451"/>
      <c r="F110" s="452">
        <f t="shared" si="48"/>
        <v>0</v>
      </c>
      <c r="G110" s="372"/>
      <c r="H110" s="453"/>
      <c r="I110" s="453"/>
      <c r="J110" s="455" t="str">
        <f t="shared" si="49"/>
        <v>-</v>
      </c>
      <c r="K110" s="454"/>
      <c r="L110" s="455" t="str">
        <f t="shared" si="50"/>
        <v>-</v>
      </c>
      <c r="M110" s="454"/>
      <c r="N110" s="455" t="str">
        <f t="shared" si="51"/>
        <v>-</v>
      </c>
      <c r="O110" s="456">
        <f t="shared" si="52"/>
        <v>0</v>
      </c>
      <c r="P110" s="455" t="str">
        <f t="shared" si="53"/>
        <v>-</v>
      </c>
      <c r="Q110" s="453"/>
      <c r="R110" s="455" t="str">
        <f t="shared" si="54"/>
        <v>-</v>
      </c>
      <c r="S110" s="456">
        <f t="shared" si="55"/>
        <v>0</v>
      </c>
      <c r="T110" s="455" t="str">
        <f t="shared" si="56"/>
        <v>-</v>
      </c>
      <c r="U110" s="371">
        <f t="shared" si="57"/>
        <v>0</v>
      </c>
      <c r="V110" s="373" t="s">
        <v>418</v>
      </c>
      <c r="W110" s="373"/>
      <c r="X110" s="374"/>
      <c r="Y110" s="374"/>
      <c r="Z110" s="374">
        <v>1</v>
      </c>
      <c r="AA110" s="457"/>
      <c r="AC110" s="841"/>
      <c r="AD110" s="842"/>
      <c r="AE110" s="842"/>
      <c r="AF110" s="842"/>
      <c r="AG110" s="842"/>
      <c r="AH110" s="842"/>
      <c r="AI110" s="842"/>
      <c r="AJ110" s="843"/>
    </row>
    <row r="111" spans="2:36" s="148" customFormat="1" ht="27" customHeight="1">
      <c r="B111" s="831"/>
      <c r="C111" s="832"/>
      <c r="D111" s="368">
        <v>17</v>
      </c>
      <c r="E111" s="451"/>
      <c r="F111" s="452">
        <f t="shared" si="48"/>
        <v>0</v>
      </c>
      <c r="G111" s="372"/>
      <c r="H111" s="453"/>
      <c r="I111" s="453"/>
      <c r="J111" s="455" t="str">
        <f t="shared" si="49"/>
        <v>-</v>
      </c>
      <c r="K111" s="454"/>
      <c r="L111" s="455" t="str">
        <f t="shared" si="50"/>
        <v>-</v>
      </c>
      <c r="M111" s="454"/>
      <c r="N111" s="455" t="str">
        <f t="shared" si="51"/>
        <v>-</v>
      </c>
      <c r="O111" s="456">
        <f t="shared" si="52"/>
        <v>0</v>
      </c>
      <c r="P111" s="455" t="str">
        <f t="shared" si="53"/>
        <v>-</v>
      </c>
      <c r="Q111" s="453"/>
      <c r="R111" s="455" t="str">
        <f t="shared" si="54"/>
        <v>-</v>
      </c>
      <c r="S111" s="456">
        <f t="shared" si="55"/>
        <v>0</v>
      </c>
      <c r="T111" s="455" t="str">
        <f t="shared" si="56"/>
        <v>-</v>
      </c>
      <c r="U111" s="371">
        <f t="shared" si="57"/>
        <v>0</v>
      </c>
      <c r="V111" s="373" t="s">
        <v>418</v>
      </c>
      <c r="W111" s="373"/>
      <c r="X111" s="390"/>
      <c r="Y111" s="373"/>
      <c r="Z111" s="374">
        <v>1</v>
      </c>
      <c r="AA111" s="457"/>
      <c r="AC111" s="161" t="s">
        <v>244</v>
      </c>
      <c r="AD111" s="161" t="s">
        <v>447</v>
      </c>
      <c r="AE111" s="156" t="s">
        <v>384</v>
      </c>
      <c r="AF111" s="156" t="s">
        <v>337</v>
      </c>
      <c r="AG111" s="156" t="s">
        <v>430</v>
      </c>
      <c r="AH111" s="156" t="s">
        <v>215</v>
      </c>
      <c r="AI111" s="156" t="s">
        <v>216</v>
      </c>
      <c r="AJ111" s="156" t="s">
        <v>385</v>
      </c>
    </row>
    <row r="112" spans="2:36" s="148" customFormat="1" ht="27" customHeight="1">
      <c r="B112" s="831"/>
      <c r="C112" s="832"/>
      <c r="D112" s="368">
        <v>18</v>
      </c>
      <c r="E112" s="451"/>
      <c r="F112" s="452">
        <f t="shared" si="48"/>
        <v>0</v>
      </c>
      <c r="G112" s="372"/>
      <c r="H112" s="453"/>
      <c r="I112" s="453"/>
      <c r="J112" s="455" t="str">
        <f t="shared" si="49"/>
        <v>-</v>
      </c>
      <c r="K112" s="454"/>
      <c r="L112" s="455" t="str">
        <f t="shared" si="50"/>
        <v>-</v>
      </c>
      <c r="M112" s="454"/>
      <c r="N112" s="455" t="str">
        <f t="shared" si="51"/>
        <v>-</v>
      </c>
      <c r="O112" s="456">
        <f t="shared" si="52"/>
        <v>0</v>
      </c>
      <c r="P112" s="455" t="str">
        <f t="shared" si="53"/>
        <v>-</v>
      </c>
      <c r="Q112" s="453"/>
      <c r="R112" s="455" t="str">
        <f t="shared" si="54"/>
        <v>-</v>
      </c>
      <c r="S112" s="456">
        <f t="shared" si="55"/>
        <v>0</v>
      </c>
      <c r="T112" s="455" t="str">
        <f t="shared" si="56"/>
        <v>-</v>
      </c>
      <c r="U112" s="371">
        <f t="shared" si="57"/>
        <v>0</v>
      </c>
      <c r="V112" s="373" t="s">
        <v>418</v>
      </c>
      <c r="W112" s="373"/>
      <c r="X112" s="374"/>
      <c r="Y112" s="374"/>
      <c r="Z112" s="374">
        <v>1</v>
      </c>
      <c r="AA112" s="457"/>
      <c r="AB112" s="490" t="s">
        <v>633</v>
      </c>
      <c r="AC112" s="381">
        <f>AC31+AC53+AC7+AC75+AC97</f>
        <v>100</v>
      </c>
      <c r="AD112" s="381">
        <f>AD31+AD53+AD7+AD75+AD97</f>
        <v>15</v>
      </c>
      <c r="AE112" s="381">
        <f t="shared" ref="AE112:AJ113" si="60">AE31+AE53+AE7+AE75+AE97</f>
        <v>0</v>
      </c>
      <c r="AF112" s="381">
        <f t="shared" si="60"/>
        <v>16</v>
      </c>
      <c r="AG112" s="381">
        <f t="shared" si="60"/>
        <v>0</v>
      </c>
      <c r="AH112" s="381">
        <f t="shared" si="60"/>
        <v>2</v>
      </c>
      <c r="AI112" s="381">
        <f t="shared" si="60"/>
        <v>7</v>
      </c>
      <c r="AJ112" s="381">
        <f t="shared" si="60"/>
        <v>0</v>
      </c>
    </row>
    <row r="113" spans="2:36" s="148" customFormat="1" ht="27" customHeight="1">
      <c r="B113" s="831"/>
      <c r="C113" s="832"/>
      <c r="D113" s="368">
        <v>19</v>
      </c>
      <c r="E113" s="451"/>
      <c r="F113" s="452">
        <f t="shared" si="48"/>
        <v>0</v>
      </c>
      <c r="G113" s="372"/>
      <c r="H113" s="453"/>
      <c r="I113" s="453"/>
      <c r="J113" s="455" t="str">
        <f t="shared" si="49"/>
        <v>-</v>
      </c>
      <c r="K113" s="454"/>
      <c r="L113" s="455" t="str">
        <f t="shared" si="50"/>
        <v>-</v>
      </c>
      <c r="M113" s="454"/>
      <c r="N113" s="455" t="str">
        <f t="shared" si="51"/>
        <v>-</v>
      </c>
      <c r="O113" s="456">
        <f t="shared" si="52"/>
        <v>0</v>
      </c>
      <c r="P113" s="455" t="str">
        <f t="shared" si="53"/>
        <v>-</v>
      </c>
      <c r="Q113" s="453"/>
      <c r="R113" s="455" t="str">
        <f t="shared" si="54"/>
        <v>-</v>
      </c>
      <c r="S113" s="456">
        <f t="shared" si="55"/>
        <v>0</v>
      </c>
      <c r="T113" s="455" t="str">
        <f t="shared" si="56"/>
        <v>-</v>
      </c>
      <c r="U113" s="371">
        <f t="shared" si="57"/>
        <v>0</v>
      </c>
      <c r="V113" s="373" t="s">
        <v>418</v>
      </c>
      <c r="W113" s="373"/>
      <c r="X113" s="390"/>
      <c r="Y113" s="374"/>
      <c r="Z113" s="374">
        <v>1</v>
      </c>
      <c r="AA113" s="457"/>
      <c r="AC113" s="382"/>
      <c r="AD113" s="381">
        <f>AD32+AD54+AD8+AD76+AD98</f>
        <v>20351.542300000001</v>
      </c>
      <c r="AE113" s="381">
        <f t="shared" si="60"/>
        <v>0</v>
      </c>
      <c r="AF113" s="381">
        <f t="shared" si="60"/>
        <v>31296.859799999998</v>
      </c>
      <c r="AG113" s="381">
        <f t="shared" si="60"/>
        <v>0</v>
      </c>
      <c r="AH113" s="381">
        <f t="shared" si="60"/>
        <v>2951.548600000001</v>
      </c>
      <c r="AI113" s="381">
        <f t="shared" si="60"/>
        <v>13467.420899999999</v>
      </c>
      <c r="AJ113" s="381">
        <f t="shared" si="60"/>
        <v>0</v>
      </c>
    </row>
    <row r="114" spans="2:36" s="148" customFormat="1" ht="27" customHeight="1">
      <c r="B114" s="833"/>
      <c r="C114" s="834"/>
      <c r="D114" s="368">
        <v>20</v>
      </c>
      <c r="E114" s="451"/>
      <c r="F114" s="452">
        <f t="shared" si="48"/>
        <v>0</v>
      </c>
      <c r="G114" s="372"/>
      <c r="H114" s="453"/>
      <c r="I114" s="453"/>
      <c r="J114" s="455" t="str">
        <f t="shared" si="49"/>
        <v>-</v>
      </c>
      <c r="K114" s="454"/>
      <c r="L114" s="455" t="str">
        <f t="shared" si="50"/>
        <v>-</v>
      </c>
      <c r="M114" s="454"/>
      <c r="N114" s="455" t="str">
        <f t="shared" si="51"/>
        <v>-</v>
      </c>
      <c r="O114" s="456">
        <f t="shared" si="52"/>
        <v>0</v>
      </c>
      <c r="P114" s="455" t="str">
        <f t="shared" si="53"/>
        <v>-</v>
      </c>
      <c r="Q114" s="453"/>
      <c r="R114" s="455" t="str">
        <f t="shared" si="54"/>
        <v>-</v>
      </c>
      <c r="S114" s="456">
        <f t="shared" si="55"/>
        <v>0</v>
      </c>
      <c r="T114" s="455" t="str">
        <f t="shared" si="56"/>
        <v>-</v>
      </c>
      <c r="U114" s="371">
        <f t="shared" si="57"/>
        <v>0</v>
      </c>
      <c r="V114" s="373" t="s">
        <v>418</v>
      </c>
      <c r="W114" s="373"/>
      <c r="X114" s="374"/>
      <c r="Y114" s="374"/>
      <c r="Z114" s="374">
        <v>1</v>
      </c>
      <c r="AA114" s="457"/>
      <c r="AC114" s="368"/>
      <c r="AD114" s="380">
        <f>AD112/$AC112</f>
        <v>0.15</v>
      </c>
      <c r="AE114" s="380">
        <f t="shared" ref="AE114:AJ114" si="61">AE112/$AC112</f>
        <v>0</v>
      </c>
      <c r="AF114" s="380">
        <f t="shared" si="61"/>
        <v>0.16</v>
      </c>
      <c r="AG114" s="380">
        <f t="shared" si="61"/>
        <v>0</v>
      </c>
      <c r="AH114" s="380">
        <f t="shared" si="61"/>
        <v>0.02</v>
      </c>
      <c r="AI114" s="380">
        <f t="shared" si="61"/>
        <v>7.0000000000000007E-2</v>
      </c>
      <c r="AJ114" s="380">
        <f t="shared" si="61"/>
        <v>0</v>
      </c>
    </row>
    <row r="118" spans="2:36" ht="14.15" customHeight="1"/>
    <row r="128" spans="2:36" ht="14.15" customHeight="1"/>
    <row r="138" ht="14.15" customHeight="1"/>
    <row r="148" ht="14.15" customHeight="1"/>
    <row r="158" ht="14.15" customHeight="1"/>
    <row r="168" ht="14.15" customHeight="1"/>
  </sheetData>
  <mergeCells count="102">
    <mergeCell ref="AC108:AJ110"/>
    <mergeCell ref="AA93:AA94"/>
    <mergeCell ref="B95:C114"/>
    <mergeCell ref="G93:G94"/>
    <mergeCell ref="H93:H94"/>
    <mergeCell ref="I93:J93"/>
    <mergeCell ref="K93:L93"/>
    <mergeCell ref="M93:N93"/>
    <mergeCell ref="O93:P93"/>
    <mergeCell ref="Q93:R93"/>
    <mergeCell ref="S93:U93"/>
    <mergeCell ref="V93:V94"/>
    <mergeCell ref="B93:C94"/>
    <mergeCell ref="D93:D94"/>
    <mergeCell ref="E93:E94"/>
    <mergeCell ref="F93:F94"/>
    <mergeCell ref="AC93:AJ95"/>
    <mergeCell ref="Z93:Z94"/>
    <mergeCell ref="H71:H72"/>
    <mergeCell ref="I71:J71"/>
    <mergeCell ref="I27:J27"/>
    <mergeCell ref="F27:F28"/>
    <mergeCell ref="G27:G28"/>
    <mergeCell ref="H27:H28"/>
    <mergeCell ref="W93:W94"/>
    <mergeCell ref="X93:X94"/>
    <mergeCell ref="Y93:Y94"/>
    <mergeCell ref="H49:H50"/>
    <mergeCell ref="I49:J49"/>
    <mergeCell ref="K49:L49"/>
    <mergeCell ref="M49:N49"/>
    <mergeCell ref="B27:C28"/>
    <mergeCell ref="D27:D28"/>
    <mergeCell ref="E27:E28"/>
    <mergeCell ref="B51:C70"/>
    <mergeCell ref="B71:C72"/>
    <mergeCell ref="D71:D72"/>
    <mergeCell ref="E71:E72"/>
    <mergeCell ref="F71:F72"/>
    <mergeCell ref="G71:G72"/>
    <mergeCell ref="B49:C50"/>
    <mergeCell ref="D49:D50"/>
    <mergeCell ref="E49:E50"/>
    <mergeCell ref="F49:F50"/>
    <mergeCell ref="G49:G50"/>
    <mergeCell ref="AC49:AJ51"/>
    <mergeCell ref="Z49:Z50"/>
    <mergeCell ref="AA49:AA50"/>
    <mergeCell ref="AC71:AJ73"/>
    <mergeCell ref="K71:L71"/>
    <mergeCell ref="M71:N71"/>
    <mergeCell ref="O71:P71"/>
    <mergeCell ref="Q71:R71"/>
    <mergeCell ref="S71:U71"/>
    <mergeCell ref="V71:V72"/>
    <mergeCell ref="W71:W72"/>
    <mergeCell ref="X71:X72"/>
    <mergeCell ref="Y71:Y72"/>
    <mergeCell ref="Z71:Z72"/>
    <mergeCell ref="AA71:AA72"/>
    <mergeCell ref="O49:P49"/>
    <mergeCell ref="Q49:R49"/>
    <mergeCell ref="S49:U49"/>
    <mergeCell ref="V49:V50"/>
    <mergeCell ref="W49:W50"/>
    <mergeCell ref="X49:X50"/>
    <mergeCell ref="Y49:Y50"/>
    <mergeCell ref="B2:AA2"/>
    <mergeCell ref="E5:E6"/>
    <mergeCell ref="F5:F6"/>
    <mergeCell ref="G5:P5"/>
    <mergeCell ref="Q5:R5"/>
    <mergeCell ref="S5:U5"/>
    <mergeCell ref="B7:C26"/>
    <mergeCell ref="X3:X6"/>
    <mergeCell ref="Y3:Y6"/>
    <mergeCell ref="Z3:Z6"/>
    <mergeCell ref="AA3:AA6"/>
    <mergeCell ref="B73:C92"/>
    <mergeCell ref="AC3:AJ5"/>
    <mergeCell ref="B3:C6"/>
    <mergeCell ref="D3:F3"/>
    <mergeCell ref="G3:U3"/>
    <mergeCell ref="V3:V6"/>
    <mergeCell ref="W3:W6"/>
    <mergeCell ref="D4:D6"/>
    <mergeCell ref="E4:F4"/>
    <mergeCell ref="G4:P4"/>
    <mergeCell ref="Q4:U4"/>
    <mergeCell ref="K27:L27"/>
    <mergeCell ref="M27:N27"/>
    <mergeCell ref="O27:P27"/>
    <mergeCell ref="Q27:R27"/>
    <mergeCell ref="X27:X28"/>
    <mergeCell ref="Y27:Y28"/>
    <mergeCell ref="Z27:Z28"/>
    <mergeCell ref="AA27:AA28"/>
    <mergeCell ref="S27:U27"/>
    <mergeCell ref="V27:V28"/>
    <mergeCell ref="W27:W28"/>
    <mergeCell ref="AC27:AJ29"/>
    <mergeCell ref="B29:C48"/>
  </mergeCells>
  <phoneticPr fontId="13" type="noConversion"/>
  <dataValidations count="1">
    <dataValidation type="list" allowBlank="1" showInputMessage="1" showErrorMessage="1" sqref="V3:V26 V1:W2 W3:W6 V29:V48 V115:W1048576 V73:V92 V93:W93 V71:W71 V27:W27 V49:W49 V51:V70 V95:V114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J114"/>
  <sheetViews>
    <sheetView zoomScale="70" zoomScaleNormal="70" workbookViewId="0">
      <pane xSplit="3" ySplit="2" topLeftCell="D24" activePane="bottomRight" state="frozen"/>
      <selection pane="topRight" activeCell="D1" sqref="D1"/>
      <selection pane="bottomLeft" activeCell="A4" sqref="A4"/>
      <selection pane="bottomRight" activeCell="Q41" sqref="Q41:R41"/>
    </sheetView>
  </sheetViews>
  <sheetFormatPr defaultColWidth="8.81640625" defaultRowHeight="16"/>
  <cols>
    <col min="1" max="1" width="8.81640625" style="146"/>
    <col min="2" max="2" width="12.453125" style="146" customWidth="1"/>
    <col min="3" max="3" width="8.81640625" style="146"/>
    <col min="4" max="4" width="11.54296875" style="146" customWidth="1"/>
    <col min="5" max="5" width="39.26953125" style="146" bestFit="1" customWidth="1"/>
    <col min="6" max="6" width="11.453125" style="146" bestFit="1" customWidth="1"/>
    <col min="7" max="8" width="15.81640625" style="146" bestFit="1" customWidth="1"/>
    <col min="9" max="9" width="16.81640625" style="146" customWidth="1"/>
    <col min="10" max="10" width="14" style="146" customWidth="1"/>
    <col min="11" max="11" width="15.453125" style="146" bestFit="1" customWidth="1"/>
    <col min="12" max="12" width="12.26953125" style="146" bestFit="1" customWidth="1"/>
    <col min="13" max="13" width="19.1796875" style="146" bestFit="1" customWidth="1"/>
    <col min="14" max="14" width="15.26953125" style="146" bestFit="1" customWidth="1"/>
    <col min="15" max="15" width="19.1796875" style="146" bestFit="1" customWidth="1"/>
    <col min="16" max="16" width="12.54296875" style="146" bestFit="1" customWidth="1"/>
    <col min="17" max="17" width="9.1796875" style="146" bestFit="1" customWidth="1"/>
    <col min="18" max="18" width="12.26953125" style="146" bestFit="1" customWidth="1"/>
    <col min="19" max="19" width="12.54296875" style="146" bestFit="1" customWidth="1"/>
    <col min="20" max="20" width="12.453125" style="146" bestFit="1" customWidth="1"/>
    <col min="21" max="21" width="11.453125" style="146" bestFit="1" customWidth="1"/>
    <col min="22" max="22" width="12.453125" style="146" bestFit="1" customWidth="1"/>
    <col min="23" max="23" width="15.26953125" style="146" bestFit="1" customWidth="1"/>
    <col min="24" max="24" width="66.81640625" style="146" bestFit="1" customWidth="1"/>
    <col min="25" max="25" width="113.453125" style="146" bestFit="1" customWidth="1"/>
    <col min="26" max="26" width="11.453125" style="146" bestFit="1" customWidth="1"/>
    <col min="27" max="27" width="37.7265625" style="146" bestFit="1" customWidth="1"/>
    <col min="28" max="28" width="19.453125" style="146" bestFit="1" customWidth="1"/>
    <col min="29" max="29" width="21.54296875" style="146" customWidth="1"/>
    <col min="30" max="30" width="19.453125" style="146" bestFit="1" customWidth="1"/>
    <col min="31" max="36" width="14.453125" style="146" customWidth="1"/>
    <col min="37" max="16384" width="8.81640625" style="146"/>
  </cols>
  <sheetData>
    <row r="2" spans="2:36" ht="41.15" customHeight="1">
      <c r="B2" s="874" t="s">
        <v>451</v>
      </c>
      <c r="C2" s="875"/>
      <c r="D2" s="875"/>
      <c r="E2" s="875"/>
      <c r="F2" s="875"/>
      <c r="G2" s="875"/>
      <c r="H2" s="875"/>
      <c r="I2" s="875"/>
      <c r="J2" s="875"/>
      <c r="K2" s="875"/>
      <c r="L2" s="875"/>
      <c r="M2" s="875"/>
      <c r="N2" s="875"/>
      <c r="O2" s="875"/>
      <c r="P2" s="875"/>
      <c r="Q2" s="875"/>
      <c r="R2" s="875"/>
      <c r="S2" s="875"/>
      <c r="T2" s="875"/>
      <c r="U2" s="875"/>
      <c r="V2" s="875"/>
      <c r="W2" s="875"/>
      <c r="X2" s="875"/>
      <c r="Y2" s="875"/>
      <c r="AA2" s="147"/>
      <c r="AB2" s="147"/>
      <c r="AC2" s="147"/>
      <c r="AD2" s="147"/>
    </row>
    <row r="3" spans="2:36" ht="17.149999999999999" customHeight="1">
      <c r="B3" s="844" t="s">
        <v>444</v>
      </c>
      <c r="C3" s="845"/>
      <c r="D3" s="850" t="s">
        <v>170</v>
      </c>
      <c r="E3" s="850"/>
      <c r="F3" s="850"/>
      <c r="G3" s="851" t="s">
        <v>184</v>
      </c>
      <c r="H3" s="852"/>
      <c r="I3" s="852"/>
      <c r="J3" s="852"/>
      <c r="K3" s="852"/>
      <c r="L3" s="852"/>
      <c r="M3" s="852"/>
      <c r="N3" s="852"/>
      <c r="O3" s="852"/>
      <c r="P3" s="852"/>
      <c r="Q3" s="852"/>
      <c r="R3" s="852"/>
      <c r="S3" s="852"/>
      <c r="T3" s="852"/>
      <c r="U3" s="853"/>
      <c r="V3" s="854" t="s">
        <v>171</v>
      </c>
      <c r="W3" s="854" t="s">
        <v>245</v>
      </c>
      <c r="X3" s="880" t="s">
        <v>445</v>
      </c>
      <c r="Y3" s="880" t="s">
        <v>446</v>
      </c>
      <c r="Z3" s="854" t="s">
        <v>246</v>
      </c>
      <c r="AA3" s="860" t="s">
        <v>172</v>
      </c>
      <c r="AC3" s="835" t="s">
        <v>247</v>
      </c>
      <c r="AD3" s="836"/>
      <c r="AE3" s="836"/>
      <c r="AF3" s="836"/>
      <c r="AG3" s="836"/>
      <c r="AH3" s="836"/>
      <c r="AI3" s="836"/>
      <c r="AJ3" s="837"/>
    </row>
    <row r="4" spans="2:36" ht="17.149999999999999" customHeight="1">
      <c r="B4" s="846"/>
      <c r="C4" s="847"/>
      <c r="D4" s="857" t="s">
        <v>169</v>
      </c>
      <c r="E4" s="850" t="s">
        <v>173</v>
      </c>
      <c r="F4" s="850"/>
      <c r="G4" s="851" t="s">
        <v>185</v>
      </c>
      <c r="H4" s="852"/>
      <c r="I4" s="852"/>
      <c r="J4" s="852"/>
      <c r="K4" s="852"/>
      <c r="L4" s="852"/>
      <c r="M4" s="852"/>
      <c r="N4" s="852"/>
      <c r="O4" s="852"/>
      <c r="P4" s="853"/>
      <c r="Q4" s="851" t="s">
        <v>174</v>
      </c>
      <c r="R4" s="852"/>
      <c r="S4" s="852"/>
      <c r="T4" s="852"/>
      <c r="U4" s="853"/>
      <c r="V4" s="855"/>
      <c r="W4" s="855"/>
      <c r="X4" s="881"/>
      <c r="Y4" s="881"/>
      <c r="Z4" s="855"/>
      <c r="AA4" s="883"/>
      <c r="AC4" s="838"/>
      <c r="AD4" s="839"/>
      <c r="AE4" s="839"/>
      <c r="AF4" s="839"/>
      <c r="AG4" s="839"/>
      <c r="AH4" s="839"/>
      <c r="AI4" s="839"/>
      <c r="AJ4" s="840"/>
    </row>
    <row r="5" spans="2:36" ht="17.149999999999999" customHeight="1">
      <c r="B5" s="846"/>
      <c r="C5" s="847"/>
      <c r="D5" s="857"/>
      <c r="E5" s="857" t="s">
        <v>175</v>
      </c>
      <c r="F5" s="886" t="s">
        <v>584</v>
      </c>
      <c r="G5" s="877" t="s">
        <v>186</v>
      </c>
      <c r="H5" s="878"/>
      <c r="I5" s="878"/>
      <c r="J5" s="878"/>
      <c r="K5" s="878"/>
      <c r="L5" s="878"/>
      <c r="M5" s="878"/>
      <c r="N5" s="878"/>
      <c r="O5" s="878"/>
      <c r="P5" s="879"/>
      <c r="Q5" s="877" t="s">
        <v>168</v>
      </c>
      <c r="R5" s="879"/>
      <c r="S5" s="877" t="s">
        <v>176</v>
      </c>
      <c r="T5" s="878"/>
      <c r="U5" s="879"/>
      <c r="V5" s="855"/>
      <c r="W5" s="855"/>
      <c r="X5" s="881"/>
      <c r="Y5" s="881"/>
      <c r="Z5" s="855"/>
      <c r="AA5" s="883"/>
      <c r="AC5" s="841"/>
      <c r="AD5" s="842"/>
      <c r="AE5" s="842"/>
      <c r="AF5" s="842"/>
      <c r="AG5" s="842"/>
      <c r="AH5" s="842"/>
      <c r="AI5" s="842"/>
      <c r="AJ5" s="843"/>
    </row>
    <row r="6" spans="2:36" ht="38.5" customHeight="1">
      <c r="B6" s="848"/>
      <c r="C6" s="849"/>
      <c r="D6" s="857"/>
      <c r="E6" s="857"/>
      <c r="F6" s="876"/>
      <c r="G6" s="369" t="s">
        <v>177</v>
      </c>
      <c r="H6" s="369" t="s">
        <v>252</v>
      </c>
      <c r="I6" s="450" t="s">
        <v>565</v>
      </c>
      <c r="J6" s="369" t="s">
        <v>566</v>
      </c>
      <c r="K6" s="369" t="s">
        <v>253</v>
      </c>
      <c r="L6" s="369" t="s">
        <v>178</v>
      </c>
      <c r="M6" s="369" t="s">
        <v>250</v>
      </c>
      <c r="N6" s="369" t="s">
        <v>179</v>
      </c>
      <c r="O6" s="369" t="s">
        <v>187</v>
      </c>
      <c r="P6" s="369" t="s">
        <v>180</v>
      </c>
      <c r="Q6" s="370" t="s">
        <v>181</v>
      </c>
      <c r="R6" s="370" t="s">
        <v>182</v>
      </c>
      <c r="S6" s="370" t="s">
        <v>181</v>
      </c>
      <c r="T6" s="370" t="s">
        <v>182</v>
      </c>
      <c r="U6" s="369" t="s">
        <v>183</v>
      </c>
      <c r="V6" s="856"/>
      <c r="W6" s="856"/>
      <c r="X6" s="882"/>
      <c r="Y6" s="882"/>
      <c r="Z6" s="856"/>
      <c r="AA6" s="861"/>
      <c r="AC6" s="161" t="s">
        <v>244</v>
      </c>
      <c r="AD6" s="161" t="s">
        <v>447</v>
      </c>
      <c r="AE6" s="156" t="s">
        <v>384</v>
      </c>
      <c r="AF6" s="156" t="s">
        <v>337</v>
      </c>
      <c r="AG6" s="156" t="s">
        <v>430</v>
      </c>
      <c r="AH6" s="156" t="s">
        <v>215</v>
      </c>
      <c r="AI6" s="156" t="s">
        <v>216</v>
      </c>
      <c r="AJ6" s="156" t="s">
        <v>385</v>
      </c>
    </row>
    <row r="7" spans="2:36" s="148" customFormat="1" ht="27" customHeight="1">
      <c r="B7" s="829" t="s">
        <v>571</v>
      </c>
      <c r="C7" s="830"/>
      <c r="D7" s="368">
        <v>1</v>
      </c>
      <c r="E7" s="451" t="s">
        <v>336</v>
      </c>
      <c r="F7" s="371">
        <v>16380.947300000002</v>
      </c>
      <c r="G7" s="372">
        <v>147.43000000000004</v>
      </c>
      <c r="H7" s="453">
        <v>5035.0899999999992</v>
      </c>
      <c r="I7" s="453">
        <v>5035.0899999999992</v>
      </c>
      <c r="J7" s="455">
        <f>IFERROR(I7/H7,"-")</f>
        <v>1</v>
      </c>
      <c r="K7" s="454">
        <v>5035.0899999999992</v>
      </c>
      <c r="L7" s="455">
        <f>IFERROR(K7/H7,"-")</f>
        <v>1</v>
      </c>
      <c r="M7" s="454">
        <v>111.11000000000001</v>
      </c>
      <c r="N7" s="455">
        <f>IFERROR(M7/H7,"-")</f>
        <v>2.2067132861577455E-2</v>
      </c>
      <c r="O7" s="456">
        <f>IFERROR(K7+M7,"-")</f>
        <v>5146.1999999999989</v>
      </c>
      <c r="P7" s="455">
        <f>IFERROR(O7/H7,"-")</f>
        <v>1.0220671328615774</v>
      </c>
      <c r="Q7" s="453">
        <v>9.8000000000000007</v>
      </c>
      <c r="R7" s="455">
        <f>IFERROR(Q7/H7,"-")</f>
        <v>1.9463405817969496E-3</v>
      </c>
      <c r="S7" s="484">
        <f>IFERROR(Q7*G7,"-")</f>
        <v>1444.8140000000005</v>
      </c>
      <c r="T7" s="456">
        <f>IFERROR(O7-H7,"-")</f>
        <v>111.10999999999967</v>
      </c>
      <c r="U7" s="455">
        <f>IFERROR(T7/H7,"-")</f>
        <v>2.2067132861577389E-2</v>
      </c>
      <c r="V7" s="373" t="s">
        <v>174</v>
      </c>
      <c r="W7" s="373" t="s">
        <v>215</v>
      </c>
      <c r="X7" s="374" t="s">
        <v>480</v>
      </c>
      <c r="Y7" s="374" t="s">
        <v>526</v>
      </c>
      <c r="Z7" s="374">
        <v>1</v>
      </c>
      <c r="AA7" s="457" t="s">
        <v>340</v>
      </c>
      <c r="AB7" s="375" t="s">
        <v>448</v>
      </c>
      <c r="AC7" s="381">
        <f>SUM(Z7:Z26)</f>
        <v>20</v>
      </c>
      <c r="AD7" s="376">
        <f t="shared" ref="AD7:AJ7" si="0">SUMIF($W$7:$W$26,TRIM(AD6),$Z$7:$Z$26)</f>
        <v>0</v>
      </c>
      <c r="AE7" s="376">
        <f t="shared" si="0"/>
        <v>0</v>
      </c>
      <c r="AF7" s="376">
        <f t="shared" si="0"/>
        <v>0</v>
      </c>
      <c r="AG7" s="376">
        <f t="shared" si="0"/>
        <v>12</v>
      </c>
      <c r="AH7" s="376">
        <f t="shared" si="0"/>
        <v>1</v>
      </c>
      <c r="AI7" s="376">
        <f t="shared" si="0"/>
        <v>7</v>
      </c>
      <c r="AJ7" s="376">
        <f t="shared" si="0"/>
        <v>0</v>
      </c>
    </row>
    <row r="8" spans="2:36" s="148" customFormat="1" ht="27" customHeight="1">
      <c r="B8" s="831"/>
      <c r="C8" s="832"/>
      <c r="D8" s="368">
        <v>2</v>
      </c>
      <c r="E8" s="451" t="s">
        <v>538</v>
      </c>
      <c r="F8" s="371">
        <v>13027.84859999999</v>
      </c>
      <c r="G8" s="372">
        <v>39.389999999999993</v>
      </c>
      <c r="H8" s="453">
        <v>38623.35</v>
      </c>
      <c r="I8" s="453">
        <v>38623.35</v>
      </c>
      <c r="J8" s="455">
        <f t="shared" ref="J8:J26" si="1">IFERROR(I8/H8,"-")</f>
        <v>1</v>
      </c>
      <c r="K8" s="454">
        <v>38623.35</v>
      </c>
      <c r="L8" s="455">
        <f t="shared" ref="L8:L26" si="2">IFERROR(K8/H8,"-")</f>
        <v>1</v>
      </c>
      <c r="M8" s="454">
        <v>330.74</v>
      </c>
      <c r="N8" s="455">
        <f t="shared" ref="N8:N26" si="3">IFERROR(M8/H8,"-")</f>
        <v>8.5632137036274689E-3</v>
      </c>
      <c r="O8" s="456">
        <f t="shared" ref="O8:O26" si="4">IFERROR(K8+M8,"-")</f>
        <v>38954.089999999997</v>
      </c>
      <c r="P8" s="455">
        <f t="shared" ref="P8:P26" si="5">IFERROR(O8/H8,"-")</f>
        <v>1.0085632137036273</v>
      </c>
      <c r="Q8" s="453">
        <v>38.200000000000003</v>
      </c>
      <c r="R8" s="455">
        <f t="shared" ref="R8:R26" si="6">IFERROR(Q8/H8,"-")</f>
        <v>9.8903901396435066E-4</v>
      </c>
      <c r="S8" s="484">
        <f t="shared" ref="S8:S26" si="7">IFERROR(Q8*G8,"-")</f>
        <v>1504.6979999999999</v>
      </c>
      <c r="T8" s="456">
        <f t="shared" ref="T8:T26" si="8">IFERROR(O8-H8,"-")</f>
        <v>330.73999999999796</v>
      </c>
      <c r="U8" s="455">
        <f t="shared" ref="U8:U26" si="9">IFERROR(T8/H8,"-")</f>
        <v>8.5632137036274168E-3</v>
      </c>
      <c r="V8" s="373" t="s">
        <v>174</v>
      </c>
      <c r="W8" s="373" t="s">
        <v>216</v>
      </c>
      <c r="X8" s="374" t="s">
        <v>611</v>
      </c>
      <c r="Y8" s="374" t="s">
        <v>590</v>
      </c>
      <c r="Z8" s="374">
        <v>1</v>
      </c>
      <c r="AA8" s="457" t="s">
        <v>340</v>
      </c>
      <c r="AC8" s="382"/>
      <c r="AD8" s="379">
        <f t="shared" ref="AD8:AJ8" si="10">SUMIF($W$7:$W$26,TRIM(AD6),$F$7:$F$26)</f>
        <v>0</v>
      </c>
      <c r="AE8" s="379">
        <f t="shared" si="10"/>
        <v>0</v>
      </c>
      <c r="AF8" s="379">
        <f t="shared" si="10"/>
        <v>0</v>
      </c>
      <c r="AG8" s="379">
        <f t="shared" si="10"/>
        <v>69778.58560000002</v>
      </c>
      <c r="AH8" s="379">
        <f t="shared" si="10"/>
        <v>16380.947300000002</v>
      </c>
      <c r="AI8" s="379">
        <f t="shared" si="10"/>
        <v>53400.977999999974</v>
      </c>
      <c r="AJ8" s="379">
        <f t="shared" si="10"/>
        <v>0</v>
      </c>
    </row>
    <row r="9" spans="2:36" s="148" customFormat="1" ht="27" customHeight="1">
      <c r="B9" s="831"/>
      <c r="C9" s="832"/>
      <c r="D9" s="368">
        <v>3</v>
      </c>
      <c r="E9" s="451" t="s">
        <v>387</v>
      </c>
      <c r="F9" s="371">
        <v>11716.536000000006</v>
      </c>
      <c r="G9" s="372">
        <v>127.84000000000002</v>
      </c>
      <c r="H9" s="453">
        <v>4439.49</v>
      </c>
      <c r="I9" s="453">
        <v>4439.49</v>
      </c>
      <c r="J9" s="455">
        <f t="shared" si="1"/>
        <v>1</v>
      </c>
      <c r="K9" s="454">
        <v>4439.49</v>
      </c>
      <c r="L9" s="455">
        <f t="shared" si="2"/>
        <v>1</v>
      </c>
      <c r="M9" s="454">
        <v>91.65</v>
      </c>
      <c r="N9" s="455">
        <f t="shared" si="3"/>
        <v>2.0644263192393722E-2</v>
      </c>
      <c r="O9" s="456">
        <f t="shared" si="4"/>
        <v>4531.1399999999994</v>
      </c>
      <c r="P9" s="455">
        <f t="shared" si="5"/>
        <v>1.0206442631923935</v>
      </c>
      <c r="Q9" s="453">
        <v>19.840000000000003</v>
      </c>
      <c r="R9" s="455">
        <f t="shared" si="6"/>
        <v>4.4689817974587183E-3</v>
      </c>
      <c r="S9" s="484">
        <f t="shared" si="7"/>
        <v>2536.3456000000006</v>
      </c>
      <c r="T9" s="456">
        <f t="shared" si="8"/>
        <v>91.649999999999636</v>
      </c>
      <c r="U9" s="455">
        <f t="shared" si="9"/>
        <v>2.0644263192393639E-2</v>
      </c>
      <c r="V9" s="373" t="s">
        <v>174</v>
      </c>
      <c r="W9" s="373" t="s">
        <v>430</v>
      </c>
      <c r="X9" s="374" t="s">
        <v>587</v>
      </c>
      <c r="Y9" s="374" t="s">
        <v>629</v>
      </c>
      <c r="Z9" s="374">
        <v>1</v>
      </c>
      <c r="AA9" s="457" t="s">
        <v>340</v>
      </c>
      <c r="AC9" s="368"/>
      <c r="AD9" s="380">
        <f t="shared" ref="AD9:AJ9" si="11">AD7/$AC7</f>
        <v>0</v>
      </c>
      <c r="AE9" s="380">
        <f t="shared" si="11"/>
        <v>0</v>
      </c>
      <c r="AF9" s="380">
        <f t="shared" si="11"/>
        <v>0</v>
      </c>
      <c r="AG9" s="380">
        <f t="shared" si="11"/>
        <v>0.6</v>
      </c>
      <c r="AH9" s="380">
        <f t="shared" si="11"/>
        <v>0.05</v>
      </c>
      <c r="AI9" s="380">
        <f t="shared" si="11"/>
        <v>0.35</v>
      </c>
      <c r="AJ9" s="380">
        <f t="shared" si="11"/>
        <v>0</v>
      </c>
    </row>
    <row r="10" spans="2:36" s="148" customFormat="1" ht="27" customHeight="1">
      <c r="B10" s="831"/>
      <c r="C10" s="832"/>
      <c r="D10" s="368">
        <v>4</v>
      </c>
      <c r="E10" s="451" t="s">
        <v>461</v>
      </c>
      <c r="F10" s="371">
        <v>10025.658999999998</v>
      </c>
      <c r="G10" s="372">
        <v>605.77999999999986</v>
      </c>
      <c r="H10" s="453">
        <v>1046.28</v>
      </c>
      <c r="I10" s="453">
        <v>1046.28</v>
      </c>
      <c r="J10" s="455">
        <f t="shared" si="1"/>
        <v>1</v>
      </c>
      <c r="K10" s="454">
        <v>1046.28</v>
      </c>
      <c r="L10" s="455">
        <f t="shared" si="2"/>
        <v>1</v>
      </c>
      <c r="M10" s="454">
        <v>16.549999999999997</v>
      </c>
      <c r="N10" s="455">
        <f t="shared" si="3"/>
        <v>1.5817945483044691E-2</v>
      </c>
      <c r="O10" s="456">
        <f t="shared" si="4"/>
        <v>1062.83</v>
      </c>
      <c r="P10" s="455">
        <f t="shared" si="5"/>
        <v>1.0158179454830447</v>
      </c>
      <c r="Q10" s="453">
        <v>2.56</v>
      </c>
      <c r="R10" s="455">
        <f t="shared" si="6"/>
        <v>2.4467637726038921E-3</v>
      </c>
      <c r="S10" s="484">
        <f t="shared" si="7"/>
        <v>1550.7967999999996</v>
      </c>
      <c r="T10" s="456">
        <f t="shared" si="8"/>
        <v>16.549999999999955</v>
      </c>
      <c r="U10" s="455">
        <f t="shared" si="9"/>
        <v>1.5817945483044649E-2</v>
      </c>
      <c r="V10" s="373" t="s">
        <v>174</v>
      </c>
      <c r="W10" s="373" t="s">
        <v>216</v>
      </c>
      <c r="X10" s="374" t="s">
        <v>631</v>
      </c>
      <c r="Y10" s="374" t="s">
        <v>632</v>
      </c>
      <c r="Z10" s="374">
        <v>1</v>
      </c>
      <c r="AA10" s="457" t="s">
        <v>342</v>
      </c>
    </row>
    <row r="11" spans="2:36" s="148" customFormat="1" ht="27" customHeight="1">
      <c r="B11" s="831"/>
      <c r="C11" s="832"/>
      <c r="D11" s="368">
        <v>5</v>
      </c>
      <c r="E11" s="451" t="s">
        <v>550</v>
      </c>
      <c r="F11" s="371">
        <v>6610.7126999999964</v>
      </c>
      <c r="G11" s="372">
        <v>62.43</v>
      </c>
      <c r="H11" s="453">
        <v>3169.77</v>
      </c>
      <c r="I11" s="453">
        <v>3169.77</v>
      </c>
      <c r="J11" s="455">
        <f t="shared" si="1"/>
        <v>1</v>
      </c>
      <c r="K11" s="454">
        <v>3169.77</v>
      </c>
      <c r="L11" s="455">
        <f t="shared" si="2"/>
        <v>1</v>
      </c>
      <c r="M11" s="454">
        <v>105.89</v>
      </c>
      <c r="N11" s="455">
        <f t="shared" si="3"/>
        <v>3.3406209283323399E-2</v>
      </c>
      <c r="O11" s="456">
        <f t="shared" si="4"/>
        <v>3275.66</v>
      </c>
      <c r="P11" s="455">
        <f t="shared" si="5"/>
        <v>1.0334062092833234</v>
      </c>
      <c r="Q11" s="453">
        <v>16.09</v>
      </c>
      <c r="R11" s="455">
        <f t="shared" si="6"/>
        <v>5.0760780750653831E-3</v>
      </c>
      <c r="S11" s="484">
        <f t="shared" si="7"/>
        <v>1004.4987</v>
      </c>
      <c r="T11" s="456">
        <f t="shared" si="8"/>
        <v>105.88999999999987</v>
      </c>
      <c r="U11" s="455">
        <f t="shared" si="9"/>
        <v>3.3406209283323357E-2</v>
      </c>
      <c r="V11" s="373" t="s">
        <v>174</v>
      </c>
      <c r="W11" s="373" t="s">
        <v>216</v>
      </c>
      <c r="X11" s="374" t="s">
        <v>611</v>
      </c>
      <c r="Y11" s="374" t="s">
        <v>590</v>
      </c>
      <c r="Z11" s="374">
        <v>1</v>
      </c>
      <c r="AA11" s="457" t="s">
        <v>549</v>
      </c>
    </row>
    <row r="12" spans="2:36" s="148" customFormat="1" ht="27" customHeight="1">
      <c r="B12" s="831"/>
      <c r="C12" s="832"/>
      <c r="D12" s="368">
        <v>6</v>
      </c>
      <c r="E12" s="451" t="s">
        <v>463</v>
      </c>
      <c r="F12" s="371">
        <v>6425.9823999999962</v>
      </c>
      <c r="G12" s="372">
        <v>407.74000000000007</v>
      </c>
      <c r="H12" s="453">
        <v>1204.5999999999999</v>
      </c>
      <c r="I12" s="453">
        <v>1204.5999999999999</v>
      </c>
      <c r="J12" s="455">
        <f t="shared" si="1"/>
        <v>1</v>
      </c>
      <c r="K12" s="454">
        <v>1204.5999999999999</v>
      </c>
      <c r="L12" s="455">
        <f t="shared" si="2"/>
        <v>1</v>
      </c>
      <c r="M12" s="454">
        <v>15.76</v>
      </c>
      <c r="N12" s="455">
        <f t="shared" si="3"/>
        <v>1.3083181138967294E-2</v>
      </c>
      <c r="O12" s="456">
        <f t="shared" si="4"/>
        <v>1220.3599999999999</v>
      </c>
      <c r="P12" s="455">
        <f t="shared" si="5"/>
        <v>1.0130831811389673</v>
      </c>
      <c r="Q12" s="453">
        <v>6.65</v>
      </c>
      <c r="R12" s="455">
        <f t="shared" si="6"/>
        <v>5.5205047318611991E-3</v>
      </c>
      <c r="S12" s="484">
        <f t="shared" si="7"/>
        <v>2711.4710000000005</v>
      </c>
      <c r="T12" s="456">
        <f t="shared" si="8"/>
        <v>15.759999999999991</v>
      </c>
      <c r="U12" s="455">
        <f t="shared" si="9"/>
        <v>1.3083181138967285E-2</v>
      </c>
      <c r="V12" s="373" t="s">
        <v>174</v>
      </c>
      <c r="W12" s="373" t="s">
        <v>216</v>
      </c>
      <c r="X12" s="374" t="s">
        <v>482</v>
      </c>
      <c r="Y12" s="374" t="s">
        <v>483</v>
      </c>
      <c r="Z12" s="374">
        <v>1</v>
      </c>
      <c r="AA12" s="457" t="s">
        <v>465</v>
      </c>
    </row>
    <row r="13" spans="2:36" s="148" customFormat="1" ht="27" customHeight="1">
      <c r="B13" s="831"/>
      <c r="C13" s="832"/>
      <c r="D13" s="368">
        <v>7</v>
      </c>
      <c r="E13" s="451" t="s">
        <v>601</v>
      </c>
      <c r="F13" s="371">
        <v>6424.0567999999957</v>
      </c>
      <c r="G13" s="372">
        <v>113.68000000000004</v>
      </c>
      <c r="H13" s="453">
        <v>1680.3000000000002</v>
      </c>
      <c r="I13" s="453">
        <v>1680.3000000000002</v>
      </c>
      <c r="J13" s="455">
        <f t="shared" si="1"/>
        <v>1</v>
      </c>
      <c r="K13" s="454">
        <v>1680.3000000000002</v>
      </c>
      <c r="L13" s="455">
        <f t="shared" si="2"/>
        <v>1</v>
      </c>
      <c r="M13" s="454">
        <v>56.510000000000005</v>
      </c>
      <c r="N13" s="455">
        <f t="shared" si="3"/>
        <v>3.3630899244182583E-2</v>
      </c>
      <c r="O13" s="456">
        <f t="shared" si="4"/>
        <v>1736.8100000000002</v>
      </c>
      <c r="P13" s="455">
        <f t="shared" si="5"/>
        <v>1.0336308992441825</v>
      </c>
      <c r="Q13" s="453">
        <v>7.330000000000001</v>
      </c>
      <c r="R13" s="455">
        <f t="shared" si="6"/>
        <v>4.3623162530500503E-3</v>
      </c>
      <c r="S13" s="484">
        <f t="shared" si="7"/>
        <v>833.27440000000036</v>
      </c>
      <c r="T13" s="456">
        <f t="shared" si="8"/>
        <v>56.509999999999991</v>
      </c>
      <c r="U13" s="455">
        <f t="shared" si="9"/>
        <v>3.3630899244182576E-2</v>
      </c>
      <c r="V13" s="373" t="s">
        <v>174</v>
      </c>
      <c r="W13" s="373" t="s">
        <v>430</v>
      </c>
      <c r="X13" s="374" t="s">
        <v>481</v>
      </c>
      <c r="Y13" s="374" t="s">
        <v>479</v>
      </c>
      <c r="Z13" s="374">
        <v>1</v>
      </c>
      <c r="AA13" s="457" t="s">
        <v>582</v>
      </c>
      <c r="AE13" s="377"/>
    </row>
    <row r="14" spans="2:36" s="148" customFormat="1" ht="27" customHeight="1">
      <c r="B14" s="831"/>
      <c r="C14" s="832"/>
      <c r="D14" s="368">
        <v>8</v>
      </c>
      <c r="E14" s="451" t="s">
        <v>466</v>
      </c>
      <c r="F14" s="371">
        <v>6088.7199999999957</v>
      </c>
      <c r="G14" s="372">
        <v>629</v>
      </c>
      <c r="H14" s="453">
        <v>292.01</v>
      </c>
      <c r="I14" s="453">
        <v>292.01</v>
      </c>
      <c r="J14" s="455">
        <f t="shared" si="1"/>
        <v>1</v>
      </c>
      <c r="K14" s="454">
        <v>292.01</v>
      </c>
      <c r="L14" s="455">
        <f t="shared" si="2"/>
        <v>1</v>
      </c>
      <c r="M14" s="454">
        <v>9.68</v>
      </c>
      <c r="N14" s="455">
        <f t="shared" si="3"/>
        <v>3.3149549672956406E-2</v>
      </c>
      <c r="O14" s="456">
        <f t="shared" si="4"/>
        <v>301.69</v>
      </c>
      <c r="P14" s="455">
        <f t="shared" si="5"/>
        <v>1.0331495496729564</v>
      </c>
      <c r="Q14" s="453">
        <v>1.45</v>
      </c>
      <c r="R14" s="455">
        <f t="shared" si="6"/>
        <v>4.9655833704325197E-3</v>
      </c>
      <c r="S14" s="484">
        <f t="shared" si="7"/>
        <v>912.05</v>
      </c>
      <c r="T14" s="456">
        <f t="shared" si="8"/>
        <v>9.6800000000000068</v>
      </c>
      <c r="U14" s="455">
        <f t="shared" si="9"/>
        <v>3.3149549672956427E-2</v>
      </c>
      <c r="V14" s="373" t="s">
        <v>174</v>
      </c>
      <c r="W14" s="373" t="s">
        <v>430</v>
      </c>
      <c r="X14" s="374" t="s">
        <v>484</v>
      </c>
      <c r="Y14" s="374" t="s">
        <v>553</v>
      </c>
      <c r="Z14" s="374">
        <v>1</v>
      </c>
      <c r="AA14" s="457" t="s">
        <v>460</v>
      </c>
      <c r="AE14" s="377"/>
    </row>
    <row r="15" spans="2:36" s="148" customFormat="1" ht="27" customHeight="1">
      <c r="B15" s="831"/>
      <c r="C15" s="832"/>
      <c r="D15" s="368">
        <v>9</v>
      </c>
      <c r="E15" s="451" t="s">
        <v>621</v>
      </c>
      <c r="F15" s="371">
        <v>6083.0315000000028</v>
      </c>
      <c r="G15" s="372">
        <v>46.149999999999991</v>
      </c>
      <c r="H15" s="453">
        <v>4197.4199999999992</v>
      </c>
      <c r="I15" s="453">
        <v>4197.4199999999992</v>
      </c>
      <c r="J15" s="455">
        <f t="shared" si="1"/>
        <v>1</v>
      </c>
      <c r="K15" s="454">
        <v>4197.4199999999992</v>
      </c>
      <c r="L15" s="455">
        <f t="shared" si="2"/>
        <v>1</v>
      </c>
      <c r="M15" s="454">
        <v>131.81</v>
      </c>
      <c r="N15" s="455">
        <f t="shared" si="3"/>
        <v>3.1402623516350529E-2</v>
      </c>
      <c r="O15" s="456">
        <f t="shared" si="4"/>
        <v>4329.2299999999996</v>
      </c>
      <c r="P15" s="455">
        <f t="shared" si="5"/>
        <v>1.0314026235163507</v>
      </c>
      <c r="Q15" s="453">
        <v>19.11</v>
      </c>
      <c r="R15" s="455">
        <f t="shared" si="6"/>
        <v>4.5527967179839054E-3</v>
      </c>
      <c r="S15" s="484">
        <f t="shared" si="7"/>
        <v>881.92649999999981</v>
      </c>
      <c r="T15" s="456">
        <f t="shared" si="8"/>
        <v>131.8100000000004</v>
      </c>
      <c r="U15" s="455">
        <f t="shared" si="9"/>
        <v>3.140262351635062E-2</v>
      </c>
      <c r="V15" s="373" t="s">
        <v>174</v>
      </c>
      <c r="W15" s="373" t="s">
        <v>216</v>
      </c>
      <c r="X15" s="374" t="s">
        <v>611</v>
      </c>
      <c r="Y15" s="374" t="s">
        <v>590</v>
      </c>
      <c r="Z15" s="374">
        <v>1</v>
      </c>
      <c r="AA15" s="457" t="s">
        <v>617</v>
      </c>
      <c r="AE15" s="377"/>
    </row>
    <row r="16" spans="2:36" s="148" customFormat="1" ht="27" customHeight="1">
      <c r="B16" s="831"/>
      <c r="C16" s="832"/>
      <c r="D16" s="368">
        <v>10</v>
      </c>
      <c r="E16" s="451" t="s">
        <v>647</v>
      </c>
      <c r="F16" s="371">
        <v>5839.9613999999956</v>
      </c>
      <c r="G16" s="372">
        <v>39.389999999999993</v>
      </c>
      <c r="H16" s="453">
        <v>6391.77</v>
      </c>
      <c r="I16" s="453">
        <v>6391.77</v>
      </c>
      <c r="J16" s="455">
        <f t="shared" si="1"/>
        <v>1</v>
      </c>
      <c r="K16" s="454">
        <v>6395.77</v>
      </c>
      <c r="L16" s="455">
        <f t="shared" si="2"/>
        <v>1.0006258047457903</v>
      </c>
      <c r="M16" s="454">
        <v>144.26000000000002</v>
      </c>
      <c r="N16" s="455">
        <f t="shared" si="3"/>
        <v>2.2569648156926799E-2</v>
      </c>
      <c r="O16" s="456">
        <f t="shared" si="4"/>
        <v>6540.0300000000007</v>
      </c>
      <c r="P16" s="455">
        <f t="shared" si="5"/>
        <v>1.0231954529027172</v>
      </c>
      <c r="Q16" s="453">
        <v>21.798999999999999</v>
      </c>
      <c r="R16" s="455">
        <f t="shared" si="6"/>
        <v>3.4104794133706308E-3</v>
      </c>
      <c r="S16" s="484">
        <f t="shared" si="7"/>
        <v>858.66260999999986</v>
      </c>
      <c r="T16" s="456">
        <f t="shared" si="8"/>
        <v>148.26000000000022</v>
      </c>
      <c r="U16" s="455">
        <f t="shared" si="9"/>
        <v>2.3195452902717122E-2</v>
      </c>
      <c r="V16" s="373" t="s">
        <v>174</v>
      </c>
      <c r="W16" s="373" t="s">
        <v>216</v>
      </c>
      <c r="X16" s="374" t="s">
        <v>611</v>
      </c>
      <c r="Y16" s="374" t="s">
        <v>590</v>
      </c>
      <c r="Z16" s="374">
        <v>1</v>
      </c>
      <c r="AA16" s="457" t="s">
        <v>641</v>
      </c>
      <c r="AE16" s="377"/>
    </row>
    <row r="17" spans="2:36" s="148" customFormat="1" ht="27" customHeight="1">
      <c r="B17" s="831"/>
      <c r="C17" s="832"/>
      <c r="D17" s="368">
        <v>11</v>
      </c>
      <c r="E17" s="451" t="s">
        <v>358</v>
      </c>
      <c r="F17" s="371">
        <v>5835.0499999999984</v>
      </c>
      <c r="G17" s="372">
        <v>152.75</v>
      </c>
      <c r="H17" s="453">
        <v>1234</v>
      </c>
      <c r="I17" s="453">
        <v>1234</v>
      </c>
      <c r="J17" s="455">
        <f t="shared" si="1"/>
        <v>1</v>
      </c>
      <c r="K17" s="454">
        <v>1234</v>
      </c>
      <c r="L17" s="455">
        <f t="shared" si="2"/>
        <v>1</v>
      </c>
      <c r="M17" s="454">
        <v>38.200000000000003</v>
      </c>
      <c r="N17" s="455">
        <f t="shared" si="3"/>
        <v>3.0956239870340359E-2</v>
      </c>
      <c r="O17" s="456">
        <f t="shared" si="4"/>
        <v>1272.2</v>
      </c>
      <c r="P17" s="455">
        <f t="shared" si="5"/>
        <v>1.0309562398703405</v>
      </c>
      <c r="Q17" s="453">
        <v>6.04</v>
      </c>
      <c r="R17" s="455">
        <f t="shared" si="6"/>
        <v>4.8946515397082658E-3</v>
      </c>
      <c r="S17" s="484">
        <f t="shared" si="7"/>
        <v>922.61</v>
      </c>
      <c r="T17" s="456">
        <f t="shared" si="8"/>
        <v>38.200000000000045</v>
      </c>
      <c r="U17" s="455">
        <f t="shared" si="9"/>
        <v>3.0956239870340393E-2</v>
      </c>
      <c r="V17" s="373" t="s">
        <v>174</v>
      </c>
      <c r="W17" s="373" t="s">
        <v>430</v>
      </c>
      <c r="X17" s="374" t="s">
        <v>630</v>
      </c>
      <c r="Y17" s="374" t="s">
        <v>527</v>
      </c>
      <c r="Z17" s="374">
        <v>1</v>
      </c>
      <c r="AA17" s="457" t="s">
        <v>359</v>
      </c>
      <c r="AE17" s="377"/>
    </row>
    <row r="18" spans="2:36" s="148" customFormat="1" ht="27" customHeight="1">
      <c r="B18" s="831"/>
      <c r="C18" s="832"/>
      <c r="D18" s="368">
        <v>12</v>
      </c>
      <c r="E18" s="451" t="s">
        <v>539</v>
      </c>
      <c r="F18" s="371">
        <v>5456.6400000000031</v>
      </c>
      <c r="G18" s="372">
        <v>896</v>
      </c>
      <c r="H18" s="453">
        <v>294.53999999999996</v>
      </c>
      <c r="I18" s="453">
        <v>294.53999999999996</v>
      </c>
      <c r="J18" s="455">
        <f t="shared" si="1"/>
        <v>1</v>
      </c>
      <c r="K18" s="454">
        <v>294.53999999999996</v>
      </c>
      <c r="L18" s="455">
        <f t="shared" si="2"/>
        <v>1</v>
      </c>
      <c r="M18" s="454">
        <v>6.09</v>
      </c>
      <c r="N18" s="455">
        <f t="shared" si="3"/>
        <v>2.0676308820533715E-2</v>
      </c>
      <c r="O18" s="456">
        <f t="shared" si="4"/>
        <v>300.62999999999994</v>
      </c>
      <c r="P18" s="455">
        <f t="shared" si="5"/>
        <v>1.0206763088205337</v>
      </c>
      <c r="Q18" s="453">
        <v>0.88</v>
      </c>
      <c r="R18" s="455">
        <f t="shared" si="6"/>
        <v>2.9877096489441166E-3</v>
      </c>
      <c r="S18" s="484">
        <f t="shared" si="7"/>
        <v>788.48</v>
      </c>
      <c r="T18" s="456">
        <f t="shared" si="8"/>
        <v>6.089999999999975</v>
      </c>
      <c r="U18" s="455">
        <f t="shared" si="9"/>
        <v>2.0676308820533632E-2</v>
      </c>
      <c r="V18" s="373" t="s">
        <v>174</v>
      </c>
      <c r="W18" s="373" t="s">
        <v>430</v>
      </c>
      <c r="X18" s="374" t="s">
        <v>612</v>
      </c>
      <c r="Y18" s="374" t="s">
        <v>527</v>
      </c>
      <c r="Z18" s="374">
        <v>1</v>
      </c>
      <c r="AA18" s="457" t="s">
        <v>540</v>
      </c>
    </row>
    <row r="19" spans="2:36" s="148" customFormat="1" ht="27" customHeight="1">
      <c r="B19" s="831"/>
      <c r="C19" s="832"/>
      <c r="D19" s="368">
        <v>13</v>
      </c>
      <c r="E19" s="451" t="s">
        <v>620</v>
      </c>
      <c r="F19" s="371">
        <v>5426.8845000000001</v>
      </c>
      <c r="G19" s="372">
        <v>413.94999999999993</v>
      </c>
      <c r="H19" s="453">
        <v>545.73</v>
      </c>
      <c r="I19" s="453">
        <v>545.73</v>
      </c>
      <c r="J19" s="455">
        <f t="shared" si="1"/>
        <v>1</v>
      </c>
      <c r="K19" s="454">
        <v>546.43000000000006</v>
      </c>
      <c r="L19" s="455">
        <f t="shared" si="2"/>
        <v>1.0012826855771171</v>
      </c>
      <c r="M19" s="454">
        <v>12.41</v>
      </c>
      <c r="N19" s="455">
        <f t="shared" si="3"/>
        <v>2.2740182874315135E-2</v>
      </c>
      <c r="O19" s="456">
        <f t="shared" si="4"/>
        <v>558.84</v>
      </c>
      <c r="P19" s="455">
        <f t="shared" si="5"/>
        <v>1.0240228684514321</v>
      </c>
      <c r="Q19" s="453">
        <v>2.4900000000000002</v>
      </c>
      <c r="R19" s="455">
        <f t="shared" si="6"/>
        <v>4.5626958386015062E-3</v>
      </c>
      <c r="S19" s="484">
        <f t="shared" si="7"/>
        <v>1030.7355</v>
      </c>
      <c r="T19" s="456">
        <f t="shared" si="8"/>
        <v>13.110000000000014</v>
      </c>
      <c r="U19" s="455">
        <f t="shared" si="9"/>
        <v>2.4022868451432051E-2</v>
      </c>
      <c r="V19" s="373" t="s">
        <v>174</v>
      </c>
      <c r="W19" s="373" t="s">
        <v>430</v>
      </c>
      <c r="X19" s="374" t="s">
        <v>630</v>
      </c>
      <c r="Y19" s="374" t="s">
        <v>527</v>
      </c>
      <c r="Z19" s="374">
        <v>1</v>
      </c>
      <c r="AA19" s="457" t="s">
        <v>617</v>
      </c>
    </row>
    <row r="20" spans="2:36" s="148" customFormat="1" ht="27" customHeight="1">
      <c r="B20" s="831"/>
      <c r="C20" s="832"/>
      <c r="D20" s="368">
        <v>14</v>
      </c>
      <c r="E20" s="451" t="s">
        <v>585</v>
      </c>
      <c r="F20" s="371">
        <v>5387.7824000000001</v>
      </c>
      <c r="G20" s="372">
        <v>40.04</v>
      </c>
      <c r="H20" s="453">
        <v>3995.9500000000007</v>
      </c>
      <c r="I20" s="453">
        <v>3995.9500000000007</v>
      </c>
      <c r="J20" s="455">
        <f t="shared" si="1"/>
        <v>1</v>
      </c>
      <c r="K20" s="454">
        <v>3995.9500000000007</v>
      </c>
      <c r="L20" s="455">
        <f t="shared" si="2"/>
        <v>1</v>
      </c>
      <c r="M20" s="454">
        <v>134.56000000000003</v>
      </c>
      <c r="N20" s="455">
        <f t="shared" si="3"/>
        <v>3.3674095021208973E-2</v>
      </c>
      <c r="O20" s="456">
        <f t="shared" si="4"/>
        <v>4130.5100000000011</v>
      </c>
      <c r="P20" s="455">
        <f t="shared" si="5"/>
        <v>1.0336740950212091</v>
      </c>
      <c r="Q20" s="453">
        <v>21.759999999999998</v>
      </c>
      <c r="R20" s="455">
        <f t="shared" si="6"/>
        <v>5.4455135825022824E-3</v>
      </c>
      <c r="S20" s="484">
        <f t="shared" si="7"/>
        <v>871.27039999999988</v>
      </c>
      <c r="T20" s="456">
        <f t="shared" si="8"/>
        <v>134.5600000000004</v>
      </c>
      <c r="U20" s="455">
        <f t="shared" si="9"/>
        <v>3.367409502120907E-2</v>
      </c>
      <c r="V20" s="373" t="s">
        <v>174</v>
      </c>
      <c r="W20" s="373" t="s">
        <v>216</v>
      </c>
      <c r="X20" s="374" t="s">
        <v>611</v>
      </c>
      <c r="Y20" s="374" t="s">
        <v>590</v>
      </c>
      <c r="Z20" s="374">
        <v>1</v>
      </c>
      <c r="AA20" s="457" t="s">
        <v>537</v>
      </c>
    </row>
    <row r="21" spans="2:36" s="148" customFormat="1" ht="27" customHeight="1">
      <c r="B21" s="831"/>
      <c r="C21" s="832"/>
      <c r="D21" s="368">
        <v>15</v>
      </c>
      <c r="E21" s="451" t="s">
        <v>619</v>
      </c>
      <c r="F21" s="371">
        <v>5249.1824000000051</v>
      </c>
      <c r="G21" s="372">
        <v>153.44000000000003</v>
      </c>
      <c r="H21" s="453">
        <v>2546.5</v>
      </c>
      <c r="I21" s="453">
        <v>2546.5</v>
      </c>
      <c r="J21" s="455">
        <f t="shared" si="1"/>
        <v>1</v>
      </c>
      <c r="K21" s="454">
        <v>2546.5</v>
      </c>
      <c r="L21" s="455">
        <f t="shared" si="2"/>
        <v>1</v>
      </c>
      <c r="M21" s="454">
        <v>34.21</v>
      </c>
      <c r="N21" s="455">
        <f t="shared" si="3"/>
        <v>1.3434125269978402E-2</v>
      </c>
      <c r="O21" s="456">
        <f t="shared" si="4"/>
        <v>2580.71</v>
      </c>
      <c r="P21" s="455">
        <f t="shared" si="5"/>
        <v>1.0134341252699783</v>
      </c>
      <c r="Q21" s="453">
        <v>6.81</v>
      </c>
      <c r="R21" s="455">
        <f t="shared" si="6"/>
        <v>2.6742587865698016E-3</v>
      </c>
      <c r="S21" s="484">
        <f t="shared" si="7"/>
        <v>1044.9264000000001</v>
      </c>
      <c r="T21" s="456">
        <f t="shared" si="8"/>
        <v>34.210000000000036</v>
      </c>
      <c r="U21" s="455">
        <f t="shared" si="9"/>
        <v>1.3434125269978416E-2</v>
      </c>
      <c r="V21" s="373" t="s">
        <v>174</v>
      </c>
      <c r="W21" s="373" t="s">
        <v>430</v>
      </c>
      <c r="X21" s="374" t="s">
        <v>630</v>
      </c>
      <c r="Y21" s="374" t="s">
        <v>527</v>
      </c>
      <c r="Z21" s="374">
        <v>1</v>
      </c>
      <c r="AA21" s="457" t="s">
        <v>467</v>
      </c>
    </row>
    <row r="22" spans="2:36" s="148" customFormat="1" ht="27" customHeight="1">
      <c r="B22" s="831"/>
      <c r="C22" s="832"/>
      <c r="D22" s="368">
        <v>16</v>
      </c>
      <c r="E22" s="451" t="s">
        <v>551</v>
      </c>
      <c r="F22" s="371">
        <v>5240.1412</v>
      </c>
      <c r="G22" s="372">
        <v>66.13</v>
      </c>
      <c r="H22" s="453">
        <v>1826.8600000000001</v>
      </c>
      <c r="I22" s="453">
        <v>1826.8600000000001</v>
      </c>
      <c r="J22" s="455">
        <f t="shared" si="1"/>
        <v>1</v>
      </c>
      <c r="K22" s="454">
        <v>1826.8600000000001</v>
      </c>
      <c r="L22" s="455">
        <f t="shared" si="2"/>
        <v>1</v>
      </c>
      <c r="M22" s="454">
        <v>79.240000000000009</v>
      </c>
      <c r="N22" s="455">
        <f t="shared" si="3"/>
        <v>4.3374971262165683E-2</v>
      </c>
      <c r="O22" s="456">
        <f t="shared" si="4"/>
        <v>1906.1000000000001</v>
      </c>
      <c r="P22" s="455">
        <f t="shared" si="5"/>
        <v>1.0433749712621656</v>
      </c>
      <c r="Q22" s="453">
        <v>12.89</v>
      </c>
      <c r="R22" s="455">
        <f t="shared" si="6"/>
        <v>7.0558225589262445E-3</v>
      </c>
      <c r="S22" s="484">
        <f t="shared" si="7"/>
        <v>852.41570000000002</v>
      </c>
      <c r="T22" s="456">
        <f t="shared" si="8"/>
        <v>79.240000000000009</v>
      </c>
      <c r="U22" s="455">
        <f t="shared" si="9"/>
        <v>4.3374971262165683E-2</v>
      </c>
      <c r="V22" s="373" t="s">
        <v>174</v>
      </c>
      <c r="W22" s="373" t="s">
        <v>430</v>
      </c>
      <c r="X22" s="374" t="s">
        <v>481</v>
      </c>
      <c r="Y22" s="374" t="s">
        <v>479</v>
      </c>
      <c r="Z22" s="374">
        <v>1</v>
      </c>
      <c r="AA22" s="457" t="s">
        <v>341</v>
      </c>
    </row>
    <row r="23" spans="2:36" s="148" customFormat="1" ht="27" customHeight="1">
      <c r="B23" s="831"/>
      <c r="C23" s="832"/>
      <c r="D23" s="368">
        <v>17</v>
      </c>
      <c r="E23" s="451" t="s">
        <v>422</v>
      </c>
      <c r="F23" s="371">
        <v>4690.3177000000069</v>
      </c>
      <c r="G23" s="372">
        <v>157.87000000000003</v>
      </c>
      <c r="H23" s="453">
        <v>1903.27</v>
      </c>
      <c r="I23" s="453">
        <v>1903.27</v>
      </c>
      <c r="J23" s="455">
        <f t="shared" si="1"/>
        <v>1</v>
      </c>
      <c r="K23" s="454">
        <v>1903.27</v>
      </c>
      <c r="L23" s="455">
        <f t="shared" si="2"/>
        <v>1</v>
      </c>
      <c r="M23" s="454">
        <v>29.71</v>
      </c>
      <c r="N23" s="455">
        <f t="shared" si="3"/>
        <v>1.5609976514104673E-2</v>
      </c>
      <c r="O23" s="456">
        <f t="shared" si="4"/>
        <v>1932.98</v>
      </c>
      <c r="P23" s="455">
        <f t="shared" si="5"/>
        <v>1.0156099765141047</v>
      </c>
      <c r="Q23" s="453">
        <v>6.4799999999999986</v>
      </c>
      <c r="R23" s="455">
        <f t="shared" si="6"/>
        <v>3.4046667051968447E-3</v>
      </c>
      <c r="S23" s="484">
        <f t="shared" si="7"/>
        <v>1022.9976</v>
      </c>
      <c r="T23" s="456">
        <f t="shared" si="8"/>
        <v>29.710000000000036</v>
      </c>
      <c r="U23" s="455">
        <f t="shared" si="9"/>
        <v>1.5609976514104692E-2</v>
      </c>
      <c r="V23" s="373" t="s">
        <v>174</v>
      </c>
      <c r="W23" s="373" t="s">
        <v>430</v>
      </c>
      <c r="X23" s="374" t="s">
        <v>546</v>
      </c>
      <c r="Y23" s="374" t="s">
        <v>547</v>
      </c>
      <c r="Z23" s="374">
        <v>1</v>
      </c>
      <c r="AA23" s="457" t="s">
        <v>340</v>
      </c>
    </row>
    <row r="24" spans="2:36" s="148" customFormat="1" ht="27" customHeight="1">
      <c r="B24" s="831"/>
      <c r="C24" s="832"/>
      <c r="D24" s="368">
        <v>18</v>
      </c>
      <c r="E24" s="451" t="s">
        <v>434</v>
      </c>
      <c r="F24" s="371">
        <v>4656.9709999999986</v>
      </c>
      <c r="G24" s="372">
        <v>368.13999999999993</v>
      </c>
      <c r="H24" s="453">
        <v>439.56</v>
      </c>
      <c r="I24" s="453">
        <v>439.56</v>
      </c>
      <c r="J24" s="455">
        <f t="shared" si="1"/>
        <v>1</v>
      </c>
      <c r="K24" s="454">
        <v>439.56</v>
      </c>
      <c r="L24" s="455">
        <f t="shared" si="2"/>
        <v>1</v>
      </c>
      <c r="M24" s="454">
        <v>12.649999999999999</v>
      </c>
      <c r="N24" s="455">
        <f t="shared" si="3"/>
        <v>2.8778778778778775E-2</v>
      </c>
      <c r="O24" s="456">
        <f t="shared" si="4"/>
        <v>452.21</v>
      </c>
      <c r="P24" s="455">
        <f t="shared" si="5"/>
        <v>1.0287787787787788</v>
      </c>
      <c r="Q24" s="453">
        <v>2.63</v>
      </c>
      <c r="R24" s="455">
        <f t="shared" si="6"/>
        <v>5.9832559832559834E-3</v>
      </c>
      <c r="S24" s="484">
        <f t="shared" si="7"/>
        <v>968.20819999999981</v>
      </c>
      <c r="T24" s="456">
        <f t="shared" si="8"/>
        <v>12.649999999999977</v>
      </c>
      <c r="U24" s="455">
        <f t="shared" si="9"/>
        <v>2.8778778778778727E-2</v>
      </c>
      <c r="V24" s="373" t="s">
        <v>174</v>
      </c>
      <c r="W24" s="373" t="s">
        <v>430</v>
      </c>
      <c r="X24" s="374" t="s">
        <v>610</v>
      </c>
      <c r="Y24" s="374" t="s">
        <v>483</v>
      </c>
      <c r="Z24" s="374">
        <v>1</v>
      </c>
      <c r="AA24" s="457" t="s">
        <v>435</v>
      </c>
    </row>
    <row r="25" spans="2:36" s="148" customFormat="1" ht="27" customHeight="1">
      <c r="B25" s="831"/>
      <c r="C25" s="832"/>
      <c r="D25" s="368">
        <v>19</v>
      </c>
      <c r="E25" s="451" t="s">
        <v>648</v>
      </c>
      <c r="F25" s="371">
        <v>4565.8496000000032</v>
      </c>
      <c r="G25" s="372">
        <v>95.439999999999984</v>
      </c>
      <c r="H25" s="453">
        <v>2225.1</v>
      </c>
      <c r="I25" s="453">
        <v>2225.1</v>
      </c>
      <c r="J25" s="455">
        <f t="shared" si="1"/>
        <v>1</v>
      </c>
      <c r="K25" s="454">
        <v>2225.1</v>
      </c>
      <c r="L25" s="455">
        <f t="shared" si="2"/>
        <v>1</v>
      </c>
      <c r="M25" s="454">
        <v>47.839999999999996</v>
      </c>
      <c r="N25" s="455">
        <f t="shared" si="3"/>
        <v>2.1500157296301288E-2</v>
      </c>
      <c r="O25" s="456">
        <f t="shared" si="4"/>
        <v>2272.94</v>
      </c>
      <c r="P25" s="455">
        <f t="shared" si="5"/>
        <v>1.0215001572963014</v>
      </c>
      <c r="Q25" s="453">
        <v>8.4</v>
      </c>
      <c r="R25" s="455">
        <f t="shared" si="6"/>
        <v>3.7751112309559122E-3</v>
      </c>
      <c r="S25" s="484">
        <f t="shared" si="7"/>
        <v>801.69599999999991</v>
      </c>
      <c r="T25" s="456">
        <f t="shared" si="8"/>
        <v>47.840000000000146</v>
      </c>
      <c r="U25" s="455">
        <f t="shared" si="9"/>
        <v>2.1500157296301357E-2</v>
      </c>
      <c r="V25" s="373" t="s">
        <v>174</v>
      </c>
      <c r="W25" s="373" t="s">
        <v>430</v>
      </c>
      <c r="X25" s="374" t="s">
        <v>630</v>
      </c>
      <c r="Y25" s="374" t="s">
        <v>527</v>
      </c>
      <c r="Z25" s="374">
        <v>1</v>
      </c>
      <c r="AA25" s="457" t="s">
        <v>340</v>
      </c>
      <c r="AD25" s="378"/>
      <c r="AE25" s="377"/>
    </row>
    <row r="26" spans="2:36" s="148" customFormat="1" ht="27" customHeight="1">
      <c r="B26" s="833"/>
      <c r="C26" s="834"/>
      <c r="D26" s="368">
        <v>20</v>
      </c>
      <c r="E26" s="451" t="s">
        <v>472</v>
      </c>
      <c r="F26" s="371">
        <v>4428.2364000000061</v>
      </c>
      <c r="G26" s="372">
        <v>266.27999999999997</v>
      </c>
      <c r="H26" s="453">
        <v>1367.73</v>
      </c>
      <c r="I26" s="453">
        <v>1367.73</v>
      </c>
      <c r="J26" s="455">
        <f t="shared" si="1"/>
        <v>1</v>
      </c>
      <c r="K26" s="454">
        <v>1372.3700000000001</v>
      </c>
      <c r="L26" s="455">
        <f t="shared" si="2"/>
        <v>1.0033924824343987</v>
      </c>
      <c r="M26" s="454">
        <v>11.99</v>
      </c>
      <c r="N26" s="455">
        <f t="shared" si="3"/>
        <v>8.7663500837153532E-3</v>
      </c>
      <c r="O26" s="456">
        <f t="shared" si="4"/>
        <v>1384.3600000000001</v>
      </c>
      <c r="P26" s="455">
        <f t="shared" si="5"/>
        <v>1.0121588325181141</v>
      </c>
      <c r="Q26" s="453">
        <v>2.5300000000000002</v>
      </c>
      <c r="R26" s="455">
        <f t="shared" si="6"/>
        <v>1.8497802928940654E-3</v>
      </c>
      <c r="S26" s="484">
        <f t="shared" si="7"/>
        <v>673.6884</v>
      </c>
      <c r="T26" s="456">
        <f t="shared" si="8"/>
        <v>16.630000000000109</v>
      </c>
      <c r="U26" s="455">
        <f t="shared" si="9"/>
        <v>1.2158832518114036E-2</v>
      </c>
      <c r="V26" s="373" t="s">
        <v>174</v>
      </c>
      <c r="W26" s="373" t="s">
        <v>430</v>
      </c>
      <c r="X26" s="374" t="s">
        <v>482</v>
      </c>
      <c r="Y26" s="374" t="s">
        <v>591</v>
      </c>
      <c r="Z26" s="374">
        <v>1</v>
      </c>
      <c r="AA26" s="457" t="s">
        <v>473</v>
      </c>
      <c r="AD26" s="378"/>
      <c r="AE26" s="377"/>
    </row>
    <row r="27" spans="2:36" ht="17.149999999999999" customHeight="1">
      <c r="B27" s="846" t="s">
        <v>444</v>
      </c>
      <c r="C27" s="847"/>
      <c r="D27" s="857" t="s">
        <v>555</v>
      </c>
      <c r="E27" s="884" t="s">
        <v>556</v>
      </c>
      <c r="F27" s="886" t="s">
        <v>584</v>
      </c>
      <c r="G27" s="860" t="s">
        <v>558</v>
      </c>
      <c r="H27" s="885" t="s">
        <v>559</v>
      </c>
      <c r="I27" s="858" t="s">
        <v>560</v>
      </c>
      <c r="J27" s="859"/>
      <c r="K27" s="858" t="s">
        <v>561</v>
      </c>
      <c r="L27" s="859"/>
      <c r="M27" s="858" t="s">
        <v>562</v>
      </c>
      <c r="N27" s="859"/>
      <c r="O27" s="858" t="s">
        <v>563</v>
      </c>
      <c r="P27" s="859"/>
      <c r="Q27" s="858" t="s">
        <v>419</v>
      </c>
      <c r="R27" s="887"/>
      <c r="S27" s="859"/>
      <c r="T27" s="862" t="s">
        <v>420</v>
      </c>
      <c r="U27" s="863"/>
      <c r="V27" s="854" t="s">
        <v>171</v>
      </c>
      <c r="W27" s="854" t="s">
        <v>245</v>
      </c>
      <c r="X27" s="854" t="s">
        <v>564</v>
      </c>
      <c r="Y27" s="854" t="s">
        <v>446</v>
      </c>
      <c r="Z27" s="854" t="s">
        <v>246</v>
      </c>
      <c r="AA27" s="860" t="s">
        <v>172</v>
      </c>
      <c r="AC27" s="865" t="s">
        <v>247</v>
      </c>
      <c r="AD27" s="866"/>
      <c r="AE27" s="866"/>
      <c r="AF27" s="866"/>
      <c r="AG27" s="866"/>
      <c r="AH27" s="866"/>
      <c r="AI27" s="866"/>
      <c r="AJ27" s="867"/>
    </row>
    <row r="28" spans="2:36" ht="16.5" customHeight="1">
      <c r="B28" s="848"/>
      <c r="C28" s="849"/>
      <c r="D28" s="857"/>
      <c r="E28" s="857"/>
      <c r="F28" s="876"/>
      <c r="G28" s="861"/>
      <c r="H28" s="861"/>
      <c r="I28" s="450" t="s">
        <v>565</v>
      </c>
      <c r="J28" s="369" t="s">
        <v>566</v>
      </c>
      <c r="K28" s="450" t="s">
        <v>565</v>
      </c>
      <c r="L28" s="369" t="s">
        <v>566</v>
      </c>
      <c r="M28" s="450" t="s">
        <v>565</v>
      </c>
      <c r="N28" s="369" t="s">
        <v>566</v>
      </c>
      <c r="O28" s="450" t="s">
        <v>565</v>
      </c>
      <c r="P28" s="369" t="s">
        <v>566</v>
      </c>
      <c r="Q28" s="450" t="s">
        <v>565</v>
      </c>
      <c r="R28" s="369" t="s">
        <v>566</v>
      </c>
      <c r="S28" s="369" t="s">
        <v>567</v>
      </c>
      <c r="T28" s="450" t="s">
        <v>565</v>
      </c>
      <c r="U28" s="369" t="s">
        <v>566</v>
      </c>
      <c r="V28" s="856"/>
      <c r="W28" s="856"/>
      <c r="X28" s="856"/>
      <c r="Y28" s="856"/>
      <c r="Z28" s="856"/>
      <c r="AA28" s="861"/>
      <c r="AC28" s="868"/>
      <c r="AD28" s="869"/>
      <c r="AE28" s="869"/>
      <c r="AF28" s="869"/>
      <c r="AG28" s="869"/>
      <c r="AH28" s="869"/>
      <c r="AI28" s="869"/>
      <c r="AJ28" s="870"/>
    </row>
    <row r="29" spans="2:36" s="148" customFormat="1" ht="27" customHeight="1">
      <c r="B29" s="829" t="s">
        <v>665</v>
      </c>
      <c r="C29" s="830"/>
      <c r="D29" s="368">
        <v>1</v>
      </c>
      <c r="E29" s="451" t="s">
        <v>336</v>
      </c>
      <c r="F29" s="371">
        <f>IFERROR(T29*G29,"-")</f>
        <v>12264.701699999943</v>
      </c>
      <c r="G29" s="372">
        <v>147.43000000000004</v>
      </c>
      <c r="H29" s="453">
        <v>4841.42</v>
      </c>
      <c r="I29" s="453">
        <v>4841.42</v>
      </c>
      <c r="J29" s="455">
        <f>IFERROR(I29/H29,"-")</f>
        <v>1</v>
      </c>
      <c r="K29" s="454">
        <v>4841.42</v>
      </c>
      <c r="L29" s="455">
        <f>IFERROR(K29/H29,"-")</f>
        <v>1</v>
      </c>
      <c r="M29" s="454">
        <v>83.190000000000012</v>
      </c>
      <c r="N29" s="455">
        <f>IFERROR(M29/H29,"-")</f>
        <v>1.7182975242800668E-2</v>
      </c>
      <c r="O29" s="456">
        <f>IFERROR(K29+M29,"-")</f>
        <v>4924.6099999999997</v>
      </c>
      <c r="P29" s="455">
        <f>IFERROR(O29/H29,"-")</f>
        <v>1.0171829752428005</v>
      </c>
      <c r="Q29" s="453">
        <v>10.220000000000001</v>
      </c>
      <c r="R29" s="455">
        <f>IFERROR(Q29/H29,"-")</f>
        <v>2.1109509193583701E-3</v>
      </c>
      <c r="S29" s="484">
        <f>IFERROR(Q29*G29,"-")</f>
        <v>1506.7346000000005</v>
      </c>
      <c r="T29" s="456">
        <f>IFERROR(O29-H29,"-")</f>
        <v>83.1899999999996</v>
      </c>
      <c r="U29" s="455">
        <f>IFERROR(T29/H29,"-")</f>
        <v>1.7182975242800581E-2</v>
      </c>
      <c r="V29" s="373" t="s">
        <v>174</v>
      </c>
      <c r="W29" s="373" t="s">
        <v>215</v>
      </c>
      <c r="X29" s="374"/>
      <c r="Y29" s="374"/>
      <c r="Z29" s="374">
        <v>1</v>
      </c>
      <c r="AA29" s="457" t="s">
        <v>340</v>
      </c>
      <c r="AC29" s="871"/>
      <c r="AD29" s="872"/>
      <c r="AE29" s="872"/>
      <c r="AF29" s="872"/>
      <c r="AG29" s="872"/>
      <c r="AH29" s="872"/>
      <c r="AI29" s="872"/>
      <c r="AJ29" s="873"/>
    </row>
    <row r="30" spans="2:36" s="148" customFormat="1" ht="27" customHeight="1">
      <c r="B30" s="831"/>
      <c r="C30" s="832"/>
      <c r="D30" s="368">
        <v>2</v>
      </c>
      <c r="E30" s="451" t="s">
        <v>538</v>
      </c>
      <c r="F30" s="371">
        <f t="shared" ref="F30:F48" si="12">IFERROR(T30*G30,"-")</f>
        <v>9400.4235000000554</v>
      </c>
      <c r="G30" s="372">
        <v>39.389999999999993</v>
      </c>
      <c r="H30" s="453">
        <v>35576.85</v>
      </c>
      <c r="I30" s="453">
        <v>35576.85</v>
      </c>
      <c r="J30" s="455">
        <f t="shared" ref="J30:J48" si="13">IFERROR(I30/H30,"-")</f>
        <v>1</v>
      </c>
      <c r="K30" s="454">
        <v>35576.85</v>
      </c>
      <c r="L30" s="455">
        <f t="shared" ref="L30:L48" si="14">IFERROR(K30/H30,"-")</f>
        <v>1</v>
      </c>
      <c r="M30" s="454">
        <v>238.64999999999998</v>
      </c>
      <c r="N30" s="455">
        <f t="shared" ref="N30:N48" si="15">IFERROR(M30/H30,"-")</f>
        <v>6.7080137786228958E-3</v>
      </c>
      <c r="O30" s="456">
        <f t="shared" ref="O30:O48" si="16">IFERROR(K30+M30,"-")</f>
        <v>35815.5</v>
      </c>
      <c r="P30" s="455">
        <f t="shared" ref="P30:P48" si="17">IFERROR(O30/H30,"-")</f>
        <v>1.0067080137786228</v>
      </c>
      <c r="Q30" s="453">
        <v>37.22</v>
      </c>
      <c r="R30" s="455">
        <f t="shared" ref="R30:R48" si="18">IFERROR(Q30/H30,"-")</f>
        <v>1.0461859327062402E-3</v>
      </c>
      <c r="S30" s="484">
        <f t="shared" ref="S30:S48" si="19">IFERROR(Q30*G30,"-")</f>
        <v>1466.0957999999996</v>
      </c>
      <c r="T30" s="456">
        <f t="shared" ref="T30:T48" si="20">IFERROR(O30-H30,"-")</f>
        <v>238.65000000000146</v>
      </c>
      <c r="U30" s="455">
        <f t="shared" ref="U30:U48" si="21">IFERROR(T30/H30,"-")</f>
        <v>6.7080137786229375E-3</v>
      </c>
      <c r="V30" s="373" t="s">
        <v>174</v>
      </c>
      <c r="W30" s="373" t="s">
        <v>216</v>
      </c>
      <c r="X30" s="374"/>
      <c r="Y30" s="374"/>
      <c r="Z30" s="374">
        <v>1</v>
      </c>
      <c r="AA30" s="457" t="s">
        <v>340</v>
      </c>
      <c r="AC30" s="161" t="s">
        <v>244</v>
      </c>
      <c r="AD30" s="161" t="s">
        <v>447</v>
      </c>
      <c r="AE30" s="156" t="s">
        <v>568</v>
      </c>
      <c r="AF30" s="156" t="s">
        <v>337</v>
      </c>
      <c r="AG30" s="156" t="s">
        <v>430</v>
      </c>
      <c r="AH30" s="156" t="s">
        <v>215</v>
      </c>
      <c r="AI30" s="156" t="s">
        <v>216</v>
      </c>
      <c r="AJ30" s="156" t="s">
        <v>385</v>
      </c>
    </row>
    <row r="31" spans="2:36" s="148" customFormat="1" ht="27" customHeight="1">
      <c r="B31" s="831"/>
      <c r="C31" s="832"/>
      <c r="D31" s="368">
        <v>3</v>
      </c>
      <c r="E31" s="451" t="s">
        <v>685</v>
      </c>
      <c r="F31" s="371">
        <f t="shared" si="12"/>
        <v>7987.1021999999793</v>
      </c>
      <c r="G31" s="372">
        <v>43.889999999999993</v>
      </c>
      <c r="H31" s="453">
        <v>6266.0999999999985</v>
      </c>
      <c r="I31" s="453">
        <v>6266.0999999999985</v>
      </c>
      <c r="J31" s="455">
        <f t="shared" si="13"/>
        <v>1</v>
      </c>
      <c r="K31" s="454">
        <v>6266.0999999999985</v>
      </c>
      <c r="L31" s="455">
        <f t="shared" si="14"/>
        <v>1</v>
      </c>
      <c r="M31" s="454">
        <v>181.98</v>
      </c>
      <c r="N31" s="455">
        <f t="shared" si="15"/>
        <v>2.9041987839325902E-2</v>
      </c>
      <c r="O31" s="456">
        <f t="shared" si="16"/>
        <v>6448.0799999999981</v>
      </c>
      <c r="P31" s="455">
        <f t="shared" si="17"/>
        <v>1.0290419878393258</v>
      </c>
      <c r="Q31" s="453">
        <v>32.89</v>
      </c>
      <c r="R31" s="455">
        <f t="shared" si="18"/>
        <v>5.2488788879845533E-3</v>
      </c>
      <c r="S31" s="484">
        <f t="shared" si="19"/>
        <v>1443.5420999999999</v>
      </c>
      <c r="T31" s="456">
        <f t="shared" si="20"/>
        <v>181.97999999999956</v>
      </c>
      <c r="U31" s="455">
        <f t="shared" si="21"/>
        <v>2.9041987839325833E-2</v>
      </c>
      <c r="V31" s="373" t="s">
        <v>174</v>
      </c>
      <c r="W31" s="373" t="s">
        <v>216</v>
      </c>
      <c r="X31" s="374"/>
      <c r="Y31" s="374"/>
      <c r="Z31" s="374">
        <v>1</v>
      </c>
      <c r="AA31" s="457" t="s">
        <v>674</v>
      </c>
      <c r="AC31" s="381">
        <f>SUM(Z29:Z48)</f>
        <v>20</v>
      </c>
      <c r="AD31" s="376">
        <f>SUMIF($W$29:$W$48,TRIM(AD30),$Z$29:$Z$48)</f>
        <v>0</v>
      </c>
      <c r="AE31" s="376">
        <f t="shared" ref="AE31:AJ31" si="22">SUMIF($W$29:$W$48,TRIM(AE30),$Z$29:$Z$48)</f>
        <v>0</v>
      </c>
      <c r="AF31" s="376">
        <f t="shared" si="22"/>
        <v>0</v>
      </c>
      <c r="AG31" s="376">
        <f t="shared" si="22"/>
        <v>12</v>
      </c>
      <c r="AH31" s="376">
        <f t="shared" si="22"/>
        <v>1</v>
      </c>
      <c r="AI31" s="376">
        <f t="shared" si="22"/>
        <v>7</v>
      </c>
      <c r="AJ31" s="376">
        <f t="shared" si="22"/>
        <v>0</v>
      </c>
    </row>
    <row r="32" spans="2:36" s="148" customFormat="1" ht="27" customHeight="1">
      <c r="B32" s="831"/>
      <c r="C32" s="832"/>
      <c r="D32" s="368">
        <v>4</v>
      </c>
      <c r="E32" s="451" t="s">
        <v>463</v>
      </c>
      <c r="F32" s="371">
        <f t="shared" si="12"/>
        <v>7885.691600000061</v>
      </c>
      <c r="G32" s="372">
        <v>407.74000000000007</v>
      </c>
      <c r="H32" s="453">
        <v>1125.69</v>
      </c>
      <c r="I32" s="453">
        <v>1125.69</v>
      </c>
      <c r="J32" s="455">
        <f t="shared" si="13"/>
        <v>1</v>
      </c>
      <c r="K32" s="454">
        <v>1126.3900000000001</v>
      </c>
      <c r="L32" s="455">
        <f t="shared" si="14"/>
        <v>1.0006218408265153</v>
      </c>
      <c r="M32" s="454">
        <v>18.64</v>
      </c>
      <c r="N32" s="455">
        <f t="shared" si="15"/>
        <v>1.6558732866064369E-2</v>
      </c>
      <c r="O32" s="456">
        <f t="shared" si="16"/>
        <v>1145.0300000000002</v>
      </c>
      <c r="P32" s="455">
        <f t="shared" si="17"/>
        <v>1.0171805736925799</v>
      </c>
      <c r="Q32" s="453">
        <v>2.31</v>
      </c>
      <c r="R32" s="455">
        <f t="shared" si="18"/>
        <v>2.0520747275004662E-3</v>
      </c>
      <c r="S32" s="484">
        <f t="shared" si="19"/>
        <v>941.87940000000015</v>
      </c>
      <c r="T32" s="456">
        <f t="shared" si="20"/>
        <v>19.340000000000146</v>
      </c>
      <c r="U32" s="455">
        <f t="shared" si="21"/>
        <v>1.718057369257979E-2</v>
      </c>
      <c r="V32" s="373" t="s">
        <v>174</v>
      </c>
      <c r="W32" s="373" t="s">
        <v>216</v>
      </c>
      <c r="X32" s="374"/>
      <c r="Y32" s="374"/>
      <c r="Z32" s="374">
        <v>1</v>
      </c>
      <c r="AA32" s="457" t="s">
        <v>465</v>
      </c>
      <c r="AC32" s="382"/>
      <c r="AD32" s="379">
        <f>SUMIF($W$29:$W$48,TRIM(AD30),$F$29:$F$48)</f>
        <v>0</v>
      </c>
      <c r="AE32" s="379">
        <f t="shared" ref="AE32:AJ32" si="23">SUMIF($W$29:$W$48,TRIM(AE30),$F$29:$F$48)</f>
        <v>0</v>
      </c>
      <c r="AF32" s="379">
        <f t="shared" si="23"/>
        <v>0</v>
      </c>
      <c r="AG32" s="379">
        <f t="shared" si="23"/>
        <v>63700.014900000075</v>
      </c>
      <c r="AH32" s="379">
        <f t="shared" si="23"/>
        <v>12264.701699999943</v>
      </c>
      <c r="AI32" s="379">
        <f t="shared" si="23"/>
        <v>44969.139500000027</v>
      </c>
      <c r="AJ32" s="379">
        <f t="shared" si="23"/>
        <v>0</v>
      </c>
    </row>
    <row r="33" spans="2:36" s="148" customFormat="1" ht="27" customHeight="1">
      <c r="B33" s="831"/>
      <c r="C33" s="832"/>
      <c r="D33" s="368">
        <v>5</v>
      </c>
      <c r="E33" s="451" t="s">
        <v>686</v>
      </c>
      <c r="F33" s="371">
        <f t="shared" si="12"/>
        <v>6758.8521000000665</v>
      </c>
      <c r="G33" s="372">
        <v>193.82999999999998</v>
      </c>
      <c r="H33" s="453">
        <v>2481.16</v>
      </c>
      <c r="I33" s="453">
        <v>2481.16</v>
      </c>
      <c r="J33" s="455">
        <f t="shared" si="13"/>
        <v>1</v>
      </c>
      <c r="K33" s="454">
        <v>2487.63</v>
      </c>
      <c r="L33" s="455">
        <f t="shared" si="14"/>
        <v>1.0026076512598947</v>
      </c>
      <c r="M33" s="454">
        <v>28.400000000000002</v>
      </c>
      <c r="N33" s="455">
        <f t="shared" si="15"/>
        <v>1.1446259007883411E-2</v>
      </c>
      <c r="O33" s="456">
        <f t="shared" si="16"/>
        <v>2516.0300000000002</v>
      </c>
      <c r="P33" s="455">
        <f t="shared" si="17"/>
        <v>1.0140539102677781</v>
      </c>
      <c r="Q33" s="453">
        <v>2.37</v>
      </c>
      <c r="R33" s="455">
        <f t="shared" si="18"/>
        <v>9.5519837495365079E-4</v>
      </c>
      <c r="S33" s="484">
        <f t="shared" si="19"/>
        <v>459.37709999999998</v>
      </c>
      <c r="T33" s="456">
        <f t="shared" si="20"/>
        <v>34.870000000000346</v>
      </c>
      <c r="U33" s="455">
        <f t="shared" si="21"/>
        <v>1.4053910267778115E-2</v>
      </c>
      <c r="V33" s="373" t="s">
        <v>174</v>
      </c>
      <c r="W33" s="373" t="s">
        <v>430</v>
      </c>
      <c r="X33" s="374"/>
      <c r="Y33" s="374"/>
      <c r="Z33" s="374">
        <v>1</v>
      </c>
      <c r="AA33" s="457" t="s">
        <v>690</v>
      </c>
      <c r="AC33" s="368"/>
      <c r="AD33" s="380">
        <f t="shared" ref="AD33:AJ33" si="24">AD31/$AC31</f>
        <v>0</v>
      </c>
      <c r="AE33" s="380">
        <f t="shared" si="24"/>
        <v>0</v>
      </c>
      <c r="AF33" s="380">
        <f t="shared" si="24"/>
        <v>0</v>
      </c>
      <c r="AG33" s="380">
        <f t="shared" si="24"/>
        <v>0.6</v>
      </c>
      <c r="AH33" s="380">
        <f t="shared" si="24"/>
        <v>0.05</v>
      </c>
      <c r="AI33" s="380">
        <f t="shared" si="24"/>
        <v>0.35</v>
      </c>
      <c r="AJ33" s="380">
        <f t="shared" si="24"/>
        <v>0</v>
      </c>
    </row>
    <row r="34" spans="2:36" s="148" customFormat="1" ht="27" customHeight="1">
      <c r="B34" s="831"/>
      <c r="C34" s="832"/>
      <c r="D34" s="368">
        <v>6</v>
      </c>
      <c r="E34" s="451" t="s">
        <v>620</v>
      </c>
      <c r="F34" s="371">
        <f t="shared" si="12"/>
        <v>6118.1809999999878</v>
      </c>
      <c r="G34" s="372">
        <v>413.94999999999993</v>
      </c>
      <c r="H34" s="453">
        <v>827.88999999999987</v>
      </c>
      <c r="I34" s="453">
        <v>827.88999999999987</v>
      </c>
      <c r="J34" s="455">
        <f t="shared" si="13"/>
        <v>1</v>
      </c>
      <c r="K34" s="454">
        <v>827.88999999999987</v>
      </c>
      <c r="L34" s="455">
        <f t="shared" si="14"/>
        <v>1</v>
      </c>
      <c r="M34" s="454">
        <v>14.780000000000001</v>
      </c>
      <c r="N34" s="455">
        <f t="shared" si="15"/>
        <v>1.7852613269878852E-2</v>
      </c>
      <c r="O34" s="456">
        <f t="shared" si="16"/>
        <v>842.66999999999985</v>
      </c>
      <c r="P34" s="455">
        <f t="shared" si="17"/>
        <v>1.0178526132698789</v>
      </c>
      <c r="Q34" s="453">
        <v>3.6700000000000004</v>
      </c>
      <c r="R34" s="455">
        <f t="shared" si="18"/>
        <v>4.4329560690429901E-3</v>
      </c>
      <c r="S34" s="484">
        <f t="shared" si="19"/>
        <v>1519.1965</v>
      </c>
      <c r="T34" s="456">
        <f t="shared" si="20"/>
        <v>14.779999999999973</v>
      </c>
      <c r="U34" s="455">
        <f t="shared" si="21"/>
        <v>1.7852613269878817E-2</v>
      </c>
      <c r="V34" s="373" t="s">
        <v>174</v>
      </c>
      <c r="W34" s="373" t="s">
        <v>430</v>
      </c>
      <c r="X34" s="374"/>
      <c r="Y34" s="374"/>
      <c r="Z34" s="374">
        <v>1</v>
      </c>
      <c r="AA34" s="457" t="s">
        <v>340</v>
      </c>
    </row>
    <row r="35" spans="2:36" s="148" customFormat="1" ht="27" customHeight="1">
      <c r="B35" s="831"/>
      <c r="C35" s="832"/>
      <c r="D35" s="368">
        <v>7</v>
      </c>
      <c r="E35" s="451" t="s">
        <v>687</v>
      </c>
      <c r="F35" s="371">
        <f t="shared" si="12"/>
        <v>5900.5999999999995</v>
      </c>
      <c r="G35" s="372">
        <v>144.79999999999998</v>
      </c>
      <c r="H35" s="453">
        <v>2957.66</v>
      </c>
      <c r="I35" s="453">
        <v>2957.66</v>
      </c>
      <c r="J35" s="455">
        <f t="shared" si="13"/>
        <v>1</v>
      </c>
      <c r="K35" s="454">
        <v>2957.66</v>
      </c>
      <c r="L35" s="455">
        <f t="shared" si="14"/>
        <v>1</v>
      </c>
      <c r="M35" s="454">
        <v>40.75</v>
      </c>
      <c r="N35" s="455">
        <f t="shared" si="15"/>
        <v>1.3777783788535532E-2</v>
      </c>
      <c r="O35" s="456">
        <f t="shared" si="16"/>
        <v>2998.41</v>
      </c>
      <c r="P35" s="455">
        <f t="shared" si="17"/>
        <v>1.0137777837885356</v>
      </c>
      <c r="Q35" s="453">
        <v>7.4899999999999993</v>
      </c>
      <c r="R35" s="455">
        <f t="shared" si="18"/>
        <v>2.5324073761013774E-3</v>
      </c>
      <c r="S35" s="484">
        <f t="shared" si="19"/>
        <v>1084.5519999999997</v>
      </c>
      <c r="T35" s="456">
        <f t="shared" si="20"/>
        <v>40.75</v>
      </c>
      <c r="U35" s="455">
        <f t="shared" si="21"/>
        <v>1.3777783788535532E-2</v>
      </c>
      <c r="V35" s="373" t="s">
        <v>174</v>
      </c>
      <c r="W35" s="373" t="s">
        <v>430</v>
      </c>
      <c r="X35" s="374"/>
      <c r="Y35" s="374"/>
      <c r="Z35" s="374">
        <v>1</v>
      </c>
      <c r="AA35" s="457" t="s">
        <v>340</v>
      </c>
    </row>
    <row r="36" spans="2:36" s="148" customFormat="1" ht="27" customHeight="1">
      <c r="B36" s="831"/>
      <c r="C36" s="832"/>
      <c r="D36" s="368">
        <v>8</v>
      </c>
      <c r="E36" s="451" t="s">
        <v>601</v>
      </c>
      <c r="F36" s="371">
        <f t="shared" si="12"/>
        <v>5677.1792000000078</v>
      </c>
      <c r="G36" s="372">
        <v>113.68000000000004</v>
      </c>
      <c r="H36" s="453">
        <v>1662.5</v>
      </c>
      <c r="I36" s="453">
        <v>1662.5</v>
      </c>
      <c r="J36" s="455">
        <f t="shared" si="13"/>
        <v>1</v>
      </c>
      <c r="K36" s="454">
        <v>1662.5</v>
      </c>
      <c r="L36" s="455">
        <f t="shared" si="14"/>
        <v>1</v>
      </c>
      <c r="M36" s="454">
        <v>49.94</v>
      </c>
      <c r="N36" s="455">
        <f t="shared" si="15"/>
        <v>3.00390977443609E-2</v>
      </c>
      <c r="O36" s="456">
        <f t="shared" si="16"/>
        <v>1712.44</v>
      </c>
      <c r="P36" s="455">
        <f t="shared" si="17"/>
        <v>1.030039097744361</v>
      </c>
      <c r="Q36" s="453">
        <v>10.01</v>
      </c>
      <c r="R36" s="455">
        <f t="shared" si="18"/>
        <v>6.021052631578947E-3</v>
      </c>
      <c r="S36" s="484">
        <f t="shared" si="19"/>
        <v>1137.9368000000004</v>
      </c>
      <c r="T36" s="456">
        <f t="shared" si="20"/>
        <v>49.940000000000055</v>
      </c>
      <c r="U36" s="455">
        <f t="shared" si="21"/>
        <v>3.0039097744360935E-2</v>
      </c>
      <c r="V36" s="373" t="s">
        <v>174</v>
      </c>
      <c r="W36" s="373" t="s">
        <v>430</v>
      </c>
      <c r="X36" s="374"/>
      <c r="Y36" s="374"/>
      <c r="Z36" s="374">
        <v>1</v>
      </c>
      <c r="AA36" s="457" t="s">
        <v>582</v>
      </c>
    </row>
    <row r="37" spans="2:36" s="148" customFormat="1" ht="27" customHeight="1">
      <c r="B37" s="831"/>
      <c r="C37" s="832"/>
      <c r="D37" s="368">
        <v>9</v>
      </c>
      <c r="E37" s="451" t="s">
        <v>688</v>
      </c>
      <c r="F37" s="371">
        <f t="shared" si="12"/>
        <v>5449.2958000000026</v>
      </c>
      <c r="G37" s="372">
        <v>212.78</v>
      </c>
      <c r="H37" s="453">
        <v>908.13</v>
      </c>
      <c r="I37" s="453">
        <v>908.13</v>
      </c>
      <c r="J37" s="455">
        <f t="shared" si="13"/>
        <v>1</v>
      </c>
      <c r="K37" s="454">
        <v>908.13</v>
      </c>
      <c r="L37" s="455">
        <f t="shared" si="14"/>
        <v>1</v>
      </c>
      <c r="M37" s="454">
        <v>25.61</v>
      </c>
      <c r="N37" s="455">
        <f t="shared" si="15"/>
        <v>2.8200808254324822E-2</v>
      </c>
      <c r="O37" s="456">
        <f t="shared" si="16"/>
        <v>933.74</v>
      </c>
      <c r="P37" s="455">
        <f t="shared" si="17"/>
        <v>1.0282008082543248</v>
      </c>
      <c r="Q37" s="453">
        <v>7.45</v>
      </c>
      <c r="R37" s="455">
        <f t="shared" si="18"/>
        <v>8.2036712805435355E-3</v>
      </c>
      <c r="S37" s="484">
        <f t="shared" si="19"/>
        <v>1585.211</v>
      </c>
      <c r="T37" s="456">
        <f t="shared" si="20"/>
        <v>25.610000000000014</v>
      </c>
      <c r="U37" s="455">
        <f t="shared" si="21"/>
        <v>2.8200808254324836E-2</v>
      </c>
      <c r="V37" s="373" t="s">
        <v>174</v>
      </c>
      <c r="W37" s="373" t="s">
        <v>430</v>
      </c>
      <c r="X37" s="374"/>
      <c r="Y37" s="374"/>
      <c r="Z37" s="374">
        <v>1</v>
      </c>
      <c r="AA37" s="457" t="s">
        <v>674</v>
      </c>
    </row>
    <row r="38" spans="2:36" s="148" customFormat="1" ht="27" customHeight="1">
      <c r="B38" s="831"/>
      <c r="C38" s="832"/>
      <c r="D38" s="368">
        <v>10</v>
      </c>
      <c r="E38" s="451" t="s">
        <v>689</v>
      </c>
      <c r="F38" s="371">
        <f t="shared" si="12"/>
        <v>5348.1769999999951</v>
      </c>
      <c r="G38" s="372">
        <v>49.82</v>
      </c>
      <c r="H38" s="453">
        <v>3275.25</v>
      </c>
      <c r="I38" s="453">
        <v>3275.25</v>
      </c>
      <c r="J38" s="455">
        <f t="shared" si="13"/>
        <v>1</v>
      </c>
      <c r="K38" s="454">
        <v>3275.25</v>
      </c>
      <c r="L38" s="455">
        <f t="shared" si="14"/>
        <v>1</v>
      </c>
      <c r="M38" s="454">
        <v>107.35</v>
      </c>
      <c r="N38" s="455">
        <f t="shared" si="15"/>
        <v>3.2776123960003054E-2</v>
      </c>
      <c r="O38" s="456">
        <f t="shared" si="16"/>
        <v>3382.6</v>
      </c>
      <c r="P38" s="455">
        <f t="shared" si="17"/>
        <v>1.0327761239600031</v>
      </c>
      <c r="Q38" s="453">
        <v>21.630000000000003</v>
      </c>
      <c r="R38" s="455">
        <f t="shared" si="18"/>
        <v>6.6040760247309373E-3</v>
      </c>
      <c r="S38" s="484">
        <f t="shared" si="19"/>
        <v>1077.6066000000001</v>
      </c>
      <c r="T38" s="456">
        <f t="shared" si="20"/>
        <v>107.34999999999991</v>
      </c>
      <c r="U38" s="455">
        <f t="shared" si="21"/>
        <v>3.2776123960003026E-2</v>
      </c>
      <c r="V38" s="373" t="s">
        <v>174</v>
      </c>
      <c r="W38" s="373" t="s">
        <v>430</v>
      </c>
      <c r="X38" s="374"/>
      <c r="Y38" s="374"/>
      <c r="Z38" s="374">
        <v>1</v>
      </c>
      <c r="AA38" s="457" t="s">
        <v>643</v>
      </c>
    </row>
    <row r="39" spans="2:36" s="148" customFormat="1" ht="27" customHeight="1">
      <c r="B39" s="831"/>
      <c r="C39" s="832"/>
      <c r="D39" s="368">
        <v>11</v>
      </c>
      <c r="E39" s="451" t="s">
        <v>647</v>
      </c>
      <c r="F39" s="371">
        <f t="shared" si="12"/>
        <v>5212.478699999996</v>
      </c>
      <c r="G39" s="372">
        <v>39.389999999999993</v>
      </c>
      <c r="H39" s="453">
        <v>5051.83</v>
      </c>
      <c r="I39" s="453">
        <v>5051.83</v>
      </c>
      <c r="J39" s="455">
        <f t="shared" si="13"/>
        <v>1</v>
      </c>
      <c r="K39" s="454">
        <v>5051.83</v>
      </c>
      <c r="L39" s="455">
        <f t="shared" si="14"/>
        <v>1</v>
      </c>
      <c r="M39" s="454">
        <v>132.33000000000001</v>
      </c>
      <c r="N39" s="455">
        <f t="shared" si="15"/>
        <v>2.6194468143227307E-2</v>
      </c>
      <c r="O39" s="456">
        <f t="shared" si="16"/>
        <v>5184.16</v>
      </c>
      <c r="P39" s="455">
        <f t="shared" si="17"/>
        <v>1.0261944681432273</v>
      </c>
      <c r="Q39" s="453">
        <v>29.68</v>
      </c>
      <c r="R39" s="455">
        <f t="shared" si="18"/>
        <v>5.8750987266000636E-3</v>
      </c>
      <c r="S39" s="484">
        <f t="shared" si="19"/>
        <v>1169.0951999999997</v>
      </c>
      <c r="T39" s="456">
        <f t="shared" si="20"/>
        <v>132.32999999999993</v>
      </c>
      <c r="U39" s="455">
        <f t="shared" si="21"/>
        <v>2.6194468143227293E-2</v>
      </c>
      <c r="V39" s="373" t="s">
        <v>174</v>
      </c>
      <c r="W39" s="373" t="s">
        <v>216</v>
      </c>
      <c r="X39" s="373"/>
      <c r="Y39" s="374"/>
      <c r="Z39" s="374">
        <v>1</v>
      </c>
      <c r="AA39" s="457" t="s">
        <v>641</v>
      </c>
      <c r="AE39" s="377"/>
    </row>
    <row r="40" spans="2:36" s="148" customFormat="1" ht="27" customHeight="1">
      <c r="B40" s="831"/>
      <c r="C40" s="832"/>
      <c r="D40" s="368">
        <v>12</v>
      </c>
      <c r="E40" s="451" t="s">
        <v>387</v>
      </c>
      <c r="F40" s="371">
        <f t="shared" si="12"/>
        <v>5062.4640000000472</v>
      </c>
      <c r="G40" s="372">
        <v>127.84000000000002</v>
      </c>
      <c r="H40" s="453">
        <v>4280.3500000000004</v>
      </c>
      <c r="I40" s="453">
        <v>4280.3500000000004</v>
      </c>
      <c r="J40" s="455">
        <f t="shared" si="13"/>
        <v>1</v>
      </c>
      <c r="K40" s="454">
        <v>4280.3500000000004</v>
      </c>
      <c r="L40" s="455">
        <f t="shared" si="14"/>
        <v>1</v>
      </c>
      <c r="M40" s="454">
        <v>39.599999999999994</v>
      </c>
      <c r="N40" s="455">
        <f t="shared" si="15"/>
        <v>9.251579894167531E-3</v>
      </c>
      <c r="O40" s="456">
        <f t="shared" si="16"/>
        <v>4319.9500000000007</v>
      </c>
      <c r="P40" s="455">
        <f t="shared" si="17"/>
        <v>1.0092515798941677</v>
      </c>
      <c r="Q40" s="453">
        <v>13.71</v>
      </c>
      <c r="R40" s="455">
        <f t="shared" si="18"/>
        <v>3.2030090997231535E-3</v>
      </c>
      <c r="S40" s="484">
        <f t="shared" si="19"/>
        <v>1752.6864000000003</v>
      </c>
      <c r="T40" s="456">
        <f t="shared" si="20"/>
        <v>39.600000000000364</v>
      </c>
      <c r="U40" s="455">
        <f t="shared" si="21"/>
        <v>9.2515798941676178E-3</v>
      </c>
      <c r="V40" s="373" t="s">
        <v>174</v>
      </c>
      <c r="W40" s="373" t="s">
        <v>430</v>
      </c>
      <c r="X40" s="374"/>
      <c r="Y40" s="374"/>
      <c r="Z40" s="374">
        <v>1</v>
      </c>
      <c r="AA40" s="457" t="s">
        <v>340</v>
      </c>
    </row>
    <row r="41" spans="2:36" s="148" customFormat="1" ht="27" customHeight="1">
      <c r="B41" s="831"/>
      <c r="C41" s="832"/>
      <c r="D41" s="368">
        <v>13</v>
      </c>
      <c r="E41" s="451" t="s">
        <v>472</v>
      </c>
      <c r="F41" s="371">
        <f t="shared" si="12"/>
        <v>5016.7151999999778</v>
      </c>
      <c r="G41" s="372">
        <v>266.27999999999997</v>
      </c>
      <c r="H41" s="453">
        <v>1314.67</v>
      </c>
      <c r="I41" s="453">
        <v>1314.67</v>
      </c>
      <c r="J41" s="455">
        <f t="shared" si="13"/>
        <v>1</v>
      </c>
      <c r="K41" s="454">
        <v>1319.17</v>
      </c>
      <c r="L41" s="455">
        <f t="shared" si="14"/>
        <v>1.0034229122137115</v>
      </c>
      <c r="M41" s="454">
        <v>14.34</v>
      </c>
      <c r="N41" s="455">
        <f t="shared" si="15"/>
        <v>1.0907680254360409E-2</v>
      </c>
      <c r="O41" s="456">
        <f t="shared" si="16"/>
        <v>1333.51</v>
      </c>
      <c r="P41" s="455">
        <f t="shared" si="17"/>
        <v>1.0143305924680717</v>
      </c>
      <c r="Q41" s="453">
        <v>1.19</v>
      </c>
      <c r="R41" s="455">
        <f t="shared" si="18"/>
        <v>9.0517011873702136E-4</v>
      </c>
      <c r="S41" s="484">
        <f t="shared" si="19"/>
        <v>316.87319999999994</v>
      </c>
      <c r="T41" s="456">
        <f t="shared" si="20"/>
        <v>18.839999999999918</v>
      </c>
      <c r="U41" s="455">
        <f t="shared" si="21"/>
        <v>1.4330592468071772E-2</v>
      </c>
      <c r="V41" s="373" t="s">
        <v>174</v>
      </c>
      <c r="W41" s="373" t="s">
        <v>430</v>
      </c>
      <c r="X41" s="374"/>
      <c r="Y41" s="374"/>
      <c r="Z41" s="374">
        <v>1</v>
      </c>
      <c r="AA41" s="457" t="s">
        <v>473</v>
      </c>
    </row>
    <row r="42" spans="2:36" s="148" customFormat="1" ht="27" customHeight="1">
      <c r="B42" s="831"/>
      <c r="C42" s="832"/>
      <c r="D42" s="368">
        <v>14</v>
      </c>
      <c r="E42" s="451" t="s">
        <v>585</v>
      </c>
      <c r="F42" s="371">
        <f t="shared" si="12"/>
        <v>5011.006000000004</v>
      </c>
      <c r="G42" s="372">
        <v>40.04</v>
      </c>
      <c r="H42" s="453">
        <v>3778.71</v>
      </c>
      <c r="I42" s="453">
        <v>3778.71</v>
      </c>
      <c r="J42" s="455">
        <f t="shared" si="13"/>
        <v>1</v>
      </c>
      <c r="K42" s="454">
        <v>3778.71</v>
      </c>
      <c r="L42" s="455">
        <f t="shared" si="14"/>
        <v>1</v>
      </c>
      <c r="M42" s="454">
        <v>125.15</v>
      </c>
      <c r="N42" s="455">
        <f t="shared" si="15"/>
        <v>3.3119768386565787E-2</v>
      </c>
      <c r="O42" s="456">
        <f t="shared" si="16"/>
        <v>3903.86</v>
      </c>
      <c r="P42" s="455">
        <f t="shared" si="17"/>
        <v>1.0331197683865658</v>
      </c>
      <c r="Q42" s="453">
        <v>21.74</v>
      </c>
      <c r="R42" s="455">
        <f t="shared" si="18"/>
        <v>5.7532861743822619E-3</v>
      </c>
      <c r="S42" s="484">
        <f t="shared" si="19"/>
        <v>870.4695999999999</v>
      </c>
      <c r="T42" s="456">
        <f t="shared" si="20"/>
        <v>125.15000000000009</v>
      </c>
      <c r="U42" s="455">
        <f t="shared" si="21"/>
        <v>3.3119768386565808E-2</v>
      </c>
      <c r="V42" s="373" t="s">
        <v>174</v>
      </c>
      <c r="W42" s="373" t="s">
        <v>216</v>
      </c>
      <c r="X42" s="374"/>
      <c r="Y42" s="374"/>
      <c r="Z42" s="374">
        <v>1</v>
      </c>
      <c r="AA42" s="457" t="s">
        <v>537</v>
      </c>
    </row>
    <row r="43" spans="2:36" s="148" customFormat="1" ht="27" customHeight="1">
      <c r="B43" s="831"/>
      <c r="C43" s="832"/>
      <c r="D43" s="368">
        <v>15</v>
      </c>
      <c r="E43" s="451" t="s">
        <v>619</v>
      </c>
      <c r="F43" s="371">
        <f t="shared" si="12"/>
        <v>5006.747200000018</v>
      </c>
      <c r="G43" s="372">
        <v>153.44000000000003</v>
      </c>
      <c r="H43" s="453">
        <v>2031.73</v>
      </c>
      <c r="I43" s="453">
        <v>2031.73</v>
      </c>
      <c r="J43" s="455">
        <f t="shared" si="13"/>
        <v>1</v>
      </c>
      <c r="K43" s="454">
        <v>2031.73</v>
      </c>
      <c r="L43" s="455">
        <f t="shared" si="14"/>
        <v>1</v>
      </c>
      <c r="M43" s="454">
        <v>32.630000000000003</v>
      </c>
      <c r="N43" s="455">
        <f t="shared" si="15"/>
        <v>1.6060204850053897E-2</v>
      </c>
      <c r="O43" s="456">
        <f t="shared" si="16"/>
        <v>2064.36</v>
      </c>
      <c r="P43" s="455">
        <f t="shared" si="17"/>
        <v>1.016060204850054</v>
      </c>
      <c r="Q43" s="453">
        <v>6.98</v>
      </c>
      <c r="R43" s="455">
        <f t="shared" si="18"/>
        <v>3.4354958582095063E-3</v>
      </c>
      <c r="S43" s="484">
        <f t="shared" si="19"/>
        <v>1071.0112000000001</v>
      </c>
      <c r="T43" s="456">
        <f t="shared" si="20"/>
        <v>32.630000000000109</v>
      </c>
      <c r="U43" s="455">
        <f t="shared" si="21"/>
        <v>1.6060204850053949E-2</v>
      </c>
      <c r="V43" s="373" t="s">
        <v>174</v>
      </c>
      <c r="W43" s="373" t="s">
        <v>430</v>
      </c>
      <c r="X43" s="374"/>
      <c r="Y43" s="374"/>
      <c r="Z43" s="374">
        <v>1</v>
      </c>
      <c r="AA43" s="457" t="s">
        <v>467</v>
      </c>
    </row>
    <row r="44" spans="2:36" s="148" customFormat="1" ht="27" customHeight="1">
      <c r="B44" s="831"/>
      <c r="C44" s="832"/>
      <c r="D44" s="368">
        <v>16</v>
      </c>
      <c r="E44" s="451" t="s">
        <v>461</v>
      </c>
      <c r="F44" s="371">
        <f t="shared" si="12"/>
        <v>4906.8179999999438</v>
      </c>
      <c r="G44" s="372">
        <v>605.77999999999986</v>
      </c>
      <c r="H44" s="453">
        <v>1043.78</v>
      </c>
      <c r="I44" s="453">
        <v>1043.78</v>
      </c>
      <c r="J44" s="455">
        <f t="shared" si="13"/>
        <v>1</v>
      </c>
      <c r="K44" s="454">
        <v>1044.8799999999999</v>
      </c>
      <c r="L44" s="455">
        <f t="shared" si="14"/>
        <v>1.0010538619249265</v>
      </c>
      <c r="M44" s="454">
        <v>7.0000000000000009</v>
      </c>
      <c r="N44" s="455">
        <f t="shared" si="15"/>
        <v>6.7063940677154201E-3</v>
      </c>
      <c r="O44" s="456">
        <f t="shared" si="16"/>
        <v>1051.8799999999999</v>
      </c>
      <c r="P44" s="455">
        <f t="shared" si="17"/>
        <v>1.007760255992642</v>
      </c>
      <c r="Q44" s="453">
        <v>2.7199999999999998</v>
      </c>
      <c r="R44" s="455">
        <f t="shared" si="18"/>
        <v>2.6059131234551342E-3</v>
      </c>
      <c r="S44" s="484">
        <f t="shared" si="19"/>
        <v>1647.7215999999994</v>
      </c>
      <c r="T44" s="456">
        <f t="shared" si="20"/>
        <v>8.0999999999999091</v>
      </c>
      <c r="U44" s="455">
        <f t="shared" si="21"/>
        <v>7.7602559926420404E-3</v>
      </c>
      <c r="V44" s="373" t="s">
        <v>174</v>
      </c>
      <c r="W44" s="374" t="s">
        <v>216</v>
      </c>
      <c r="X44" s="374"/>
      <c r="Y44" s="374"/>
      <c r="Z44" s="374">
        <v>1</v>
      </c>
      <c r="AA44" s="457" t="s">
        <v>342</v>
      </c>
    </row>
    <row r="45" spans="2:36" s="148" customFormat="1" ht="27" customHeight="1">
      <c r="B45" s="831"/>
      <c r="C45" s="832"/>
      <c r="D45" s="368">
        <v>17</v>
      </c>
      <c r="E45" s="451" t="s">
        <v>621</v>
      </c>
      <c r="F45" s="371">
        <f t="shared" si="12"/>
        <v>4565.6194999999916</v>
      </c>
      <c r="G45" s="372">
        <v>46.149999999999991</v>
      </c>
      <c r="H45" s="453">
        <v>3553.92</v>
      </c>
      <c r="I45" s="453">
        <v>3553.92</v>
      </c>
      <c r="J45" s="455">
        <f t="shared" si="13"/>
        <v>1</v>
      </c>
      <c r="K45" s="454">
        <v>3553.92</v>
      </c>
      <c r="L45" s="455">
        <f t="shared" si="14"/>
        <v>1</v>
      </c>
      <c r="M45" s="454">
        <v>98.929999999999993</v>
      </c>
      <c r="N45" s="455">
        <f t="shared" si="15"/>
        <v>2.7836867459031151E-2</v>
      </c>
      <c r="O45" s="456">
        <f t="shared" si="16"/>
        <v>3652.85</v>
      </c>
      <c r="P45" s="455">
        <f t="shared" si="17"/>
        <v>1.027836867459031</v>
      </c>
      <c r="Q45" s="453">
        <v>23.389999999999997</v>
      </c>
      <c r="R45" s="455">
        <f t="shared" si="18"/>
        <v>6.5814649738879872E-3</v>
      </c>
      <c r="S45" s="484">
        <f t="shared" si="19"/>
        <v>1079.4484999999997</v>
      </c>
      <c r="T45" s="456">
        <f t="shared" si="20"/>
        <v>98.929999999999836</v>
      </c>
      <c r="U45" s="455">
        <f t="shared" si="21"/>
        <v>2.7836867459031106E-2</v>
      </c>
      <c r="V45" s="373" t="s">
        <v>174</v>
      </c>
      <c r="W45" s="374" t="s">
        <v>216</v>
      </c>
      <c r="X45" s="374"/>
      <c r="Y45" s="374"/>
      <c r="Z45" s="374">
        <v>1</v>
      </c>
      <c r="AA45" s="457" t="s">
        <v>617</v>
      </c>
    </row>
    <row r="46" spans="2:36" s="148" customFormat="1" ht="27" customHeight="1">
      <c r="B46" s="831"/>
      <c r="C46" s="832"/>
      <c r="D46" s="368">
        <v>18</v>
      </c>
      <c r="E46" s="451" t="s">
        <v>551</v>
      </c>
      <c r="F46" s="371">
        <f t="shared" si="12"/>
        <v>4532.5501999999969</v>
      </c>
      <c r="G46" s="372">
        <v>66.13</v>
      </c>
      <c r="H46" s="453">
        <v>1915.3400000000001</v>
      </c>
      <c r="I46" s="453">
        <v>1915.3400000000001</v>
      </c>
      <c r="J46" s="455">
        <f t="shared" si="13"/>
        <v>1</v>
      </c>
      <c r="K46" s="454">
        <v>1921.8000000000002</v>
      </c>
      <c r="L46" s="455">
        <f t="shared" si="14"/>
        <v>1.0033727693255505</v>
      </c>
      <c r="M46" s="454">
        <v>62.08</v>
      </c>
      <c r="N46" s="455">
        <f t="shared" si="15"/>
        <v>3.2411999958231956E-2</v>
      </c>
      <c r="O46" s="456">
        <f t="shared" si="16"/>
        <v>1983.88</v>
      </c>
      <c r="P46" s="455">
        <f t="shared" si="17"/>
        <v>1.0357847692837825</v>
      </c>
      <c r="Q46" s="453">
        <v>14.2</v>
      </c>
      <c r="R46" s="455">
        <f t="shared" si="18"/>
        <v>7.4138273100337266E-3</v>
      </c>
      <c r="S46" s="484">
        <f t="shared" si="19"/>
        <v>939.04599999999994</v>
      </c>
      <c r="T46" s="456">
        <f t="shared" si="20"/>
        <v>68.539999999999964</v>
      </c>
      <c r="U46" s="455">
        <f t="shared" si="21"/>
        <v>3.5784769283782492E-2</v>
      </c>
      <c r="V46" s="373" t="s">
        <v>174</v>
      </c>
      <c r="W46" s="373" t="s">
        <v>430</v>
      </c>
      <c r="X46" s="374"/>
      <c r="Y46" s="374"/>
      <c r="Z46" s="374">
        <v>1</v>
      </c>
      <c r="AA46" s="457" t="s">
        <v>341</v>
      </c>
    </row>
    <row r="47" spans="2:36" s="148" customFormat="1" ht="27" customHeight="1">
      <c r="B47" s="831"/>
      <c r="C47" s="832"/>
      <c r="D47" s="368">
        <v>19</v>
      </c>
      <c r="E47" s="451" t="s">
        <v>466</v>
      </c>
      <c r="F47" s="371">
        <f t="shared" si="12"/>
        <v>4509.9299999999921</v>
      </c>
      <c r="G47" s="372">
        <v>629</v>
      </c>
      <c r="H47" s="453">
        <v>191.45</v>
      </c>
      <c r="I47" s="453">
        <v>191.45</v>
      </c>
      <c r="J47" s="455">
        <f t="shared" si="13"/>
        <v>1</v>
      </c>
      <c r="K47" s="454">
        <v>191.45</v>
      </c>
      <c r="L47" s="455">
        <f t="shared" si="14"/>
        <v>1</v>
      </c>
      <c r="M47" s="454">
        <v>7.17</v>
      </c>
      <c r="N47" s="455">
        <f t="shared" si="15"/>
        <v>3.7451031600940196E-2</v>
      </c>
      <c r="O47" s="456">
        <f t="shared" si="16"/>
        <v>198.61999999999998</v>
      </c>
      <c r="P47" s="455">
        <f t="shared" si="17"/>
        <v>1.0374510316009402</v>
      </c>
      <c r="Q47" s="453">
        <v>1.68</v>
      </c>
      <c r="R47" s="455">
        <f t="shared" si="18"/>
        <v>8.7751371115173671E-3</v>
      </c>
      <c r="S47" s="484">
        <f t="shared" si="19"/>
        <v>1056.72</v>
      </c>
      <c r="T47" s="456">
        <f t="shared" si="20"/>
        <v>7.1699999999999875</v>
      </c>
      <c r="U47" s="455">
        <f t="shared" si="21"/>
        <v>3.7451031600940127E-2</v>
      </c>
      <c r="V47" s="373" t="s">
        <v>174</v>
      </c>
      <c r="W47" s="373" t="s">
        <v>430</v>
      </c>
      <c r="X47" s="374"/>
      <c r="Y47" s="374"/>
      <c r="Z47" s="374">
        <v>1</v>
      </c>
      <c r="AA47" s="457" t="s">
        <v>460</v>
      </c>
    </row>
    <row r="48" spans="2:36" s="148" customFormat="1" ht="27" customHeight="1">
      <c r="B48" s="833"/>
      <c r="C48" s="834"/>
      <c r="D48" s="368">
        <v>20</v>
      </c>
      <c r="E48" s="451" t="s">
        <v>422</v>
      </c>
      <c r="F48" s="371">
        <f t="shared" si="12"/>
        <v>4319.3231999999853</v>
      </c>
      <c r="G48" s="372">
        <v>157.87000000000003</v>
      </c>
      <c r="H48" s="453">
        <v>1811.05</v>
      </c>
      <c r="I48" s="453">
        <v>1811.05</v>
      </c>
      <c r="J48" s="455">
        <f t="shared" si="13"/>
        <v>1</v>
      </c>
      <c r="K48" s="454">
        <v>1812.0199999999998</v>
      </c>
      <c r="L48" s="455">
        <f t="shared" si="14"/>
        <v>1.0005356008945085</v>
      </c>
      <c r="M48" s="454">
        <v>26.39</v>
      </c>
      <c r="N48" s="455">
        <f t="shared" si="15"/>
        <v>1.4571657325860689E-2</v>
      </c>
      <c r="O48" s="456">
        <f t="shared" si="16"/>
        <v>1838.4099999999999</v>
      </c>
      <c r="P48" s="455">
        <f t="shared" si="17"/>
        <v>1.0151072582203693</v>
      </c>
      <c r="Q48" s="453">
        <v>6.08</v>
      </c>
      <c r="R48" s="455">
        <f t="shared" si="18"/>
        <v>3.357168493415422E-3</v>
      </c>
      <c r="S48" s="484">
        <f t="shared" si="19"/>
        <v>959.84960000000024</v>
      </c>
      <c r="T48" s="456">
        <f t="shared" si="20"/>
        <v>27.3599999999999</v>
      </c>
      <c r="U48" s="455">
        <f t="shared" si="21"/>
        <v>1.5107258220369344E-2</v>
      </c>
      <c r="V48" s="373" t="s">
        <v>174</v>
      </c>
      <c r="W48" s="373" t="s">
        <v>430</v>
      </c>
      <c r="X48" s="374"/>
      <c r="Y48" s="374"/>
      <c r="Z48" s="374">
        <v>1</v>
      </c>
      <c r="AA48" s="457" t="s">
        <v>340</v>
      </c>
    </row>
    <row r="49" spans="2:36" ht="17.149999999999999" customHeight="1">
      <c r="B49" s="846" t="s">
        <v>444</v>
      </c>
      <c r="C49" s="847"/>
      <c r="D49" s="857" t="s">
        <v>555</v>
      </c>
      <c r="E49" s="884" t="s">
        <v>556</v>
      </c>
      <c r="F49" s="886" t="s">
        <v>584</v>
      </c>
      <c r="G49" s="860" t="s">
        <v>558</v>
      </c>
      <c r="H49" s="885" t="s">
        <v>559</v>
      </c>
      <c r="I49" s="858" t="s">
        <v>560</v>
      </c>
      <c r="J49" s="859"/>
      <c r="K49" s="858" t="s">
        <v>561</v>
      </c>
      <c r="L49" s="859"/>
      <c r="M49" s="858" t="s">
        <v>562</v>
      </c>
      <c r="N49" s="859"/>
      <c r="O49" s="858" t="s">
        <v>563</v>
      </c>
      <c r="P49" s="859"/>
      <c r="Q49" s="858" t="s">
        <v>419</v>
      </c>
      <c r="R49" s="887"/>
      <c r="S49" s="859"/>
      <c r="T49" s="862" t="s">
        <v>420</v>
      </c>
      <c r="U49" s="863"/>
      <c r="V49" s="854" t="s">
        <v>171</v>
      </c>
      <c r="W49" s="854" t="s">
        <v>245</v>
      </c>
      <c r="X49" s="854" t="s">
        <v>564</v>
      </c>
      <c r="Y49" s="854" t="s">
        <v>446</v>
      </c>
      <c r="Z49" s="854" t="s">
        <v>246</v>
      </c>
      <c r="AA49" s="860" t="s">
        <v>172</v>
      </c>
      <c r="AC49" s="865" t="s">
        <v>247</v>
      </c>
      <c r="AD49" s="866"/>
      <c r="AE49" s="866"/>
      <c r="AF49" s="866"/>
      <c r="AG49" s="866"/>
      <c r="AH49" s="866"/>
      <c r="AI49" s="866"/>
      <c r="AJ49" s="867"/>
    </row>
    <row r="50" spans="2:36" ht="16.5" customHeight="1">
      <c r="B50" s="848"/>
      <c r="C50" s="849"/>
      <c r="D50" s="857"/>
      <c r="E50" s="857"/>
      <c r="F50" s="876"/>
      <c r="G50" s="861"/>
      <c r="H50" s="861"/>
      <c r="I50" s="450" t="s">
        <v>565</v>
      </c>
      <c r="J50" s="369" t="s">
        <v>566</v>
      </c>
      <c r="K50" s="450" t="s">
        <v>565</v>
      </c>
      <c r="L50" s="369" t="s">
        <v>566</v>
      </c>
      <c r="M50" s="450" t="s">
        <v>565</v>
      </c>
      <c r="N50" s="369" t="s">
        <v>566</v>
      </c>
      <c r="O50" s="450" t="s">
        <v>565</v>
      </c>
      <c r="P50" s="369" t="s">
        <v>566</v>
      </c>
      <c r="Q50" s="450" t="s">
        <v>565</v>
      </c>
      <c r="R50" s="369" t="s">
        <v>566</v>
      </c>
      <c r="S50" s="369" t="s">
        <v>567</v>
      </c>
      <c r="T50" s="450" t="s">
        <v>565</v>
      </c>
      <c r="U50" s="369" t="s">
        <v>566</v>
      </c>
      <c r="V50" s="856"/>
      <c r="W50" s="856"/>
      <c r="X50" s="856"/>
      <c r="Y50" s="856"/>
      <c r="Z50" s="856"/>
      <c r="AA50" s="861"/>
      <c r="AC50" s="868"/>
      <c r="AD50" s="869"/>
      <c r="AE50" s="869"/>
      <c r="AF50" s="869"/>
      <c r="AG50" s="869"/>
      <c r="AH50" s="869"/>
      <c r="AI50" s="869"/>
      <c r="AJ50" s="870"/>
    </row>
    <row r="51" spans="2:36" s="148" customFormat="1" ht="27" customHeight="1">
      <c r="B51" s="829" t="s">
        <v>666</v>
      </c>
      <c r="C51" s="830"/>
      <c r="D51" s="368">
        <v>1</v>
      </c>
      <c r="E51" s="451"/>
      <c r="F51" s="371">
        <f>IFERROR(T51*G51,"-")</f>
        <v>0</v>
      </c>
      <c r="G51" s="372"/>
      <c r="H51" s="453"/>
      <c r="I51" s="453"/>
      <c r="J51" s="455" t="str">
        <f>IFERROR(I51/H51,"-")</f>
        <v>-</v>
      </c>
      <c r="K51" s="454"/>
      <c r="L51" s="455" t="str">
        <f>IFERROR(K51/H51,"-")</f>
        <v>-</v>
      </c>
      <c r="M51" s="454"/>
      <c r="N51" s="455" t="str">
        <f>IFERROR(M51/H51,"-")</f>
        <v>-</v>
      </c>
      <c r="O51" s="456">
        <f>IFERROR(K51+M51,"-")</f>
        <v>0</v>
      </c>
      <c r="P51" s="455" t="str">
        <f>IFERROR(O51/H51,"-")</f>
        <v>-</v>
      </c>
      <c r="Q51" s="453"/>
      <c r="R51" s="455" t="str">
        <f>IFERROR(Q51/H51,"-")</f>
        <v>-</v>
      </c>
      <c r="S51" s="484">
        <f>IFERROR(Q51*G51,"-")</f>
        <v>0</v>
      </c>
      <c r="T51" s="456">
        <f>IFERROR(O51-H51,"-")</f>
        <v>0</v>
      </c>
      <c r="U51" s="455" t="str">
        <f>IFERROR(T51/H51,"-")</f>
        <v>-</v>
      </c>
      <c r="V51" s="373" t="s">
        <v>174</v>
      </c>
      <c r="W51" s="373" t="s">
        <v>215</v>
      </c>
      <c r="X51" s="374"/>
      <c r="Y51" s="374"/>
      <c r="Z51" s="374">
        <v>1</v>
      </c>
      <c r="AA51" s="457"/>
      <c r="AC51" s="871"/>
      <c r="AD51" s="872"/>
      <c r="AE51" s="872"/>
      <c r="AF51" s="872"/>
      <c r="AG51" s="872"/>
      <c r="AH51" s="872"/>
      <c r="AI51" s="872"/>
      <c r="AJ51" s="873"/>
    </row>
    <row r="52" spans="2:36" s="148" customFormat="1" ht="27" customHeight="1">
      <c r="B52" s="831"/>
      <c r="C52" s="832"/>
      <c r="D52" s="368">
        <v>2</v>
      </c>
      <c r="E52" s="451"/>
      <c r="F52" s="371">
        <f t="shared" ref="F52:F70" si="25">IFERROR(T52*G52,"-")</f>
        <v>0</v>
      </c>
      <c r="G52" s="372"/>
      <c r="H52" s="453"/>
      <c r="I52" s="453"/>
      <c r="J52" s="455" t="str">
        <f t="shared" ref="J52:J70" si="26">IFERROR(I52/H52,"-")</f>
        <v>-</v>
      </c>
      <c r="K52" s="454"/>
      <c r="L52" s="455" t="str">
        <f t="shared" ref="L52:L70" si="27">IFERROR(K52/H52,"-")</f>
        <v>-</v>
      </c>
      <c r="M52" s="454"/>
      <c r="N52" s="455" t="str">
        <f t="shared" ref="N52:N70" si="28">IFERROR(M52/H52,"-")</f>
        <v>-</v>
      </c>
      <c r="O52" s="456">
        <f t="shared" ref="O52:O70" si="29">IFERROR(K52+M52,"-")</f>
        <v>0</v>
      </c>
      <c r="P52" s="455" t="str">
        <f t="shared" ref="P52:P70" si="30">IFERROR(O52/H52,"-")</f>
        <v>-</v>
      </c>
      <c r="Q52" s="453"/>
      <c r="R52" s="455" t="str">
        <f t="shared" ref="R52:R70" si="31">IFERROR(Q52/H52,"-")</f>
        <v>-</v>
      </c>
      <c r="S52" s="484">
        <f t="shared" ref="S52:S70" si="32">IFERROR(Q52*G52,"-")</f>
        <v>0</v>
      </c>
      <c r="T52" s="456">
        <f t="shared" ref="T52:T70" si="33">IFERROR(O52-H52,"-")</f>
        <v>0</v>
      </c>
      <c r="U52" s="455" t="str">
        <f t="shared" ref="U52:U70" si="34">IFERROR(T52/H52,"-")</f>
        <v>-</v>
      </c>
      <c r="V52" s="373" t="s">
        <v>174</v>
      </c>
      <c r="W52" s="373" t="s">
        <v>216</v>
      </c>
      <c r="X52" s="374"/>
      <c r="Y52" s="374"/>
      <c r="Z52" s="374">
        <v>1</v>
      </c>
      <c r="AA52" s="457"/>
      <c r="AC52" s="161" t="s">
        <v>244</v>
      </c>
      <c r="AD52" s="161" t="s">
        <v>447</v>
      </c>
      <c r="AE52" s="156" t="s">
        <v>568</v>
      </c>
      <c r="AF52" s="156" t="s">
        <v>337</v>
      </c>
      <c r="AG52" s="156" t="s">
        <v>430</v>
      </c>
      <c r="AH52" s="156" t="s">
        <v>215</v>
      </c>
      <c r="AI52" s="156" t="s">
        <v>216</v>
      </c>
      <c r="AJ52" s="156" t="s">
        <v>385</v>
      </c>
    </row>
    <row r="53" spans="2:36" s="148" customFormat="1" ht="27" customHeight="1">
      <c r="B53" s="831"/>
      <c r="C53" s="832"/>
      <c r="D53" s="368">
        <v>3</v>
      </c>
      <c r="E53" s="451"/>
      <c r="F53" s="371">
        <f t="shared" si="25"/>
        <v>0</v>
      </c>
      <c r="G53" s="372"/>
      <c r="H53" s="453"/>
      <c r="I53" s="453"/>
      <c r="J53" s="455" t="str">
        <f t="shared" si="26"/>
        <v>-</v>
      </c>
      <c r="K53" s="454"/>
      <c r="L53" s="455" t="str">
        <f t="shared" si="27"/>
        <v>-</v>
      </c>
      <c r="M53" s="454"/>
      <c r="N53" s="455" t="str">
        <f t="shared" si="28"/>
        <v>-</v>
      </c>
      <c r="O53" s="456">
        <f t="shared" si="29"/>
        <v>0</v>
      </c>
      <c r="P53" s="455" t="str">
        <f t="shared" si="30"/>
        <v>-</v>
      </c>
      <c r="Q53" s="453"/>
      <c r="R53" s="455" t="str">
        <f t="shared" si="31"/>
        <v>-</v>
      </c>
      <c r="S53" s="484">
        <f t="shared" si="32"/>
        <v>0</v>
      </c>
      <c r="T53" s="456">
        <f t="shared" si="33"/>
        <v>0</v>
      </c>
      <c r="U53" s="455" t="str">
        <f t="shared" si="34"/>
        <v>-</v>
      </c>
      <c r="V53" s="373" t="s">
        <v>174</v>
      </c>
      <c r="W53" s="373" t="s">
        <v>430</v>
      </c>
      <c r="X53" s="374"/>
      <c r="Y53" s="374"/>
      <c r="Z53" s="374">
        <v>1</v>
      </c>
      <c r="AA53" s="457"/>
      <c r="AC53" s="381">
        <f>SUM(Z51:Z70)</f>
        <v>20</v>
      </c>
      <c r="AD53" s="376">
        <f>SUMIF($W$51:$W$70,TRIM(AD52),$Z$51:$Z$70)</f>
        <v>0</v>
      </c>
      <c r="AE53" s="376">
        <f t="shared" ref="AE53:AJ53" si="35">SUMIF($W$51:$W$70,TRIM(AE52),$Z$51:$Z$70)</f>
        <v>0</v>
      </c>
      <c r="AF53" s="376">
        <f t="shared" si="35"/>
        <v>0</v>
      </c>
      <c r="AG53" s="376">
        <f t="shared" si="35"/>
        <v>15</v>
      </c>
      <c r="AH53" s="376">
        <f t="shared" si="35"/>
        <v>2</v>
      </c>
      <c r="AI53" s="376">
        <f t="shared" si="35"/>
        <v>3</v>
      </c>
      <c r="AJ53" s="376">
        <f t="shared" si="35"/>
        <v>0</v>
      </c>
    </row>
    <row r="54" spans="2:36" s="148" customFormat="1" ht="27" customHeight="1">
      <c r="B54" s="831"/>
      <c r="C54" s="832"/>
      <c r="D54" s="368">
        <v>4</v>
      </c>
      <c r="E54" s="451"/>
      <c r="F54" s="371">
        <f t="shared" si="25"/>
        <v>0</v>
      </c>
      <c r="G54" s="372"/>
      <c r="H54" s="453"/>
      <c r="I54" s="453"/>
      <c r="J54" s="455" t="str">
        <f t="shared" si="26"/>
        <v>-</v>
      </c>
      <c r="K54" s="454"/>
      <c r="L54" s="455" t="str">
        <f t="shared" si="27"/>
        <v>-</v>
      </c>
      <c r="M54" s="454"/>
      <c r="N54" s="455" t="str">
        <f t="shared" si="28"/>
        <v>-</v>
      </c>
      <c r="O54" s="456">
        <f t="shared" si="29"/>
        <v>0</v>
      </c>
      <c r="P54" s="455" t="str">
        <f t="shared" si="30"/>
        <v>-</v>
      </c>
      <c r="Q54" s="453"/>
      <c r="R54" s="455" t="str">
        <f t="shared" si="31"/>
        <v>-</v>
      </c>
      <c r="S54" s="484">
        <f t="shared" si="32"/>
        <v>0</v>
      </c>
      <c r="T54" s="456">
        <f t="shared" si="33"/>
        <v>0</v>
      </c>
      <c r="U54" s="455" t="str">
        <f t="shared" si="34"/>
        <v>-</v>
      </c>
      <c r="V54" s="373" t="s">
        <v>174</v>
      </c>
      <c r="W54" s="373" t="s">
        <v>430</v>
      </c>
      <c r="X54" s="374"/>
      <c r="Y54" s="374"/>
      <c r="Z54" s="374">
        <v>1</v>
      </c>
      <c r="AA54" s="457"/>
      <c r="AC54" s="382"/>
      <c r="AD54" s="379">
        <f>SUMIF($W$51:$W$70,TRIM(AD52),$F$51:$F$70)</f>
        <v>0</v>
      </c>
      <c r="AE54" s="379">
        <f t="shared" ref="AE54:AJ54" si="36">SUMIF($W$51:$W$70,TRIM(AE52),$F$51:$F$70)</f>
        <v>0</v>
      </c>
      <c r="AF54" s="379">
        <f t="shared" si="36"/>
        <v>0</v>
      </c>
      <c r="AG54" s="379">
        <f t="shared" si="36"/>
        <v>0</v>
      </c>
      <c r="AH54" s="379">
        <f t="shared" si="36"/>
        <v>0</v>
      </c>
      <c r="AI54" s="379">
        <f t="shared" si="36"/>
        <v>0</v>
      </c>
      <c r="AJ54" s="379">
        <f t="shared" si="36"/>
        <v>0</v>
      </c>
    </row>
    <row r="55" spans="2:36" s="148" customFormat="1" ht="27" customHeight="1">
      <c r="B55" s="831"/>
      <c r="C55" s="832"/>
      <c r="D55" s="368">
        <v>5</v>
      </c>
      <c r="E55" s="451"/>
      <c r="F55" s="371">
        <f t="shared" si="25"/>
        <v>0</v>
      </c>
      <c r="G55" s="372"/>
      <c r="H55" s="453"/>
      <c r="I55" s="453"/>
      <c r="J55" s="455" t="str">
        <f t="shared" si="26"/>
        <v>-</v>
      </c>
      <c r="K55" s="454"/>
      <c r="L55" s="455" t="str">
        <f t="shared" si="27"/>
        <v>-</v>
      </c>
      <c r="M55" s="454"/>
      <c r="N55" s="455" t="str">
        <f t="shared" si="28"/>
        <v>-</v>
      </c>
      <c r="O55" s="456">
        <f t="shared" si="29"/>
        <v>0</v>
      </c>
      <c r="P55" s="455" t="str">
        <f t="shared" si="30"/>
        <v>-</v>
      </c>
      <c r="Q55" s="453"/>
      <c r="R55" s="455" t="str">
        <f t="shared" si="31"/>
        <v>-</v>
      </c>
      <c r="S55" s="484">
        <f t="shared" si="32"/>
        <v>0</v>
      </c>
      <c r="T55" s="456">
        <f t="shared" si="33"/>
        <v>0</v>
      </c>
      <c r="U55" s="455" t="str">
        <f t="shared" si="34"/>
        <v>-</v>
      </c>
      <c r="V55" s="373" t="s">
        <v>174</v>
      </c>
      <c r="W55" s="373" t="s">
        <v>430</v>
      </c>
      <c r="X55" s="374"/>
      <c r="Y55" s="374"/>
      <c r="Z55" s="374">
        <v>1</v>
      </c>
      <c r="AA55" s="457"/>
      <c r="AC55" s="368"/>
      <c r="AD55" s="380">
        <f t="shared" ref="AD55:AJ55" si="37">AD53/$AC53</f>
        <v>0</v>
      </c>
      <c r="AE55" s="380">
        <f t="shared" si="37"/>
        <v>0</v>
      </c>
      <c r="AF55" s="380">
        <f t="shared" si="37"/>
        <v>0</v>
      </c>
      <c r="AG55" s="380">
        <f t="shared" si="37"/>
        <v>0.75</v>
      </c>
      <c r="AH55" s="380">
        <f t="shared" si="37"/>
        <v>0.1</v>
      </c>
      <c r="AI55" s="380">
        <f t="shared" si="37"/>
        <v>0.15</v>
      </c>
      <c r="AJ55" s="380">
        <f t="shared" si="37"/>
        <v>0</v>
      </c>
    </row>
    <row r="56" spans="2:36" s="148" customFormat="1" ht="27" customHeight="1">
      <c r="B56" s="831"/>
      <c r="C56" s="832"/>
      <c r="D56" s="368">
        <v>6</v>
      </c>
      <c r="E56" s="451"/>
      <c r="F56" s="371">
        <f t="shared" si="25"/>
        <v>0</v>
      </c>
      <c r="G56" s="372"/>
      <c r="H56" s="453"/>
      <c r="I56" s="453"/>
      <c r="J56" s="455" t="str">
        <f t="shared" si="26"/>
        <v>-</v>
      </c>
      <c r="K56" s="454"/>
      <c r="L56" s="455" t="str">
        <f t="shared" si="27"/>
        <v>-</v>
      </c>
      <c r="M56" s="454"/>
      <c r="N56" s="455" t="str">
        <f t="shared" si="28"/>
        <v>-</v>
      </c>
      <c r="O56" s="456">
        <f t="shared" si="29"/>
        <v>0</v>
      </c>
      <c r="P56" s="455" t="str">
        <f t="shared" si="30"/>
        <v>-</v>
      </c>
      <c r="Q56" s="453"/>
      <c r="R56" s="455" t="str">
        <f t="shared" si="31"/>
        <v>-</v>
      </c>
      <c r="S56" s="484">
        <f t="shared" si="32"/>
        <v>0</v>
      </c>
      <c r="T56" s="456">
        <f t="shared" si="33"/>
        <v>0</v>
      </c>
      <c r="U56" s="455" t="str">
        <f t="shared" si="34"/>
        <v>-</v>
      </c>
      <c r="V56" s="373" t="s">
        <v>174</v>
      </c>
      <c r="W56" s="373" t="s">
        <v>430</v>
      </c>
      <c r="X56" s="374"/>
      <c r="Y56" s="374"/>
      <c r="Z56" s="374">
        <v>1</v>
      </c>
      <c r="AA56" s="457"/>
    </row>
    <row r="57" spans="2:36" s="148" customFormat="1" ht="27" customHeight="1">
      <c r="B57" s="831"/>
      <c r="C57" s="832"/>
      <c r="D57" s="368">
        <v>7</v>
      </c>
      <c r="E57" s="451"/>
      <c r="F57" s="371">
        <f t="shared" si="25"/>
        <v>0</v>
      </c>
      <c r="G57" s="372"/>
      <c r="H57" s="453"/>
      <c r="I57" s="453"/>
      <c r="J57" s="455" t="str">
        <f t="shared" si="26"/>
        <v>-</v>
      </c>
      <c r="K57" s="454"/>
      <c r="L57" s="455" t="str">
        <f t="shared" si="27"/>
        <v>-</v>
      </c>
      <c r="M57" s="454"/>
      <c r="N57" s="455" t="str">
        <f t="shared" si="28"/>
        <v>-</v>
      </c>
      <c r="O57" s="456">
        <f t="shared" si="29"/>
        <v>0</v>
      </c>
      <c r="P57" s="455" t="str">
        <f t="shared" si="30"/>
        <v>-</v>
      </c>
      <c r="Q57" s="453"/>
      <c r="R57" s="455" t="str">
        <f t="shared" si="31"/>
        <v>-</v>
      </c>
      <c r="S57" s="484">
        <f t="shared" si="32"/>
        <v>0</v>
      </c>
      <c r="T57" s="456">
        <f t="shared" si="33"/>
        <v>0</v>
      </c>
      <c r="U57" s="455" t="str">
        <f t="shared" si="34"/>
        <v>-</v>
      </c>
      <c r="V57" s="373" t="s">
        <v>174</v>
      </c>
      <c r="W57" s="373" t="s">
        <v>216</v>
      </c>
      <c r="X57" s="374"/>
      <c r="Y57" s="374"/>
      <c r="Z57" s="374">
        <v>1</v>
      </c>
      <c r="AA57" s="457"/>
    </row>
    <row r="58" spans="2:36" s="148" customFormat="1" ht="27" customHeight="1">
      <c r="B58" s="831"/>
      <c r="C58" s="832"/>
      <c r="D58" s="368">
        <v>8</v>
      </c>
      <c r="E58" s="451"/>
      <c r="F58" s="371">
        <f t="shared" si="25"/>
        <v>0</v>
      </c>
      <c r="G58" s="372"/>
      <c r="H58" s="453"/>
      <c r="I58" s="453"/>
      <c r="J58" s="455" t="str">
        <f t="shared" si="26"/>
        <v>-</v>
      </c>
      <c r="K58" s="454"/>
      <c r="L58" s="455" t="str">
        <f t="shared" si="27"/>
        <v>-</v>
      </c>
      <c r="M58" s="454"/>
      <c r="N58" s="455" t="str">
        <f t="shared" si="28"/>
        <v>-</v>
      </c>
      <c r="O58" s="456">
        <f t="shared" si="29"/>
        <v>0</v>
      </c>
      <c r="P58" s="455" t="str">
        <f t="shared" si="30"/>
        <v>-</v>
      </c>
      <c r="Q58" s="453"/>
      <c r="R58" s="455" t="str">
        <f t="shared" si="31"/>
        <v>-</v>
      </c>
      <c r="S58" s="484">
        <f t="shared" si="32"/>
        <v>0</v>
      </c>
      <c r="T58" s="456">
        <f t="shared" si="33"/>
        <v>0</v>
      </c>
      <c r="U58" s="455" t="str">
        <f t="shared" si="34"/>
        <v>-</v>
      </c>
      <c r="V58" s="373" t="s">
        <v>174</v>
      </c>
      <c r="W58" s="373" t="s">
        <v>430</v>
      </c>
      <c r="X58" s="374"/>
      <c r="Y58" s="374"/>
      <c r="Z58" s="374">
        <v>1</v>
      </c>
      <c r="AA58" s="457"/>
    </row>
    <row r="59" spans="2:36" s="148" customFormat="1" ht="27" customHeight="1">
      <c r="B59" s="831"/>
      <c r="C59" s="832"/>
      <c r="D59" s="368">
        <v>9</v>
      </c>
      <c r="E59" s="451"/>
      <c r="F59" s="371">
        <f t="shared" si="25"/>
        <v>0</v>
      </c>
      <c r="G59" s="372"/>
      <c r="H59" s="453"/>
      <c r="I59" s="453"/>
      <c r="J59" s="455" t="str">
        <f t="shared" si="26"/>
        <v>-</v>
      </c>
      <c r="K59" s="454"/>
      <c r="L59" s="455" t="str">
        <f t="shared" si="27"/>
        <v>-</v>
      </c>
      <c r="M59" s="454"/>
      <c r="N59" s="455" t="str">
        <f t="shared" si="28"/>
        <v>-</v>
      </c>
      <c r="O59" s="456">
        <f t="shared" si="29"/>
        <v>0</v>
      </c>
      <c r="P59" s="455" t="str">
        <f t="shared" si="30"/>
        <v>-</v>
      </c>
      <c r="Q59" s="453"/>
      <c r="R59" s="455" t="str">
        <f t="shared" si="31"/>
        <v>-</v>
      </c>
      <c r="S59" s="484">
        <f t="shared" si="32"/>
        <v>0</v>
      </c>
      <c r="T59" s="456">
        <f t="shared" si="33"/>
        <v>0</v>
      </c>
      <c r="U59" s="455" t="str">
        <f t="shared" si="34"/>
        <v>-</v>
      </c>
      <c r="V59" s="373" t="s">
        <v>174</v>
      </c>
      <c r="W59" s="373" t="s">
        <v>430</v>
      </c>
      <c r="X59" s="374"/>
      <c r="Y59" s="374"/>
      <c r="Z59" s="374">
        <v>1</v>
      </c>
      <c r="AA59" s="457"/>
    </row>
    <row r="60" spans="2:36" s="148" customFormat="1" ht="27" customHeight="1">
      <c r="B60" s="831"/>
      <c r="C60" s="832"/>
      <c r="D60" s="368">
        <v>10</v>
      </c>
      <c r="E60" s="451"/>
      <c r="F60" s="371">
        <f t="shared" si="25"/>
        <v>0</v>
      </c>
      <c r="G60" s="372"/>
      <c r="H60" s="453"/>
      <c r="I60" s="453"/>
      <c r="J60" s="455" t="str">
        <f t="shared" si="26"/>
        <v>-</v>
      </c>
      <c r="K60" s="454"/>
      <c r="L60" s="455" t="str">
        <f t="shared" si="27"/>
        <v>-</v>
      </c>
      <c r="M60" s="454"/>
      <c r="N60" s="455" t="str">
        <f t="shared" si="28"/>
        <v>-</v>
      </c>
      <c r="O60" s="456">
        <f t="shared" si="29"/>
        <v>0</v>
      </c>
      <c r="P60" s="455" t="str">
        <f t="shared" si="30"/>
        <v>-</v>
      </c>
      <c r="Q60" s="453"/>
      <c r="R60" s="455" t="str">
        <f t="shared" si="31"/>
        <v>-</v>
      </c>
      <c r="S60" s="484">
        <f t="shared" si="32"/>
        <v>0</v>
      </c>
      <c r="T60" s="456">
        <f t="shared" si="33"/>
        <v>0</v>
      </c>
      <c r="U60" s="455" t="str">
        <f t="shared" si="34"/>
        <v>-</v>
      </c>
      <c r="V60" s="373" t="s">
        <v>174</v>
      </c>
      <c r="W60" s="373" t="s">
        <v>430</v>
      </c>
      <c r="X60" s="374"/>
      <c r="Y60" s="374"/>
      <c r="Z60" s="374">
        <v>1</v>
      </c>
      <c r="AA60" s="457"/>
    </row>
    <row r="61" spans="2:36" s="148" customFormat="1" ht="27" customHeight="1">
      <c r="B61" s="831"/>
      <c r="C61" s="832"/>
      <c r="D61" s="368">
        <v>11</v>
      </c>
      <c r="E61" s="451"/>
      <c r="F61" s="371">
        <f t="shared" si="25"/>
        <v>0</v>
      </c>
      <c r="G61" s="372"/>
      <c r="H61" s="453"/>
      <c r="I61" s="453"/>
      <c r="J61" s="455" t="str">
        <f t="shared" si="26"/>
        <v>-</v>
      </c>
      <c r="K61" s="454"/>
      <c r="L61" s="455" t="str">
        <f t="shared" si="27"/>
        <v>-</v>
      </c>
      <c r="M61" s="454"/>
      <c r="N61" s="455" t="str">
        <f t="shared" si="28"/>
        <v>-</v>
      </c>
      <c r="O61" s="456">
        <f t="shared" si="29"/>
        <v>0</v>
      </c>
      <c r="P61" s="455" t="str">
        <f t="shared" si="30"/>
        <v>-</v>
      </c>
      <c r="Q61" s="453"/>
      <c r="R61" s="455" t="str">
        <f t="shared" si="31"/>
        <v>-</v>
      </c>
      <c r="S61" s="484">
        <f t="shared" si="32"/>
        <v>0</v>
      </c>
      <c r="T61" s="456">
        <f t="shared" si="33"/>
        <v>0</v>
      </c>
      <c r="U61" s="455" t="str">
        <f t="shared" si="34"/>
        <v>-</v>
      </c>
      <c r="V61" s="373" t="s">
        <v>174</v>
      </c>
      <c r="W61" s="373" t="s">
        <v>430</v>
      </c>
      <c r="X61" s="374"/>
      <c r="Y61" s="374"/>
      <c r="Z61" s="374">
        <v>1</v>
      </c>
      <c r="AA61" s="457"/>
      <c r="AE61" s="377"/>
    </row>
    <row r="62" spans="2:36" s="148" customFormat="1" ht="27" customHeight="1">
      <c r="B62" s="831"/>
      <c r="C62" s="832"/>
      <c r="D62" s="368">
        <v>12</v>
      </c>
      <c r="E62" s="451"/>
      <c r="F62" s="371">
        <f t="shared" si="25"/>
        <v>0</v>
      </c>
      <c r="G62" s="372"/>
      <c r="H62" s="453"/>
      <c r="I62" s="453"/>
      <c r="J62" s="455" t="str">
        <f t="shared" si="26"/>
        <v>-</v>
      </c>
      <c r="K62" s="454"/>
      <c r="L62" s="455" t="str">
        <f t="shared" si="27"/>
        <v>-</v>
      </c>
      <c r="M62" s="454"/>
      <c r="N62" s="455" t="str">
        <f t="shared" si="28"/>
        <v>-</v>
      </c>
      <c r="O62" s="456">
        <f t="shared" si="29"/>
        <v>0</v>
      </c>
      <c r="P62" s="455" t="str">
        <f t="shared" si="30"/>
        <v>-</v>
      </c>
      <c r="Q62" s="453"/>
      <c r="R62" s="455" t="str">
        <f t="shared" si="31"/>
        <v>-</v>
      </c>
      <c r="S62" s="484">
        <f t="shared" si="32"/>
        <v>0</v>
      </c>
      <c r="T62" s="456">
        <f t="shared" si="33"/>
        <v>0</v>
      </c>
      <c r="U62" s="455" t="str">
        <f t="shared" si="34"/>
        <v>-</v>
      </c>
      <c r="V62" s="373" t="s">
        <v>174</v>
      </c>
      <c r="W62" s="373" t="s">
        <v>430</v>
      </c>
      <c r="X62" s="374"/>
      <c r="Y62" s="374"/>
      <c r="Z62" s="374">
        <v>1</v>
      </c>
      <c r="AA62" s="457"/>
    </row>
    <row r="63" spans="2:36" s="148" customFormat="1" ht="27" customHeight="1">
      <c r="B63" s="831"/>
      <c r="C63" s="832"/>
      <c r="D63" s="368">
        <v>13</v>
      </c>
      <c r="E63" s="451"/>
      <c r="F63" s="371">
        <f t="shared" si="25"/>
        <v>0</v>
      </c>
      <c r="G63" s="372"/>
      <c r="H63" s="453"/>
      <c r="I63" s="453"/>
      <c r="J63" s="455" t="str">
        <f t="shared" si="26"/>
        <v>-</v>
      </c>
      <c r="K63" s="454"/>
      <c r="L63" s="455" t="str">
        <f t="shared" si="27"/>
        <v>-</v>
      </c>
      <c r="M63" s="454"/>
      <c r="N63" s="455" t="str">
        <f t="shared" si="28"/>
        <v>-</v>
      </c>
      <c r="O63" s="456">
        <f t="shared" si="29"/>
        <v>0</v>
      </c>
      <c r="P63" s="455" t="str">
        <f t="shared" si="30"/>
        <v>-</v>
      </c>
      <c r="Q63" s="453"/>
      <c r="R63" s="455" t="str">
        <f t="shared" si="31"/>
        <v>-</v>
      </c>
      <c r="S63" s="484">
        <f t="shared" si="32"/>
        <v>0</v>
      </c>
      <c r="T63" s="456">
        <f t="shared" si="33"/>
        <v>0</v>
      </c>
      <c r="U63" s="455" t="str">
        <f t="shared" si="34"/>
        <v>-</v>
      </c>
      <c r="V63" s="373" t="s">
        <v>174</v>
      </c>
      <c r="W63" s="373" t="s">
        <v>430</v>
      </c>
      <c r="X63" s="374"/>
      <c r="Y63" s="374"/>
      <c r="Z63" s="374">
        <v>1</v>
      </c>
      <c r="AA63" s="457"/>
    </row>
    <row r="64" spans="2:36" s="148" customFormat="1" ht="27" customHeight="1">
      <c r="B64" s="831"/>
      <c r="C64" s="832"/>
      <c r="D64" s="368">
        <v>14</v>
      </c>
      <c r="E64" s="451"/>
      <c r="F64" s="371">
        <f t="shared" si="25"/>
        <v>0</v>
      </c>
      <c r="G64" s="372"/>
      <c r="H64" s="453"/>
      <c r="I64" s="453"/>
      <c r="J64" s="455" t="str">
        <f t="shared" si="26"/>
        <v>-</v>
      </c>
      <c r="K64" s="454"/>
      <c r="L64" s="455" t="str">
        <f t="shared" si="27"/>
        <v>-</v>
      </c>
      <c r="M64" s="454"/>
      <c r="N64" s="455" t="str">
        <f t="shared" si="28"/>
        <v>-</v>
      </c>
      <c r="O64" s="456">
        <f t="shared" si="29"/>
        <v>0</v>
      </c>
      <c r="P64" s="455" t="str">
        <f t="shared" si="30"/>
        <v>-</v>
      </c>
      <c r="Q64" s="453"/>
      <c r="R64" s="455" t="str">
        <f t="shared" si="31"/>
        <v>-</v>
      </c>
      <c r="S64" s="484">
        <f t="shared" si="32"/>
        <v>0</v>
      </c>
      <c r="T64" s="456">
        <f t="shared" si="33"/>
        <v>0</v>
      </c>
      <c r="U64" s="455" t="str">
        <f t="shared" si="34"/>
        <v>-</v>
      </c>
      <c r="V64" s="373" t="s">
        <v>174</v>
      </c>
      <c r="W64" s="373" t="s">
        <v>430</v>
      </c>
      <c r="X64" s="374"/>
      <c r="Y64" s="374"/>
      <c r="Z64" s="374">
        <v>1</v>
      </c>
      <c r="AA64" s="457"/>
    </row>
    <row r="65" spans="2:36" s="148" customFormat="1" ht="27" customHeight="1">
      <c r="B65" s="831"/>
      <c r="C65" s="832"/>
      <c r="D65" s="368">
        <v>15</v>
      </c>
      <c r="E65" s="451"/>
      <c r="F65" s="371">
        <f t="shared" si="25"/>
        <v>0</v>
      </c>
      <c r="G65" s="372"/>
      <c r="H65" s="453"/>
      <c r="I65" s="453"/>
      <c r="J65" s="455" t="str">
        <f t="shared" si="26"/>
        <v>-</v>
      </c>
      <c r="K65" s="454"/>
      <c r="L65" s="455" t="str">
        <f t="shared" si="27"/>
        <v>-</v>
      </c>
      <c r="M65" s="454"/>
      <c r="N65" s="455" t="str">
        <f t="shared" si="28"/>
        <v>-</v>
      </c>
      <c r="O65" s="456">
        <f t="shared" si="29"/>
        <v>0</v>
      </c>
      <c r="P65" s="455" t="str">
        <f t="shared" si="30"/>
        <v>-</v>
      </c>
      <c r="Q65" s="453"/>
      <c r="R65" s="455" t="str">
        <f t="shared" si="31"/>
        <v>-</v>
      </c>
      <c r="S65" s="484">
        <f t="shared" si="32"/>
        <v>0</v>
      </c>
      <c r="T65" s="456">
        <f t="shared" si="33"/>
        <v>0</v>
      </c>
      <c r="U65" s="455" t="str">
        <f t="shared" si="34"/>
        <v>-</v>
      </c>
      <c r="V65" s="373" t="s">
        <v>174</v>
      </c>
      <c r="W65" s="373" t="s">
        <v>430</v>
      </c>
      <c r="X65" s="374"/>
      <c r="Y65" s="374"/>
      <c r="Z65" s="374">
        <v>1</v>
      </c>
      <c r="AA65" s="457"/>
    </row>
    <row r="66" spans="2:36" s="148" customFormat="1" ht="27" customHeight="1">
      <c r="B66" s="831"/>
      <c r="C66" s="832"/>
      <c r="D66" s="368">
        <v>16</v>
      </c>
      <c r="E66" s="451"/>
      <c r="F66" s="371">
        <f t="shared" si="25"/>
        <v>0</v>
      </c>
      <c r="G66" s="372"/>
      <c r="H66" s="453"/>
      <c r="I66" s="453"/>
      <c r="J66" s="455" t="str">
        <f t="shared" si="26"/>
        <v>-</v>
      </c>
      <c r="K66" s="454"/>
      <c r="L66" s="455" t="str">
        <f t="shared" si="27"/>
        <v>-</v>
      </c>
      <c r="M66" s="454"/>
      <c r="N66" s="455" t="str">
        <f t="shared" si="28"/>
        <v>-</v>
      </c>
      <c r="O66" s="456">
        <f t="shared" si="29"/>
        <v>0</v>
      </c>
      <c r="P66" s="455" t="str">
        <f t="shared" si="30"/>
        <v>-</v>
      </c>
      <c r="Q66" s="453"/>
      <c r="R66" s="455" t="str">
        <f t="shared" si="31"/>
        <v>-</v>
      </c>
      <c r="S66" s="484">
        <f t="shared" si="32"/>
        <v>0</v>
      </c>
      <c r="T66" s="456">
        <f t="shared" si="33"/>
        <v>0</v>
      </c>
      <c r="U66" s="455" t="str">
        <f t="shared" si="34"/>
        <v>-</v>
      </c>
      <c r="V66" s="373" t="s">
        <v>174</v>
      </c>
      <c r="W66" s="374" t="s">
        <v>216</v>
      </c>
      <c r="X66" s="374"/>
      <c r="Y66" s="374"/>
      <c r="Z66" s="374">
        <v>1</v>
      </c>
      <c r="AA66" s="457"/>
    </row>
    <row r="67" spans="2:36" s="148" customFormat="1" ht="27" customHeight="1">
      <c r="B67" s="831"/>
      <c r="C67" s="832"/>
      <c r="D67" s="368">
        <v>17</v>
      </c>
      <c r="E67" s="451"/>
      <c r="F67" s="371">
        <f t="shared" si="25"/>
        <v>0</v>
      </c>
      <c r="G67" s="372"/>
      <c r="H67" s="453"/>
      <c r="I67" s="453"/>
      <c r="J67" s="455" t="str">
        <f t="shared" si="26"/>
        <v>-</v>
      </c>
      <c r="K67" s="454"/>
      <c r="L67" s="455" t="str">
        <f t="shared" si="27"/>
        <v>-</v>
      </c>
      <c r="M67" s="454"/>
      <c r="N67" s="455" t="str">
        <f t="shared" si="28"/>
        <v>-</v>
      </c>
      <c r="O67" s="456">
        <f t="shared" si="29"/>
        <v>0</v>
      </c>
      <c r="P67" s="455" t="str">
        <f t="shared" si="30"/>
        <v>-</v>
      </c>
      <c r="Q67" s="453"/>
      <c r="R67" s="455" t="str">
        <f t="shared" si="31"/>
        <v>-</v>
      </c>
      <c r="S67" s="484">
        <f t="shared" si="32"/>
        <v>0</v>
      </c>
      <c r="T67" s="456">
        <f t="shared" si="33"/>
        <v>0</v>
      </c>
      <c r="U67" s="455" t="str">
        <f t="shared" si="34"/>
        <v>-</v>
      </c>
      <c r="V67" s="373" t="s">
        <v>174</v>
      </c>
      <c r="W67" s="373" t="s">
        <v>430</v>
      </c>
      <c r="X67" s="374"/>
      <c r="Y67" s="374"/>
      <c r="Z67" s="374">
        <v>1</v>
      </c>
      <c r="AA67" s="457"/>
    </row>
    <row r="68" spans="2:36" s="148" customFormat="1" ht="27" customHeight="1">
      <c r="B68" s="831"/>
      <c r="C68" s="832"/>
      <c r="D68" s="368">
        <v>18</v>
      </c>
      <c r="E68" s="451"/>
      <c r="F68" s="371">
        <f t="shared" si="25"/>
        <v>0</v>
      </c>
      <c r="G68" s="372"/>
      <c r="H68" s="453"/>
      <c r="I68" s="453"/>
      <c r="J68" s="455" t="str">
        <f t="shared" si="26"/>
        <v>-</v>
      </c>
      <c r="K68" s="454"/>
      <c r="L68" s="455" t="str">
        <f t="shared" si="27"/>
        <v>-</v>
      </c>
      <c r="M68" s="454"/>
      <c r="N68" s="455" t="str">
        <f t="shared" si="28"/>
        <v>-</v>
      </c>
      <c r="O68" s="456">
        <f t="shared" si="29"/>
        <v>0</v>
      </c>
      <c r="P68" s="455" t="str">
        <f t="shared" si="30"/>
        <v>-</v>
      </c>
      <c r="Q68" s="453"/>
      <c r="R68" s="455" t="str">
        <f t="shared" si="31"/>
        <v>-</v>
      </c>
      <c r="S68" s="484">
        <f t="shared" si="32"/>
        <v>0</v>
      </c>
      <c r="T68" s="456">
        <f t="shared" si="33"/>
        <v>0</v>
      </c>
      <c r="U68" s="455" t="str">
        <f t="shared" si="34"/>
        <v>-</v>
      </c>
      <c r="V68" s="373" t="s">
        <v>174</v>
      </c>
      <c r="W68" s="373" t="s">
        <v>430</v>
      </c>
      <c r="X68" s="374"/>
      <c r="Y68" s="374"/>
      <c r="Z68" s="374">
        <v>1</v>
      </c>
      <c r="AA68" s="457"/>
    </row>
    <row r="69" spans="2:36" s="148" customFormat="1" ht="27" customHeight="1">
      <c r="B69" s="831"/>
      <c r="C69" s="832"/>
      <c r="D69" s="368">
        <v>19</v>
      </c>
      <c r="E69" s="451"/>
      <c r="F69" s="371">
        <f t="shared" si="25"/>
        <v>0</v>
      </c>
      <c r="G69" s="372"/>
      <c r="H69" s="453"/>
      <c r="I69" s="453"/>
      <c r="J69" s="455" t="str">
        <f t="shared" si="26"/>
        <v>-</v>
      </c>
      <c r="K69" s="454"/>
      <c r="L69" s="455" t="str">
        <f t="shared" si="27"/>
        <v>-</v>
      </c>
      <c r="M69" s="454"/>
      <c r="N69" s="455" t="str">
        <f t="shared" si="28"/>
        <v>-</v>
      </c>
      <c r="O69" s="456">
        <f t="shared" si="29"/>
        <v>0</v>
      </c>
      <c r="P69" s="455" t="str">
        <f t="shared" si="30"/>
        <v>-</v>
      </c>
      <c r="Q69" s="453"/>
      <c r="R69" s="455" t="str">
        <f t="shared" si="31"/>
        <v>-</v>
      </c>
      <c r="S69" s="484">
        <f t="shared" si="32"/>
        <v>0</v>
      </c>
      <c r="T69" s="456">
        <f t="shared" si="33"/>
        <v>0</v>
      </c>
      <c r="U69" s="455" t="str">
        <f t="shared" si="34"/>
        <v>-</v>
      </c>
      <c r="V69" s="373" t="s">
        <v>174</v>
      </c>
      <c r="W69" s="373" t="s">
        <v>430</v>
      </c>
      <c r="X69" s="374"/>
      <c r="Y69" s="374"/>
      <c r="Z69" s="374">
        <v>1</v>
      </c>
      <c r="AA69" s="457"/>
    </row>
    <row r="70" spans="2:36" s="148" customFormat="1" ht="27" customHeight="1">
      <c r="B70" s="833"/>
      <c r="C70" s="834"/>
      <c r="D70" s="368">
        <v>20</v>
      </c>
      <c r="E70" s="451"/>
      <c r="F70" s="371">
        <f t="shared" si="25"/>
        <v>0</v>
      </c>
      <c r="G70" s="372"/>
      <c r="H70" s="453"/>
      <c r="I70" s="453"/>
      <c r="J70" s="455" t="str">
        <f t="shared" si="26"/>
        <v>-</v>
      </c>
      <c r="K70" s="454"/>
      <c r="L70" s="455" t="str">
        <f t="shared" si="27"/>
        <v>-</v>
      </c>
      <c r="M70" s="454"/>
      <c r="N70" s="455" t="str">
        <f t="shared" si="28"/>
        <v>-</v>
      </c>
      <c r="O70" s="456">
        <f t="shared" si="29"/>
        <v>0</v>
      </c>
      <c r="P70" s="455" t="str">
        <f t="shared" si="30"/>
        <v>-</v>
      </c>
      <c r="Q70" s="453"/>
      <c r="R70" s="455" t="str">
        <f t="shared" si="31"/>
        <v>-</v>
      </c>
      <c r="S70" s="484">
        <f t="shared" si="32"/>
        <v>0</v>
      </c>
      <c r="T70" s="456">
        <f t="shared" si="33"/>
        <v>0</v>
      </c>
      <c r="U70" s="455" t="str">
        <f t="shared" si="34"/>
        <v>-</v>
      </c>
      <c r="V70" s="373" t="s">
        <v>174</v>
      </c>
      <c r="W70" s="373" t="s">
        <v>215</v>
      </c>
      <c r="X70" s="374"/>
      <c r="Y70" s="374"/>
      <c r="Z70" s="374">
        <v>1</v>
      </c>
      <c r="AA70" s="457"/>
    </row>
    <row r="71" spans="2:36" ht="17.149999999999999" customHeight="1">
      <c r="B71" s="846" t="s">
        <v>444</v>
      </c>
      <c r="C71" s="847"/>
      <c r="D71" s="857" t="s">
        <v>555</v>
      </c>
      <c r="E71" s="884" t="s">
        <v>556</v>
      </c>
      <c r="F71" s="886" t="s">
        <v>584</v>
      </c>
      <c r="G71" s="860" t="s">
        <v>558</v>
      </c>
      <c r="H71" s="885" t="s">
        <v>559</v>
      </c>
      <c r="I71" s="858" t="s">
        <v>560</v>
      </c>
      <c r="J71" s="859"/>
      <c r="K71" s="858" t="s">
        <v>561</v>
      </c>
      <c r="L71" s="859"/>
      <c r="M71" s="858" t="s">
        <v>562</v>
      </c>
      <c r="N71" s="859"/>
      <c r="O71" s="858" t="s">
        <v>563</v>
      </c>
      <c r="P71" s="859"/>
      <c r="Q71" s="858" t="s">
        <v>419</v>
      </c>
      <c r="R71" s="887"/>
      <c r="S71" s="859"/>
      <c r="T71" s="862" t="s">
        <v>420</v>
      </c>
      <c r="U71" s="863"/>
      <c r="V71" s="854" t="s">
        <v>171</v>
      </c>
      <c r="W71" s="854" t="s">
        <v>245</v>
      </c>
      <c r="X71" s="854" t="s">
        <v>564</v>
      </c>
      <c r="Y71" s="854" t="s">
        <v>446</v>
      </c>
      <c r="Z71" s="854" t="s">
        <v>246</v>
      </c>
      <c r="AA71" s="860" t="s">
        <v>172</v>
      </c>
      <c r="AC71" s="865" t="s">
        <v>247</v>
      </c>
      <c r="AD71" s="866"/>
      <c r="AE71" s="866"/>
      <c r="AF71" s="866"/>
      <c r="AG71" s="866"/>
      <c r="AH71" s="866"/>
      <c r="AI71" s="866"/>
      <c r="AJ71" s="867"/>
    </row>
    <row r="72" spans="2:36" ht="16.5" customHeight="1">
      <c r="B72" s="848"/>
      <c r="C72" s="849"/>
      <c r="D72" s="857"/>
      <c r="E72" s="857"/>
      <c r="F72" s="876"/>
      <c r="G72" s="861"/>
      <c r="H72" s="861"/>
      <c r="I72" s="450" t="s">
        <v>565</v>
      </c>
      <c r="J72" s="369" t="s">
        <v>566</v>
      </c>
      <c r="K72" s="450" t="s">
        <v>565</v>
      </c>
      <c r="L72" s="369" t="s">
        <v>566</v>
      </c>
      <c r="M72" s="450" t="s">
        <v>565</v>
      </c>
      <c r="N72" s="369" t="s">
        <v>566</v>
      </c>
      <c r="O72" s="450" t="s">
        <v>565</v>
      </c>
      <c r="P72" s="369" t="s">
        <v>566</v>
      </c>
      <c r="Q72" s="450" t="s">
        <v>565</v>
      </c>
      <c r="R72" s="369" t="s">
        <v>566</v>
      </c>
      <c r="S72" s="369" t="s">
        <v>567</v>
      </c>
      <c r="T72" s="450" t="s">
        <v>565</v>
      </c>
      <c r="U72" s="369" t="s">
        <v>566</v>
      </c>
      <c r="V72" s="856"/>
      <c r="W72" s="856"/>
      <c r="X72" s="856"/>
      <c r="Y72" s="856"/>
      <c r="Z72" s="856"/>
      <c r="AA72" s="861"/>
      <c r="AC72" s="868"/>
      <c r="AD72" s="869"/>
      <c r="AE72" s="869"/>
      <c r="AF72" s="869"/>
      <c r="AG72" s="869"/>
      <c r="AH72" s="869"/>
      <c r="AI72" s="869"/>
      <c r="AJ72" s="870"/>
    </row>
    <row r="73" spans="2:36" s="148" customFormat="1" ht="27" customHeight="1">
      <c r="B73" s="829" t="s">
        <v>667</v>
      </c>
      <c r="C73" s="830"/>
      <c r="D73" s="368">
        <v>1</v>
      </c>
      <c r="E73" s="451"/>
      <c r="F73" s="371">
        <f>IFERROR(T73*G73,"-")</f>
        <v>0</v>
      </c>
      <c r="G73" s="372"/>
      <c r="H73" s="453"/>
      <c r="I73" s="453"/>
      <c r="J73" s="455" t="str">
        <f>IFERROR(I73/H73,"-")</f>
        <v>-</v>
      </c>
      <c r="K73" s="454"/>
      <c r="L73" s="455" t="str">
        <f>IFERROR(K73/H73,"-")</f>
        <v>-</v>
      </c>
      <c r="M73" s="454"/>
      <c r="N73" s="455" t="str">
        <f>IFERROR(M73/H73,"-")</f>
        <v>-</v>
      </c>
      <c r="O73" s="456">
        <f>IFERROR(K73+M73,"-")</f>
        <v>0</v>
      </c>
      <c r="P73" s="455" t="str">
        <f>IFERROR(O73/H73,"-")</f>
        <v>-</v>
      </c>
      <c r="Q73" s="453"/>
      <c r="R73" s="455" t="str">
        <f>IFERROR(Q73/H73,"-")</f>
        <v>-</v>
      </c>
      <c r="S73" s="484">
        <f>IFERROR(Q73*G73,"-")</f>
        <v>0</v>
      </c>
      <c r="T73" s="456">
        <f>IFERROR(O73-H73,"-")</f>
        <v>0</v>
      </c>
      <c r="U73" s="455" t="str">
        <f>IFERROR(T73/H73,"-")</f>
        <v>-</v>
      </c>
      <c r="V73" s="373" t="s">
        <v>174</v>
      </c>
      <c r="W73" s="373" t="s">
        <v>215</v>
      </c>
      <c r="X73" s="374"/>
      <c r="Y73" s="374"/>
      <c r="Z73" s="374">
        <v>1</v>
      </c>
      <c r="AA73" s="457"/>
      <c r="AC73" s="871"/>
      <c r="AD73" s="872"/>
      <c r="AE73" s="872"/>
      <c r="AF73" s="872"/>
      <c r="AG73" s="872"/>
      <c r="AH73" s="872"/>
      <c r="AI73" s="872"/>
      <c r="AJ73" s="873"/>
    </row>
    <row r="74" spans="2:36" s="148" customFormat="1" ht="27" customHeight="1">
      <c r="B74" s="831"/>
      <c r="C74" s="832"/>
      <c r="D74" s="368">
        <v>2</v>
      </c>
      <c r="E74" s="451"/>
      <c r="F74" s="371">
        <f t="shared" ref="F74:F92" si="38">IFERROR(T74*G74,"-")</f>
        <v>0</v>
      </c>
      <c r="G74" s="372"/>
      <c r="H74" s="453"/>
      <c r="I74" s="453"/>
      <c r="J74" s="455" t="str">
        <f t="shared" ref="J74:J92" si="39">IFERROR(I74/H74,"-")</f>
        <v>-</v>
      </c>
      <c r="K74" s="454"/>
      <c r="L74" s="455" t="str">
        <f t="shared" ref="L74:L92" si="40">IFERROR(K74/H74,"-")</f>
        <v>-</v>
      </c>
      <c r="M74" s="454"/>
      <c r="N74" s="455" t="str">
        <f t="shared" ref="N74:N92" si="41">IFERROR(M74/H74,"-")</f>
        <v>-</v>
      </c>
      <c r="O74" s="456">
        <f t="shared" ref="O74:O92" si="42">IFERROR(K74+M74,"-")</f>
        <v>0</v>
      </c>
      <c r="P74" s="455" t="str">
        <f t="shared" ref="P74:P92" si="43">IFERROR(O74/H74,"-")</f>
        <v>-</v>
      </c>
      <c r="Q74" s="453"/>
      <c r="R74" s="455" t="str">
        <f t="shared" ref="R74:R92" si="44">IFERROR(Q74/H74,"-")</f>
        <v>-</v>
      </c>
      <c r="S74" s="484">
        <f t="shared" ref="S74:S92" si="45">IFERROR(Q74*G74,"-")</f>
        <v>0</v>
      </c>
      <c r="T74" s="456">
        <f t="shared" ref="T74:T92" si="46">IFERROR(O74-H74,"-")</f>
        <v>0</v>
      </c>
      <c r="U74" s="455" t="str">
        <f t="shared" ref="U74:U92" si="47">IFERROR(T74/H74,"-")</f>
        <v>-</v>
      </c>
      <c r="V74" s="373" t="s">
        <v>174</v>
      </c>
      <c r="W74" s="373" t="s">
        <v>216</v>
      </c>
      <c r="X74" s="374"/>
      <c r="Y74" s="374"/>
      <c r="Z74" s="374">
        <v>1</v>
      </c>
      <c r="AA74" s="457"/>
      <c r="AC74" s="161" t="s">
        <v>244</v>
      </c>
      <c r="AD74" s="161" t="s">
        <v>447</v>
      </c>
      <c r="AE74" s="156" t="s">
        <v>568</v>
      </c>
      <c r="AF74" s="156" t="s">
        <v>337</v>
      </c>
      <c r="AG74" s="156" t="s">
        <v>430</v>
      </c>
      <c r="AH74" s="156" t="s">
        <v>215</v>
      </c>
      <c r="AI74" s="156" t="s">
        <v>216</v>
      </c>
      <c r="AJ74" s="156" t="s">
        <v>385</v>
      </c>
    </row>
    <row r="75" spans="2:36" s="148" customFormat="1" ht="27" customHeight="1">
      <c r="B75" s="831"/>
      <c r="C75" s="832"/>
      <c r="D75" s="368">
        <v>3</v>
      </c>
      <c r="E75" s="451"/>
      <c r="F75" s="371">
        <f t="shared" si="38"/>
        <v>0</v>
      </c>
      <c r="G75" s="372"/>
      <c r="H75" s="453"/>
      <c r="I75" s="453"/>
      <c r="J75" s="455" t="str">
        <f t="shared" si="39"/>
        <v>-</v>
      </c>
      <c r="K75" s="454"/>
      <c r="L75" s="455" t="str">
        <f t="shared" si="40"/>
        <v>-</v>
      </c>
      <c r="M75" s="454"/>
      <c r="N75" s="455" t="str">
        <f t="shared" si="41"/>
        <v>-</v>
      </c>
      <c r="O75" s="456">
        <f t="shared" si="42"/>
        <v>0</v>
      </c>
      <c r="P75" s="455" t="str">
        <f t="shared" si="43"/>
        <v>-</v>
      </c>
      <c r="Q75" s="453"/>
      <c r="R75" s="455" t="str">
        <f t="shared" si="44"/>
        <v>-</v>
      </c>
      <c r="S75" s="484">
        <f t="shared" si="45"/>
        <v>0</v>
      </c>
      <c r="T75" s="456">
        <f t="shared" si="46"/>
        <v>0</v>
      </c>
      <c r="U75" s="455" t="str">
        <f t="shared" si="47"/>
        <v>-</v>
      </c>
      <c r="V75" s="373" t="s">
        <v>174</v>
      </c>
      <c r="W75" s="373" t="s">
        <v>430</v>
      </c>
      <c r="X75" s="374"/>
      <c r="Y75" s="374"/>
      <c r="Z75" s="374">
        <v>1</v>
      </c>
      <c r="AA75" s="457"/>
      <c r="AC75" s="381">
        <f>SUM(Z73:Z92)</f>
        <v>20</v>
      </c>
      <c r="AD75" s="376">
        <f>SUMIF($W$73:$W$92,TRIM(AD74),$Z$73:$Z$92)</f>
        <v>0</v>
      </c>
      <c r="AE75" s="376">
        <f t="shared" ref="AE75:AJ75" si="48">SUMIF($W$73:$W$92,TRIM(AE74),$Z$73:$Z$92)</f>
        <v>0</v>
      </c>
      <c r="AF75" s="376">
        <f t="shared" si="48"/>
        <v>0</v>
      </c>
      <c r="AG75" s="376">
        <f t="shared" si="48"/>
        <v>15</v>
      </c>
      <c r="AH75" s="376">
        <f t="shared" si="48"/>
        <v>2</v>
      </c>
      <c r="AI75" s="376">
        <f t="shared" si="48"/>
        <v>3</v>
      </c>
      <c r="AJ75" s="376">
        <f t="shared" si="48"/>
        <v>0</v>
      </c>
    </row>
    <row r="76" spans="2:36" s="148" customFormat="1" ht="27" customHeight="1">
      <c r="B76" s="831"/>
      <c r="C76" s="832"/>
      <c r="D76" s="368">
        <v>4</v>
      </c>
      <c r="E76" s="451"/>
      <c r="F76" s="371">
        <f t="shared" si="38"/>
        <v>0</v>
      </c>
      <c r="G76" s="372"/>
      <c r="H76" s="453"/>
      <c r="I76" s="453"/>
      <c r="J76" s="455" t="str">
        <f t="shared" si="39"/>
        <v>-</v>
      </c>
      <c r="K76" s="454"/>
      <c r="L76" s="455" t="str">
        <f t="shared" si="40"/>
        <v>-</v>
      </c>
      <c r="M76" s="454"/>
      <c r="N76" s="455" t="str">
        <f t="shared" si="41"/>
        <v>-</v>
      </c>
      <c r="O76" s="456">
        <f t="shared" si="42"/>
        <v>0</v>
      </c>
      <c r="P76" s="455" t="str">
        <f t="shared" si="43"/>
        <v>-</v>
      </c>
      <c r="Q76" s="453"/>
      <c r="R76" s="455" t="str">
        <f t="shared" si="44"/>
        <v>-</v>
      </c>
      <c r="S76" s="484">
        <f t="shared" si="45"/>
        <v>0</v>
      </c>
      <c r="T76" s="456">
        <f t="shared" si="46"/>
        <v>0</v>
      </c>
      <c r="U76" s="455" t="str">
        <f t="shared" si="47"/>
        <v>-</v>
      </c>
      <c r="V76" s="373" t="s">
        <v>174</v>
      </c>
      <c r="W76" s="373" t="s">
        <v>430</v>
      </c>
      <c r="X76" s="374"/>
      <c r="Y76" s="374"/>
      <c r="Z76" s="374">
        <v>1</v>
      </c>
      <c r="AA76" s="457"/>
      <c r="AC76" s="382"/>
      <c r="AD76" s="379">
        <f>SUMIF($W$73:$W$92,TRIM(AD74),$F$73:$F$92)</f>
        <v>0</v>
      </c>
      <c r="AE76" s="379">
        <f t="shared" ref="AE76:AJ76" si="49">SUMIF($W$73:$W$92,TRIM(AE74),$F$73:$F$92)</f>
        <v>0</v>
      </c>
      <c r="AF76" s="379">
        <f t="shared" si="49"/>
        <v>0</v>
      </c>
      <c r="AG76" s="379">
        <f t="shared" si="49"/>
        <v>0</v>
      </c>
      <c r="AH76" s="379">
        <f t="shared" si="49"/>
        <v>0</v>
      </c>
      <c r="AI76" s="379">
        <f t="shared" si="49"/>
        <v>0</v>
      </c>
      <c r="AJ76" s="379">
        <f t="shared" si="49"/>
        <v>0</v>
      </c>
    </row>
    <row r="77" spans="2:36" s="148" customFormat="1" ht="27" customHeight="1">
      <c r="B77" s="831"/>
      <c r="C77" s="832"/>
      <c r="D77" s="368">
        <v>5</v>
      </c>
      <c r="E77" s="451"/>
      <c r="F77" s="371">
        <f t="shared" si="38"/>
        <v>0</v>
      </c>
      <c r="G77" s="372"/>
      <c r="H77" s="453"/>
      <c r="I77" s="453"/>
      <c r="J77" s="455" t="str">
        <f t="shared" si="39"/>
        <v>-</v>
      </c>
      <c r="K77" s="454"/>
      <c r="L77" s="455" t="str">
        <f t="shared" si="40"/>
        <v>-</v>
      </c>
      <c r="M77" s="454"/>
      <c r="N77" s="455" t="str">
        <f t="shared" si="41"/>
        <v>-</v>
      </c>
      <c r="O77" s="456">
        <f t="shared" si="42"/>
        <v>0</v>
      </c>
      <c r="P77" s="455" t="str">
        <f t="shared" si="43"/>
        <v>-</v>
      </c>
      <c r="Q77" s="453"/>
      <c r="R77" s="455" t="str">
        <f t="shared" si="44"/>
        <v>-</v>
      </c>
      <c r="S77" s="484">
        <f t="shared" si="45"/>
        <v>0</v>
      </c>
      <c r="T77" s="456">
        <f t="shared" si="46"/>
        <v>0</v>
      </c>
      <c r="U77" s="455" t="str">
        <f t="shared" si="47"/>
        <v>-</v>
      </c>
      <c r="V77" s="373" t="s">
        <v>174</v>
      </c>
      <c r="W77" s="373" t="s">
        <v>430</v>
      </c>
      <c r="X77" s="374"/>
      <c r="Y77" s="374"/>
      <c r="Z77" s="374">
        <v>1</v>
      </c>
      <c r="AA77" s="457"/>
      <c r="AC77" s="368"/>
      <c r="AD77" s="380">
        <f t="shared" ref="AD77:AJ77" si="50">AD75/$AC75</f>
        <v>0</v>
      </c>
      <c r="AE77" s="380">
        <f t="shared" si="50"/>
        <v>0</v>
      </c>
      <c r="AF77" s="380">
        <f t="shared" si="50"/>
        <v>0</v>
      </c>
      <c r="AG77" s="380">
        <f t="shared" si="50"/>
        <v>0.75</v>
      </c>
      <c r="AH77" s="380">
        <f t="shared" si="50"/>
        <v>0.1</v>
      </c>
      <c r="AI77" s="380">
        <f t="shared" si="50"/>
        <v>0.15</v>
      </c>
      <c r="AJ77" s="380">
        <f t="shared" si="50"/>
        <v>0</v>
      </c>
    </row>
    <row r="78" spans="2:36" s="148" customFormat="1" ht="27" customHeight="1">
      <c r="B78" s="831"/>
      <c r="C78" s="832"/>
      <c r="D78" s="368">
        <v>6</v>
      </c>
      <c r="E78" s="451"/>
      <c r="F78" s="371">
        <f t="shared" si="38"/>
        <v>0</v>
      </c>
      <c r="G78" s="372"/>
      <c r="H78" s="453"/>
      <c r="I78" s="453"/>
      <c r="J78" s="455" t="str">
        <f t="shared" si="39"/>
        <v>-</v>
      </c>
      <c r="K78" s="454"/>
      <c r="L78" s="455" t="str">
        <f t="shared" si="40"/>
        <v>-</v>
      </c>
      <c r="M78" s="454"/>
      <c r="N78" s="455" t="str">
        <f t="shared" si="41"/>
        <v>-</v>
      </c>
      <c r="O78" s="456">
        <f t="shared" si="42"/>
        <v>0</v>
      </c>
      <c r="P78" s="455" t="str">
        <f t="shared" si="43"/>
        <v>-</v>
      </c>
      <c r="Q78" s="453"/>
      <c r="R78" s="455" t="str">
        <f t="shared" si="44"/>
        <v>-</v>
      </c>
      <c r="S78" s="484">
        <f t="shared" si="45"/>
        <v>0</v>
      </c>
      <c r="T78" s="456">
        <f t="shared" si="46"/>
        <v>0</v>
      </c>
      <c r="U78" s="455" t="str">
        <f t="shared" si="47"/>
        <v>-</v>
      </c>
      <c r="V78" s="373" t="s">
        <v>174</v>
      </c>
      <c r="W78" s="373" t="s">
        <v>430</v>
      </c>
      <c r="X78" s="374"/>
      <c r="Y78" s="374"/>
      <c r="Z78" s="374">
        <v>1</v>
      </c>
      <c r="AA78" s="457"/>
    </row>
    <row r="79" spans="2:36" s="148" customFormat="1" ht="27" customHeight="1">
      <c r="B79" s="831"/>
      <c r="C79" s="832"/>
      <c r="D79" s="368">
        <v>7</v>
      </c>
      <c r="E79" s="451"/>
      <c r="F79" s="371">
        <f t="shared" si="38"/>
        <v>0</v>
      </c>
      <c r="G79" s="372"/>
      <c r="H79" s="453"/>
      <c r="I79" s="453"/>
      <c r="J79" s="455" t="str">
        <f t="shared" si="39"/>
        <v>-</v>
      </c>
      <c r="K79" s="454"/>
      <c r="L79" s="455" t="str">
        <f t="shared" si="40"/>
        <v>-</v>
      </c>
      <c r="M79" s="454"/>
      <c r="N79" s="455" t="str">
        <f t="shared" si="41"/>
        <v>-</v>
      </c>
      <c r="O79" s="456">
        <f t="shared" si="42"/>
        <v>0</v>
      </c>
      <c r="P79" s="455" t="str">
        <f t="shared" si="43"/>
        <v>-</v>
      </c>
      <c r="Q79" s="453"/>
      <c r="R79" s="455" t="str">
        <f t="shared" si="44"/>
        <v>-</v>
      </c>
      <c r="S79" s="484">
        <f t="shared" si="45"/>
        <v>0</v>
      </c>
      <c r="T79" s="456">
        <f t="shared" si="46"/>
        <v>0</v>
      </c>
      <c r="U79" s="455" t="str">
        <f t="shared" si="47"/>
        <v>-</v>
      </c>
      <c r="V79" s="373" t="s">
        <v>174</v>
      </c>
      <c r="W79" s="373" t="s">
        <v>216</v>
      </c>
      <c r="X79" s="374"/>
      <c r="Y79" s="374"/>
      <c r="Z79" s="374">
        <v>1</v>
      </c>
      <c r="AA79" s="457"/>
    </row>
    <row r="80" spans="2:36" s="148" customFormat="1" ht="27" customHeight="1">
      <c r="B80" s="831"/>
      <c r="C80" s="832"/>
      <c r="D80" s="368">
        <v>8</v>
      </c>
      <c r="E80" s="451"/>
      <c r="F80" s="371">
        <f t="shared" si="38"/>
        <v>0</v>
      </c>
      <c r="G80" s="372"/>
      <c r="H80" s="453"/>
      <c r="I80" s="453"/>
      <c r="J80" s="455" t="str">
        <f t="shared" si="39"/>
        <v>-</v>
      </c>
      <c r="K80" s="454"/>
      <c r="L80" s="455" t="str">
        <f t="shared" si="40"/>
        <v>-</v>
      </c>
      <c r="M80" s="454"/>
      <c r="N80" s="455" t="str">
        <f t="shared" si="41"/>
        <v>-</v>
      </c>
      <c r="O80" s="456">
        <f t="shared" si="42"/>
        <v>0</v>
      </c>
      <c r="P80" s="455" t="str">
        <f t="shared" si="43"/>
        <v>-</v>
      </c>
      <c r="Q80" s="453"/>
      <c r="R80" s="455" t="str">
        <f t="shared" si="44"/>
        <v>-</v>
      </c>
      <c r="S80" s="484">
        <f t="shared" si="45"/>
        <v>0</v>
      </c>
      <c r="T80" s="456">
        <f t="shared" si="46"/>
        <v>0</v>
      </c>
      <c r="U80" s="455" t="str">
        <f t="shared" si="47"/>
        <v>-</v>
      </c>
      <c r="V80" s="373" t="s">
        <v>174</v>
      </c>
      <c r="W80" s="373" t="s">
        <v>430</v>
      </c>
      <c r="X80" s="374"/>
      <c r="Y80" s="374"/>
      <c r="Z80" s="374">
        <v>1</v>
      </c>
      <c r="AA80" s="457"/>
    </row>
    <row r="81" spans="2:36" s="148" customFormat="1" ht="27" customHeight="1">
      <c r="B81" s="831"/>
      <c r="C81" s="832"/>
      <c r="D81" s="368">
        <v>9</v>
      </c>
      <c r="E81" s="451"/>
      <c r="F81" s="371">
        <f t="shared" si="38"/>
        <v>0</v>
      </c>
      <c r="G81" s="372"/>
      <c r="H81" s="453"/>
      <c r="I81" s="453"/>
      <c r="J81" s="455" t="str">
        <f t="shared" si="39"/>
        <v>-</v>
      </c>
      <c r="K81" s="454"/>
      <c r="L81" s="455" t="str">
        <f t="shared" si="40"/>
        <v>-</v>
      </c>
      <c r="M81" s="454"/>
      <c r="N81" s="455" t="str">
        <f t="shared" si="41"/>
        <v>-</v>
      </c>
      <c r="O81" s="456">
        <f t="shared" si="42"/>
        <v>0</v>
      </c>
      <c r="P81" s="455" t="str">
        <f t="shared" si="43"/>
        <v>-</v>
      </c>
      <c r="Q81" s="453"/>
      <c r="R81" s="455" t="str">
        <f t="shared" si="44"/>
        <v>-</v>
      </c>
      <c r="S81" s="484">
        <f t="shared" si="45"/>
        <v>0</v>
      </c>
      <c r="T81" s="456">
        <f t="shared" si="46"/>
        <v>0</v>
      </c>
      <c r="U81" s="455" t="str">
        <f t="shared" si="47"/>
        <v>-</v>
      </c>
      <c r="V81" s="373" t="s">
        <v>174</v>
      </c>
      <c r="W81" s="373" t="s">
        <v>430</v>
      </c>
      <c r="X81" s="374"/>
      <c r="Y81" s="374"/>
      <c r="Z81" s="374">
        <v>1</v>
      </c>
      <c r="AA81" s="457"/>
    </row>
    <row r="82" spans="2:36" s="148" customFormat="1" ht="27" customHeight="1">
      <c r="B82" s="831"/>
      <c r="C82" s="832"/>
      <c r="D82" s="368">
        <v>10</v>
      </c>
      <c r="E82" s="451"/>
      <c r="F82" s="371">
        <f t="shared" si="38"/>
        <v>0</v>
      </c>
      <c r="G82" s="372"/>
      <c r="H82" s="453"/>
      <c r="I82" s="453"/>
      <c r="J82" s="455" t="str">
        <f t="shared" si="39"/>
        <v>-</v>
      </c>
      <c r="K82" s="454"/>
      <c r="L82" s="455" t="str">
        <f t="shared" si="40"/>
        <v>-</v>
      </c>
      <c r="M82" s="454"/>
      <c r="N82" s="455" t="str">
        <f t="shared" si="41"/>
        <v>-</v>
      </c>
      <c r="O82" s="456">
        <f t="shared" si="42"/>
        <v>0</v>
      </c>
      <c r="P82" s="455" t="str">
        <f t="shared" si="43"/>
        <v>-</v>
      </c>
      <c r="Q82" s="453"/>
      <c r="R82" s="455" t="str">
        <f t="shared" si="44"/>
        <v>-</v>
      </c>
      <c r="S82" s="484">
        <f t="shared" si="45"/>
        <v>0</v>
      </c>
      <c r="T82" s="456">
        <f t="shared" si="46"/>
        <v>0</v>
      </c>
      <c r="U82" s="455" t="str">
        <f t="shared" si="47"/>
        <v>-</v>
      </c>
      <c r="V82" s="373" t="s">
        <v>174</v>
      </c>
      <c r="W82" s="373" t="s">
        <v>430</v>
      </c>
      <c r="X82" s="374"/>
      <c r="Y82" s="374"/>
      <c r="Z82" s="374">
        <v>1</v>
      </c>
      <c r="AA82" s="457"/>
    </row>
    <row r="83" spans="2:36" s="148" customFormat="1" ht="27" customHeight="1">
      <c r="B83" s="831"/>
      <c r="C83" s="832"/>
      <c r="D83" s="368">
        <v>11</v>
      </c>
      <c r="E83" s="451"/>
      <c r="F83" s="371">
        <f t="shared" si="38"/>
        <v>0</v>
      </c>
      <c r="G83" s="372"/>
      <c r="H83" s="453"/>
      <c r="I83" s="453"/>
      <c r="J83" s="455" t="str">
        <f t="shared" si="39"/>
        <v>-</v>
      </c>
      <c r="K83" s="454"/>
      <c r="L83" s="455" t="str">
        <f t="shared" si="40"/>
        <v>-</v>
      </c>
      <c r="M83" s="454"/>
      <c r="N83" s="455" t="str">
        <f t="shared" si="41"/>
        <v>-</v>
      </c>
      <c r="O83" s="456">
        <f t="shared" si="42"/>
        <v>0</v>
      </c>
      <c r="P83" s="455" t="str">
        <f t="shared" si="43"/>
        <v>-</v>
      </c>
      <c r="Q83" s="453"/>
      <c r="R83" s="455" t="str">
        <f t="shared" si="44"/>
        <v>-</v>
      </c>
      <c r="S83" s="484">
        <f t="shared" si="45"/>
        <v>0</v>
      </c>
      <c r="T83" s="456">
        <f t="shared" si="46"/>
        <v>0</v>
      </c>
      <c r="U83" s="455" t="str">
        <f t="shared" si="47"/>
        <v>-</v>
      </c>
      <c r="V83" s="373" t="s">
        <v>174</v>
      </c>
      <c r="W83" s="373" t="s">
        <v>430</v>
      </c>
      <c r="X83" s="374"/>
      <c r="Y83" s="374"/>
      <c r="Z83" s="374">
        <v>1</v>
      </c>
      <c r="AA83" s="457"/>
      <c r="AE83" s="377"/>
    </row>
    <row r="84" spans="2:36" s="148" customFormat="1" ht="27" customHeight="1">
      <c r="B84" s="831"/>
      <c r="C84" s="832"/>
      <c r="D84" s="368">
        <v>12</v>
      </c>
      <c r="E84" s="451"/>
      <c r="F84" s="371">
        <f t="shared" si="38"/>
        <v>0</v>
      </c>
      <c r="G84" s="372"/>
      <c r="H84" s="453"/>
      <c r="I84" s="453"/>
      <c r="J84" s="455" t="str">
        <f t="shared" si="39"/>
        <v>-</v>
      </c>
      <c r="K84" s="454"/>
      <c r="L84" s="455" t="str">
        <f t="shared" si="40"/>
        <v>-</v>
      </c>
      <c r="M84" s="454"/>
      <c r="N84" s="455" t="str">
        <f t="shared" si="41"/>
        <v>-</v>
      </c>
      <c r="O84" s="456">
        <f t="shared" si="42"/>
        <v>0</v>
      </c>
      <c r="P84" s="455" t="str">
        <f t="shared" si="43"/>
        <v>-</v>
      </c>
      <c r="Q84" s="453"/>
      <c r="R84" s="455" t="str">
        <f t="shared" si="44"/>
        <v>-</v>
      </c>
      <c r="S84" s="484">
        <f t="shared" si="45"/>
        <v>0</v>
      </c>
      <c r="T84" s="456">
        <f t="shared" si="46"/>
        <v>0</v>
      </c>
      <c r="U84" s="455" t="str">
        <f t="shared" si="47"/>
        <v>-</v>
      </c>
      <c r="V84" s="373" t="s">
        <v>174</v>
      </c>
      <c r="W84" s="373" t="s">
        <v>430</v>
      </c>
      <c r="X84" s="374"/>
      <c r="Y84" s="374"/>
      <c r="Z84" s="374">
        <v>1</v>
      </c>
      <c r="AA84" s="457"/>
    </row>
    <row r="85" spans="2:36" s="148" customFormat="1" ht="27" customHeight="1">
      <c r="B85" s="831"/>
      <c r="C85" s="832"/>
      <c r="D85" s="368">
        <v>13</v>
      </c>
      <c r="E85" s="451"/>
      <c r="F85" s="371">
        <f t="shared" si="38"/>
        <v>0</v>
      </c>
      <c r="G85" s="372"/>
      <c r="H85" s="453"/>
      <c r="I85" s="453"/>
      <c r="J85" s="455" t="str">
        <f t="shared" si="39"/>
        <v>-</v>
      </c>
      <c r="K85" s="454"/>
      <c r="L85" s="455" t="str">
        <f t="shared" si="40"/>
        <v>-</v>
      </c>
      <c r="M85" s="454"/>
      <c r="N85" s="455" t="str">
        <f t="shared" si="41"/>
        <v>-</v>
      </c>
      <c r="O85" s="456">
        <f t="shared" si="42"/>
        <v>0</v>
      </c>
      <c r="P85" s="455" t="str">
        <f t="shared" si="43"/>
        <v>-</v>
      </c>
      <c r="Q85" s="453"/>
      <c r="R85" s="455" t="str">
        <f t="shared" si="44"/>
        <v>-</v>
      </c>
      <c r="S85" s="484">
        <f t="shared" si="45"/>
        <v>0</v>
      </c>
      <c r="T85" s="456">
        <f t="shared" si="46"/>
        <v>0</v>
      </c>
      <c r="U85" s="455" t="str">
        <f t="shared" si="47"/>
        <v>-</v>
      </c>
      <c r="V85" s="373" t="s">
        <v>174</v>
      </c>
      <c r="W85" s="373" t="s">
        <v>430</v>
      </c>
      <c r="X85" s="374"/>
      <c r="Y85" s="374"/>
      <c r="Z85" s="374">
        <v>1</v>
      </c>
      <c r="AA85" s="457"/>
    </row>
    <row r="86" spans="2:36" s="148" customFormat="1" ht="27" customHeight="1">
      <c r="B86" s="831"/>
      <c r="C86" s="832"/>
      <c r="D86" s="368">
        <v>14</v>
      </c>
      <c r="E86" s="451"/>
      <c r="F86" s="371">
        <f t="shared" si="38"/>
        <v>0</v>
      </c>
      <c r="G86" s="372"/>
      <c r="H86" s="453"/>
      <c r="I86" s="453"/>
      <c r="J86" s="455" t="str">
        <f t="shared" si="39"/>
        <v>-</v>
      </c>
      <c r="K86" s="454"/>
      <c r="L86" s="455" t="str">
        <f t="shared" si="40"/>
        <v>-</v>
      </c>
      <c r="M86" s="454"/>
      <c r="N86" s="455" t="str">
        <f t="shared" si="41"/>
        <v>-</v>
      </c>
      <c r="O86" s="456">
        <f t="shared" si="42"/>
        <v>0</v>
      </c>
      <c r="P86" s="455" t="str">
        <f t="shared" si="43"/>
        <v>-</v>
      </c>
      <c r="Q86" s="453"/>
      <c r="R86" s="455" t="str">
        <f t="shared" si="44"/>
        <v>-</v>
      </c>
      <c r="S86" s="484">
        <f t="shared" si="45"/>
        <v>0</v>
      </c>
      <c r="T86" s="456">
        <f t="shared" si="46"/>
        <v>0</v>
      </c>
      <c r="U86" s="455" t="str">
        <f t="shared" si="47"/>
        <v>-</v>
      </c>
      <c r="V86" s="373" t="s">
        <v>174</v>
      </c>
      <c r="W86" s="373" t="s">
        <v>430</v>
      </c>
      <c r="X86" s="374"/>
      <c r="Y86" s="374"/>
      <c r="Z86" s="374">
        <v>1</v>
      </c>
      <c r="AA86" s="457"/>
    </row>
    <row r="87" spans="2:36" s="148" customFormat="1" ht="27" customHeight="1">
      <c r="B87" s="831"/>
      <c r="C87" s="832"/>
      <c r="D87" s="368">
        <v>15</v>
      </c>
      <c r="E87" s="451"/>
      <c r="F87" s="371">
        <f t="shared" si="38"/>
        <v>0</v>
      </c>
      <c r="G87" s="372"/>
      <c r="H87" s="453"/>
      <c r="I87" s="453"/>
      <c r="J87" s="455" t="str">
        <f t="shared" si="39"/>
        <v>-</v>
      </c>
      <c r="K87" s="454"/>
      <c r="L87" s="455" t="str">
        <f t="shared" si="40"/>
        <v>-</v>
      </c>
      <c r="M87" s="454"/>
      <c r="N87" s="455" t="str">
        <f t="shared" si="41"/>
        <v>-</v>
      </c>
      <c r="O87" s="456">
        <f t="shared" si="42"/>
        <v>0</v>
      </c>
      <c r="P87" s="455" t="str">
        <f t="shared" si="43"/>
        <v>-</v>
      </c>
      <c r="Q87" s="453"/>
      <c r="R87" s="455" t="str">
        <f t="shared" si="44"/>
        <v>-</v>
      </c>
      <c r="S87" s="484">
        <f t="shared" si="45"/>
        <v>0</v>
      </c>
      <c r="T87" s="456">
        <f t="shared" si="46"/>
        <v>0</v>
      </c>
      <c r="U87" s="455" t="str">
        <f t="shared" si="47"/>
        <v>-</v>
      </c>
      <c r="V87" s="373" t="s">
        <v>174</v>
      </c>
      <c r="W87" s="373" t="s">
        <v>430</v>
      </c>
      <c r="X87" s="374"/>
      <c r="Y87" s="374"/>
      <c r="Z87" s="374">
        <v>1</v>
      </c>
      <c r="AA87" s="457"/>
    </row>
    <row r="88" spans="2:36" s="148" customFormat="1" ht="27" customHeight="1">
      <c r="B88" s="831"/>
      <c r="C88" s="832"/>
      <c r="D88" s="368">
        <v>16</v>
      </c>
      <c r="E88" s="451"/>
      <c r="F88" s="371">
        <f t="shared" si="38"/>
        <v>0</v>
      </c>
      <c r="G88" s="372"/>
      <c r="H88" s="453"/>
      <c r="I88" s="453"/>
      <c r="J88" s="455" t="str">
        <f t="shared" si="39"/>
        <v>-</v>
      </c>
      <c r="K88" s="454"/>
      <c r="L88" s="455" t="str">
        <f t="shared" si="40"/>
        <v>-</v>
      </c>
      <c r="M88" s="454"/>
      <c r="N88" s="455" t="str">
        <f t="shared" si="41"/>
        <v>-</v>
      </c>
      <c r="O88" s="456">
        <f t="shared" si="42"/>
        <v>0</v>
      </c>
      <c r="P88" s="455" t="str">
        <f t="shared" si="43"/>
        <v>-</v>
      </c>
      <c r="Q88" s="453"/>
      <c r="R88" s="455" t="str">
        <f t="shared" si="44"/>
        <v>-</v>
      </c>
      <c r="S88" s="484">
        <f t="shared" si="45"/>
        <v>0</v>
      </c>
      <c r="T88" s="456">
        <f t="shared" si="46"/>
        <v>0</v>
      </c>
      <c r="U88" s="455" t="str">
        <f t="shared" si="47"/>
        <v>-</v>
      </c>
      <c r="V88" s="373" t="s">
        <v>174</v>
      </c>
      <c r="W88" s="374" t="s">
        <v>216</v>
      </c>
      <c r="X88" s="374"/>
      <c r="Y88" s="374"/>
      <c r="Z88" s="374">
        <v>1</v>
      </c>
      <c r="AA88" s="457"/>
    </row>
    <row r="89" spans="2:36" s="148" customFormat="1" ht="27" customHeight="1">
      <c r="B89" s="831"/>
      <c r="C89" s="832"/>
      <c r="D89" s="368">
        <v>17</v>
      </c>
      <c r="E89" s="451"/>
      <c r="F89" s="371">
        <f t="shared" si="38"/>
        <v>0</v>
      </c>
      <c r="G89" s="372"/>
      <c r="H89" s="453"/>
      <c r="I89" s="453"/>
      <c r="J89" s="455" t="str">
        <f t="shared" si="39"/>
        <v>-</v>
      </c>
      <c r="K89" s="454"/>
      <c r="L89" s="455" t="str">
        <f t="shared" si="40"/>
        <v>-</v>
      </c>
      <c r="M89" s="454"/>
      <c r="N89" s="455" t="str">
        <f t="shared" si="41"/>
        <v>-</v>
      </c>
      <c r="O89" s="456">
        <f t="shared" si="42"/>
        <v>0</v>
      </c>
      <c r="P89" s="455" t="str">
        <f t="shared" si="43"/>
        <v>-</v>
      </c>
      <c r="Q89" s="453"/>
      <c r="R89" s="455" t="str">
        <f t="shared" si="44"/>
        <v>-</v>
      </c>
      <c r="S89" s="484">
        <f t="shared" si="45"/>
        <v>0</v>
      </c>
      <c r="T89" s="456">
        <f t="shared" si="46"/>
        <v>0</v>
      </c>
      <c r="U89" s="455" t="str">
        <f t="shared" si="47"/>
        <v>-</v>
      </c>
      <c r="V89" s="373" t="s">
        <v>174</v>
      </c>
      <c r="W89" s="373" t="s">
        <v>430</v>
      </c>
      <c r="X89" s="374"/>
      <c r="Y89" s="374"/>
      <c r="Z89" s="374">
        <v>1</v>
      </c>
      <c r="AA89" s="457"/>
    </row>
    <row r="90" spans="2:36" s="148" customFormat="1" ht="27" customHeight="1">
      <c r="B90" s="831"/>
      <c r="C90" s="832"/>
      <c r="D90" s="368">
        <v>18</v>
      </c>
      <c r="E90" s="451"/>
      <c r="F90" s="371">
        <f t="shared" si="38"/>
        <v>0</v>
      </c>
      <c r="G90" s="372"/>
      <c r="H90" s="453"/>
      <c r="I90" s="453"/>
      <c r="J90" s="455" t="str">
        <f t="shared" si="39"/>
        <v>-</v>
      </c>
      <c r="K90" s="454"/>
      <c r="L90" s="455" t="str">
        <f t="shared" si="40"/>
        <v>-</v>
      </c>
      <c r="M90" s="454"/>
      <c r="N90" s="455" t="str">
        <f t="shared" si="41"/>
        <v>-</v>
      </c>
      <c r="O90" s="456">
        <f t="shared" si="42"/>
        <v>0</v>
      </c>
      <c r="P90" s="455" t="str">
        <f t="shared" si="43"/>
        <v>-</v>
      </c>
      <c r="Q90" s="453"/>
      <c r="R90" s="455" t="str">
        <f t="shared" si="44"/>
        <v>-</v>
      </c>
      <c r="S90" s="484">
        <f t="shared" si="45"/>
        <v>0</v>
      </c>
      <c r="T90" s="456">
        <f t="shared" si="46"/>
        <v>0</v>
      </c>
      <c r="U90" s="455" t="str">
        <f t="shared" si="47"/>
        <v>-</v>
      </c>
      <c r="V90" s="373" t="s">
        <v>174</v>
      </c>
      <c r="W90" s="373" t="s">
        <v>430</v>
      </c>
      <c r="X90" s="374"/>
      <c r="Y90" s="374"/>
      <c r="Z90" s="374">
        <v>1</v>
      </c>
      <c r="AA90" s="457"/>
    </row>
    <row r="91" spans="2:36" s="148" customFormat="1" ht="27" customHeight="1">
      <c r="B91" s="831"/>
      <c r="C91" s="832"/>
      <c r="D91" s="368">
        <v>19</v>
      </c>
      <c r="E91" s="451"/>
      <c r="F91" s="371">
        <f t="shared" si="38"/>
        <v>0</v>
      </c>
      <c r="G91" s="372"/>
      <c r="H91" s="453"/>
      <c r="I91" s="453"/>
      <c r="J91" s="455" t="str">
        <f t="shared" si="39"/>
        <v>-</v>
      </c>
      <c r="K91" s="454"/>
      <c r="L91" s="455" t="str">
        <f t="shared" si="40"/>
        <v>-</v>
      </c>
      <c r="M91" s="454"/>
      <c r="N91" s="455" t="str">
        <f t="shared" si="41"/>
        <v>-</v>
      </c>
      <c r="O91" s="456">
        <f t="shared" si="42"/>
        <v>0</v>
      </c>
      <c r="P91" s="455" t="str">
        <f t="shared" si="43"/>
        <v>-</v>
      </c>
      <c r="Q91" s="453"/>
      <c r="R91" s="455" t="str">
        <f t="shared" si="44"/>
        <v>-</v>
      </c>
      <c r="S91" s="484">
        <f t="shared" si="45"/>
        <v>0</v>
      </c>
      <c r="T91" s="456">
        <f t="shared" si="46"/>
        <v>0</v>
      </c>
      <c r="U91" s="455" t="str">
        <f t="shared" si="47"/>
        <v>-</v>
      </c>
      <c r="V91" s="373" t="s">
        <v>174</v>
      </c>
      <c r="W91" s="373" t="s">
        <v>430</v>
      </c>
      <c r="X91" s="374"/>
      <c r="Y91" s="374"/>
      <c r="Z91" s="374">
        <v>1</v>
      </c>
      <c r="AA91" s="457"/>
    </row>
    <row r="92" spans="2:36" s="148" customFormat="1" ht="27" customHeight="1">
      <c r="B92" s="833"/>
      <c r="C92" s="834"/>
      <c r="D92" s="368">
        <v>20</v>
      </c>
      <c r="E92" s="451"/>
      <c r="F92" s="371">
        <f t="shared" si="38"/>
        <v>0</v>
      </c>
      <c r="G92" s="372"/>
      <c r="H92" s="453"/>
      <c r="I92" s="453"/>
      <c r="J92" s="455" t="str">
        <f t="shared" si="39"/>
        <v>-</v>
      </c>
      <c r="K92" s="454"/>
      <c r="L92" s="455" t="str">
        <f t="shared" si="40"/>
        <v>-</v>
      </c>
      <c r="M92" s="454"/>
      <c r="N92" s="455" t="str">
        <f t="shared" si="41"/>
        <v>-</v>
      </c>
      <c r="O92" s="456">
        <f t="shared" si="42"/>
        <v>0</v>
      </c>
      <c r="P92" s="455" t="str">
        <f t="shared" si="43"/>
        <v>-</v>
      </c>
      <c r="Q92" s="453"/>
      <c r="R92" s="455" t="str">
        <f t="shared" si="44"/>
        <v>-</v>
      </c>
      <c r="S92" s="484">
        <f t="shared" si="45"/>
        <v>0</v>
      </c>
      <c r="T92" s="456">
        <f t="shared" si="46"/>
        <v>0</v>
      </c>
      <c r="U92" s="455" t="str">
        <f t="shared" si="47"/>
        <v>-</v>
      </c>
      <c r="V92" s="373" t="s">
        <v>174</v>
      </c>
      <c r="W92" s="373" t="s">
        <v>215</v>
      </c>
      <c r="X92" s="374"/>
      <c r="Y92" s="374"/>
      <c r="Z92" s="374">
        <v>1</v>
      </c>
      <c r="AA92" s="457"/>
    </row>
    <row r="93" spans="2:36" ht="17.149999999999999" customHeight="1">
      <c r="B93" s="846" t="s">
        <v>444</v>
      </c>
      <c r="C93" s="847"/>
      <c r="D93" s="857" t="s">
        <v>555</v>
      </c>
      <c r="E93" s="884" t="s">
        <v>556</v>
      </c>
      <c r="F93" s="886" t="s">
        <v>584</v>
      </c>
      <c r="G93" s="860" t="s">
        <v>558</v>
      </c>
      <c r="H93" s="885" t="s">
        <v>559</v>
      </c>
      <c r="I93" s="858" t="s">
        <v>560</v>
      </c>
      <c r="J93" s="859"/>
      <c r="K93" s="858" t="s">
        <v>561</v>
      </c>
      <c r="L93" s="859"/>
      <c r="M93" s="858" t="s">
        <v>562</v>
      </c>
      <c r="N93" s="859"/>
      <c r="O93" s="858" t="s">
        <v>563</v>
      </c>
      <c r="P93" s="859"/>
      <c r="Q93" s="858" t="s">
        <v>419</v>
      </c>
      <c r="R93" s="887"/>
      <c r="S93" s="859"/>
      <c r="T93" s="862" t="s">
        <v>420</v>
      </c>
      <c r="U93" s="863"/>
      <c r="V93" s="854" t="s">
        <v>171</v>
      </c>
      <c r="W93" s="854" t="s">
        <v>245</v>
      </c>
      <c r="X93" s="854" t="s">
        <v>564</v>
      </c>
      <c r="Y93" s="854" t="s">
        <v>446</v>
      </c>
      <c r="Z93" s="854" t="s">
        <v>246</v>
      </c>
      <c r="AA93" s="860" t="s">
        <v>172</v>
      </c>
      <c r="AC93" s="865" t="s">
        <v>247</v>
      </c>
      <c r="AD93" s="866"/>
      <c r="AE93" s="866"/>
      <c r="AF93" s="866"/>
      <c r="AG93" s="866"/>
      <c r="AH93" s="866"/>
      <c r="AI93" s="866"/>
      <c r="AJ93" s="867"/>
    </row>
    <row r="94" spans="2:36" ht="16.5" customHeight="1">
      <c r="B94" s="848"/>
      <c r="C94" s="849"/>
      <c r="D94" s="857"/>
      <c r="E94" s="857"/>
      <c r="F94" s="876"/>
      <c r="G94" s="861"/>
      <c r="H94" s="861"/>
      <c r="I94" s="450" t="s">
        <v>565</v>
      </c>
      <c r="J94" s="369" t="s">
        <v>566</v>
      </c>
      <c r="K94" s="450" t="s">
        <v>565</v>
      </c>
      <c r="L94" s="369" t="s">
        <v>566</v>
      </c>
      <c r="M94" s="450" t="s">
        <v>565</v>
      </c>
      <c r="N94" s="369" t="s">
        <v>566</v>
      </c>
      <c r="O94" s="450" t="s">
        <v>565</v>
      </c>
      <c r="P94" s="369" t="s">
        <v>566</v>
      </c>
      <c r="Q94" s="450" t="s">
        <v>565</v>
      </c>
      <c r="R94" s="369" t="s">
        <v>566</v>
      </c>
      <c r="S94" s="369" t="s">
        <v>567</v>
      </c>
      <c r="T94" s="450" t="s">
        <v>565</v>
      </c>
      <c r="U94" s="369" t="s">
        <v>566</v>
      </c>
      <c r="V94" s="856"/>
      <c r="W94" s="856"/>
      <c r="X94" s="856"/>
      <c r="Y94" s="856"/>
      <c r="Z94" s="856"/>
      <c r="AA94" s="861"/>
      <c r="AC94" s="868"/>
      <c r="AD94" s="869"/>
      <c r="AE94" s="869"/>
      <c r="AF94" s="869"/>
      <c r="AG94" s="869"/>
      <c r="AH94" s="869"/>
      <c r="AI94" s="869"/>
      <c r="AJ94" s="870"/>
    </row>
    <row r="95" spans="2:36" s="148" customFormat="1" ht="27" customHeight="1">
      <c r="B95" s="829" t="s">
        <v>668</v>
      </c>
      <c r="C95" s="830"/>
      <c r="D95" s="368">
        <v>1</v>
      </c>
      <c r="E95" s="451"/>
      <c r="F95" s="371">
        <f>IFERROR(T95*G95,"-")</f>
        <v>0</v>
      </c>
      <c r="G95" s="372"/>
      <c r="H95" s="453"/>
      <c r="I95" s="453"/>
      <c r="J95" s="455" t="str">
        <f>IFERROR(I95/H95,"-")</f>
        <v>-</v>
      </c>
      <c r="K95" s="454"/>
      <c r="L95" s="455" t="str">
        <f>IFERROR(K95/H95,"-")</f>
        <v>-</v>
      </c>
      <c r="M95" s="454"/>
      <c r="N95" s="455" t="str">
        <f>IFERROR(M95/H95,"-")</f>
        <v>-</v>
      </c>
      <c r="O95" s="456">
        <f>IFERROR(K95+M95,"-")</f>
        <v>0</v>
      </c>
      <c r="P95" s="455" t="str">
        <f>IFERROR(O95/H95,"-")</f>
        <v>-</v>
      </c>
      <c r="Q95" s="453"/>
      <c r="R95" s="455" t="str">
        <f>IFERROR(Q95/H95,"-")</f>
        <v>-</v>
      </c>
      <c r="S95" s="484">
        <f>IFERROR(Q95*G95,"-")</f>
        <v>0</v>
      </c>
      <c r="T95" s="456">
        <f>IFERROR(O95-H95,"-")</f>
        <v>0</v>
      </c>
      <c r="U95" s="455" t="str">
        <f>IFERROR(T95/H95,"-")</f>
        <v>-</v>
      </c>
      <c r="V95" s="373" t="s">
        <v>174</v>
      </c>
      <c r="W95" s="373" t="s">
        <v>215</v>
      </c>
      <c r="X95" s="374"/>
      <c r="Y95" s="374"/>
      <c r="Z95" s="374">
        <v>1</v>
      </c>
      <c r="AA95" s="457"/>
      <c r="AC95" s="871"/>
      <c r="AD95" s="872"/>
      <c r="AE95" s="872"/>
      <c r="AF95" s="872"/>
      <c r="AG95" s="872"/>
      <c r="AH95" s="872"/>
      <c r="AI95" s="872"/>
      <c r="AJ95" s="873"/>
    </row>
    <row r="96" spans="2:36" s="148" customFormat="1" ht="27" customHeight="1">
      <c r="B96" s="831"/>
      <c r="C96" s="832"/>
      <c r="D96" s="368">
        <v>2</v>
      </c>
      <c r="E96" s="451"/>
      <c r="F96" s="371">
        <f t="shared" ref="F96:F114" si="51">IFERROR(T96*G96,"-")</f>
        <v>0</v>
      </c>
      <c r="G96" s="372"/>
      <c r="H96" s="453"/>
      <c r="I96" s="453"/>
      <c r="J96" s="455" t="str">
        <f t="shared" ref="J96:J114" si="52">IFERROR(I96/H96,"-")</f>
        <v>-</v>
      </c>
      <c r="K96" s="454"/>
      <c r="L96" s="455" t="str">
        <f t="shared" ref="L96:L114" si="53">IFERROR(K96/H96,"-")</f>
        <v>-</v>
      </c>
      <c r="M96" s="454"/>
      <c r="N96" s="455" t="str">
        <f t="shared" ref="N96:N114" si="54">IFERROR(M96/H96,"-")</f>
        <v>-</v>
      </c>
      <c r="O96" s="456">
        <f t="shared" ref="O96:O114" si="55">IFERROR(K96+M96,"-")</f>
        <v>0</v>
      </c>
      <c r="P96" s="455" t="str">
        <f t="shared" ref="P96:P114" si="56">IFERROR(O96/H96,"-")</f>
        <v>-</v>
      </c>
      <c r="Q96" s="453"/>
      <c r="R96" s="455" t="str">
        <f t="shared" ref="R96:R114" si="57">IFERROR(Q96/H96,"-")</f>
        <v>-</v>
      </c>
      <c r="S96" s="484">
        <f t="shared" ref="S96:S114" si="58">IFERROR(Q96*G96,"-")</f>
        <v>0</v>
      </c>
      <c r="T96" s="456">
        <f t="shared" ref="T96:T114" si="59">IFERROR(O96-H96,"-")</f>
        <v>0</v>
      </c>
      <c r="U96" s="455" t="str">
        <f t="shared" ref="U96:U114" si="60">IFERROR(T96/H96,"-")</f>
        <v>-</v>
      </c>
      <c r="V96" s="373" t="s">
        <v>174</v>
      </c>
      <c r="W96" s="373" t="s">
        <v>216</v>
      </c>
      <c r="X96" s="374"/>
      <c r="Y96" s="374"/>
      <c r="Z96" s="374">
        <v>1</v>
      </c>
      <c r="AA96" s="457"/>
      <c r="AC96" s="161" t="s">
        <v>244</v>
      </c>
      <c r="AD96" s="161" t="s">
        <v>447</v>
      </c>
      <c r="AE96" s="156" t="s">
        <v>568</v>
      </c>
      <c r="AF96" s="156" t="s">
        <v>337</v>
      </c>
      <c r="AG96" s="156" t="s">
        <v>430</v>
      </c>
      <c r="AH96" s="156" t="s">
        <v>215</v>
      </c>
      <c r="AI96" s="156" t="s">
        <v>216</v>
      </c>
      <c r="AJ96" s="156" t="s">
        <v>385</v>
      </c>
    </row>
    <row r="97" spans="2:36" s="148" customFormat="1" ht="27" customHeight="1">
      <c r="B97" s="831"/>
      <c r="C97" s="832"/>
      <c r="D97" s="368">
        <v>3</v>
      </c>
      <c r="E97" s="451"/>
      <c r="F97" s="371">
        <f t="shared" si="51"/>
        <v>0</v>
      </c>
      <c r="G97" s="372"/>
      <c r="H97" s="453"/>
      <c r="I97" s="453"/>
      <c r="J97" s="455" t="str">
        <f t="shared" si="52"/>
        <v>-</v>
      </c>
      <c r="K97" s="454"/>
      <c r="L97" s="455" t="str">
        <f t="shared" si="53"/>
        <v>-</v>
      </c>
      <c r="M97" s="454"/>
      <c r="N97" s="455" t="str">
        <f t="shared" si="54"/>
        <v>-</v>
      </c>
      <c r="O97" s="456">
        <f t="shared" si="55"/>
        <v>0</v>
      </c>
      <c r="P97" s="455" t="str">
        <f t="shared" si="56"/>
        <v>-</v>
      </c>
      <c r="Q97" s="453"/>
      <c r="R97" s="455" t="str">
        <f t="shared" si="57"/>
        <v>-</v>
      </c>
      <c r="S97" s="484">
        <f t="shared" si="58"/>
        <v>0</v>
      </c>
      <c r="T97" s="456">
        <f t="shared" si="59"/>
        <v>0</v>
      </c>
      <c r="U97" s="455" t="str">
        <f t="shared" si="60"/>
        <v>-</v>
      </c>
      <c r="V97" s="373" t="s">
        <v>174</v>
      </c>
      <c r="W97" s="373" t="s">
        <v>430</v>
      </c>
      <c r="X97" s="374"/>
      <c r="Y97" s="374"/>
      <c r="Z97" s="374">
        <v>1</v>
      </c>
      <c r="AA97" s="457"/>
      <c r="AC97" s="381">
        <f>SUM(Z95:Z114)</f>
        <v>20</v>
      </c>
      <c r="AD97" s="376">
        <f>SUMIF($W$95:$W$114,TRIM(AD96),$Z$95:$Z$114)</f>
        <v>0</v>
      </c>
      <c r="AE97" s="376">
        <f t="shared" ref="AE97:AJ97" si="61">SUMIF($W$95:$W$114,TRIM(AE96),$Z$95:$Z$114)</f>
        <v>0</v>
      </c>
      <c r="AF97" s="376">
        <f t="shared" si="61"/>
        <v>0</v>
      </c>
      <c r="AG97" s="376">
        <f t="shared" si="61"/>
        <v>15</v>
      </c>
      <c r="AH97" s="376">
        <f t="shared" si="61"/>
        <v>2</v>
      </c>
      <c r="AI97" s="376">
        <f t="shared" si="61"/>
        <v>3</v>
      </c>
      <c r="AJ97" s="376">
        <f t="shared" si="61"/>
        <v>0</v>
      </c>
    </row>
    <row r="98" spans="2:36" s="148" customFormat="1" ht="27" customHeight="1">
      <c r="B98" s="831"/>
      <c r="C98" s="832"/>
      <c r="D98" s="368">
        <v>4</v>
      </c>
      <c r="E98" s="451"/>
      <c r="F98" s="371">
        <f t="shared" si="51"/>
        <v>0</v>
      </c>
      <c r="G98" s="372"/>
      <c r="H98" s="453"/>
      <c r="I98" s="453"/>
      <c r="J98" s="455" t="str">
        <f t="shared" si="52"/>
        <v>-</v>
      </c>
      <c r="K98" s="454"/>
      <c r="L98" s="455" t="str">
        <f t="shared" si="53"/>
        <v>-</v>
      </c>
      <c r="M98" s="454"/>
      <c r="N98" s="455" t="str">
        <f t="shared" si="54"/>
        <v>-</v>
      </c>
      <c r="O98" s="456">
        <f t="shared" si="55"/>
        <v>0</v>
      </c>
      <c r="P98" s="455" t="str">
        <f t="shared" si="56"/>
        <v>-</v>
      </c>
      <c r="Q98" s="453"/>
      <c r="R98" s="455" t="str">
        <f t="shared" si="57"/>
        <v>-</v>
      </c>
      <c r="S98" s="484">
        <f t="shared" si="58"/>
        <v>0</v>
      </c>
      <c r="T98" s="456">
        <f t="shared" si="59"/>
        <v>0</v>
      </c>
      <c r="U98" s="455" t="str">
        <f t="shared" si="60"/>
        <v>-</v>
      </c>
      <c r="V98" s="373" t="s">
        <v>174</v>
      </c>
      <c r="W98" s="373" t="s">
        <v>430</v>
      </c>
      <c r="X98" s="374"/>
      <c r="Y98" s="374"/>
      <c r="Z98" s="374">
        <v>1</v>
      </c>
      <c r="AA98" s="457"/>
      <c r="AC98" s="382"/>
      <c r="AD98" s="379">
        <f>SUMIF($W$95:$W$114,TRIM(AD96),$F$95:$F$114)</f>
        <v>0</v>
      </c>
      <c r="AE98" s="379">
        <f t="shared" ref="AE98:AJ98" si="62">SUMIF($W$95:$W$114,TRIM(AE96),$F$95:$F$114)</f>
        <v>0</v>
      </c>
      <c r="AF98" s="379">
        <f t="shared" si="62"/>
        <v>0</v>
      </c>
      <c r="AG98" s="379">
        <f t="shared" si="62"/>
        <v>0</v>
      </c>
      <c r="AH98" s="379">
        <f t="shared" si="62"/>
        <v>0</v>
      </c>
      <c r="AI98" s="379">
        <f t="shared" si="62"/>
        <v>0</v>
      </c>
      <c r="AJ98" s="379">
        <f t="shared" si="62"/>
        <v>0</v>
      </c>
    </row>
    <row r="99" spans="2:36" s="148" customFormat="1" ht="27" customHeight="1">
      <c r="B99" s="831"/>
      <c r="C99" s="832"/>
      <c r="D99" s="368">
        <v>5</v>
      </c>
      <c r="E99" s="451"/>
      <c r="F99" s="371">
        <f t="shared" si="51"/>
        <v>0</v>
      </c>
      <c r="G99" s="372"/>
      <c r="H99" s="453"/>
      <c r="I99" s="453"/>
      <c r="J99" s="455" t="str">
        <f t="shared" si="52"/>
        <v>-</v>
      </c>
      <c r="K99" s="454"/>
      <c r="L99" s="455" t="str">
        <f t="shared" si="53"/>
        <v>-</v>
      </c>
      <c r="M99" s="454"/>
      <c r="N99" s="455" t="str">
        <f t="shared" si="54"/>
        <v>-</v>
      </c>
      <c r="O99" s="456">
        <f t="shared" si="55"/>
        <v>0</v>
      </c>
      <c r="P99" s="455" t="str">
        <f t="shared" si="56"/>
        <v>-</v>
      </c>
      <c r="Q99" s="453"/>
      <c r="R99" s="455" t="str">
        <f t="shared" si="57"/>
        <v>-</v>
      </c>
      <c r="S99" s="484">
        <f t="shared" si="58"/>
        <v>0</v>
      </c>
      <c r="T99" s="456">
        <f t="shared" si="59"/>
        <v>0</v>
      </c>
      <c r="U99" s="455" t="str">
        <f t="shared" si="60"/>
        <v>-</v>
      </c>
      <c r="V99" s="373" t="s">
        <v>174</v>
      </c>
      <c r="W99" s="373" t="s">
        <v>430</v>
      </c>
      <c r="X99" s="374"/>
      <c r="Y99" s="374"/>
      <c r="Z99" s="374">
        <v>1</v>
      </c>
      <c r="AA99" s="457"/>
      <c r="AC99" s="368"/>
      <c r="AD99" s="380">
        <f t="shared" ref="AD99:AJ99" si="63">AD97/$AC97</f>
        <v>0</v>
      </c>
      <c r="AE99" s="380">
        <f t="shared" si="63"/>
        <v>0</v>
      </c>
      <c r="AF99" s="380">
        <f t="shared" si="63"/>
        <v>0</v>
      </c>
      <c r="AG99" s="380">
        <f t="shared" si="63"/>
        <v>0.75</v>
      </c>
      <c r="AH99" s="380">
        <f t="shared" si="63"/>
        <v>0.1</v>
      </c>
      <c r="AI99" s="380">
        <f t="shared" si="63"/>
        <v>0.15</v>
      </c>
      <c r="AJ99" s="380">
        <f t="shared" si="63"/>
        <v>0</v>
      </c>
    </row>
    <row r="100" spans="2:36" s="148" customFormat="1" ht="27" customHeight="1">
      <c r="B100" s="831"/>
      <c r="C100" s="832"/>
      <c r="D100" s="368">
        <v>6</v>
      </c>
      <c r="E100" s="451"/>
      <c r="F100" s="371">
        <f t="shared" si="51"/>
        <v>0</v>
      </c>
      <c r="G100" s="372"/>
      <c r="H100" s="453"/>
      <c r="I100" s="453"/>
      <c r="J100" s="455" t="str">
        <f t="shared" si="52"/>
        <v>-</v>
      </c>
      <c r="K100" s="454"/>
      <c r="L100" s="455" t="str">
        <f t="shared" si="53"/>
        <v>-</v>
      </c>
      <c r="M100" s="454"/>
      <c r="N100" s="455" t="str">
        <f t="shared" si="54"/>
        <v>-</v>
      </c>
      <c r="O100" s="456">
        <f t="shared" si="55"/>
        <v>0</v>
      </c>
      <c r="P100" s="455" t="str">
        <f t="shared" si="56"/>
        <v>-</v>
      </c>
      <c r="Q100" s="453"/>
      <c r="R100" s="455" t="str">
        <f t="shared" si="57"/>
        <v>-</v>
      </c>
      <c r="S100" s="484">
        <f t="shared" si="58"/>
        <v>0</v>
      </c>
      <c r="T100" s="456">
        <f t="shared" si="59"/>
        <v>0</v>
      </c>
      <c r="U100" s="455" t="str">
        <f t="shared" si="60"/>
        <v>-</v>
      </c>
      <c r="V100" s="373" t="s">
        <v>174</v>
      </c>
      <c r="W100" s="373" t="s">
        <v>430</v>
      </c>
      <c r="X100" s="374"/>
      <c r="Y100" s="374"/>
      <c r="Z100" s="374">
        <v>1</v>
      </c>
      <c r="AA100" s="457"/>
    </row>
    <row r="101" spans="2:36" s="148" customFormat="1" ht="27" customHeight="1">
      <c r="B101" s="831"/>
      <c r="C101" s="832"/>
      <c r="D101" s="368">
        <v>7</v>
      </c>
      <c r="E101" s="451"/>
      <c r="F101" s="371">
        <f t="shared" si="51"/>
        <v>0</v>
      </c>
      <c r="G101" s="372"/>
      <c r="H101" s="453"/>
      <c r="I101" s="453"/>
      <c r="J101" s="455" t="str">
        <f t="shared" si="52"/>
        <v>-</v>
      </c>
      <c r="K101" s="454"/>
      <c r="L101" s="455" t="str">
        <f t="shared" si="53"/>
        <v>-</v>
      </c>
      <c r="M101" s="454"/>
      <c r="N101" s="455" t="str">
        <f t="shared" si="54"/>
        <v>-</v>
      </c>
      <c r="O101" s="456">
        <f t="shared" si="55"/>
        <v>0</v>
      </c>
      <c r="P101" s="455" t="str">
        <f t="shared" si="56"/>
        <v>-</v>
      </c>
      <c r="Q101" s="453"/>
      <c r="R101" s="455" t="str">
        <f t="shared" si="57"/>
        <v>-</v>
      </c>
      <c r="S101" s="484">
        <f t="shared" si="58"/>
        <v>0</v>
      </c>
      <c r="T101" s="456">
        <f t="shared" si="59"/>
        <v>0</v>
      </c>
      <c r="U101" s="455" t="str">
        <f t="shared" si="60"/>
        <v>-</v>
      </c>
      <c r="V101" s="373" t="s">
        <v>174</v>
      </c>
      <c r="W101" s="373" t="s">
        <v>216</v>
      </c>
      <c r="X101" s="374"/>
      <c r="Y101" s="374"/>
      <c r="Z101" s="374">
        <v>1</v>
      </c>
      <c r="AA101" s="457"/>
    </row>
    <row r="102" spans="2:36" s="148" customFormat="1" ht="27" customHeight="1">
      <c r="B102" s="831"/>
      <c r="C102" s="832"/>
      <c r="D102" s="368">
        <v>8</v>
      </c>
      <c r="E102" s="451"/>
      <c r="F102" s="371">
        <f t="shared" si="51"/>
        <v>0</v>
      </c>
      <c r="G102" s="372"/>
      <c r="H102" s="453"/>
      <c r="I102" s="453"/>
      <c r="J102" s="455" t="str">
        <f t="shared" si="52"/>
        <v>-</v>
      </c>
      <c r="K102" s="454"/>
      <c r="L102" s="455" t="str">
        <f t="shared" si="53"/>
        <v>-</v>
      </c>
      <c r="M102" s="454"/>
      <c r="N102" s="455" t="str">
        <f t="shared" si="54"/>
        <v>-</v>
      </c>
      <c r="O102" s="456">
        <f t="shared" si="55"/>
        <v>0</v>
      </c>
      <c r="P102" s="455" t="str">
        <f t="shared" si="56"/>
        <v>-</v>
      </c>
      <c r="Q102" s="453"/>
      <c r="R102" s="455" t="str">
        <f t="shared" si="57"/>
        <v>-</v>
      </c>
      <c r="S102" s="484">
        <f t="shared" si="58"/>
        <v>0</v>
      </c>
      <c r="T102" s="456">
        <f t="shared" si="59"/>
        <v>0</v>
      </c>
      <c r="U102" s="455" t="str">
        <f t="shared" si="60"/>
        <v>-</v>
      </c>
      <c r="V102" s="373" t="s">
        <v>174</v>
      </c>
      <c r="W102" s="373" t="s">
        <v>430</v>
      </c>
      <c r="X102" s="374"/>
      <c r="Y102" s="374"/>
      <c r="Z102" s="374">
        <v>1</v>
      </c>
      <c r="AA102" s="457"/>
    </row>
    <row r="103" spans="2:36" s="148" customFormat="1" ht="27" customHeight="1">
      <c r="B103" s="831"/>
      <c r="C103" s="832"/>
      <c r="D103" s="368">
        <v>9</v>
      </c>
      <c r="E103" s="451"/>
      <c r="F103" s="371">
        <f t="shared" si="51"/>
        <v>0</v>
      </c>
      <c r="G103" s="372"/>
      <c r="H103" s="453"/>
      <c r="I103" s="453"/>
      <c r="J103" s="455" t="str">
        <f t="shared" si="52"/>
        <v>-</v>
      </c>
      <c r="K103" s="454"/>
      <c r="L103" s="455" t="str">
        <f t="shared" si="53"/>
        <v>-</v>
      </c>
      <c r="M103" s="454"/>
      <c r="N103" s="455" t="str">
        <f t="shared" si="54"/>
        <v>-</v>
      </c>
      <c r="O103" s="456">
        <f t="shared" si="55"/>
        <v>0</v>
      </c>
      <c r="P103" s="455" t="str">
        <f t="shared" si="56"/>
        <v>-</v>
      </c>
      <c r="Q103" s="453"/>
      <c r="R103" s="455" t="str">
        <f t="shared" si="57"/>
        <v>-</v>
      </c>
      <c r="S103" s="484">
        <f t="shared" si="58"/>
        <v>0</v>
      </c>
      <c r="T103" s="456">
        <f t="shared" si="59"/>
        <v>0</v>
      </c>
      <c r="U103" s="455" t="str">
        <f t="shared" si="60"/>
        <v>-</v>
      </c>
      <c r="V103" s="373" t="s">
        <v>174</v>
      </c>
      <c r="W103" s="373" t="s">
        <v>430</v>
      </c>
      <c r="X103" s="374"/>
      <c r="Y103" s="374"/>
      <c r="Z103" s="374">
        <v>1</v>
      </c>
      <c r="AA103" s="457"/>
      <c r="AE103" s="377"/>
    </row>
    <row r="104" spans="2:36" s="148" customFormat="1" ht="27" customHeight="1">
      <c r="B104" s="831"/>
      <c r="C104" s="832"/>
      <c r="D104" s="368">
        <v>10</v>
      </c>
      <c r="E104" s="451"/>
      <c r="F104" s="371">
        <f t="shared" si="51"/>
        <v>0</v>
      </c>
      <c r="G104" s="372"/>
      <c r="H104" s="453"/>
      <c r="I104" s="453"/>
      <c r="J104" s="455" t="str">
        <f t="shared" si="52"/>
        <v>-</v>
      </c>
      <c r="K104" s="454"/>
      <c r="L104" s="455" t="str">
        <f t="shared" si="53"/>
        <v>-</v>
      </c>
      <c r="M104" s="454"/>
      <c r="N104" s="455" t="str">
        <f t="shared" si="54"/>
        <v>-</v>
      </c>
      <c r="O104" s="456">
        <f t="shared" si="55"/>
        <v>0</v>
      </c>
      <c r="P104" s="455" t="str">
        <f t="shared" si="56"/>
        <v>-</v>
      </c>
      <c r="Q104" s="453"/>
      <c r="R104" s="455" t="str">
        <f t="shared" si="57"/>
        <v>-</v>
      </c>
      <c r="S104" s="484">
        <f t="shared" si="58"/>
        <v>0</v>
      </c>
      <c r="T104" s="456">
        <f t="shared" si="59"/>
        <v>0</v>
      </c>
      <c r="U104" s="455" t="str">
        <f t="shared" si="60"/>
        <v>-</v>
      </c>
      <c r="V104" s="373" t="s">
        <v>174</v>
      </c>
      <c r="W104" s="373" t="s">
        <v>430</v>
      </c>
      <c r="X104" s="374"/>
      <c r="Y104" s="374"/>
      <c r="Z104" s="374">
        <v>1</v>
      </c>
      <c r="AA104" s="457"/>
      <c r="AE104" s="377"/>
    </row>
    <row r="105" spans="2:36" s="148" customFormat="1" ht="27" customHeight="1">
      <c r="B105" s="831"/>
      <c r="C105" s="832"/>
      <c r="D105" s="368">
        <v>11</v>
      </c>
      <c r="E105" s="451"/>
      <c r="F105" s="371">
        <f t="shared" si="51"/>
        <v>0</v>
      </c>
      <c r="G105" s="372"/>
      <c r="H105" s="453"/>
      <c r="I105" s="453"/>
      <c r="J105" s="455" t="str">
        <f t="shared" si="52"/>
        <v>-</v>
      </c>
      <c r="K105" s="454"/>
      <c r="L105" s="455" t="str">
        <f t="shared" si="53"/>
        <v>-</v>
      </c>
      <c r="M105" s="454"/>
      <c r="N105" s="455" t="str">
        <f t="shared" si="54"/>
        <v>-</v>
      </c>
      <c r="O105" s="456">
        <f t="shared" si="55"/>
        <v>0</v>
      </c>
      <c r="P105" s="455" t="str">
        <f t="shared" si="56"/>
        <v>-</v>
      </c>
      <c r="Q105" s="453"/>
      <c r="R105" s="455" t="str">
        <f t="shared" si="57"/>
        <v>-</v>
      </c>
      <c r="S105" s="484">
        <f t="shared" si="58"/>
        <v>0</v>
      </c>
      <c r="T105" s="456">
        <f t="shared" si="59"/>
        <v>0</v>
      </c>
      <c r="U105" s="455" t="str">
        <f t="shared" si="60"/>
        <v>-</v>
      </c>
      <c r="V105" s="373" t="s">
        <v>174</v>
      </c>
      <c r="W105" s="373" t="s">
        <v>430</v>
      </c>
      <c r="X105" s="374"/>
      <c r="Y105" s="374"/>
      <c r="Z105" s="374">
        <v>1</v>
      </c>
      <c r="AA105" s="457"/>
      <c r="AE105" s="377"/>
    </row>
    <row r="106" spans="2:36" s="148" customFormat="1" ht="27" customHeight="1">
      <c r="B106" s="831"/>
      <c r="C106" s="832"/>
      <c r="D106" s="368">
        <v>12</v>
      </c>
      <c r="E106" s="451"/>
      <c r="F106" s="371">
        <f t="shared" si="51"/>
        <v>0</v>
      </c>
      <c r="G106" s="372"/>
      <c r="H106" s="453"/>
      <c r="I106" s="453"/>
      <c r="J106" s="455" t="str">
        <f t="shared" si="52"/>
        <v>-</v>
      </c>
      <c r="K106" s="454"/>
      <c r="L106" s="455" t="str">
        <f t="shared" si="53"/>
        <v>-</v>
      </c>
      <c r="M106" s="454"/>
      <c r="N106" s="455" t="str">
        <f t="shared" si="54"/>
        <v>-</v>
      </c>
      <c r="O106" s="456">
        <f t="shared" si="55"/>
        <v>0</v>
      </c>
      <c r="P106" s="455" t="str">
        <f t="shared" si="56"/>
        <v>-</v>
      </c>
      <c r="Q106" s="453"/>
      <c r="R106" s="455" t="str">
        <f t="shared" si="57"/>
        <v>-</v>
      </c>
      <c r="S106" s="484">
        <f t="shared" si="58"/>
        <v>0</v>
      </c>
      <c r="T106" s="456">
        <f t="shared" si="59"/>
        <v>0</v>
      </c>
      <c r="U106" s="455" t="str">
        <f t="shared" si="60"/>
        <v>-</v>
      </c>
      <c r="V106" s="373" t="s">
        <v>174</v>
      </c>
      <c r="W106" s="373" t="s">
        <v>430</v>
      </c>
      <c r="X106" s="374"/>
      <c r="Y106" s="374"/>
      <c r="Z106" s="374">
        <v>1</v>
      </c>
      <c r="AA106" s="457"/>
      <c r="AE106" s="377"/>
    </row>
    <row r="107" spans="2:36" s="148" customFormat="1" ht="27" customHeight="1">
      <c r="B107" s="831"/>
      <c r="C107" s="832"/>
      <c r="D107" s="368">
        <v>13</v>
      </c>
      <c r="E107" s="451"/>
      <c r="F107" s="371">
        <f t="shared" si="51"/>
        <v>0</v>
      </c>
      <c r="G107" s="372"/>
      <c r="H107" s="453"/>
      <c r="I107" s="453"/>
      <c r="J107" s="455" t="str">
        <f t="shared" si="52"/>
        <v>-</v>
      </c>
      <c r="K107" s="454"/>
      <c r="L107" s="455" t="str">
        <f t="shared" si="53"/>
        <v>-</v>
      </c>
      <c r="M107" s="454"/>
      <c r="N107" s="455" t="str">
        <f t="shared" si="54"/>
        <v>-</v>
      </c>
      <c r="O107" s="456">
        <f t="shared" si="55"/>
        <v>0</v>
      </c>
      <c r="P107" s="455" t="str">
        <f t="shared" si="56"/>
        <v>-</v>
      </c>
      <c r="Q107" s="453"/>
      <c r="R107" s="455" t="str">
        <f t="shared" si="57"/>
        <v>-</v>
      </c>
      <c r="S107" s="484">
        <f t="shared" si="58"/>
        <v>0</v>
      </c>
      <c r="T107" s="456">
        <f t="shared" si="59"/>
        <v>0</v>
      </c>
      <c r="U107" s="455" t="str">
        <f t="shared" si="60"/>
        <v>-</v>
      </c>
      <c r="V107" s="373" t="s">
        <v>174</v>
      </c>
      <c r="W107" s="373" t="s">
        <v>430</v>
      </c>
      <c r="X107" s="374"/>
      <c r="Y107" s="374"/>
      <c r="Z107" s="374">
        <v>1</v>
      </c>
      <c r="AA107" s="457"/>
      <c r="AE107" s="377"/>
    </row>
    <row r="108" spans="2:36" s="148" customFormat="1" ht="27" customHeight="1">
      <c r="B108" s="831"/>
      <c r="C108" s="832"/>
      <c r="D108" s="368">
        <v>14</v>
      </c>
      <c r="E108" s="451"/>
      <c r="F108" s="371">
        <f t="shared" si="51"/>
        <v>0</v>
      </c>
      <c r="G108" s="372"/>
      <c r="H108" s="453"/>
      <c r="I108" s="453"/>
      <c r="J108" s="455" t="str">
        <f t="shared" si="52"/>
        <v>-</v>
      </c>
      <c r="K108" s="454"/>
      <c r="L108" s="455" t="str">
        <f t="shared" si="53"/>
        <v>-</v>
      </c>
      <c r="M108" s="454"/>
      <c r="N108" s="455" t="str">
        <f t="shared" si="54"/>
        <v>-</v>
      </c>
      <c r="O108" s="456">
        <f t="shared" si="55"/>
        <v>0</v>
      </c>
      <c r="P108" s="455" t="str">
        <f t="shared" si="56"/>
        <v>-</v>
      </c>
      <c r="Q108" s="453"/>
      <c r="R108" s="455" t="str">
        <f t="shared" si="57"/>
        <v>-</v>
      </c>
      <c r="S108" s="484">
        <f t="shared" si="58"/>
        <v>0</v>
      </c>
      <c r="T108" s="456">
        <f t="shared" si="59"/>
        <v>0</v>
      </c>
      <c r="U108" s="455" t="str">
        <f t="shared" si="60"/>
        <v>-</v>
      </c>
      <c r="V108" s="373" t="s">
        <v>174</v>
      </c>
      <c r="W108" s="373" t="s">
        <v>430</v>
      </c>
      <c r="X108" s="374"/>
      <c r="Y108" s="374"/>
      <c r="Z108" s="374">
        <v>1</v>
      </c>
      <c r="AA108" s="457"/>
      <c r="AC108" s="835" t="s">
        <v>247</v>
      </c>
      <c r="AD108" s="836"/>
      <c r="AE108" s="836"/>
      <c r="AF108" s="836"/>
      <c r="AG108" s="836"/>
      <c r="AH108" s="836"/>
      <c r="AI108" s="836"/>
      <c r="AJ108" s="837"/>
    </row>
    <row r="109" spans="2:36" s="148" customFormat="1" ht="27" customHeight="1">
      <c r="B109" s="831"/>
      <c r="C109" s="832"/>
      <c r="D109" s="368">
        <v>15</v>
      </c>
      <c r="E109" s="451"/>
      <c r="F109" s="371">
        <f t="shared" si="51"/>
        <v>0</v>
      </c>
      <c r="G109" s="372"/>
      <c r="H109" s="453"/>
      <c r="I109" s="453"/>
      <c r="J109" s="455" t="str">
        <f t="shared" si="52"/>
        <v>-</v>
      </c>
      <c r="K109" s="454"/>
      <c r="L109" s="455" t="str">
        <f t="shared" si="53"/>
        <v>-</v>
      </c>
      <c r="M109" s="454"/>
      <c r="N109" s="455" t="str">
        <f t="shared" si="54"/>
        <v>-</v>
      </c>
      <c r="O109" s="456">
        <f t="shared" si="55"/>
        <v>0</v>
      </c>
      <c r="P109" s="455" t="str">
        <f t="shared" si="56"/>
        <v>-</v>
      </c>
      <c r="Q109" s="453"/>
      <c r="R109" s="455" t="str">
        <f t="shared" si="57"/>
        <v>-</v>
      </c>
      <c r="S109" s="484">
        <f t="shared" si="58"/>
        <v>0</v>
      </c>
      <c r="T109" s="456">
        <f t="shared" si="59"/>
        <v>0</v>
      </c>
      <c r="U109" s="455" t="str">
        <f t="shared" si="60"/>
        <v>-</v>
      </c>
      <c r="V109" s="373" t="s">
        <v>174</v>
      </c>
      <c r="W109" s="373" t="s">
        <v>430</v>
      </c>
      <c r="X109" s="374"/>
      <c r="Y109" s="374"/>
      <c r="Z109" s="374">
        <v>1</v>
      </c>
      <c r="AA109" s="457"/>
      <c r="AC109" s="838"/>
      <c r="AD109" s="839"/>
      <c r="AE109" s="839"/>
      <c r="AF109" s="839"/>
      <c r="AG109" s="839"/>
      <c r="AH109" s="839"/>
      <c r="AI109" s="839"/>
      <c r="AJ109" s="840"/>
    </row>
    <row r="110" spans="2:36" s="148" customFormat="1" ht="27" customHeight="1">
      <c r="B110" s="831"/>
      <c r="C110" s="832"/>
      <c r="D110" s="368">
        <v>16</v>
      </c>
      <c r="E110" s="451"/>
      <c r="F110" s="371">
        <f t="shared" si="51"/>
        <v>0</v>
      </c>
      <c r="G110" s="372"/>
      <c r="H110" s="453"/>
      <c r="I110" s="453"/>
      <c r="J110" s="455" t="str">
        <f t="shared" si="52"/>
        <v>-</v>
      </c>
      <c r="K110" s="454"/>
      <c r="L110" s="455" t="str">
        <f t="shared" si="53"/>
        <v>-</v>
      </c>
      <c r="M110" s="454"/>
      <c r="N110" s="455" t="str">
        <f t="shared" si="54"/>
        <v>-</v>
      </c>
      <c r="O110" s="456">
        <f t="shared" si="55"/>
        <v>0</v>
      </c>
      <c r="P110" s="455" t="str">
        <f t="shared" si="56"/>
        <v>-</v>
      </c>
      <c r="Q110" s="453"/>
      <c r="R110" s="455" t="str">
        <f t="shared" si="57"/>
        <v>-</v>
      </c>
      <c r="S110" s="484">
        <f t="shared" si="58"/>
        <v>0</v>
      </c>
      <c r="T110" s="456">
        <f t="shared" si="59"/>
        <v>0</v>
      </c>
      <c r="U110" s="455" t="str">
        <f t="shared" si="60"/>
        <v>-</v>
      </c>
      <c r="V110" s="373" t="s">
        <v>174</v>
      </c>
      <c r="W110" s="374" t="s">
        <v>216</v>
      </c>
      <c r="X110" s="374"/>
      <c r="Y110" s="374"/>
      <c r="Z110" s="374">
        <v>1</v>
      </c>
      <c r="AA110" s="457"/>
      <c r="AC110" s="841"/>
      <c r="AD110" s="842"/>
      <c r="AE110" s="842"/>
      <c r="AF110" s="842"/>
      <c r="AG110" s="842"/>
      <c r="AH110" s="842"/>
      <c r="AI110" s="842"/>
      <c r="AJ110" s="843"/>
    </row>
    <row r="111" spans="2:36" s="148" customFormat="1" ht="27" customHeight="1">
      <c r="B111" s="831"/>
      <c r="C111" s="832"/>
      <c r="D111" s="368">
        <v>17</v>
      </c>
      <c r="E111" s="451"/>
      <c r="F111" s="371">
        <f t="shared" si="51"/>
        <v>0</v>
      </c>
      <c r="G111" s="372"/>
      <c r="H111" s="453"/>
      <c r="I111" s="453"/>
      <c r="J111" s="455" t="str">
        <f t="shared" si="52"/>
        <v>-</v>
      </c>
      <c r="K111" s="454"/>
      <c r="L111" s="455" t="str">
        <f t="shared" si="53"/>
        <v>-</v>
      </c>
      <c r="M111" s="454"/>
      <c r="N111" s="455" t="str">
        <f t="shared" si="54"/>
        <v>-</v>
      </c>
      <c r="O111" s="456">
        <f t="shared" si="55"/>
        <v>0</v>
      </c>
      <c r="P111" s="455" t="str">
        <f t="shared" si="56"/>
        <v>-</v>
      </c>
      <c r="Q111" s="453"/>
      <c r="R111" s="455" t="str">
        <f t="shared" si="57"/>
        <v>-</v>
      </c>
      <c r="S111" s="484">
        <f t="shared" si="58"/>
        <v>0</v>
      </c>
      <c r="T111" s="456">
        <f t="shared" si="59"/>
        <v>0</v>
      </c>
      <c r="U111" s="455" t="str">
        <f t="shared" si="60"/>
        <v>-</v>
      </c>
      <c r="V111" s="373" t="s">
        <v>174</v>
      </c>
      <c r="W111" s="373" t="s">
        <v>430</v>
      </c>
      <c r="X111" s="374"/>
      <c r="Y111" s="374"/>
      <c r="Z111" s="374">
        <v>1</v>
      </c>
      <c r="AA111" s="457"/>
      <c r="AC111" s="161" t="s">
        <v>244</v>
      </c>
      <c r="AD111" s="161" t="s">
        <v>447</v>
      </c>
      <c r="AE111" s="156" t="s">
        <v>384</v>
      </c>
      <c r="AF111" s="156" t="s">
        <v>337</v>
      </c>
      <c r="AG111" s="156" t="s">
        <v>430</v>
      </c>
      <c r="AH111" s="156" t="s">
        <v>215</v>
      </c>
      <c r="AI111" s="156" t="s">
        <v>216</v>
      </c>
      <c r="AJ111" s="156" t="s">
        <v>385</v>
      </c>
    </row>
    <row r="112" spans="2:36" s="148" customFormat="1" ht="27" customHeight="1">
      <c r="B112" s="831"/>
      <c r="C112" s="832"/>
      <c r="D112" s="368">
        <v>18</v>
      </c>
      <c r="E112" s="451"/>
      <c r="F112" s="371">
        <f t="shared" si="51"/>
        <v>0</v>
      </c>
      <c r="G112" s="372"/>
      <c r="H112" s="453"/>
      <c r="I112" s="453"/>
      <c r="J112" s="455" t="str">
        <f t="shared" si="52"/>
        <v>-</v>
      </c>
      <c r="K112" s="454"/>
      <c r="L112" s="455" t="str">
        <f t="shared" si="53"/>
        <v>-</v>
      </c>
      <c r="M112" s="454"/>
      <c r="N112" s="455" t="str">
        <f t="shared" si="54"/>
        <v>-</v>
      </c>
      <c r="O112" s="456">
        <f t="shared" si="55"/>
        <v>0</v>
      </c>
      <c r="P112" s="455" t="str">
        <f t="shared" si="56"/>
        <v>-</v>
      </c>
      <c r="Q112" s="453"/>
      <c r="R112" s="455" t="str">
        <f t="shared" si="57"/>
        <v>-</v>
      </c>
      <c r="S112" s="484">
        <f t="shared" si="58"/>
        <v>0</v>
      </c>
      <c r="T112" s="456">
        <f t="shared" si="59"/>
        <v>0</v>
      </c>
      <c r="U112" s="455" t="str">
        <f t="shared" si="60"/>
        <v>-</v>
      </c>
      <c r="V112" s="373" t="s">
        <v>174</v>
      </c>
      <c r="W112" s="373" t="s">
        <v>430</v>
      </c>
      <c r="X112" s="374"/>
      <c r="Y112" s="374"/>
      <c r="Z112" s="374">
        <v>1</v>
      </c>
      <c r="AA112" s="457"/>
      <c r="AB112" s="490" t="s">
        <v>633</v>
      </c>
      <c r="AC112" s="381">
        <f>AC31+AC53+AC7+AC75+AC97</f>
        <v>100</v>
      </c>
      <c r="AD112" s="381">
        <f>AD31+AD53+AD7+AD75+AD97</f>
        <v>0</v>
      </c>
      <c r="AE112" s="381">
        <f t="shared" ref="AE112:AJ113" si="64">AE31+AE53+AE7+AE75+AE97</f>
        <v>0</v>
      </c>
      <c r="AF112" s="381">
        <f t="shared" si="64"/>
        <v>0</v>
      </c>
      <c r="AG112" s="381">
        <f t="shared" si="64"/>
        <v>69</v>
      </c>
      <c r="AH112" s="381">
        <f t="shared" si="64"/>
        <v>8</v>
      </c>
      <c r="AI112" s="381">
        <f t="shared" si="64"/>
        <v>23</v>
      </c>
      <c r="AJ112" s="381">
        <f t="shared" si="64"/>
        <v>0</v>
      </c>
    </row>
    <row r="113" spans="2:36" s="148" customFormat="1" ht="27" customHeight="1">
      <c r="B113" s="831"/>
      <c r="C113" s="832"/>
      <c r="D113" s="368">
        <v>19</v>
      </c>
      <c r="E113" s="451"/>
      <c r="F113" s="371">
        <f t="shared" si="51"/>
        <v>0</v>
      </c>
      <c r="G113" s="372"/>
      <c r="H113" s="453"/>
      <c r="I113" s="453"/>
      <c r="J113" s="455" t="str">
        <f t="shared" si="52"/>
        <v>-</v>
      </c>
      <c r="K113" s="454"/>
      <c r="L113" s="455" t="str">
        <f t="shared" si="53"/>
        <v>-</v>
      </c>
      <c r="M113" s="454"/>
      <c r="N113" s="455" t="str">
        <f t="shared" si="54"/>
        <v>-</v>
      </c>
      <c r="O113" s="456">
        <f t="shared" si="55"/>
        <v>0</v>
      </c>
      <c r="P113" s="455" t="str">
        <f t="shared" si="56"/>
        <v>-</v>
      </c>
      <c r="Q113" s="453"/>
      <c r="R113" s="455" t="str">
        <f t="shared" si="57"/>
        <v>-</v>
      </c>
      <c r="S113" s="484">
        <f t="shared" si="58"/>
        <v>0</v>
      </c>
      <c r="T113" s="456">
        <f t="shared" si="59"/>
        <v>0</v>
      </c>
      <c r="U113" s="455" t="str">
        <f t="shared" si="60"/>
        <v>-</v>
      </c>
      <c r="V113" s="373" t="s">
        <v>174</v>
      </c>
      <c r="W113" s="373" t="s">
        <v>430</v>
      </c>
      <c r="X113" s="374"/>
      <c r="Y113" s="374"/>
      <c r="Z113" s="374">
        <v>1</v>
      </c>
      <c r="AA113" s="457"/>
      <c r="AC113" s="382"/>
      <c r="AD113" s="381">
        <f>AD32+AD54+AD8+AD76+AD98</f>
        <v>0</v>
      </c>
      <c r="AE113" s="381">
        <f t="shared" si="64"/>
        <v>0</v>
      </c>
      <c r="AF113" s="381">
        <f t="shared" si="64"/>
        <v>0</v>
      </c>
      <c r="AG113" s="381">
        <f t="shared" si="64"/>
        <v>133478.60050000009</v>
      </c>
      <c r="AH113" s="381">
        <f t="shared" si="64"/>
        <v>28645.648999999947</v>
      </c>
      <c r="AI113" s="381">
        <f t="shared" si="64"/>
        <v>98370.117499999993</v>
      </c>
      <c r="AJ113" s="381">
        <f t="shared" si="64"/>
        <v>0</v>
      </c>
    </row>
    <row r="114" spans="2:36" s="148" customFormat="1" ht="27" customHeight="1">
      <c r="B114" s="833"/>
      <c r="C114" s="834"/>
      <c r="D114" s="368">
        <v>20</v>
      </c>
      <c r="E114" s="451"/>
      <c r="F114" s="371">
        <f t="shared" si="51"/>
        <v>0</v>
      </c>
      <c r="G114" s="372"/>
      <c r="H114" s="453"/>
      <c r="I114" s="453"/>
      <c r="J114" s="455" t="str">
        <f t="shared" si="52"/>
        <v>-</v>
      </c>
      <c r="K114" s="454"/>
      <c r="L114" s="455" t="str">
        <f t="shared" si="53"/>
        <v>-</v>
      </c>
      <c r="M114" s="454"/>
      <c r="N114" s="455" t="str">
        <f t="shared" si="54"/>
        <v>-</v>
      </c>
      <c r="O114" s="456">
        <f t="shared" si="55"/>
        <v>0</v>
      </c>
      <c r="P114" s="455" t="str">
        <f t="shared" si="56"/>
        <v>-</v>
      </c>
      <c r="Q114" s="453"/>
      <c r="R114" s="455" t="str">
        <f t="shared" si="57"/>
        <v>-</v>
      </c>
      <c r="S114" s="484">
        <f t="shared" si="58"/>
        <v>0</v>
      </c>
      <c r="T114" s="456">
        <f t="shared" si="59"/>
        <v>0</v>
      </c>
      <c r="U114" s="455" t="str">
        <f t="shared" si="60"/>
        <v>-</v>
      </c>
      <c r="V114" s="373" t="s">
        <v>174</v>
      </c>
      <c r="W114" s="373" t="s">
        <v>215</v>
      </c>
      <c r="X114" s="374"/>
      <c r="Y114" s="374"/>
      <c r="Z114" s="374">
        <v>1</v>
      </c>
      <c r="AA114" s="457"/>
      <c r="AC114" s="368"/>
      <c r="AD114" s="380">
        <f>AD112/$AC112</f>
        <v>0</v>
      </c>
      <c r="AE114" s="380">
        <f t="shared" ref="AE114:AJ114" si="65">AE112/$AC112</f>
        <v>0</v>
      </c>
      <c r="AF114" s="380">
        <f t="shared" si="65"/>
        <v>0</v>
      </c>
      <c r="AG114" s="380">
        <f t="shared" si="65"/>
        <v>0.69</v>
      </c>
      <c r="AH114" s="380">
        <f t="shared" si="65"/>
        <v>0.08</v>
      </c>
      <c r="AI114" s="380">
        <f t="shared" si="65"/>
        <v>0.23</v>
      </c>
      <c r="AJ114" s="380">
        <f t="shared" si="65"/>
        <v>0</v>
      </c>
    </row>
  </sheetData>
  <mergeCells count="102">
    <mergeCell ref="B95:C114"/>
    <mergeCell ref="AC108:AJ110"/>
    <mergeCell ref="B2:Y2"/>
    <mergeCell ref="Q27:S27"/>
    <mergeCell ref="T27:U27"/>
    <mergeCell ref="Q49:S49"/>
    <mergeCell ref="T49:U49"/>
    <mergeCell ref="Q71:S71"/>
    <mergeCell ref="T71:U71"/>
    <mergeCell ref="Q93:S93"/>
    <mergeCell ref="W93:W94"/>
    <mergeCell ref="X93:X94"/>
    <mergeCell ref="Y93:Y94"/>
    <mergeCell ref="Z93:Z94"/>
    <mergeCell ref="AA93:AA94"/>
    <mergeCell ref="AC93:AJ95"/>
    <mergeCell ref="K93:L93"/>
    <mergeCell ref="M93:N93"/>
    <mergeCell ref="O93:P93"/>
    <mergeCell ref="V93:V94"/>
    <mergeCell ref="T93:U93"/>
    <mergeCell ref="AA71:AA72"/>
    <mergeCell ref="AC71:AJ73"/>
    <mergeCell ref="B73:C92"/>
    <mergeCell ref="B93:C94"/>
    <mergeCell ref="D93:D94"/>
    <mergeCell ref="E93:E94"/>
    <mergeCell ref="F93:F94"/>
    <mergeCell ref="G93:G94"/>
    <mergeCell ref="H93:H94"/>
    <mergeCell ref="I93:J93"/>
    <mergeCell ref="V71:V72"/>
    <mergeCell ref="W71:W72"/>
    <mergeCell ref="H71:H72"/>
    <mergeCell ref="I71:J71"/>
    <mergeCell ref="K71:L71"/>
    <mergeCell ref="M71:N71"/>
    <mergeCell ref="O71:P71"/>
    <mergeCell ref="B51:C70"/>
    <mergeCell ref="B71:C72"/>
    <mergeCell ref="D71:D72"/>
    <mergeCell ref="E71:E72"/>
    <mergeCell ref="F71:F72"/>
    <mergeCell ref="G71:G72"/>
    <mergeCell ref="Z49:Z50"/>
    <mergeCell ref="AA49:AA50"/>
    <mergeCell ref="AC49:AJ51"/>
    <mergeCell ref="K49:L49"/>
    <mergeCell ref="M49:N49"/>
    <mergeCell ref="O49:P49"/>
    <mergeCell ref="V49:V50"/>
    <mergeCell ref="X71:X72"/>
    <mergeCell ref="Y71:Y72"/>
    <mergeCell ref="Z71:Z72"/>
    <mergeCell ref="Z3:Z6"/>
    <mergeCell ref="AA27:AA28"/>
    <mergeCell ref="AC27:AJ29"/>
    <mergeCell ref="B29:C48"/>
    <mergeCell ref="B49:C50"/>
    <mergeCell ref="D49:D50"/>
    <mergeCell ref="E49:E50"/>
    <mergeCell ref="F49:F50"/>
    <mergeCell ref="G49:G50"/>
    <mergeCell ref="H49:H50"/>
    <mergeCell ref="I49:J49"/>
    <mergeCell ref="V27:V28"/>
    <mergeCell ref="W27:W28"/>
    <mergeCell ref="X27:X28"/>
    <mergeCell ref="Y27:Y28"/>
    <mergeCell ref="Z27:Z28"/>
    <mergeCell ref="H27:H28"/>
    <mergeCell ref="I27:J27"/>
    <mergeCell ref="K27:L27"/>
    <mergeCell ref="M27:N27"/>
    <mergeCell ref="O27:P27"/>
    <mergeCell ref="W49:W50"/>
    <mergeCell ref="X49:X50"/>
    <mergeCell ref="Y49:Y50"/>
    <mergeCell ref="AA3:AA6"/>
    <mergeCell ref="B7:C26"/>
    <mergeCell ref="B27:C28"/>
    <mergeCell ref="D27:D28"/>
    <mergeCell ref="E27:E28"/>
    <mergeCell ref="F27:F28"/>
    <mergeCell ref="G27:G28"/>
    <mergeCell ref="AC3:AJ5"/>
    <mergeCell ref="D4:D6"/>
    <mergeCell ref="E4:F4"/>
    <mergeCell ref="G4:P4"/>
    <mergeCell ref="Q4:U4"/>
    <mergeCell ref="E5:E6"/>
    <mergeCell ref="F5:F6"/>
    <mergeCell ref="G5:P5"/>
    <mergeCell ref="Q5:R5"/>
    <mergeCell ref="S5:U5"/>
    <mergeCell ref="B3:C6"/>
    <mergeCell ref="D3:F3"/>
    <mergeCell ref="G3:U3"/>
    <mergeCell ref="V3:V6"/>
    <mergeCell ref="W3:W6"/>
    <mergeCell ref="X3:X6"/>
    <mergeCell ref="Y3:Y6"/>
  </mergeCells>
  <phoneticPr fontId="13" type="noConversion"/>
  <dataValidations count="1">
    <dataValidation type="list" allowBlank="1" showInputMessage="1" showErrorMessage="1" sqref="V73:V92 V93:W93 T1:U2 V29:V48 V3:W6 V49:W49 W95:W109 W40:W43 W7 V27:W27 V51:V71 T115:U1048576 W21:W26 V7:V26 W67:W71 W9 W17:W19 W13:W14 W51:W65 W89:W92 W73:W87 V95:V114 W111:W114 W39:X39 W29:W38 W46:W48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36"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4296875" defaultRowHeight="15.75" customHeight="1"/>
  <cols>
    <col min="1" max="2" width="12.54296875" style="2" customWidth="1"/>
    <col min="3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891" t="s">
        <v>12</v>
      </c>
      <c r="D21" s="889"/>
      <c r="E21" s="890"/>
      <c r="F21" s="49" t="s">
        <v>46</v>
      </c>
      <c r="G21" s="49" t="s">
        <v>48</v>
      </c>
      <c r="H21" s="49" t="s">
        <v>49</v>
      </c>
      <c r="I21" s="8" t="s">
        <v>13</v>
      </c>
      <c r="J21" s="904" t="s">
        <v>51</v>
      </c>
      <c r="K21" s="890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893" t="s">
        <v>14</v>
      </c>
      <c r="D22" s="889"/>
      <c r="E22" s="890"/>
      <c r="F22" s="4">
        <v>3</v>
      </c>
      <c r="G22" s="4">
        <v>3000</v>
      </c>
      <c r="H22" s="4">
        <v>1000</v>
      </c>
      <c r="I22" s="4">
        <v>10</v>
      </c>
      <c r="J22" s="892" t="s">
        <v>76</v>
      </c>
      <c r="K22" s="890"/>
      <c r="M22" s="52" t="s">
        <v>26</v>
      </c>
      <c r="N22" s="57" t="s">
        <v>47</v>
      </c>
      <c r="O22" s="899" t="s">
        <v>12</v>
      </c>
      <c r="P22" s="889"/>
      <c r="Q22" s="890"/>
      <c r="R22" s="905" t="s">
        <v>53</v>
      </c>
      <c r="S22" s="889"/>
      <c r="T22" s="890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04" t="s">
        <v>51</v>
      </c>
      <c r="AA22" s="890"/>
    </row>
    <row r="23" spans="1:27" ht="15.75" customHeight="1">
      <c r="A23" s="23"/>
      <c r="B23" s="6">
        <v>2</v>
      </c>
      <c r="C23" s="888"/>
      <c r="D23" s="889"/>
      <c r="E23" s="890"/>
      <c r="F23" s="4"/>
      <c r="G23" s="4"/>
      <c r="H23" s="4"/>
      <c r="I23" s="4"/>
      <c r="J23" s="888"/>
      <c r="K23" s="890"/>
      <c r="M23" s="56" t="s">
        <v>42</v>
      </c>
      <c r="N23" s="24">
        <v>1</v>
      </c>
      <c r="O23" s="892" t="s">
        <v>82</v>
      </c>
      <c r="P23" s="889"/>
      <c r="Q23" s="890"/>
      <c r="R23" s="892" t="s">
        <v>85</v>
      </c>
      <c r="S23" s="889"/>
      <c r="T23" s="890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92" t="s">
        <v>86</v>
      </c>
      <c r="AA23" s="890"/>
    </row>
    <row r="24" spans="1:27" ht="15.75" customHeight="1">
      <c r="A24" s="23"/>
      <c r="B24" s="6">
        <v>3</v>
      </c>
      <c r="C24" s="888"/>
      <c r="D24" s="889"/>
      <c r="E24" s="890"/>
      <c r="F24" s="4"/>
      <c r="G24" s="4"/>
      <c r="H24" s="4"/>
      <c r="I24" s="4"/>
      <c r="J24" s="888"/>
      <c r="K24" s="890"/>
      <c r="M24" s="25"/>
      <c r="N24" s="24">
        <v>2</v>
      </c>
      <c r="O24" s="893"/>
      <c r="P24" s="889"/>
      <c r="Q24" s="890"/>
      <c r="R24" s="893"/>
      <c r="S24" s="889"/>
      <c r="T24" s="890"/>
      <c r="U24" s="4"/>
      <c r="V24" s="14"/>
      <c r="W24" s="4"/>
      <c r="X24" s="16">
        <f t="shared" si="16"/>
        <v>0</v>
      </c>
      <c r="Y24" s="4"/>
      <c r="Z24" s="893"/>
      <c r="AA24" s="890"/>
    </row>
    <row r="25" spans="1:27" ht="15.75" customHeight="1">
      <c r="A25" s="23"/>
      <c r="B25" s="6">
        <v>4</v>
      </c>
      <c r="C25" s="888"/>
      <c r="D25" s="889"/>
      <c r="E25" s="890"/>
      <c r="F25" s="4"/>
      <c r="G25" s="4"/>
      <c r="H25" s="4"/>
      <c r="I25" s="4"/>
      <c r="J25" s="888"/>
      <c r="K25" s="890"/>
      <c r="M25" s="25"/>
      <c r="N25" s="24">
        <v>3</v>
      </c>
      <c r="O25" s="893"/>
      <c r="P25" s="889"/>
      <c r="Q25" s="890"/>
      <c r="R25" s="893"/>
      <c r="S25" s="889"/>
      <c r="T25" s="890"/>
      <c r="U25" s="4"/>
      <c r="V25" s="14"/>
      <c r="W25" s="4"/>
      <c r="X25" s="16">
        <f t="shared" si="16"/>
        <v>0</v>
      </c>
      <c r="Y25" s="4"/>
      <c r="Z25" s="893"/>
      <c r="AA25" s="890"/>
    </row>
    <row r="26" spans="1:27" ht="15.75" customHeight="1">
      <c r="A26" s="23"/>
      <c r="B26" s="26">
        <v>5</v>
      </c>
      <c r="C26" s="902"/>
      <c r="D26" s="898"/>
      <c r="E26" s="895"/>
      <c r="F26" s="27"/>
      <c r="G26" s="27"/>
      <c r="H26" s="27"/>
      <c r="I26" s="27"/>
      <c r="J26" s="902"/>
      <c r="K26" s="895"/>
      <c r="M26" s="25"/>
      <c r="N26" s="24">
        <v>4</v>
      </c>
      <c r="O26" s="893"/>
      <c r="P26" s="889"/>
      <c r="Q26" s="890"/>
      <c r="R26" s="893"/>
      <c r="S26" s="889"/>
      <c r="T26" s="890"/>
      <c r="U26" s="4"/>
      <c r="V26" s="14"/>
      <c r="W26" s="4"/>
      <c r="X26" s="16">
        <f t="shared" si="16"/>
        <v>0</v>
      </c>
      <c r="Y26" s="4"/>
      <c r="Z26" s="893"/>
      <c r="AA26" s="890"/>
    </row>
    <row r="27" spans="1:27" ht="15.75" customHeight="1">
      <c r="A27" s="23"/>
      <c r="B27" s="69" t="s">
        <v>101</v>
      </c>
      <c r="C27" s="896" t="s">
        <v>75</v>
      </c>
      <c r="D27" s="903"/>
      <c r="E27" s="897"/>
      <c r="F27" s="28">
        <v>4</v>
      </c>
      <c r="G27" s="28">
        <v>2800</v>
      </c>
      <c r="H27" s="28">
        <v>700</v>
      </c>
      <c r="I27" s="28" t="s">
        <v>15</v>
      </c>
      <c r="J27" s="896" t="s">
        <v>77</v>
      </c>
      <c r="K27" s="897"/>
      <c r="M27" s="25"/>
      <c r="N27" s="29">
        <v>5</v>
      </c>
      <c r="O27" s="894"/>
      <c r="P27" s="898"/>
      <c r="Q27" s="895"/>
      <c r="R27" s="894"/>
      <c r="S27" s="898"/>
      <c r="T27" s="895"/>
      <c r="U27" s="27"/>
      <c r="V27" s="30"/>
      <c r="W27" s="27"/>
      <c r="X27" s="31">
        <f t="shared" si="16"/>
        <v>0</v>
      </c>
      <c r="Y27" s="4"/>
      <c r="Z27" s="894"/>
      <c r="AA27" s="895"/>
    </row>
    <row r="28" spans="1:27" ht="15.75" customHeight="1">
      <c r="A28" s="23"/>
      <c r="B28" s="70" t="s">
        <v>102</v>
      </c>
      <c r="C28" s="888"/>
      <c r="D28" s="889"/>
      <c r="E28" s="890"/>
      <c r="F28" s="4"/>
      <c r="G28" s="4"/>
      <c r="H28" s="4"/>
      <c r="I28" s="4"/>
      <c r="J28" s="888"/>
      <c r="K28" s="890"/>
      <c r="M28" s="32"/>
      <c r="N28" s="55"/>
      <c r="O28" s="900"/>
      <c r="P28" s="889"/>
      <c r="Q28" s="889"/>
      <c r="R28" s="900"/>
      <c r="S28" s="889"/>
      <c r="T28" s="889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900"/>
      <c r="AA28" s="890"/>
    </row>
    <row r="29" spans="1:27" ht="15.75" customHeight="1">
      <c r="A29" s="23"/>
      <c r="B29" s="70" t="s">
        <v>100</v>
      </c>
      <c r="C29" s="888"/>
      <c r="D29" s="889"/>
      <c r="E29" s="890"/>
      <c r="F29" s="4"/>
      <c r="G29" s="4"/>
      <c r="H29" s="4"/>
      <c r="I29" s="4"/>
      <c r="J29" s="888"/>
      <c r="K29" s="890"/>
      <c r="M29" s="56" t="s">
        <v>43</v>
      </c>
      <c r="N29" s="24">
        <v>1</v>
      </c>
      <c r="O29" s="913" t="s">
        <v>16</v>
      </c>
      <c r="P29" s="909"/>
      <c r="Q29" s="910"/>
      <c r="R29" s="908" t="s">
        <v>87</v>
      </c>
      <c r="S29" s="909"/>
      <c r="T29" s="910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08" t="s">
        <v>88</v>
      </c>
      <c r="AA29" s="910"/>
    </row>
    <row r="30" spans="1:27" ht="15.75" customHeight="1">
      <c r="A30" s="23"/>
      <c r="B30" s="70" t="s">
        <v>99</v>
      </c>
      <c r="C30" s="888"/>
      <c r="D30" s="889"/>
      <c r="E30" s="890"/>
      <c r="F30" s="4"/>
      <c r="G30" s="4"/>
      <c r="H30" s="4"/>
      <c r="I30" s="4"/>
      <c r="J30" s="888"/>
      <c r="K30" s="890"/>
      <c r="M30" s="25"/>
      <c r="N30" s="24">
        <v>2</v>
      </c>
      <c r="O30" s="893"/>
      <c r="P30" s="889"/>
      <c r="Q30" s="890"/>
      <c r="R30" s="893"/>
      <c r="S30" s="889"/>
      <c r="T30" s="890"/>
      <c r="U30" s="4"/>
      <c r="V30" s="14"/>
      <c r="W30" s="4"/>
      <c r="X30" s="16">
        <f t="shared" si="17"/>
        <v>0</v>
      </c>
      <c r="Y30" s="4"/>
      <c r="Z30" s="893"/>
      <c r="AA30" s="890"/>
    </row>
    <row r="31" spans="1:27" ht="15.75" customHeight="1">
      <c r="A31" s="20"/>
      <c r="B31" s="70" t="s">
        <v>103</v>
      </c>
      <c r="C31" s="888"/>
      <c r="D31" s="889"/>
      <c r="E31" s="890"/>
      <c r="F31" s="4"/>
      <c r="G31" s="4"/>
      <c r="H31" s="4"/>
      <c r="I31" s="4"/>
      <c r="J31" s="888"/>
      <c r="K31" s="890"/>
      <c r="M31" s="25"/>
      <c r="N31" s="24">
        <v>3</v>
      </c>
      <c r="O31" s="893"/>
      <c r="P31" s="889"/>
      <c r="Q31" s="890"/>
      <c r="R31" s="893"/>
      <c r="S31" s="889"/>
      <c r="T31" s="890"/>
      <c r="U31" s="4"/>
      <c r="V31" s="14"/>
      <c r="W31" s="4"/>
      <c r="X31" s="16">
        <f t="shared" si="17"/>
        <v>0</v>
      </c>
      <c r="Y31" s="4"/>
      <c r="Z31" s="893"/>
      <c r="AA31" s="890"/>
    </row>
    <row r="32" spans="1:27" ht="15.75" customHeight="1">
      <c r="A32" s="67"/>
      <c r="M32" s="25"/>
      <c r="N32" s="24">
        <v>4</v>
      </c>
      <c r="O32" s="893"/>
      <c r="P32" s="889"/>
      <c r="Q32" s="890"/>
      <c r="R32" s="893"/>
      <c r="S32" s="889"/>
      <c r="T32" s="890"/>
      <c r="U32" s="4"/>
      <c r="V32" s="14"/>
      <c r="W32" s="4"/>
      <c r="X32" s="16">
        <f t="shared" si="17"/>
        <v>0</v>
      </c>
      <c r="Y32" s="4"/>
      <c r="Z32" s="893"/>
      <c r="AA32" s="890"/>
    </row>
    <row r="33" spans="1:27" ht="15.75" customHeight="1">
      <c r="A33" s="18"/>
      <c r="B33" s="49" t="s">
        <v>47</v>
      </c>
      <c r="C33" s="891" t="s">
        <v>12</v>
      </c>
      <c r="D33" s="889"/>
      <c r="E33" s="890"/>
      <c r="F33" s="49" t="s">
        <v>46</v>
      </c>
      <c r="G33" s="49" t="s">
        <v>48</v>
      </c>
      <c r="H33" s="49" t="s">
        <v>49</v>
      </c>
      <c r="I33" s="8" t="s">
        <v>13</v>
      </c>
      <c r="J33" s="904" t="s">
        <v>51</v>
      </c>
      <c r="K33" s="890"/>
      <c r="M33" s="25"/>
      <c r="N33" s="29">
        <v>5</v>
      </c>
      <c r="O33" s="893"/>
      <c r="P33" s="889"/>
      <c r="Q33" s="890"/>
      <c r="R33" s="893"/>
      <c r="S33" s="889"/>
      <c r="T33" s="890"/>
      <c r="U33" s="27"/>
      <c r="V33" s="30"/>
      <c r="W33" s="27"/>
      <c r="X33" s="31">
        <f t="shared" si="17"/>
        <v>0</v>
      </c>
      <c r="Y33" s="4"/>
      <c r="Z33" s="893"/>
      <c r="AA33" s="890"/>
    </row>
    <row r="34" spans="1:27" ht="15.75" customHeight="1">
      <c r="A34" s="52" t="s">
        <v>35</v>
      </c>
      <c r="B34" s="6">
        <v>1</v>
      </c>
      <c r="C34" s="892" t="s">
        <v>79</v>
      </c>
      <c r="D34" s="889"/>
      <c r="E34" s="890"/>
      <c r="F34" s="4">
        <v>3</v>
      </c>
      <c r="G34" s="4">
        <v>2500</v>
      </c>
      <c r="H34" s="4">
        <v>833.33</v>
      </c>
      <c r="I34" s="4">
        <v>20</v>
      </c>
      <c r="J34" s="892" t="s">
        <v>78</v>
      </c>
      <c r="K34" s="890"/>
      <c r="M34" s="68"/>
      <c r="N34" s="45"/>
      <c r="O34" s="900"/>
      <c r="P34" s="889"/>
      <c r="Q34" s="889"/>
      <c r="R34" s="900"/>
      <c r="S34" s="889"/>
      <c r="T34" s="889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900"/>
      <c r="AA34" s="890"/>
    </row>
    <row r="35" spans="1:27" ht="15.75" customHeight="1">
      <c r="A35" s="23"/>
      <c r="B35" s="6">
        <v>2</v>
      </c>
      <c r="C35" s="893"/>
      <c r="D35" s="889"/>
      <c r="E35" s="890"/>
      <c r="F35" s="4"/>
      <c r="G35" s="4"/>
      <c r="H35" s="4"/>
      <c r="I35" s="4"/>
      <c r="J35" s="893"/>
      <c r="K35" s="890"/>
      <c r="M35" s="1"/>
      <c r="N35" s="1"/>
      <c r="O35" s="911"/>
      <c r="P35" s="912"/>
      <c r="Q35" s="912"/>
      <c r="R35" s="911"/>
      <c r="S35" s="912"/>
      <c r="T35" s="912"/>
      <c r="U35" s="1"/>
      <c r="V35" s="38"/>
      <c r="W35" s="1"/>
      <c r="X35" s="1"/>
      <c r="Y35" s="911"/>
      <c r="Z35" s="912"/>
      <c r="AA35" s="912"/>
    </row>
    <row r="36" spans="1:27" ht="15.75" customHeight="1">
      <c r="A36" s="23"/>
      <c r="B36" s="6">
        <v>3</v>
      </c>
      <c r="C36" s="893"/>
      <c r="D36" s="889"/>
      <c r="E36" s="890"/>
      <c r="F36" s="4"/>
      <c r="G36" s="4"/>
      <c r="H36" s="4"/>
      <c r="I36" s="4"/>
      <c r="J36" s="893"/>
      <c r="K36" s="890"/>
      <c r="M36" s="52" t="s">
        <v>27</v>
      </c>
      <c r="N36" s="57" t="s">
        <v>47</v>
      </c>
      <c r="O36" s="899" t="s">
        <v>12</v>
      </c>
      <c r="P36" s="900"/>
      <c r="Q36" s="901"/>
      <c r="R36" s="905" t="s">
        <v>53</v>
      </c>
      <c r="S36" s="906"/>
      <c r="T36" s="907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04" t="s">
        <v>51</v>
      </c>
      <c r="AA36" s="914"/>
    </row>
    <row r="37" spans="1:27" ht="15.75" customHeight="1">
      <c r="A37" s="23"/>
      <c r="B37" s="6">
        <v>4</v>
      </c>
      <c r="C37" s="893"/>
      <c r="D37" s="889"/>
      <c r="E37" s="890"/>
      <c r="F37" s="4"/>
      <c r="G37" s="4"/>
      <c r="H37" s="4"/>
      <c r="I37" s="4"/>
      <c r="J37" s="893"/>
      <c r="K37" s="890"/>
      <c r="M37" s="56" t="s">
        <v>42</v>
      </c>
      <c r="N37" s="24">
        <v>1</v>
      </c>
      <c r="O37" s="892" t="s">
        <v>89</v>
      </c>
      <c r="P37" s="889"/>
      <c r="Q37" s="890"/>
      <c r="R37" s="892" t="s">
        <v>90</v>
      </c>
      <c r="S37" s="889"/>
      <c r="T37" s="890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92" t="s">
        <v>91</v>
      </c>
      <c r="AA37" s="890"/>
    </row>
    <row r="38" spans="1:27" ht="15.75" customHeight="1">
      <c r="A38" s="23"/>
      <c r="B38" s="26">
        <v>5</v>
      </c>
      <c r="C38" s="894"/>
      <c r="D38" s="898"/>
      <c r="E38" s="895"/>
      <c r="F38" s="27"/>
      <c r="G38" s="27"/>
      <c r="H38" s="27"/>
      <c r="I38" s="27"/>
      <c r="J38" s="894"/>
      <c r="K38" s="895"/>
      <c r="M38" s="25"/>
      <c r="N38" s="24">
        <v>2</v>
      </c>
      <c r="O38" s="893"/>
      <c r="P38" s="889"/>
      <c r="Q38" s="890"/>
      <c r="R38" s="893"/>
      <c r="S38" s="889"/>
      <c r="T38" s="890"/>
      <c r="U38" s="4"/>
      <c r="V38" s="14"/>
      <c r="W38" s="4"/>
      <c r="X38" s="16">
        <f t="shared" si="18"/>
        <v>0</v>
      </c>
      <c r="Y38" s="4"/>
      <c r="Z38" s="893"/>
      <c r="AA38" s="890"/>
    </row>
    <row r="39" spans="1:27" ht="14">
      <c r="A39" s="23"/>
      <c r="B39" s="69" t="s">
        <v>101</v>
      </c>
      <c r="C39" s="896" t="s">
        <v>80</v>
      </c>
      <c r="D39" s="903"/>
      <c r="E39" s="897"/>
      <c r="F39" s="28">
        <v>7</v>
      </c>
      <c r="G39" s="28">
        <v>2200</v>
      </c>
      <c r="H39" s="28">
        <v>314.29000000000002</v>
      </c>
      <c r="I39" s="28">
        <v>-15</v>
      </c>
      <c r="J39" s="896" t="s">
        <v>81</v>
      </c>
      <c r="K39" s="897"/>
      <c r="M39" s="25"/>
      <c r="N39" s="24">
        <v>3</v>
      </c>
      <c r="O39" s="893"/>
      <c r="P39" s="889"/>
      <c r="Q39" s="890"/>
      <c r="R39" s="893"/>
      <c r="S39" s="889"/>
      <c r="T39" s="890"/>
      <c r="U39" s="4"/>
      <c r="V39" s="14"/>
      <c r="W39" s="4"/>
      <c r="X39" s="16">
        <f t="shared" si="18"/>
        <v>0</v>
      </c>
      <c r="Y39" s="4"/>
      <c r="Z39" s="893"/>
      <c r="AA39" s="890"/>
    </row>
    <row r="40" spans="1:27" ht="14">
      <c r="A40" s="23"/>
      <c r="B40" s="70" t="s">
        <v>102</v>
      </c>
      <c r="C40" s="893"/>
      <c r="D40" s="889"/>
      <c r="E40" s="890"/>
      <c r="F40" s="4"/>
      <c r="G40" s="4"/>
      <c r="H40" s="4"/>
      <c r="I40" s="4"/>
      <c r="J40" s="893"/>
      <c r="K40" s="890"/>
      <c r="M40" s="25"/>
      <c r="N40" s="24">
        <v>4</v>
      </c>
      <c r="O40" s="893"/>
      <c r="P40" s="889"/>
      <c r="Q40" s="890"/>
      <c r="R40" s="893"/>
      <c r="S40" s="889"/>
      <c r="T40" s="890"/>
      <c r="U40" s="4"/>
      <c r="V40" s="14"/>
      <c r="W40" s="4"/>
      <c r="X40" s="16">
        <f t="shared" si="18"/>
        <v>0</v>
      </c>
      <c r="Y40" s="4"/>
      <c r="Z40" s="893"/>
      <c r="AA40" s="890"/>
    </row>
    <row r="41" spans="1:27" ht="14">
      <c r="A41" s="23"/>
      <c r="B41" s="70" t="s">
        <v>100</v>
      </c>
      <c r="C41" s="893"/>
      <c r="D41" s="889"/>
      <c r="E41" s="890"/>
      <c r="F41" s="4"/>
      <c r="G41" s="4"/>
      <c r="H41" s="4"/>
      <c r="I41" s="4"/>
      <c r="J41" s="893"/>
      <c r="K41" s="890"/>
      <c r="M41" s="25"/>
      <c r="N41" s="29">
        <v>5</v>
      </c>
      <c r="O41" s="894"/>
      <c r="P41" s="898"/>
      <c r="Q41" s="895"/>
      <c r="R41" s="894"/>
      <c r="S41" s="898"/>
      <c r="T41" s="895"/>
      <c r="U41" s="27"/>
      <c r="V41" s="30"/>
      <c r="W41" s="27"/>
      <c r="X41" s="31">
        <f t="shared" si="18"/>
        <v>0</v>
      </c>
      <c r="Y41" s="4"/>
      <c r="Z41" s="893"/>
      <c r="AA41" s="890"/>
    </row>
    <row r="42" spans="1:27" ht="14">
      <c r="A42" s="23"/>
      <c r="B42" s="70" t="s">
        <v>99</v>
      </c>
      <c r="C42" s="893"/>
      <c r="D42" s="889"/>
      <c r="E42" s="890"/>
      <c r="F42" s="4"/>
      <c r="G42" s="4"/>
      <c r="H42" s="4"/>
      <c r="I42" s="4"/>
      <c r="J42" s="893"/>
      <c r="K42" s="890"/>
      <c r="M42" s="32"/>
      <c r="N42" s="54"/>
      <c r="O42" s="900"/>
      <c r="P42" s="889"/>
      <c r="Q42" s="889"/>
      <c r="R42" s="900"/>
      <c r="S42" s="889"/>
      <c r="T42" s="889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900"/>
      <c r="AA42" s="890"/>
    </row>
    <row r="43" spans="1:27" ht="14">
      <c r="A43" s="20"/>
      <c r="B43" s="70" t="s">
        <v>103</v>
      </c>
      <c r="C43" s="893"/>
      <c r="D43" s="889"/>
      <c r="E43" s="890"/>
      <c r="F43" s="4"/>
      <c r="G43" s="4"/>
      <c r="H43" s="4"/>
      <c r="I43" s="4"/>
      <c r="J43" s="893"/>
      <c r="K43" s="890"/>
      <c r="M43" s="56" t="s">
        <v>43</v>
      </c>
      <c r="N43" s="24">
        <v>1</v>
      </c>
      <c r="O43" s="892" t="s">
        <v>89</v>
      </c>
      <c r="P43" s="889"/>
      <c r="Q43" s="890"/>
      <c r="R43" s="908" t="s">
        <v>93</v>
      </c>
      <c r="S43" s="909"/>
      <c r="T43" s="910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92" t="s">
        <v>92</v>
      </c>
      <c r="AA43" s="890"/>
    </row>
    <row r="44" spans="1:27" ht="14">
      <c r="A44" s="67"/>
      <c r="M44" s="25"/>
      <c r="N44" s="24">
        <v>2</v>
      </c>
      <c r="O44" s="893"/>
      <c r="P44" s="889"/>
      <c r="Q44" s="890"/>
      <c r="R44" s="893"/>
      <c r="S44" s="889"/>
      <c r="T44" s="890"/>
      <c r="U44" s="4"/>
      <c r="V44" s="14"/>
      <c r="W44" s="4"/>
      <c r="X44" s="37">
        <f t="shared" si="19"/>
        <v>0</v>
      </c>
      <c r="Y44" s="4"/>
      <c r="Z44" s="893"/>
      <c r="AA44" s="890"/>
    </row>
    <row r="45" spans="1:27" ht="14">
      <c r="A45" s="18"/>
      <c r="B45" s="49" t="s">
        <v>47</v>
      </c>
      <c r="C45" s="891" t="s">
        <v>12</v>
      </c>
      <c r="D45" s="889"/>
      <c r="E45" s="890"/>
      <c r="F45" s="49" t="s">
        <v>46</v>
      </c>
      <c r="G45" s="49" t="s">
        <v>48</v>
      </c>
      <c r="H45" s="49" t="s">
        <v>49</v>
      </c>
      <c r="I45" s="8" t="s">
        <v>13</v>
      </c>
      <c r="J45" s="904" t="s">
        <v>51</v>
      </c>
      <c r="K45" s="890"/>
      <c r="M45" s="25"/>
      <c r="N45" s="24">
        <v>3</v>
      </c>
      <c r="O45" s="893"/>
      <c r="P45" s="889"/>
      <c r="Q45" s="890"/>
      <c r="R45" s="893"/>
      <c r="S45" s="889"/>
      <c r="T45" s="890"/>
      <c r="U45" s="4"/>
      <c r="V45" s="14"/>
      <c r="W45" s="4"/>
      <c r="X45" s="37">
        <f t="shared" si="19"/>
        <v>0</v>
      </c>
      <c r="Y45" s="4"/>
      <c r="Z45" s="893"/>
      <c r="AA45" s="890"/>
    </row>
    <row r="46" spans="1:27" ht="14">
      <c r="A46" s="52" t="s">
        <v>36</v>
      </c>
      <c r="B46" s="6">
        <v>1</v>
      </c>
      <c r="C46" s="892" t="s">
        <v>82</v>
      </c>
      <c r="D46" s="889"/>
      <c r="E46" s="890"/>
      <c r="F46" s="4">
        <v>15</v>
      </c>
      <c r="G46" s="4">
        <v>1200</v>
      </c>
      <c r="H46" s="4">
        <v>80</v>
      </c>
      <c r="I46" s="4">
        <v>5</v>
      </c>
      <c r="J46" s="892" t="s">
        <v>83</v>
      </c>
      <c r="K46" s="890"/>
      <c r="M46" s="25"/>
      <c r="N46" s="24">
        <v>4</v>
      </c>
      <c r="O46" s="893"/>
      <c r="P46" s="889"/>
      <c r="Q46" s="890"/>
      <c r="R46" s="893"/>
      <c r="S46" s="889"/>
      <c r="T46" s="890"/>
      <c r="U46" s="4"/>
      <c r="V46" s="14"/>
      <c r="W46" s="4"/>
      <c r="X46" s="37">
        <f t="shared" si="19"/>
        <v>0</v>
      </c>
      <c r="Y46" s="4"/>
      <c r="Z46" s="893"/>
      <c r="AA46" s="890"/>
    </row>
    <row r="47" spans="1:27" ht="14">
      <c r="A47" s="23"/>
      <c r="B47" s="6">
        <v>2</v>
      </c>
      <c r="C47" s="893"/>
      <c r="D47" s="889"/>
      <c r="E47" s="890"/>
      <c r="F47" s="4"/>
      <c r="G47" s="4"/>
      <c r="H47" s="4"/>
      <c r="I47" s="4"/>
      <c r="J47" s="893"/>
      <c r="K47" s="890"/>
      <c r="M47" s="25"/>
      <c r="N47" s="29">
        <v>5</v>
      </c>
      <c r="O47" s="893"/>
      <c r="P47" s="889"/>
      <c r="Q47" s="890"/>
      <c r="R47" s="893"/>
      <c r="S47" s="889"/>
      <c r="T47" s="890"/>
      <c r="U47" s="27"/>
      <c r="V47" s="30"/>
      <c r="W47" s="27"/>
      <c r="X47" s="40">
        <f t="shared" si="19"/>
        <v>0</v>
      </c>
      <c r="Y47" s="4"/>
      <c r="Z47" s="893"/>
      <c r="AA47" s="890"/>
    </row>
    <row r="48" spans="1:27" ht="14">
      <c r="A48" s="23"/>
      <c r="B48" s="6">
        <v>3</v>
      </c>
      <c r="C48" s="893"/>
      <c r="D48" s="889"/>
      <c r="E48" s="890"/>
      <c r="F48" s="4"/>
      <c r="G48" s="4"/>
      <c r="H48" s="4"/>
      <c r="I48" s="4"/>
      <c r="J48" s="893"/>
      <c r="K48" s="890"/>
      <c r="M48" s="68"/>
      <c r="N48" s="45"/>
      <c r="O48" s="900"/>
      <c r="P48" s="889"/>
      <c r="Q48" s="889"/>
      <c r="R48" s="900"/>
      <c r="S48" s="889"/>
      <c r="T48" s="889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900"/>
      <c r="AA48" s="890"/>
    </row>
    <row r="49" spans="1:27" ht="14">
      <c r="A49" s="23"/>
      <c r="B49" s="6">
        <v>4</v>
      </c>
      <c r="C49" s="893"/>
      <c r="D49" s="889"/>
      <c r="E49" s="890"/>
      <c r="F49" s="4"/>
      <c r="G49" s="4"/>
      <c r="H49" s="4"/>
      <c r="I49" s="4"/>
      <c r="J49" s="893"/>
      <c r="K49" s="890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894"/>
      <c r="D50" s="898"/>
      <c r="E50" s="895"/>
      <c r="F50" s="27"/>
      <c r="G50" s="27"/>
      <c r="H50" s="27"/>
      <c r="I50" s="27"/>
      <c r="J50" s="894"/>
      <c r="K50" s="895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>
      <c r="A51" s="23"/>
      <c r="B51" s="69" t="s">
        <v>101</v>
      </c>
      <c r="C51" s="896" t="s">
        <v>89</v>
      </c>
      <c r="D51" s="903"/>
      <c r="E51" s="897"/>
      <c r="F51" s="28">
        <v>18</v>
      </c>
      <c r="G51" s="28">
        <v>800</v>
      </c>
      <c r="H51" s="28">
        <v>44.44</v>
      </c>
      <c r="I51" s="28">
        <v>-15</v>
      </c>
      <c r="J51" s="896" t="s">
        <v>84</v>
      </c>
      <c r="K51" s="897"/>
      <c r="M51" s="8"/>
      <c r="N51" s="8" t="s">
        <v>18</v>
      </c>
      <c r="O51" s="899" t="s">
        <v>12</v>
      </c>
      <c r="P51" s="900"/>
      <c r="Q51" s="901"/>
      <c r="R51" s="905" t="s">
        <v>53</v>
      </c>
      <c r="S51" s="906"/>
      <c r="T51" s="907"/>
      <c r="U51" s="57" t="s">
        <v>54</v>
      </c>
      <c r="V51" s="39" t="s">
        <v>19</v>
      </c>
      <c r="W51" s="57" t="s">
        <v>57</v>
      </c>
      <c r="X51" s="8" t="s">
        <v>2</v>
      </c>
      <c r="Y51" s="899" t="s">
        <v>50</v>
      </c>
      <c r="Z51" s="900"/>
      <c r="AA51" s="901"/>
    </row>
    <row r="52" spans="1:27" ht="14">
      <c r="A52" s="23"/>
      <c r="B52" s="70" t="s">
        <v>102</v>
      </c>
      <c r="C52" s="893"/>
      <c r="D52" s="889"/>
      <c r="E52" s="890"/>
      <c r="F52" s="4"/>
      <c r="G52" s="4"/>
      <c r="H52" s="4"/>
      <c r="I52" s="4"/>
      <c r="J52" s="893"/>
      <c r="K52" s="890"/>
      <c r="M52" s="56" t="s">
        <v>42</v>
      </c>
      <c r="N52" s="24">
        <v>1</v>
      </c>
      <c r="O52" s="892" t="s">
        <v>89</v>
      </c>
      <c r="P52" s="889"/>
      <c r="Q52" s="890"/>
      <c r="R52" s="908" t="s">
        <v>93</v>
      </c>
      <c r="S52" s="909"/>
      <c r="T52" s="910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92" t="s">
        <v>97</v>
      </c>
      <c r="Z52" s="889"/>
      <c r="AA52" s="890"/>
    </row>
    <row r="53" spans="1:27" ht="14">
      <c r="A53" s="23"/>
      <c r="B53" s="70" t="s">
        <v>100</v>
      </c>
      <c r="C53" s="893"/>
      <c r="D53" s="889"/>
      <c r="E53" s="890"/>
      <c r="F53" s="4"/>
      <c r="G53" s="4"/>
      <c r="H53" s="4"/>
      <c r="I53" s="4"/>
      <c r="J53" s="893"/>
      <c r="K53" s="890"/>
      <c r="M53" s="25"/>
      <c r="N53" s="29">
        <v>2</v>
      </c>
      <c r="O53" s="894"/>
      <c r="P53" s="898"/>
      <c r="Q53" s="895"/>
      <c r="R53" s="894"/>
      <c r="S53" s="898"/>
      <c r="T53" s="895"/>
      <c r="U53" s="27"/>
      <c r="V53" s="30"/>
      <c r="W53" s="30"/>
      <c r="X53" s="41">
        <f t="shared" si="20"/>
        <v>0</v>
      </c>
      <c r="Y53" s="894"/>
      <c r="Z53" s="898"/>
      <c r="AA53" s="895"/>
    </row>
    <row r="54" spans="1:27" ht="14">
      <c r="A54" s="23"/>
      <c r="B54" s="70" t="s">
        <v>99</v>
      </c>
      <c r="C54" s="893"/>
      <c r="D54" s="889"/>
      <c r="E54" s="890"/>
      <c r="F54" s="4"/>
      <c r="G54" s="4"/>
      <c r="H54" s="4"/>
      <c r="I54" s="4"/>
      <c r="J54" s="893"/>
      <c r="K54" s="890"/>
      <c r="M54" s="56" t="s">
        <v>43</v>
      </c>
      <c r="N54" s="42">
        <v>1</v>
      </c>
      <c r="O54" s="896" t="s">
        <v>94</v>
      </c>
      <c r="P54" s="903"/>
      <c r="Q54" s="897"/>
      <c r="R54" s="896" t="s">
        <v>95</v>
      </c>
      <c r="S54" s="903"/>
      <c r="T54" s="897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96" t="s">
        <v>96</v>
      </c>
      <c r="Z54" s="903"/>
      <c r="AA54" s="897"/>
    </row>
    <row r="55" spans="1:27" ht="14">
      <c r="A55" s="20"/>
      <c r="B55" s="70" t="s">
        <v>103</v>
      </c>
      <c r="C55" s="893"/>
      <c r="D55" s="889"/>
      <c r="E55" s="890"/>
      <c r="F55" s="4"/>
      <c r="G55" s="4"/>
      <c r="H55" s="4"/>
      <c r="I55" s="4"/>
      <c r="J55" s="893"/>
      <c r="K55" s="890"/>
      <c r="M55" s="22"/>
      <c r="N55" s="24">
        <v>2</v>
      </c>
      <c r="O55" s="893"/>
      <c r="P55" s="889"/>
      <c r="Q55" s="890"/>
      <c r="R55" s="893"/>
      <c r="S55" s="889"/>
      <c r="T55" s="890"/>
      <c r="U55" s="4"/>
      <c r="V55" s="14"/>
      <c r="W55" s="14"/>
      <c r="X55" s="13">
        <f t="shared" si="20"/>
        <v>0</v>
      </c>
      <c r="Y55" s="893"/>
      <c r="Z55" s="889"/>
      <c r="AA55" s="890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0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265625" defaultRowHeight="14"/>
  <cols>
    <col min="1" max="2" width="8.7265625" style="149"/>
    <col min="3" max="3" width="14" style="149" bestFit="1" customWidth="1"/>
    <col min="4" max="4" width="0.26953125" style="149" customWidth="1"/>
    <col min="5" max="5" width="8.7265625" style="149"/>
    <col min="6" max="6" width="16.26953125" style="149" bestFit="1" customWidth="1"/>
    <col min="7" max="16384" width="8.7265625" style="149"/>
  </cols>
  <sheetData>
    <row r="2" spans="2:7" ht="15.5">
      <c r="B2" s="915" t="s">
        <v>255</v>
      </c>
      <c r="C2" s="915"/>
      <c r="D2" s="915"/>
      <c r="E2" s="915"/>
      <c r="F2" s="915"/>
    </row>
    <row r="3" spans="2:7" ht="14.5">
      <c r="B3" s="150" t="s">
        <v>256</v>
      </c>
      <c r="C3" s="150" t="s">
        <v>257</v>
      </c>
      <c r="D3" s="151"/>
      <c r="E3" s="150" t="s">
        <v>258</v>
      </c>
      <c r="F3" s="150" t="s">
        <v>259</v>
      </c>
      <c r="G3" s="151"/>
    </row>
    <row r="4" spans="2:7" ht="14.5">
      <c r="B4" s="152" t="s">
        <v>260</v>
      </c>
      <c r="C4" s="152" t="s">
        <v>261</v>
      </c>
      <c r="D4" s="151"/>
      <c r="E4" s="152" t="s">
        <v>262</v>
      </c>
      <c r="F4" s="152" t="s">
        <v>263</v>
      </c>
      <c r="G4" s="151"/>
    </row>
    <row r="5" spans="2:7" ht="14.5">
      <c r="B5" s="152" t="s">
        <v>264</v>
      </c>
      <c r="C5" s="152" t="s">
        <v>265</v>
      </c>
      <c r="D5" s="151"/>
      <c r="E5" s="152" t="s">
        <v>266</v>
      </c>
      <c r="F5" s="152" t="s">
        <v>267</v>
      </c>
      <c r="G5" s="151"/>
    </row>
    <row r="6" spans="2:7" ht="14.5">
      <c r="B6" s="152" t="s">
        <v>268</v>
      </c>
      <c r="C6" s="152" t="s">
        <v>269</v>
      </c>
      <c r="D6" s="151"/>
      <c r="E6" s="153" t="s">
        <v>270</v>
      </c>
      <c r="F6" s="153" t="s">
        <v>141</v>
      </c>
      <c r="G6" s="151"/>
    </row>
    <row r="7" spans="2:7" ht="14.5">
      <c r="B7" s="153" t="s">
        <v>271</v>
      </c>
      <c r="C7" s="153" t="s">
        <v>272</v>
      </c>
      <c r="D7" s="151"/>
      <c r="E7" s="152" t="s">
        <v>273</v>
      </c>
      <c r="F7" s="152" t="s">
        <v>274</v>
      </c>
      <c r="G7" s="151"/>
    </row>
    <row r="8" spans="2:7" ht="14.5">
      <c r="B8" s="152" t="s">
        <v>275</v>
      </c>
      <c r="C8" s="152" t="s">
        <v>276</v>
      </c>
      <c r="D8" s="151"/>
      <c r="E8" s="152" t="s">
        <v>277</v>
      </c>
      <c r="F8" s="152" t="s">
        <v>278</v>
      </c>
      <c r="G8" s="151"/>
    </row>
    <row r="9" spans="2:7" ht="14.5">
      <c r="B9" s="152" t="s">
        <v>279</v>
      </c>
      <c r="C9" s="152" t="s">
        <v>280</v>
      </c>
      <c r="D9" s="151"/>
      <c r="E9" s="153" t="s">
        <v>281</v>
      </c>
      <c r="F9" s="153" t="s">
        <v>140</v>
      </c>
      <c r="G9" s="151"/>
    </row>
    <row r="10" spans="2:7" ht="14.5">
      <c r="B10" s="152" t="s">
        <v>282</v>
      </c>
      <c r="C10" s="152" t="s">
        <v>283</v>
      </c>
      <c r="D10" s="151"/>
      <c r="E10" s="152" t="s">
        <v>284</v>
      </c>
      <c r="F10" s="152" t="s">
        <v>285</v>
      </c>
      <c r="G10" s="151"/>
    </row>
    <row r="11" spans="2:7" ht="14.5">
      <c r="B11" s="152" t="s">
        <v>286</v>
      </c>
      <c r="C11" s="152" t="s">
        <v>287</v>
      </c>
      <c r="D11" s="151"/>
      <c r="E11" s="152" t="s">
        <v>288</v>
      </c>
      <c r="F11" s="152" t="s">
        <v>278</v>
      </c>
      <c r="G11" s="151"/>
    </row>
    <row r="12" spans="2:7" ht="14.5">
      <c r="B12" s="152" t="s">
        <v>289</v>
      </c>
      <c r="C12" s="152" t="s">
        <v>290</v>
      </c>
      <c r="D12" s="151"/>
      <c r="E12" s="152" t="s">
        <v>291</v>
      </c>
      <c r="F12" s="152" t="s">
        <v>292</v>
      </c>
      <c r="G12" s="151"/>
    </row>
    <row r="13" spans="2:7" ht="14.5">
      <c r="B13" s="153" t="s">
        <v>293</v>
      </c>
      <c r="C13" s="153" t="s">
        <v>136</v>
      </c>
      <c r="D13" s="151"/>
      <c r="E13" s="152" t="s">
        <v>294</v>
      </c>
      <c r="F13" s="152" t="s">
        <v>295</v>
      </c>
      <c r="G13" s="151"/>
    </row>
    <row r="14" spans="2:7" ht="14.5">
      <c r="B14" s="152" t="s">
        <v>296</v>
      </c>
      <c r="C14" s="152" t="s">
        <v>297</v>
      </c>
      <c r="D14" s="151"/>
      <c r="E14" s="153" t="s">
        <v>298</v>
      </c>
      <c r="F14" s="153" t="s">
        <v>299</v>
      </c>
      <c r="G14" s="151"/>
    </row>
    <row r="15" spans="2:7" ht="14.5">
      <c r="B15" s="153" t="s">
        <v>300</v>
      </c>
      <c r="C15" s="153" t="s">
        <v>301</v>
      </c>
      <c r="D15" s="151"/>
      <c r="E15" s="152" t="s">
        <v>302</v>
      </c>
      <c r="F15" s="152" t="s">
        <v>299</v>
      </c>
      <c r="G15" s="151"/>
    </row>
    <row r="16" spans="2:7" ht="14.5">
      <c r="B16" s="152" t="s">
        <v>303</v>
      </c>
      <c r="C16" s="152" t="s">
        <v>304</v>
      </c>
      <c r="D16" s="151"/>
      <c r="E16" s="153" t="s">
        <v>305</v>
      </c>
      <c r="F16" s="153" t="s">
        <v>306</v>
      </c>
      <c r="G16" s="151"/>
    </row>
    <row r="17" spans="2:7" ht="14.5">
      <c r="B17" s="152" t="s">
        <v>307</v>
      </c>
      <c r="C17" s="152" t="s">
        <v>308</v>
      </c>
      <c r="D17" s="151"/>
      <c r="E17" s="152" t="s">
        <v>309</v>
      </c>
      <c r="F17" s="152" t="s">
        <v>310</v>
      </c>
      <c r="G17" s="151"/>
    </row>
    <row r="18" spans="2:7" ht="14.5">
      <c r="B18" s="152" t="s">
        <v>311</v>
      </c>
      <c r="C18" s="152" t="s">
        <v>312</v>
      </c>
      <c r="D18" s="151"/>
      <c r="E18" s="152" t="s">
        <v>313</v>
      </c>
      <c r="F18" s="152" t="s">
        <v>314</v>
      </c>
      <c r="G18" s="151"/>
    </row>
    <row r="19" spans="2:7" ht="14.5">
      <c r="B19" s="152" t="s">
        <v>315</v>
      </c>
      <c r="C19" s="152" t="s">
        <v>316</v>
      </c>
      <c r="D19" s="151"/>
      <c r="E19" s="152" t="s">
        <v>317</v>
      </c>
      <c r="F19" s="152" t="s">
        <v>318</v>
      </c>
      <c r="G19" s="151"/>
    </row>
    <row r="20" spans="2:7" ht="14.5">
      <c r="B20" s="152" t="s">
        <v>319</v>
      </c>
      <c r="C20" s="152" t="s">
        <v>320</v>
      </c>
      <c r="D20" s="151"/>
      <c r="G20" s="151"/>
    </row>
    <row r="21" spans="2:7" ht="14.5">
      <c r="D21" s="151"/>
      <c r="G21" s="151"/>
    </row>
    <row r="22" spans="2:7" ht="14.5">
      <c r="D22" s="151"/>
      <c r="G22" s="151"/>
    </row>
    <row r="23" spans="2:7" ht="14.5">
      <c r="D23" s="151"/>
      <c r="G23" s="151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3:B10"/>
  <sheetViews>
    <sheetView workbookViewId="0">
      <selection activeCell="B7" sqref="B7"/>
    </sheetView>
  </sheetViews>
  <sheetFormatPr defaultRowHeight="12.5"/>
  <sheetData>
    <row r="3" spans="1:2" ht="14">
      <c r="A3">
        <v>1</v>
      </c>
      <c r="B3" s="149" t="s">
        <v>363</v>
      </c>
    </row>
    <row r="4" spans="1:2" ht="14">
      <c r="A4">
        <v>2</v>
      </c>
      <c r="B4" s="149" t="s">
        <v>384</v>
      </c>
    </row>
    <row r="5" spans="1:2" ht="14">
      <c r="A5">
        <v>3</v>
      </c>
      <c r="B5" s="149" t="s">
        <v>337</v>
      </c>
    </row>
    <row r="6" spans="1:2" ht="14">
      <c r="A6">
        <v>4</v>
      </c>
      <c r="B6" s="149" t="s">
        <v>214</v>
      </c>
    </row>
    <row r="7" spans="1:2" ht="14.5">
      <c r="A7">
        <v>5</v>
      </c>
      <c r="B7" s="151" t="s">
        <v>545</v>
      </c>
    </row>
    <row r="8" spans="1:2" ht="14">
      <c r="A8">
        <v>6</v>
      </c>
      <c r="B8" s="149" t="s">
        <v>216</v>
      </c>
    </row>
    <row r="9" spans="1:2" ht="14">
      <c r="A9">
        <v>7</v>
      </c>
      <c r="B9" s="149" t="s">
        <v>385</v>
      </c>
    </row>
    <row r="10" spans="1:2" ht="14">
      <c r="A10">
        <v>8</v>
      </c>
      <c r="B10" s="149" t="s">
        <v>386</v>
      </c>
    </row>
  </sheetData>
  <phoneticPr fontId="1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E3080EE-61B1-4D55-8D76-D775A6D23F48}"/>
</file>

<file path=customXml/itemProps3.xml><?xml version="1.0" encoding="utf-8"?>
<ds:datastoreItem xmlns:ds="http://schemas.openxmlformats.org/officeDocument/2006/customXml" ds:itemID="{F528360D-F7AB-47D6-8200-82D46BBAB877}"/>
</file>

<file path=customXml/itemProps4.xml><?xml version="1.0" encoding="utf-8"?>
<ds:datastoreItem xmlns:ds="http://schemas.openxmlformats.org/officeDocument/2006/customXml" ds:itemID="{DAEA7792-1EEC-4A70-9F5B-D16CB20DB6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已命名的範圍</vt:lpstr>
      </vt:variant>
      <vt:variant>
        <vt:i4>18</vt:i4>
      </vt:variant>
    </vt:vector>
  </HeadingPairs>
  <TitlesOfParts>
    <vt:vector size="56" baseType="lpstr">
      <vt:lpstr>數值累積總表(月)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2025-12-24T07:22:09Z</cp:lastPrinted>
  <dcterms:created xsi:type="dcterms:W3CDTF">2025-07-03T16:36:59Z</dcterms:created>
  <dcterms:modified xsi:type="dcterms:W3CDTF">2026-06-11T15:25:16Z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